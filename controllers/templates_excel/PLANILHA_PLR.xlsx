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lrone\code\sfortanks\controllers\templates_excel\"/>
    </mc:Choice>
  </mc:AlternateContent>
  <xr:revisionPtr revIDLastSave="0" documentId="13_ncr:1_{4381CC7D-F9FB-4A18-80D2-37F37E5C2EF6}" xr6:coauthVersionLast="47" xr6:coauthVersionMax="47" xr10:uidLastSave="{00000000-0000-0000-0000-000000000000}"/>
  <bookViews>
    <workbookView xWindow="43080" yWindow="-120" windowWidth="29040" windowHeight="15720" tabRatio="598" xr2:uid="{00000000-000D-0000-FFFF-FFFF00000000}"/>
  </bookViews>
  <sheets>
    <sheet name="MES" sheetId="170" r:id="rId1"/>
    <sheet name="PAGAMENTO MOD" sheetId="146" r:id="rId2"/>
  </sheets>
  <definedNames>
    <definedName name="_xlnm._FilterDatabase" localSheetId="0" hidden="1">MES!$B$34:$S$37</definedName>
    <definedName name="_xlnm._FilterDatabase" localSheetId="1" hidden="1">'PAGAMENTO MOD'!$B$24:$X$29</definedName>
    <definedName name="_xlnm.Print_Area" localSheetId="0">MES!$B$33:$S$37</definedName>
    <definedName name="_xlnm.Print_Area" localSheetId="1">'PAGAMENTO MOD'!$B$22:$V$45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46" l="1"/>
  <c r="J35" i="146"/>
  <c r="U29" i="146" l="1"/>
</calcChain>
</file>

<file path=xl/sharedStrings.xml><?xml version="1.0" encoding="utf-8"?>
<sst xmlns="http://schemas.openxmlformats.org/spreadsheetml/2006/main" count="113" uniqueCount="82">
  <si>
    <t>CPF</t>
  </si>
  <si>
    <t>NOME</t>
  </si>
  <si>
    <t>MOD</t>
  </si>
  <si>
    <t>OBRA</t>
  </si>
  <si>
    <t>Número de meses da obra</t>
  </si>
  <si>
    <t>no</t>
  </si>
  <si>
    <t>Número de mês da planilha</t>
  </si>
  <si>
    <t>REGRAS</t>
  </si>
  <si>
    <t>1 - Assiduidade (40%)</t>
  </si>
  <si>
    <t>Quant. de faltas
(justificadas ou não)</t>
  </si>
  <si>
    <t>Redução do 
colaborador</t>
  </si>
  <si>
    <t>4 ou mais</t>
  </si>
  <si>
    <t>PLR no mês</t>
  </si>
  <si>
    <t>2 - Horas Extras (10%)</t>
  </si>
  <si>
    <t>Horas extras excedidas em relação ao orçamento (cálculo por função)</t>
  </si>
  <si>
    <t>% excedente</t>
  </si>
  <si>
    <t>% de redução</t>
  </si>
  <si>
    <t>x%</t>
  </si>
  <si>
    <t>2x%</t>
  </si>
  <si>
    <t>3- Qualidade, Limpeza e organização (20%)</t>
  </si>
  <si>
    <t>Nota da equipe</t>
  </si>
  <si>
    <t>% PLR</t>
  </si>
  <si>
    <t>x</t>
  </si>
  <si>
    <t>4 - Cumprimento do prazo da obra (30%)</t>
  </si>
  <si>
    <t>Atraso acumulado</t>
  </si>
  <si>
    <t>% redução</t>
  </si>
  <si>
    <t>4% à 6%</t>
  </si>
  <si>
    <t>7% à 10%</t>
  </si>
  <si>
    <t>&gt; 11%</t>
  </si>
  <si>
    <t>PREENCHER TODOS OS MESES COM O NOME DOS FUNCIONÁRIOS EM ORDEM ALFABÉTICA</t>
  </si>
  <si>
    <t>CERRADO</t>
  </si>
  <si>
    <t>CHAPA</t>
  </si>
  <si>
    <r>
      <rPr>
        <b/>
        <sz val="10"/>
        <rFont val="Arial"/>
        <family val="2"/>
      </rPr>
      <t>DATA ADM</t>
    </r>
  </si>
  <si>
    <t>DATA DEMISSÃO/ FECHAMENTO</t>
  </si>
  <si>
    <t>EQUIPE</t>
  </si>
  <si>
    <t>TRANSFERENCIA</t>
  </si>
  <si>
    <t>Colaboradores</t>
  </si>
  <si>
    <t>Funçao</t>
  </si>
  <si>
    <t>Assiduidade
(30%)</t>
  </si>
  <si>
    <t>Zero Acidente (15%)</t>
  </si>
  <si>
    <t>Segurança
Limpeza
Organização
 (25%)</t>
  </si>
  <si>
    <t>Prazo
(30%)</t>
  </si>
  <si>
    <t>P (%) mês</t>
  </si>
  <si>
    <t xml:space="preserve">P(%) acumulado até o Mês 
</t>
  </si>
  <si>
    <t>ANOTAÇÕES</t>
  </si>
  <si>
    <t>Fechamento</t>
  </si>
  <si>
    <t>DEMISSÃO / FECHAMENTO</t>
  </si>
  <si>
    <t>TEMPO DE CASA</t>
  </si>
  <si>
    <t>FUNÇÃO</t>
  </si>
  <si>
    <t>SOMA</t>
  </si>
  <si>
    <t>SALÁRIO BASE PARA PLR</t>
  </si>
  <si>
    <t>VPO</t>
  </si>
  <si>
    <t>Notas Explicativas:</t>
  </si>
  <si>
    <t xml:space="preserve"> </t>
  </si>
  <si>
    <t>Até 18 meses</t>
  </si>
  <si>
    <t>Acima de 18 meses</t>
  </si>
  <si>
    <t>VP0  Auxiliar de Obras(SINTRACICAL-ES)</t>
  </si>
  <si>
    <t>VP0   Oficial    (SINTRACICAL-ES)</t>
  </si>
  <si>
    <t>Critério para apuração do % acumulado dos colaboradores transferidos= ( Será utilizado a média de todo o período e praticada em todas as obras).</t>
  </si>
  <si>
    <t>EF</t>
  </si>
  <si>
    <t>MO</t>
  </si>
  <si>
    <t>AGOSTO</t>
  </si>
  <si>
    <t>FORTANKS GRUPO II  PROJETO PATIO K - MOD</t>
  </si>
  <si>
    <t>ADMISSÂO</t>
  </si>
  <si>
    <t>P(%) Média acumulada</t>
  </si>
  <si>
    <t>ANOTAÇÃO</t>
  </si>
  <si>
    <t>TOTAL A PAGAR :</t>
  </si>
  <si>
    <t>Elaborado por: Renata Soares</t>
  </si>
  <si>
    <t>Liberado por: Klebson Thomaz</t>
  </si>
  <si>
    <t>PERÍODO DE APURAÇÃO: AGOSTO/2025 À JANEIRO/2026</t>
  </si>
  <si>
    <t>AGO 25</t>
  </si>
  <si>
    <t>SET 25</t>
  </si>
  <si>
    <t>OUT 25</t>
  </si>
  <si>
    <t>NOV 25</t>
  </si>
  <si>
    <t>DEZ 25</t>
  </si>
  <si>
    <t>JAN 25</t>
  </si>
  <si>
    <t>FECHAMENTO PLR | ABRIL/2026</t>
  </si>
  <si>
    <t>Sal. Atualizado</t>
  </si>
  <si>
    <t>SALARIO BASE - LEANDRO</t>
  </si>
  <si>
    <t>VALOR TOTAL                   A PAGAR</t>
  </si>
  <si>
    <r>
      <t xml:space="preserve">Cálculo do Valor a Ser Pago = </t>
    </r>
    <r>
      <rPr>
        <b/>
        <sz val="10"/>
        <rFont val="Arial"/>
        <family val="2"/>
      </rPr>
      <t>(Vpo x P(%) acumulado )</t>
    </r>
  </si>
  <si>
    <t>Último pagamento em 31/10/2025, próximo pagamento em 29/04/2026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</si>
</sst>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(* #,##0.00_);_(* \(#,##0.00\);_(* &quot;-&quot;??_);_(@_)"/>
    <numFmt numFmtId="165" formatCode="_(&quot;R$ &quot;* #,##0.00_);_(&quot;R$ &quot;* \(#,##0.00\);_(&quot;R$ &quot;* &quot;-&quot;??_);_(@_)"/>
    <numFmt numFmtId="166" formatCode="&quot;R$&quot;\ #,##0.00"/>
    <numFmt numFmtId="167" formatCode="0000000"/>
    <numFmt numFmtId="168" formatCode="&quot;R$ &quot;#,##0.00_);[Red]\(&quot;R$ &quot;#,##0.00\)"/>
    <numFmt numFmtId="169" formatCode="&quot;R$ &quot;#,##0.00"/>
    <numFmt numFmtId="170" formatCode="0.0%"/>
    <numFmt numFmtId="171" formatCode="\R\$\ #,##0.00"/>
  </numFmts>
  <fonts count="15">
    <font>
      <sz val="10"/>
      <name val="Arial"/>
      <charset val="134"/>
    </font>
    <font>
      <sz val="1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1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b/>
      <sz val="10"/>
      <color indexed="8"/>
      <name val="Arial"/>
      <family val="2"/>
    </font>
    <font>
      <sz val="9"/>
      <name val="Arial"/>
      <family val="2"/>
    </font>
    <font>
      <b/>
      <sz val="12"/>
      <color indexed="8"/>
      <name val="Arial"/>
      <family val="2"/>
    </font>
    <font>
      <b/>
      <sz val="12"/>
      <name val="Arial"/>
      <family val="2"/>
    </font>
    <font>
      <b/>
      <sz val="10"/>
      <color rgb="FF92D050"/>
      <name val="Arial"/>
      <family val="2"/>
    </font>
    <font>
      <sz val="11"/>
      <color rgb="FF000000"/>
      <name val="Calibri"/>
      <family val="2"/>
    </font>
    <font>
      <sz val="8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5">
    <xf numFmtId="0" fontId="0" fillId="0" borderId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6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9" fontId="0" fillId="0" borderId="0" xfId="3" applyFont="1"/>
    <xf numFmtId="10" fontId="0" fillId="0" borderId="0" xfId="3" applyNumberFormat="1" applyFont="1"/>
    <xf numFmtId="165" fontId="0" fillId="0" borderId="0" xfId="2" applyFont="1"/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center" wrapText="1"/>
    </xf>
    <xf numFmtId="10" fontId="1" fillId="0" borderId="0" xfId="3" applyNumberFormat="1" applyFont="1"/>
    <xf numFmtId="165" fontId="1" fillId="0" borderId="0" xfId="2" applyFont="1"/>
    <xf numFmtId="165" fontId="2" fillId="3" borderId="3" xfId="2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4" fontId="0" fillId="0" borderId="0" xfId="0" applyNumberFormat="1"/>
    <xf numFmtId="0" fontId="0" fillId="0" borderId="3" xfId="0" applyBorder="1"/>
    <xf numFmtId="14" fontId="0" fillId="0" borderId="3" xfId="0" applyNumberFormat="1" applyBorder="1" applyAlignment="1">
      <alignment horizontal="center"/>
    </xf>
    <xf numFmtId="0" fontId="0" fillId="4" borderId="3" xfId="0" applyFill="1" applyBorder="1"/>
    <xf numFmtId="0" fontId="2" fillId="0" borderId="0" xfId="0" applyFont="1"/>
    <xf numFmtId="0" fontId="2" fillId="5" borderId="3" xfId="0" applyFont="1" applyFill="1" applyBorder="1"/>
    <xf numFmtId="14" fontId="1" fillId="5" borderId="3" xfId="0" applyNumberFormat="1" applyFont="1" applyFill="1" applyBorder="1" applyAlignment="1">
      <alignment horizontal="center" vertical="center" wrapText="1"/>
    </xf>
    <xf numFmtId="9" fontId="4" fillId="5" borderId="3" xfId="0" applyNumberFormat="1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/>
    </xf>
    <xf numFmtId="0" fontId="0" fillId="5" borderId="3" xfId="0" applyFill="1" applyBorder="1"/>
    <xf numFmtId="14" fontId="6" fillId="5" borderId="3" xfId="0" applyNumberFormat="1" applyFont="1" applyFill="1" applyBorder="1" applyAlignment="1">
      <alignment horizontal="center"/>
    </xf>
    <xf numFmtId="9" fontId="4" fillId="5" borderId="3" xfId="0" applyNumberFormat="1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14" fontId="1" fillId="5" borderId="3" xfId="0" applyNumberFormat="1" applyFont="1" applyFill="1" applyBorder="1" applyAlignment="1">
      <alignment horizontal="center"/>
    </xf>
    <xf numFmtId="9" fontId="1" fillId="5" borderId="3" xfId="0" applyNumberFormat="1" applyFont="1" applyFill="1" applyBorder="1" applyAlignment="1">
      <alignment horizontal="center"/>
    </xf>
    <xf numFmtId="9" fontId="7" fillId="5" borderId="3" xfId="0" applyNumberFormat="1" applyFont="1" applyFill="1" applyBorder="1" applyAlignment="1">
      <alignment horizontal="center"/>
    </xf>
    <xf numFmtId="0" fontId="8" fillId="5" borderId="3" xfId="0" applyFont="1" applyFill="1" applyBorder="1"/>
    <xf numFmtId="0" fontId="1" fillId="5" borderId="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4" fontId="1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1" xfId="0" applyBorder="1"/>
    <xf numFmtId="0" fontId="1" fillId="0" borderId="0" xfId="0" applyFont="1" applyAlignment="1">
      <alignment horizontal="center"/>
    </xf>
    <xf numFmtId="0" fontId="0" fillId="0" borderId="7" xfId="0" applyBorder="1"/>
    <xf numFmtId="165" fontId="0" fillId="0" borderId="0" xfId="2" applyFont="1" applyBorder="1"/>
    <xf numFmtId="0" fontId="0" fillId="6" borderId="0" xfId="0" applyFill="1"/>
    <xf numFmtId="0" fontId="2" fillId="0" borderId="0" xfId="0" applyFont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14" fontId="1" fillId="2" borderId="0" xfId="0" applyNumberFormat="1" applyFont="1" applyFill="1" applyAlignment="1">
      <alignment horizont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14" fontId="2" fillId="3" borderId="19" xfId="0" applyNumberFormat="1" applyFont="1" applyFill="1" applyBorder="1" applyAlignment="1">
      <alignment horizontal="center" vertical="center" wrapText="1"/>
    </xf>
    <xf numFmtId="49" fontId="2" fillId="3" borderId="19" xfId="0" applyNumberFormat="1" applyFont="1" applyFill="1" applyBorder="1" applyAlignment="1">
      <alignment horizontal="center" vertical="center" wrapText="1"/>
    </xf>
    <xf numFmtId="9" fontId="2" fillId="3" borderId="19" xfId="3" applyFont="1" applyFill="1" applyBorder="1" applyAlignment="1">
      <alignment horizontal="center" vertical="center" wrapText="1"/>
    </xf>
    <xf numFmtId="165" fontId="2" fillId="3" borderId="19" xfId="4" applyFont="1" applyFill="1" applyBorder="1" applyAlignment="1">
      <alignment horizontal="center" vertical="center" wrapText="1"/>
    </xf>
    <xf numFmtId="165" fontId="2" fillId="3" borderId="19" xfId="2" applyFont="1" applyFill="1" applyBorder="1" applyAlignment="1">
      <alignment horizontal="center" vertical="center" wrapText="1"/>
    </xf>
    <xf numFmtId="165" fontId="2" fillId="3" borderId="23" xfId="2" applyFont="1" applyFill="1" applyBorder="1" applyAlignment="1">
      <alignment horizontal="center" vertical="center" wrapText="1"/>
    </xf>
    <xf numFmtId="165" fontId="0" fillId="0" borderId="16" xfId="2" applyFont="1" applyBorder="1"/>
    <xf numFmtId="0" fontId="0" fillId="0" borderId="5" xfId="0" applyBorder="1"/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left"/>
    </xf>
    <xf numFmtId="0" fontId="0" fillId="0" borderId="16" xfId="0" applyBorder="1"/>
    <xf numFmtId="9" fontId="0" fillId="0" borderId="16" xfId="3" applyFont="1" applyBorder="1"/>
    <xf numFmtId="10" fontId="0" fillId="0" borderId="16" xfId="3" applyNumberFormat="1" applyFont="1" applyBorder="1"/>
    <xf numFmtId="9" fontId="0" fillId="0" borderId="0" xfId="3" applyFont="1" applyBorder="1"/>
    <xf numFmtId="10" fontId="0" fillId="0" borderId="0" xfId="3" applyNumberFormat="1" applyFont="1" applyBorder="1"/>
    <xf numFmtId="9" fontId="0" fillId="0" borderId="7" xfId="3" applyFont="1" applyBorder="1"/>
    <xf numFmtId="10" fontId="0" fillId="0" borderId="7" xfId="3" applyNumberFormat="1" applyFont="1" applyBorder="1"/>
    <xf numFmtId="165" fontId="0" fillId="6" borderId="3" xfId="2" applyFont="1" applyFill="1" applyBorder="1" applyAlignment="1">
      <alignment horizontal="center"/>
    </xf>
    <xf numFmtId="0" fontId="0" fillId="0" borderId="26" xfId="0" applyBorder="1"/>
    <xf numFmtId="165" fontId="0" fillId="0" borderId="27" xfId="2" applyFont="1" applyBorder="1"/>
    <xf numFmtId="165" fontId="0" fillId="0" borderId="28" xfId="2" applyFont="1" applyBorder="1"/>
    <xf numFmtId="0" fontId="0" fillId="0" borderId="28" xfId="0" applyBorder="1"/>
    <xf numFmtId="165" fontId="0" fillId="0" borderId="7" xfId="2" applyFont="1" applyBorder="1"/>
    <xf numFmtId="165" fontId="0" fillId="0" borderId="21" xfId="2" applyFont="1" applyBorder="1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14" fontId="1" fillId="0" borderId="3" xfId="0" applyNumberFormat="1" applyFont="1" applyBorder="1"/>
    <xf numFmtId="168" fontId="0" fillId="0" borderId="3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9" fontId="1" fillId="0" borderId="3" xfId="3" applyFont="1" applyFill="1" applyBorder="1" applyAlignment="1">
      <alignment horizontal="center"/>
    </xf>
    <xf numFmtId="9" fontId="7" fillId="0" borderId="3" xfId="3" applyFont="1" applyFill="1" applyBorder="1" applyAlignment="1">
      <alignment horizontal="center"/>
    </xf>
    <xf numFmtId="0" fontId="2" fillId="0" borderId="3" xfId="0" applyFont="1" applyBorder="1"/>
    <xf numFmtId="165" fontId="1" fillId="0" borderId="3" xfId="2" applyBorder="1"/>
    <xf numFmtId="169" fontId="1" fillId="0" borderId="3" xfId="2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2" fontId="2" fillId="0" borderId="3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2" xfId="0" applyNumberFormat="1" applyBorder="1" applyAlignment="1">
      <alignment horizontal="center"/>
    </xf>
    <xf numFmtId="0" fontId="0" fillId="0" borderId="29" xfId="0" applyBorder="1"/>
    <xf numFmtId="0" fontId="2" fillId="0" borderId="19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14" fontId="2" fillId="0" borderId="19" xfId="0" applyNumberFormat="1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14" fontId="1" fillId="0" borderId="3" xfId="0" applyNumberFormat="1" applyFont="1" applyBorder="1" applyAlignment="1">
      <alignment horizontal="center"/>
    </xf>
    <xf numFmtId="165" fontId="8" fillId="0" borderId="19" xfId="2" applyFont="1" applyBorder="1" applyAlignment="1">
      <alignment horizontal="center" vertical="center" wrapText="1"/>
    </xf>
    <xf numFmtId="169" fontId="2" fillId="0" borderId="19" xfId="2" applyNumberFormat="1" applyFont="1" applyBorder="1" applyAlignment="1">
      <alignment horizontal="center" vertical="center" wrapText="1"/>
    </xf>
    <xf numFmtId="9" fontId="2" fillId="0" borderId="19" xfId="3" applyFont="1" applyBorder="1" applyAlignment="1">
      <alignment horizontal="center" vertical="center" wrapText="1"/>
    </xf>
    <xf numFmtId="0" fontId="0" fillId="6" borderId="3" xfId="0" applyFill="1" applyBorder="1"/>
    <xf numFmtId="2" fontId="2" fillId="0" borderId="19" xfId="0" applyNumberFormat="1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/>
    </xf>
    <xf numFmtId="0" fontId="0" fillId="0" borderId="8" xfId="0" applyBorder="1"/>
    <xf numFmtId="14" fontId="1" fillId="0" borderId="31" xfId="0" applyNumberFormat="1" applyFont="1" applyBorder="1" applyAlignment="1">
      <alignment horizontal="center"/>
    </xf>
    <xf numFmtId="14" fontId="1" fillId="0" borderId="31" xfId="0" applyNumberFormat="1" applyFont="1" applyBorder="1"/>
    <xf numFmtId="0" fontId="0" fillId="0" borderId="31" xfId="0" applyBorder="1"/>
    <xf numFmtId="0" fontId="0" fillId="0" borderId="32" xfId="0" applyBorder="1"/>
    <xf numFmtId="14" fontId="2" fillId="0" borderId="0" xfId="0" applyNumberFormat="1" applyFont="1" applyAlignment="1">
      <alignment horizontal="center"/>
    </xf>
    <xf numFmtId="17" fontId="0" fillId="0" borderId="0" xfId="1" applyNumberFormat="1" applyFont="1" applyBorder="1"/>
    <xf numFmtId="0" fontId="2" fillId="0" borderId="1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/>
    </xf>
    <xf numFmtId="0" fontId="0" fillId="0" borderId="33" xfId="0" applyBorder="1"/>
    <xf numFmtId="14" fontId="0" fillId="0" borderId="33" xfId="0" applyNumberFormat="1" applyBorder="1" applyAlignment="1">
      <alignment horizontal="right" vertical="center"/>
    </xf>
    <xf numFmtId="0" fontId="0" fillId="4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9" fontId="2" fillId="0" borderId="3" xfId="3" applyFont="1" applyFill="1" applyBorder="1" applyAlignment="1">
      <alignment horizontal="center"/>
    </xf>
    <xf numFmtId="9" fontId="0" fillId="0" borderId="3" xfId="3" applyFont="1" applyBorder="1" applyAlignment="1">
      <alignment horizontal="center"/>
    </xf>
    <xf numFmtId="9" fontId="0" fillId="0" borderId="12" xfId="3" applyFont="1" applyBorder="1" applyAlignment="1">
      <alignment horizontal="center"/>
    </xf>
    <xf numFmtId="170" fontId="0" fillId="0" borderId="33" xfId="0" applyNumberFormat="1" applyBorder="1" applyAlignment="1">
      <alignment horizontal="center" vertical="center"/>
    </xf>
    <xf numFmtId="9" fontId="0" fillId="0" borderId="0" xfId="3" applyFont="1" applyBorder="1" applyAlignment="1">
      <alignment horizontal="center"/>
    </xf>
    <xf numFmtId="10" fontId="0" fillId="6" borderId="3" xfId="3" applyNumberFormat="1" applyFont="1" applyFill="1" applyBorder="1" applyAlignment="1">
      <alignment horizontal="center" vertical="center"/>
    </xf>
    <xf numFmtId="10" fontId="0" fillId="6" borderId="31" xfId="3" applyNumberFormat="1" applyFont="1" applyFill="1" applyBorder="1" applyAlignment="1">
      <alignment horizontal="center" vertical="center"/>
    </xf>
    <xf numFmtId="17" fontId="0" fillId="0" borderId="0" xfId="1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6" xfId="0" applyBorder="1" applyAlignment="1">
      <alignment horizontal="center"/>
    </xf>
    <xf numFmtId="14" fontId="0" fillId="0" borderId="36" xfId="0" applyNumberFormat="1" applyBorder="1" applyAlignment="1">
      <alignment horizontal="right" vertical="center"/>
    </xf>
    <xf numFmtId="0" fontId="0" fillId="0" borderId="36" xfId="0" applyBorder="1"/>
    <xf numFmtId="170" fontId="0" fillId="0" borderId="36" xfId="0" applyNumberFormat="1" applyBorder="1" applyAlignment="1">
      <alignment horizontal="center" vertical="center"/>
    </xf>
    <xf numFmtId="0" fontId="0" fillId="0" borderId="0" xfId="1" applyNumberFormat="1" applyFont="1" applyFill="1" applyBorder="1" applyAlignment="1">
      <alignment horizontal="center"/>
    </xf>
    <xf numFmtId="0" fontId="2" fillId="0" borderId="0" xfId="1" applyNumberFormat="1" applyFont="1" applyFill="1" applyBorder="1" applyAlignment="1">
      <alignment horizontal="center"/>
    </xf>
    <xf numFmtId="0" fontId="0" fillId="0" borderId="0" xfId="1" applyNumberFormat="1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10" fontId="0" fillId="0" borderId="3" xfId="0" applyNumberFormat="1" applyBorder="1" applyAlignment="1">
      <alignment horizontal="center" vertical="center"/>
    </xf>
    <xf numFmtId="0" fontId="2" fillId="6" borderId="0" xfId="0" applyFont="1" applyFill="1"/>
    <xf numFmtId="14" fontId="0" fillId="0" borderId="33" xfId="0" applyNumberFormat="1" applyBorder="1" applyAlignment="1">
      <alignment horizontal="center" vertical="center"/>
    </xf>
    <xf numFmtId="49" fontId="2" fillId="3" borderId="39" xfId="1" applyNumberFormat="1" applyFont="1" applyFill="1" applyBorder="1" applyAlignment="1">
      <alignment horizontal="center" vertical="center"/>
    </xf>
    <xf numFmtId="0" fontId="2" fillId="7" borderId="40" xfId="0" applyFont="1" applyFill="1" applyBorder="1" applyAlignment="1">
      <alignment horizontal="center" vertical="center"/>
    </xf>
    <xf numFmtId="14" fontId="2" fillId="7" borderId="40" xfId="0" applyNumberFormat="1" applyFont="1" applyFill="1" applyBorder="1" applyAlignment="1">
      <alignment horizontal="center" vertical="center"/>
    </xf>
    <xf numFmtId="165" fontId="8" fillId="7" borderId="40" xfId="2" applyFont="1" applyFill="1" applyBorder="1" applyAlignment="1">
      <alignment horizontal="center" vertical="center" wrapText="1"/>
    </xf>
    <xf numFmtId="169" fontId="2" fillId="7" borderId="40" xfId="2" applyNumberFormat="1" applyFont="1" applyFill="1" applyBorder="1" applyAlignment="1">
      <alignment horizontal="center" vertical="center" wrapText="1"/>
    </xf>
    <xf numFmtId="9" fontId="2" fillId="7" borderId="40" xfId="3" applyFont="1" applyFill="1" applyBorder="1" applyAlignment="1">
      <alignment horizontal="center" vertical="center" wrapText="1"/>
    </xf>
    <xf numFmtId="0" fontId="2" fillId="7" borderId="40" xfId="0" applyFont="1" applyFill="1" applyBorder="1" applyAlignment="1">
      <alignment horizontal="center" vertical="center" wrapText="1"/>
    </xf>
    <xf numFmtId="2" fontId="2" fillId="7" borderId="40" xfId="0" applyNumberFormat="1" applyFont="1" applyFill="1" applyBorder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0" fontId="0" fillId="6" borderId="33" xfId="0" applyFill="1" applyBorder="1"/>
    <xf numFmtId="14" fontId="0" fillId="6" borderId="33" xfId="0" applyNumberFormat="1" applyFill="1" applyBorder="1" applyAlignment="1">
      <alignment horizontal="center" vertical="center"/>
    </xf>
    <xf numFmtId="1" fontId="0" fillId="6" borderId="33" xfId="0" applyNumberFormat="1" applyFill="1" applyBorder="1" applyAlignment="1">
      <alignment horizontal="center" vertical="center"/>
    </xf>
    <xf numFmtId="10" fontId="0" fillId="6" borderId="33" xfId="0" applyNumberFormat="1" applyFill="1" applyBorder="1" applyAlignment="1">
      <alignment horizontal="center" vertical="center"/>
    </xf>
    <xf numFmtId="165" fontId="0" fillId="6" borderId="9" xfId="2" applyFont="1" applyFill="1" applyBorder="1" applyAlignment="1">
      <alignment horizontal="center"/>
    </xf>
    <xf numFmtId="0" fontId="0" fillId="6" borderId="24" xfId="0" applyFill="1" applyBorder="1"/>
    <xf numFmtId="0" fontId="1" fillId="0" borderId="14" xfId="9" applyBorder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4" xfId="0" applyFont="1" applyFill="1" applyBorder="1"/>
    <xf numFmtId="0" fontId="10" fillId="0" borderId="6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165" fontId="11" fillId="0" borderId="18" xfId="2" applyFont="1" applyBorder="1" applyAlignment="1">
      <alignment vertical="center"/>
    </xf>
    <xf numFmtId="165" fontId="11" fillId="0" borderId="19" xfId="2" applyFont="1" applyBorder="1" applyAlignment="1">
      <alignment vertical="center"/>
    </xf>
    <xf numFmtId="0" fontId="10" fillId="0" borderId="1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171" fontId="0" fillId="6" borderId="33" xfId="0" applyNumberFormat="1" applyFill="1" applyBorder="1" applyAlignment="1">
      <alignment horizontal="center" vertical="center"/>
    </xf>
    <xf numFmtId="171" fontId="0" fillId="6" borderId="3" xfId="0" applyNumberFormat="1" applyFill="1" applyBorder="1" applyAlignment="1">
      <alignment horizontal="center" vertical="center"/>
    </xf>
    <xf numFmtId="0" fontId="0" fillId="6" borderId="42" xfId="0" applyFill="1" applyBorder="1"/>
    <xf numFmtId="14" fontId="0" fillId="6" borderId="43" xfId="0" applyNumberFormat="1" applyFill="1" applyBorder="1" applyAlignment="1">
      <alignment horizontal="center" vertical="center"/>
    </xf>
    <xf numFmtId="0" fontId="3" fillId="6" borderId="13" xfId="9" applyFont="1" applyFill="1" applyBorder="1" applyAlignment="1">
      <alignment horizontal="center"/>
    </xf>
    <xf numFmtId="0" fontId="3" fillId="6" borderId="3" xfId="9" applyFont="1" applyFill="1" applyBorder="1" applyAlignment="1">
      <alignment horizontal="center"/>
    </xf>
    <xf numFmtId="165" fontId="1" fillId="0" borderId="0" xfId="2" applyFont="1" applyAlignment="1"/>
    <xf numFmtId="165" fontId="0" fillId="6" borderId="9" xfId="2" applyFont="1" applyFill="1" applyBorder="1" applyAlignment="1"/>
    <xf numFmtId="165" fontId="0" fillId="6" borderId="3" xfId="2" applyFont="1" applyFill="1" applyBorder="1" applyAlignment="1"/>
    <xf numFmtId="165" fontId="11" fillId="0" borderId="23" xfId="2" applyFont="1" applyBorder="1" applyAlignment="1">
      <alignment vertical="center"/>
    </xf>
    <xf numFmtId="165" fontId="0" fillId="0" borderId="16" xfId="2" applyFont="1" applyBorder="1" applyAlignment="1"/>
    <xf numFmtId="165" fontId="0" fillId="0" borderId="0" xfId="2" applyFont="1" applyBorder="1" applyAlignment="1"/>
    <xf numFmtId="165" fontId="0" fillId="0" borderId="7" xfId="2" applyFont="1" applyBorder="1" applyAlignment="1"/>
    <xf numFmtId="165" fontId="0" fillId="0" borderId="0" xfId="2" applyFont="1" applyAlignment="1"/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 vertical="center"/>
    </xf>
    <xf numFmtId="165" fontId="0" fillId="0" borderId="16" xfId="2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0" xfId="0" applyAlignment="1">
      <alignment horizontal="left" vertical="center"/>
    </xf>
    <xf numFmtId="165" fontId="0" fillId="0" borderId="0" xfId="2" applyFont="1" applyBorder="1" applyAlignment="1">
      <alignment horizontal="left"/>
    </xf>
    <xf numFmtId="167" fontId="0" fillId="6" borderId="33" xfId="0" applyNumberFormat="1" applyFill="1" applyBorder="1" applyAlignment="1">
      <alignment horizontal="center"/>
    </xf>
    <xf numFmtId="167" fontId="0" fillId="6" borderId="42" xfId="0" applyNumberFormat="1" applyFill="1" applyBorder="1" applyAlignment="1">
      <alignment horizontal="center"/>
    </xf>
    <xf numFmtId="10" fontId="0" fillId="6" borderId="43" xfId="0" applyNumberFormat="1" applyFill="1" applyBorder="1" applyAlignment="1">
      <alignment horizontal="center" vertical="center"/>
    </xf>
    <xf numFmtId="0" fontId="0" fillId="6" borderId="44" xfId="0" applyFill="1" applyBorder="1"/>
    <xf numFmtId="0" fontId="3" fillId="6" borderId="12" xfId="9" applyFont="1" applyFill="1" applyBorder="1" applyAlignment="1">
      <alignment horizontal="center"/>
    </xf>
    <xf numFmtId="14" fontId="0" fillId="6" borderId="38" xfId="0" applyNumberFormat="1" applyFill="1" applyBorder="1" applyAlignment="1">
      <alignment horizontal="center" vertical="center"/>
    </xf>
    <xf numFmtId="14" fontId="0" fillId="6" borderId="37" xfId="0" applyNumberFormat="1" applyFill="1" applyBorder="1" applyAlignment="1">
      <alignment horizontal="center" vertical="center"/>
    </xf>
    <xf numFmtId="1" fontId="0" fillId="6" borderId="37" xfId="0" applyNumberFormat="1" applyFill="1" applyBorder="1" applyAlignment="1">
      <alignment horizontal="center" vertical="center"/>
    </xf>
    <xf numFmtId="0" fontId="0" fillId="6" borderId="37" xfId="0" applyFill="1" applyBorder="1"/>
    <xf numFmtId="14" fontId="0" fillId="6" borderId="3" xfId="0" applyNumberFormat="1" applyFill="1" applyBorder="1" applyAlignment="1">
      <alignment horizontal="center" vertical="center"/>
    </xf>
    <xf numFmtId="1" fontId="0" fillId="6" borderId="3" xfId="0" applyNumberFormat="1" applyFill="1" applyBorder="1" applyAlignment="1">
      <alignment horizontal="center" vertical="center"/>
    </xf>
    <xf numFmtId="0" fontId="0" fillId="6" borderId="34" xfId="0" applyFill="1" applyBorder="1"/>
    <xf numFmtId="0" fontId="3" fillId="6" borderId="0" xfId="9" applyFont="1" applyFill="1" applyAlignment="1">
      <alignment horizontal="center"/>
    </xf>
    <xf numFmtId="49" fontId="11" fillId="0" borderId="0" xfId="0" applyNumberFormat="1" applyFont="1" applyAlignment="1">
      <alignment horizontal="center" vertical="center"/>
    </xf>
    <xf numFmtId="165" fontId="0" fillId="6" borderId="3" xfId="2" applyFont="1" applyFill="1" applyBorder="1"/>
    <xf numFmtId="0" fontId="4" fillId="0" borderId="29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0" fontId="4" fillId="0" borderId="30" xfId="0" applyFont="1" applyBorder="1" applyAlignment="1">
      <alignment horizontal="left"/>
    </xf>
    <xf numFmtId="0" fontId="1" fillId="0" borderId="0" xfId="0" applyFont="1" applyAlignment="1">
      <alignment horizontal="left"/>
    </xf>
    <xf numFmtId="165" fontId="1" fillId="0" borderId="25" xfId="2" applyFont="1" applyBorder="1" applyAlignment="1">
      <alignment horizontal="center"/>
    </xf>
    <xf numFmtId="49" fontId="11" fillId="0" borderId="20" xfId="0" applyNumberFormat="1" applyFont="1" applyBorder="1" applyAlignment="1">
      <alignment horizontal="center" vertical="center"/>
    </xf>
    <xf numFmtId="49" fontId="11" fillId="0" borderId="22" xfId="0" applyNumberFormat="1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</cellXfs>
  <cellStyles count="15">
    <cellStyle name="Moeda" xfId="2" builtinId="4"/>
    <cellStyle name="Moeda 2" xfId="4" xr:uid="{00000000-0005-0000-0000-000031000000}"/>
    <cellStyle name="Moeda 2 2" xfId="5" xr:uid="{00000000-0005-0000-0000-000032000000}"/>
    <cellStyle name="Moeda 3" xfId="6" xr:uid="{00000000-0005-0000-0000-000033000000}"/>
    <cellStyle name="Moeda 3 2" xfId="7" xr:uid="{00000000-0005-0000-0000-000034000000}"/>
    <cellStyle name="Moeda 4" xfId="8" xr:uid="{00000000-0005-0000-0000-000035000000}"/>
    <cellStyle name="Normal" xfId="0" builtinId="0"/>
    <cellStyle name="Normal 2" xfId="9" xr:uid="{00000000-0005-0000-0000-000036000000}"/>
    <cellStyle name="Normal 3" xfId="10" xr:uid="{00000000-0005-0000-0000-000037000000}"/>
    <cellStyle name="Porcentagem" xfId="3" builtinId="5"/>
    <cellStyle name="Porcentagem 2" xfId="11" xr:uid="{00000000-0005-0000-0000-000038000000}"/>
    <cellStyle name="Porcentagem 2 2" xfId="12" xr:uid="{00000000-0005-0000-0000-000039000000}"/>
    <cellStyle name="Porcentagem 3" xfId="13" xr:uid="{00000000-0005-0000-0000-00003A000000}"/>
    <cellStyle name="Porcentagem 4" xfId="14" xr:uid="{00000000-0005-0000-0000-00003B000000}"/>
    <cellStyle name="Vírgula" xfId="1" builtinId="3"/>
  </cellStyles>
  <dxfs count="1">
    <dxf>
      <font>
        <color theme="0"/>
      </font>
    </dxf>
  </dxfs>
  <tableStyles count="1" defaultTableStyle="TableStyleMedium9" defaultPivotStyle="PivotStyleLight16">
    <tableStyle name="Invisible" pivot="0" table="0" count="0" xr9:uid="{06BA74AF-7975-4C3A-9B42-DD73A04D9B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107158</xdr:colOff>
      <xdr:row>21</xdr:row>
      <xdr:rowOff>10706</xdr:rowOff>
    </xdr:from>
    <xdr:to>
      <xdr:col>2</xdr:col>
      <xdr:colOff>702470</xdr:colOff>
      <xdr:row>22</xdr:row>
      <xdr:rowOff>250031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7158" y="3832612"/>
          <a:ext cx="1476374" cy="7274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B1:AU38"/>
  <sheetViews>
    <sheetView tabSelected="1" topLeftCell="A8" zoomScale="80" zoomScaleNormal="80" zoomScaleSheetLayoutView="90" workbookViewId="0">
      <selection activeCell="E34" sqref="E34"/>
    </sheetView>
  </sheetViews>
  <sheetFormatPr defaultColWidth="9.1328125" defaultRowHeight="12.75"/>
  <cols>
    <col min="1" max="1" width="4.1328125" customWidth="1"/>
    <col min="2" max="2" width="17.73046875" style="135" customWidth="1"/>
    <col min="3" max="3" width="8" style="1" bestFit="1" customWidth="1"/>
    <col min="4" max="4" width="12.1328125" customWidth="1"/>
    <col min="5" max="5" width="13.86328125" style="2" customWidth="1"/>
    <col min="6" max="6" width="7.73046875" style="3" hidden="1" customWidth="1"/>
    <col min="7" max="7" width="8.265625" customWidth="1"/>
    <col min="8" max="8" width="10.73046875" customWidth="1"/>
    <col min="9" max="9" width="5.1328125" style="3" customWidth="1"/>
    <col min="10" max="10" width="16.265625" customWidth="1"/>
    <col min="11" max="11" width="45.59765625" customWidth="1"/>
    <col min="12" max="12" width="46" customWidth="1"/>
    <col min="13" max="13" width="14.265625" style="44" bestFit="1" customWidth="1"/>
    <col min="14" max="14" width="13.73046875" style="3" bestFit="1" customWidth="1"/>
    <col min="15" max="15" width="13.1328125" style="124" customWidth="1"/>
    <col min="16" max="16" width="6.73046875" style="3" bestFit="1" customWidth="1"/>
    <col min="17" max="17" width="12.265625" style="79" customWidth="1"/>
    <col min="18" max="18" width="12.73046875" customWidth="1"/>
    <col min="19" max="19" width="29.3984375" customWidth="1"/>
    <col min="20" max="29" width="9.1328125" customWidth="1"/>
    <col min="47" max="47" width="9.1328125" hidden="1" customWidth="1"/>
  </cols>
  <sheetData>
    <row r="1" spans="2:18">
      <c r="B1" s="133"/>
      <c r="K1" s="14" t="s">
        <v>4</v>
      </c>
      <c r="L1" s="7" t="s">
        <v>5</v>
      </c>
      <c r="M1" s="7">
        <v>1</v>
      </c>
      <c r="N1" s="7"/>
      <c r="O1" s="115"/>
      <c r="P1" s="7"/>
      <c r="Q1" s="42"/>
      <c r="R1" s="43"/>
    </row>
    <row r="2" spans="2:18">
      <c r="B2" s="133"/>
      <c r="K2" s="14" t="s">
        <v>6</v>
      </c>
      <c r="L2" s="7" t="s">
        <v>5</v>
      </c>
      <c r="M2" s="118">
        <v>1</v>
      </c>
      <c r="N2" s="7"/>
      <c r="O2" s="115"/>
      <c r="P2" s="7"/>
      <c r="Q2" s="42"/>
      <c r="R2" s="43"/>
    </row>
    <row r="3" spans="2:18">
      <c r="B3" s="133"/>
      <c r="K3" s="14"/>
      <c r="L3" s="82"/>
      <c r="M3" s="7"/>
      <c r="N3" s="7"/>
      <c r="O3" s="115"/>
      <c r="P3" s="7"/>
      <c r="Q3" s="42"/>
      <c r="R3" s="43"/>
    </row>
    <row r="4" spans="2:18">
      <c r="B4" s="133"/>
      <c r="K4" s="14"/>
      <c r="L4" s="82"/>
      <c r="M4" s="7"/>
      <c r="N4" s="7"/>
      <c r="O4" s="115"/>
      <c r="P4" s="7"/>
      <c r="Q4" s="42"/>
      <c r="R4" s="43"/>
    </row>
    <row r="5" spans="2:18">
      <c r="B5" s="133"/>
      <c r="K5" s="14"/>
      <c r="L5" s="7"/>
      <c r="M5" s="7"/>
      <c r="N5" s="7"/>
      <c r="O5" s="115"/>
      <c r="P5" s="7"/>
      <c r="Q5" s="42"/>
      <c r="R5" s="43"/>
    </row>
    <row r="6" spans="2:18">
      <c r="B6" s="133"/>
      <c r="K6" s="14"/>
      <c r="L6" s="16"/>
      <c r="M6" s="119"/>
      <c r="N6" s="7"/>
      <c r="O6" s="115"/>
      <c r="P6" s="7"/>
      <c r="Q6" s="42"/>
      <c r="R6" s="43"/>
    </row>
    <row r="7" spans="2:18">
      <c r="B7" s="133"/>
      <c r="K7" s="14"/>
      <c r="L7" s="14"/>
      <c r="M7" s="7"/>
      <c r="N7" s="7"/>
      <c r="O7" s="115"/>
      <c r="P7" s="7"/>
      <c r="Q7" s="42"/>
      <c r="R7" s="43"/>
    </row>
    <row r="8" spans="2:18" ht="13.15">
      <c r="B8" s="133"/>
      <c r="K8" s="18" t="s">
        <v>7</v>
      </c>
      <c r="L8" s="22"/>
      <c r="M8" s="50"/>
      <c r="N8" s="50"/>
      <c r="O8" s="115"/>
      <c r="P8" s="7"/>
      <c r="Q8" s="42"/>
      <c r="R8" s="43"/>
    </row>
    <row r="9" spans="2:18" s="17" customFormat="1" ht="25.5">
      <c r="B9" s="134"/>
      <c r="C9" s="80"/>
      <c r="E9" s="112"/>
      <c r="F9" s="48"/>
      <c r="I9" s="48"/>
      <c r="K9" s="18" t="s">
        <v>8</v>
      </c>
      <c r="L9" s="83" t="s">
        <v>9</v>
      </c>
      <c r="M9" s="20" t="s">
        <v>10</v>
      </c>
      <c r="N9" s="21"/>
      <c r="O9" s="120"/>
      <c r="P9" s="84"/>
      <c r="Q9" s="92"/>
      <c r="R9" s="93"/>
    </row>
    <row r="10" spans="2:18">
      <c r="B10" s="133"/>
      <c r="K10" s="22"/>
      <c r="L10" s="85">
        <v>1</v>
      </c>
      <c r="M10" s="24">
        <v>0.1</v>
      </c>
      <c r="N10" s="25"/>
      <c r="O10" s="115"/>
      <c r="P10" s="7"/>
      <c r="Q10" s="42"/>
      <c r="R10" s="43"/>
    </row>
    <row r="11" spans="2:18">
      <c r="B11" s="133"/>
      <c r="K11" s="22"/>
      <c r="L11" s="85">
        <v>2</v>
      </c>
      <c r="M11" s="24">
        <v>0.2</v>
      </c>
      <c r="N11" s="25"/>
      <c r="O11" s="115"/>
      <c r="P11" s="7"/>
      <c r="Q11" s="42"/>
      <c r="R11" s="43"/>
    </row>
    <row r="12" spans="2:18">
      <c r="B12" s="133"/>
      <c r="K12" s="22"/>
      <c r="L12" s="30">
        <v>3</v>
      </c>
      <c r="M12" s="27">
        <v>0.3</v>
      </c>
      <c r="N12" s="25"/>
      <c r="O12" s="115"/>
      <c r="P12" s="7"/>
      <c r="Q12" s="42"/>
      <c r="R12" s="43"/>
    </row>
    <row r="13" spans="2:18">
      <c r="B13" s="133"/>
      <c r="K13" s="22"/>
      <c r="L13" s="85" t="s">
        <v>11</v>
      </c>
      <c r="M13" s="28" t="s">
        <v>12</v>
      </c>
      <c r="N13" s="25"/>
      <c r="O13" s="115"/>
      <c r="P13" s="7"/>
      <c r="Q13" s="42"/>
      <c r="R13" s="43"/>
    </row>
    <row r="14" spans="2:18">
      <c r="B14" s="133"/>
      <c r="K14" s="22"/>
      <c r="L14" s="85"/>
      <c r="M14" s="28"/>
      <c r="N14" s="25"/>
      <c r="O14" s="115"/>
      <c r="P14" s="7"/>
      <c r="Q14" s="42"/>
      <c r="R14" s="43"/>
    </row>
    <row r="15" spans="2:18" ht="13.15">
      <c r="B15" s="133"/>
      <c r="K15" s="29" t="s">
        <v>13</v>
      </c>
      <c r="L15" s="85"/>
      <c r="M15" s="28"/>
      <c r="N15" s="25"/>
      <c r="O15" s="115"/>
      <c r="P15" s="7"/>
      <c r="Q15" s="42"/>
      <c r="R15" s="43"/>
    </row>
    <row r="16" spans="2:18">
      <c r="B16" s="133"/>
      <c r="K16" s="22" t="s">
        <v>14</v>
      </c>
      <c r="L16" s="30" t="s">
        <v>15</v>
      </c>
      <c r="M16" s="27" t="s">
        <v>16</v>
      </c>
      <c r="N16" s="25"/>
      <c r="O16" s="115"/>
      <c r="P16" s="7"/>
      <c r="Q16" s="42"/>
      <c r="R16" s="43"/>
    </row>
    <row r="17" spans="2:18">
      <c r="B17" s="133"/>
      <c r="K17" s="22"/>
      <c r="L17" s="30" t="s">
        <v>17</v>
      </c>
      <c r="M17" s="27" t="s">
        <v>18</v>
      </c>
      <c r="N17" s="25"/>
      <c r="O17" s="115"/>
      <c r="P17" s="7"/>
      <c r="Q17" s="42"/>
      <c r="R17" s="43"/>
    </row>
    <row r="18" spans="2:18">
      <c r="B18" s="133"/>
      <c r="K18" s="22"/>
      <c r="L18" s="85"/>
      <c r="M18" s="28"/>
      <c r="N18" s="25"/>
      <c r="O18" s="115"/>
      <c r="P18" s="7"/>
      <c r="Q18" s="42"/>
      <c r="R18" s="43"/>
    </row>
    <row r="19" spans="2:18">
      <c r="B19" s="133"/>
      <c r="K19" s="22"/>
      <c r="L19" s="85"/>
      <c r="M19" s="28"/>
      <c r="N19" s="25"/>
      <c r="O19" s="115"/>
      <c r="P19" s="7"/>
      <c r="Q19" s="42"/>
      <c r="R19" s="43"/>
    </row>
    <row r="20" spans="2:18" ht="13.15">
      <c r="B20" s="133"/>
      <c r="K20" s="18" t="s">
        <v>19</v>
      </c>
      <c r="L20" s="30" t="s">
        <v>20</v>
      </c>
      <c r="M20" s="27" t="s">
        <v>21</v>
      </c>
      <c r="N20" s="25"/>
      <c r="O20" s="115"/>
      <c r="P20" s="7"/>
      <c r="Q20" s="42"/>
      <c r="R20" s="43"/>
    </row>
    <row r="21" spans="2:18">
      <c r="B21" s="133"/>
      <c r="K21" s="22"/>
      <c r="L21" s="30" t="s">
        <v>22</v>
      </c>
      <c r="M21" s="27" t="s">
        <v>17</v>
      </c>
      <c r="N21" s="25"/>
      <c r="O21" s="115"/>
      <c r="P21" s="7"/>
      <c r="Q21" s="42"/>
      <c r="R21" s="43"/>
    </row>
    <row r="22" spans="2:18">
      <c r="B22" s="133"/>
      <c r="K22" s="22"/>
      <c r="L22" s="30"/>
      <c r="M22" s="27"/>
      <c r="N22" s="25"/>
      <c r="O22" s="115"/>
      <c r="P22" s="7"/>
      <c r="Q22" s="42"/>
      <c r="R22" s="43"/>
    </row>
    <row r="23" spans="2:18">
      <c r="B23" s="133"/>
      <c r="K23" s="22"/>
      <c r="L23" s="85"/>
      <c r="M23" s="28"/>
      <c r="N23" s="25"/>
      <c r="O23" s="115"/>
      <c r="P23" s="7"/>
      <c r="Q23" s="42"/>
      <c r="R23" s="43"/>
    </row>
    <row r="24" spans="2:18" ht="13.15">
      <c r="B24" s="133"/>
      <c r="K24" s="18" t="s">
        <v>23</v>
      </c>
      <c r="L24" s="30" t="s">
        <v>24</v>
      </c>
      <c r="M24" s="27" t="s">
        <v>25</v>
      </c>
      <c r="N24" s="30"/>
      <c r="O24" s="86"/>
      <c r="P24" s="7"/>
      <c r="Q24" s="42"/>
      <c r="R24" s="43"/>
    </row>
    <row r="25" spans="2:18">
      <c r="B25" s="133"/>
      <c r="K25" s="22"/>
      <c r="L25" s="30" t="s">
        <v>26</v>
      </c>
      <c r="M25" s="28">
        <v>0.1</v>
      </c>
      <c r="N25" s="30"/>
      <c r="O25" s="87"/>
      <c r="P25" s="7"/>
      <c r="Q25" s="42"/>
      <c r="R25" s="43"/>
    </row>
    <row r="26" spans="2:18">
      <c r="B26" s="133"/>
      <c r="K26" s="22"/>
      <c r="L26" s="30" t="s">
        <v>27</v>
      </c>
      <c r="M26" s="28">
        <v>0.2</v>
      </c>
      <c r="N26" s="30"/>
      <c r="O26" s="87"/>
      <c r="P26" s="7"/>
      <c r="Q26" s="42"/>
      <c r="R26" s="43"/>
    </row>
    <row r="27" spans="2:18">
      <c r="B27" s="133"/>
      <c r="K27" s="22"/>
      <c r="L27" s="30" t="s">
        <v>28</v>
      </c>
      <c r="M27" s="28">
        <v>0.3</v>
      </c>
      <c r="N27" s="30"/>
      <c r="O27" s="87"/>
      <c r="P27" s="7"/>
      <c r="Q27" s="42"/>
      <c r="R27" s="43"/>
    </row>
    <row r="28" spans="2:18">
      <c r="B28" s="133"/>
      <c r="K28" s="22"/>
      <c r="L28" s="30"/>
      <c r="M28" s="25"/>
      <c r="N28" s="30"/>
      <c r="O28" s="87"/>
      <c r="P28" s="7"/>
      <c r="Q28" s="42"/>
      <c r="R28" s="43"/>
    </row>
    <row r="29" spans="2:18">
      <c r="B29" s="133"/>
      <c r="K29" s="22"/>
      <c r="L29" s="30"/>
      <c r="M29" s="25"/>
      <c r="N29" s="30"/>
      <c r="O29" s="87"/>
      <c r="P29" s="7"/>
      <c r="Q29" s="42"/>
      <c r="R29" s="43"/>
    </row>
    <row r="30" spans="2:18" ht="13.15">
      <c r="B30" s="133"/>
      <c r="C30" s="80"/>
      <c r="K30" s="22"/>
      <c r="L30" s="30"/>
      <c r="M30" s="25"/>
      <c r="N30" s="30"/>
      <c r="O30" s="87"/>
      <c r="P30" s="7"/>
      <c r="Q30" s="42"/>
      <c r="R30" s="43"/>
    </row>
    <row r="31" spans="2:18" ht="13.15">
      <c r="C31" s="80"/>
      <c r="K31" s="88" t="s">
        <v>29</v>
      </c>
      <c r="L31" s="89"/>
      <c r="M31" s="90"/>
      <c r="N31" s="7"/>
      <c r="O31" s="121"/>
      <c r="P31" s="7"/>
      <c r="Q31" s="42"/>
      <c r="R31" s="43"/>
    </row>
    <row r="32" spans="2:18" ht="13.15" thickBot="1">
      <c r="B32" s="127"/>
      <c r="C32" s="127"/>
      <c r="D32" s="113"/>
      <c r="E32" s="113"/>
      <c r="F32" s="113"/>
      <c r="G32" s="113"/>
      <c r="H32" s="113"/>
      <c r="K32" s="203" t="s">
        <v>30</v>
      </c>
      <c r="L32" s="204"/>
      <c r="M32" s="204"/>
      <c r="N32" s="205"/>
      <c r="O32" s="122"/>
      <c r="P32" s="91"/>
      <c r="Q32" s="94"/>
      <c r="R32" s="95"/>
    </row>
    <row r="33" spans="2:19" s="17" customFormat="1" ht="62.25" customHeight="1" thickBot="1">
      <c r="B33" s="114" t="s">
        <v>0</v>
      </c>
      <c r="C33" s="96" t="s">
        <v>31</v>
      </c>
      <c r="D33" s="97" t="s">
        <v>32</v>
      </c>
      <c r="E33" s="98" t="s">
        <v>33</v>
      </c>
      <c r="F33" s="99" t="s">
        <v>34</v>
      </c>
      <c r="G33" s="99" t="s">
        <v>3</v>
      </c>
      <c r="H33" s="99" t="s">
        <v>59</v>
      </c>
      <c r="I33" s="99" t="s">
        <v>60</v>
      </c>
      <c r="J33" s="99" t="s">
        <v>35</v>
      </c>
      <c r="K33" s="96" t="s">
        <v>36</v>
      </c>
      <c r="L33" s="96" t="s">
        <v>37</v>
      </c>
      <c r="M33" s="101" t="s">
        <v>38</v>
      </c>
      <c r="N33" s="102" t="s">
        <v>39</v>
      </c>
      <c r="O33" s="103" t="s">
        <v>40</v>
      </c>
      <c r="P33" s="99" t="s">
        <v>41</v>
      </c>
      <c r="Q33" s="96" t="s">
        <v>42</v>
      </c>
      <c r="R33" s="105" t="s">
        <v>43</v>
      </c>
      <c r="S33" s="106" t="s">
        <v>61</v>
      </c>
    </row>
    <row r="34" spans="2:19" s="139" customFormat="1" ht="13.15">
      <c r="B34" s="141"/>
      <c r="C34" s="142"/>
      <c r="D34" s="142"/>
      <c r="E34" s="143"/>
      <c r="F34" s="142"/>
      <c r="G34" s="142"/>
      <c r="H34" s="142"/>
      <c r="I34" s="142"/>
      <c r="J34" s="142"/>
      <c r="K34" s="142"/>
      <c r="L34" s="142"/>
      <c r="M34" s="144"/>
      <c r="N34" s="145"/>
      <c r="O34" s="146"/>
      <c r="P34" s="147"/>
      <c r="Q34" s="142"/>
      <c r="R34" s="148"/>
      <c r="S34" s="149" t="s">
        <v>44</v>
      </c>
    </row>
    <row r="35" spans="2:19">
      <c r="B35" s="136"/>
      <c r="C35" s="128"/>
      <c r="D35" s="117"/>
      <c r="E35" s="140"/>
      <c r="F35" s="100"/>
      <c r="G35" s="81"/>
      <c r="H35" s="81"/>
      <c r="I35" s="100"/>
      <c r="J35" s="14"/>
      <c r="K35" s="116"/>
      <c r="L35" s="116"/>
      <c r="M35" s="123"/>
      <c r="N35" s="123"/>
      <c r="O35" s="123"/>
      <c r="P35" s="123"/>
      <c r="Q35" s="125"/>
      <c r="R35" s="138"/>
      <c r="S35" s="107"/>
    </row>
    <row r="36" spans="2:19">
      <c r="B36" s="136"/>
      <c r="C36" s="128"/>
      <c r="D36" s="117"/>
      <c r="E36" s="140"/>
      <c r="F36" s="100"/>
      <c r="G36" s="81"/>
      <c r="H36" s="81"/>
      <c r="I36" s="100"/>
      <c r="J36" s="14"/>
      <c r="K36" s="116"/>
      <c r="L36" s="116"/>
      <c r="M36" s="123"/>
      <c r="N36" s="123"/>
      <c r="O36" s="123"/>
      <c r="P36" s="123"/>
      <c r="Q36" s="125"/>
      <c r="R36" s="138"/>
      <c r="S36" s="107"/>
    </row>
    <row r="37" spans="2:19">
      <c r="B37" s="136"/>
      <c r="C37" s="128"/>
      <c r="D37" s="117"/>
      <c r="E37" s="140"/>
      <c r="F37" s="100"/>
      <c r="G37" s="81"/>
      <c r="H37" s="81"/>
      <c r="I37" s="100"/>
      <c r="J37" s="14"/>
      <c r="K37" s="116"/>
      <c r="L37" s="151"/>
      <c r="M37" s="123"/>
      <c r="N37" s="123"/>
      <c r="O37" s="123"/>
      <c r="P37" s="123"/>
      <c r="Q37" s="125"/>
      <c r="R37" s="138"/>
      <c r="S37" s="107"/>
    </row>
    <row r="38" spans="2:19" ht="13.15" thickBot="1">
      <c r="B38" s="137"/>
      <c r="C38" s="129"/>
      <c r="D38" s="130"/>
      <c r="E38" s="150"/>
      <c r="F38" s="108"/>
      <c r="G38" s="109"/>
      <c r="H38" s="109"/>
      <c r="I38" s="108"/>
      <c r="J38" s="110"/>
      <c r="K38" s="131"/>
      <c r="L38" s="131"/>
      <c r="M38" s="132"/>
      <c r="N38" s="132"/>
      <c r="O38" s="132"/>
      <c r="P38" s="132"/>
      <c r="Q38" s="126"/>
      <c r="R38" s="138"/>
      <c r="S38" s="111"/>
    </row>
  </sheetData>
  <sortState xmlns:xlrd2="http://schemas.microsoft.com/office/spreadsheetml/2017/richdata2" ref="B35:S37">
    <sortCondition ref="K35:K37"/>
  </sortState>
  <mergeCells count="1">
    <mergeCell ref="K32:N32"/>
  </mergeCells>
  <pageMargins left="0.39370078740157499" right="0.78740157480314998" top="0.39370078740157499" bottom="0.98425196850393704" header="0.511811023622047" footer="0.511811023622047"/>
  <pageSetup paperSize="8" scale="69" orientation="landscape" r:id="rId1"/>
  <headerFooter alignWithMargins="0"/>
  <rowBreaks count="1" manualBreakCount="1">
    <brk id="3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pageSetUpPr fitToPage="1"/>
  </sheetPr>
  <dimension ref="B1:AA46"/>
  <sheetViews>
    <sheetView showGridLines="0" topLeftCell="A9" zoomScale="80" zoomScaleNormal="80" zoomScaleSheetLayoutView="85" workbookViewId="0">
      <selection activeCell="J26" sqref="J26"/>
    </sheetView>
  </sheetViews>
  <sheetFormatPr defaultColWidth="9" defaultRowHeight="12.75"/>
  <cols>
    <col min="1" max="1" width="3.86328125" customWidth="1"/>
    <col min="2" max="2" width="13.265625" style="3" customWidth="1"/>
    <col min="3" max="3" width="14.86328125" style="1" customWidth="1"/>
    <col min="4" max="4" width="44.73046875" style="12" customWidth="1"/>
    <col min="5" max="5" width="6.86328125" style="3" customWidth="1"/>
    <col min="6" max="6" width="9.86328125" style="3" bestFit="1" customWidth="1"/>
    <col min="7" max="7" width="14.3984375" style="2" customWidth="1"/>
    <col min="8" max="8" width="13.86328125" style="2" customWidth="1"/>
    <col min="9" max="9" width="15" bestFit="1" customWidth="1"/>
    <col min="10" max="10" width="31.86328125" bestFit="1" customWidth="1"/>
    <col min="11" max="11" width="9.59765625" bestFit="1" customWidth="1"/>
    <col min="12" max="12" width="8.86328125" customWidth="1"/>
    <col min="13" max="13" width="9.73046875" customWidth="1"/>
    <col min="14" max="15" width="8.86328125" customWidth="1"/>
    <col min="16" max="16" width="9.59765625" bestFit="1" customWidth="1"/>
    <col min="17" max="17" width="9.265625" style="4" customWidth="1"/>
    <col min="18" max="18" width="13.73046875" style="5" customWidth="1"/>
    <col min="19" max="19" width="14.3984375" style="6" customWidth="1"/>
    <col min="20" max="20" width="13.86328125" style="6" customWidth="1"/>
    <col min="21" max="21" width="22.59765625" style="181" bestFit="1" customWidth="1"/>
    <col min="22" max="22" width="87" bestFit="1" customWidth="1"/>
    <col min="23" max="23" width="10.59765625" customWidth="1"/>
    <col min="24" max="24" width="13.86328125" style="6" customWidth="1"/>
    <col min="25" max="25" width="9" hidden="1" customWidth="1"/>
    <col min="26" max="26" width="29.3984375" hidden="1" customWidth="1"/>
    <col min="27" max="27" width="9" hidden="1" customWidth="1"/>
  </cols>
  <sheetData>
    <row r="1" spans="2:21">
      <c r="C1" s="3"/>
      <c r="D1" s="14" t="s">
        <v>4</v>
      </c>
      <c r="E1" s="7"/>
      <c r="F1" s="7"/>
      <c r="G1" s="15" t="s">
        <v>5</v>
      </c>
      <c r="H1" s="7">
        <v>6</v>
      </c>
      <c r="I1" s="7"/>
      <c r="Q1"/>
      <c r="R1"/>
      <c r="S1"/>
      <c r="T1"/>
      <c r="U1"/>
    </row>
    <row r="2" spans="2:21">
      <c r="C2" s="3"/>
      <c r="D2" s="14" t="s">
        <v>6</v>
      </c>
      <c r="E2" s="7"/>
      <c r="F2" s="7"/>
      <c r="G2" s="15" t="s">
        <v>5</v>
      </c>
      <c r="H2" s="118">
        <v>6</v>
      </c>
      <c r="I2" s="7"/>
      <c r="Q2"/>
      <c r="R2"/>
      <c r="S2"/>
      <c r="T2"/>
      <c r="U2"/>
    </row>
    <row r="3" spans="2:21" ht="13.15">
      <c r="C3" s="3"/>
      <c r="D3" s="158" t="s">
        <v>7</v>
      </c>
      <c r="E3" s="159"/>
      <c r="F3" s="159"/>
      <c r="G3" s="159"/>
      <c r="H3" s="159"/>
      <c r="I3" s="160"/>
      <c r="Q3"/>
      <c r="R3"/>
      <c r="S3"/>
      <c r="T3"/>
      <c r="U3"/>
    </row>
    <row r="4" spans="2:21" ht="38.25">
      <c r="B4" s="48"/>
      <c r="C4" s="48"/>
      <c r="D4" s="18" t="s">
        <v>8</v>
      </c>
      <c r="E4" s="49"/>
      <c r="F4" s="49"/>
      <c r="G4" s="19" t="s">
        <v>9</v>
      </c>
      <c r="H4" s="20" t="s">
        <v>10</v>
      </c>
      <c r="I4" s="21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</row>
    <row r="5" spans="2:21">
      <c r="C5" s="3"/>
      <c r="D5" s="22"/>
      <c r="E5" s="50"/>
      <c r="F5" s="50"/>
      <c r="G5" s="23">
        <v>1</v>
      </c>
      <c r="H5" s="24">
        <v>0.1</v>
      </c>
      <c r="I5" s="25"/>
      <c r="Q5"/>
      <c r="R5"/>
      <c r="S5"/>
      <c r="T5"/>
      <c r="U5"/>
    </row>
    <row r="6" spans="2:21">
      <c r="C6" s="3"/>
      <c r="D6" s="22"/>
      <c r="E6" s="50"/>
      <c r="F6" s="50"/>
      <c r="G6" s="23">
        <v>2</v>
      </c>
      <c r="H6" s="24">
        <v>0.2</v>
      </c>
      <c r="I6" s="25"/>
      <c r="Q6"/>
      <c r="R6"/>
      <c r="S6"/>
      <c r="T6"/>
      <c r="U6"/>
    </row>
    <row r="7" spans="2:21">
      <c r="C7" s="3"/>
      <c r="D7" s="22"/>
      <c r="E7" s="50"/>
      <c r="F7" s="50"/>
      <c r="G7" s="26">
        <v>3</v>
      </c>
      <c r="H7" s="27">
        <v>0.3</v>
      </c>
      <c r="I7" s="25"/>
      <c r="Q7"/>
      <c r="R7"/>
      <c r="S7"/>
      <c r="T7"/>
      <c r="U7"/>
    </row>
    <row r="8" spans="2:21">
      <c r="C8" s="3"/>
      <c r="D8" s="22"/>
      <c r="E8" s="50"/>
      <c r="F8" s="50"/>
      <c r="G8" s="23" t="s">
        <v>11</v>
      </c>
      <c r="H8" s="28" t="s">
        <v>12</v>
      </c>
      <c r="I8" s="25"/>
      <c r="Q8"/>
      <c r="R8"/>
      <c r="S8"/>
      <c r="T8"/>
      <c r="U8"/>
    </row>
    <row r="9" spans="2:21" ht="13.15">
      <c r="C9" s="3"/>
      <c r="D9" s="29" t="s">
        <v>13</v>
      </c>
      <c r="E9" s="51"/>
      <c r="F9" s="51"/>
      <c r="G9" s="23"/>
      <c r="H9" s="28"/>
      <c r="I9" s="25"/>
      <c r="Q9"/>
      <c r="R9"/>
      <c r="S9"/>
      <c r="T9"/>
      <c r="U9"/>
    </row>
    <row r="10" spans="2:21">
      <c r="C10" s="3"/>
      <c r="D10" s="22" t="s">
        <v>14</v>
      </c>
      <c r="E10" s="50"/>
      <c r="F10" s="50"/>
      <c r="G10" s="26" t="s">
        <v>15</v>
      </c>
      <c r="H10" s="27" t="s">
        <v>16</v>
      </c>
      <c r="I10" s="25"/>
      <c r="Q10"/>
      <c r="R10"/>
      <c r="S10"/>
      <c r="T10"/>
      <c r="U10"/>
    </row>
    <row r="11" spans="2:21">
      <c r="C11" s="3"/>
      <c r="D11" s="22"/>
      <c r="E11" s="50"/>
      <c r="F11" s="50"/>
      <c r="G11" s="26" t="s">
        <v>17</v>
      </c>
      <c r="H11" s="27" t="s">
        <v>18</v>
      </c>
      <c r="I11" s="25"/>
      <c r="Q11"/>
      <c r="R11"/>
      <c r="S11"/>
      <c r="T11"/>
      <c r="U11"/>
    </row>
    <row r="12" spans="2:21" ht="13.15">
      <c r="C12" s="3"/>
      <c r="D12" s="18" t="s">
        <v>19</v>
      </c>
      <c r="E12" s="49"/>
      <c r="F12" s="49"/>
      <c r="G12" s="26" t="s">
        <v>20</v>
      </c>
      <c r="H12" s="27" t="s">
        <v>21</v>
      </c>
      <c r="I12" s="25"/>
      <c r="Q12"/>
      <c r="R12"/>
      <c r="S12"/>
      <c r="T12"/>
      <c r="U12"/>
    </row>
    <row r="13" spans="2:21">
      <c r="C13" s="3"/>
      <c r="D13" s="22"/>
      <c r="E13" s="50"/>
      <c r="F13" s="50"/>
      <c r="G13" s="26" t="s">
        <v>22</v>
      </c>
      <c r="H13" s="27" t="s">
        <v>17</v>
      </c>
      <c r="I13" s="25"/>
      <c r="Q13"/>
      <c r="R13"/>
      <c r="S13"/>
      <c r="T13"/>
      <c r="U13"/>
    </row>
    <row r="14" spans="2:21">
      <c r="C14" s="3"/>
      <c r="D14" s="22"/>
      <c r="E14" s="50"/>
      <c r="F14" s="50"/>
      <c r="G14" s="26"/>
      <c r="H14" s="27"/>
      <c r="I14" s="25"/>
      <c r="Q14"/>
      <c r="R14"/>
      <c r="S14"/>
      <c r="T14"/>
      <c r="U14"/>
    </row>
    <row r="15" spans="2:21">
      <c r="C15" s="3"/>
      <c r="D15" s="22"/>
      <c r="E15" s="50"/>
      <c r="F15" s="50"/>
      <c r="G15" s="23"/>
      <c r="H15" s="28"/>
      <c r="I15" s="25"/>
      <c r="Q15"/>
      <c r="R15"/>
      <c r="S15"/>
      <c r="T15"/>
      <c r="U15"/>
    </row>
    <row r="16" spans="2:21" ht="13.15">
      <c r="C16" s="3"/>
      <c r="D16" s="18" t="s">
        <v>23</v>
      </c>
      <c r="E16" s="49"/>
      <c r="F16" s="49"/>
      <c r="G16" s="26" t="s">
        <v>24</v>
      </c>
      <c r="H16" s="27" t="s">
        <v>25</v>
      </c>
      <c r="I16" s="30"/>
      <c r="Q16"/>
      <c r="R16"/>
      <c r="S16"/>
      <c r="T16"/>
      <c r="U16"/>
    </row>
    <row r="17" spans="2:26">
      <c r="C17" s="3"/>
      <c r="D17" s="22"/>
      <c r="E17" s="50"/>
      <c r="F17" s="50"/>
      <c r="G17" s="26" t="s">
        <v>26</v>
      </c>
      <c r="H17" s="28">
        <v>0.1</v>
      </c>
      <c r="I17" s="30"/>
      <c r="Q17"/>
      <c r="R17"/>
      <c r="S17"/>
      <c r="T17"/>
      <c r="U17"/>
    </row>
    <row r="18" spans="2:26">
      <c r="C18" s="3"/>
      <c r="D18" s="22"/>
      <c r="E18" s="50"/>
      <c r="F18" s="50"/>
      <c r="G18" s="26" t="s">
        <v>27</v>
      </c>
      <c r="H18" s="28">
        <v>0.2</v>
      </c>
      <c r="I18" s="30"/>
      <c r="Q18"/>
      <c r="R18"/>
      <c r="S18"/>
      <c r="T18"/>
      <c r="U18"/>
    </row>
    <row r="19" spans="2:26">
      <c r="C19" s="3"/>
      <c r="D19" s="22"/>
      <c r="E19" s="50"/>
      <c r="F19" s="50"/>
      <c r="G19" s="26" t="s">
        <v>28</v>
      </c>
      <c r="H19" s="28">
        <v>0.3</v>
      </c>
      <c r="I19" s="30"/>
      <c r="Q19"/>
      <c r="R19"/>
      <c r="S19"/>
      <c r="T19"/>
      <c r="U19"/>
    </row>
    <row r="20" spans="2:26">
      <c r="D20" s="12" t="s">
        <v>45</v>
      </c>
      <c r="G20" s="52">
        <v>46053</v>
      </c>
      <c r="Q20" s="8"/>
      <c r="R20" s="9"/>
      <c r="S20" s="10"/>
      <c r="T20" s="10"/>
      <c r="U20" s="174"/>
    </row>
    <row r="21" spans="2:26" ht="13.15" thickBot="1">
      <c r="G21" s="52"/>
      <c r="Q21" s="8"/>
      <c r="R21" s="9"/>
      <c r="S21" s="10"/>
      <c r="T21" s="10"/>
      <c r="U21" s="174"/>
    </row>
    <row r="22" spans="2:26" ht="38.25" customHeight="1" thickBot="1">
      <c r="B22" s="165"/>
      <c r="C22" s="166"/>
      <c r="D22" s="210" t="s">
        <v>76</v>
      </c>
      <c r="E22" s="211"/>
      <c r="F22" s="211"/>
      <c r="G22" s="211"/>
      <c r="H22" s="211"/>
      <c r="I22" s="211"/>
      <c r="J22" s="211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2"/>
      <c r="V22" s="208" t="s">
        <v>69</v>
      </c>
      <c r="W22" s="201"/>
    </row>
    <row r="23" spans="2:26" ht="26.25" customHeight="1" thickBot="1">
      <c r="B23" s="161"/>
      <c r="C23" s="162"/>
      <c r="D23" s="210" t="s">
        <v>62</v>
      </c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2"/>
      <c r="V23" s="209"/>
      <c r="W23" s="201"/>
    </row>
    <row r="24" spans="2:26" ht="46.15" customHeight="1" thickBot="1">
      <c r="B24" s="53" t="s">
        <v>0</v>
      </c>
      <c r="C24" s="54" t="s">
        <v>31</v>
      </c>
      <c r="D24" s="54" t="s">
        <v>1</v>
      </c>
      <c r="E24" s="54" t="s">
        <v>2</v>
      </c>
      <c r="F24" s="54"/>
      <c r="G24" s="55" t="s">
        <v>63</v>
      </c>
      <c r="H24" s="55" t="s">
        <v>46</v>
      </c>
      <c r="I24" s="54" t="s">
        <v>47</v>
      </c>
      <c r="J24" s="54" t="s">
        <v>48</v>
      </c>
      <c r="K24" s="56" t="s">
        <v>70</v>
      </c>
      <c r="L24" s="56" t="s">
        <v>71</v>
      </c>
      <c r="M24" s="56" t="s">
        <v>72</v>
      </c>
      <c r="N24" s="56" t="s">
        <v>73</v>
      </c>
      <c r="O24" s="56" t="s">
        <v>74</v>
      </c>
      <c r="P24" s="56" t="s">
        <v>75</v>
      </c>
      <c r="Q24" s="57" t="s">
        <v>49</v>
      </c>
      <c r="R24" s="57" t="s">
        <v>64</v>
      </c>
      <c r="S24" s="58" t="s">
        <v>50</v>
      </c>
      <c r="T24" s="59" t="s">
        <v>51</v>
      </c>
      <c r="U24" s="60" t="s">
        <v>79</v>
      </c>
      <c r="V24" s="60" t="s">
        <v>65</v>
      </c>
      <c r="W24" s="201"/>
      <c r="X24" s="11" t="s">
        <v>77</v>
      </c>
      <c r="Z24" s="167" t="s">
        <v>78</v>
      </c>
    </row>
    <row r="25" spans="2:26" s="47" customFormat="1" ht="15">
      <c r="B25" s="199"/>
      <c r="C25" s="188"/>
      <c r="D25" s="151"/>
      <c r="E25" s="172"/>
      <c r="F25" s="200"/>
      <c r="G25" s="152"/>
      <c r="H25" s="152"/>
      <c r="I25" s="153"/>
      <c r="J25" s="151"/>
      <c r="K25" s="154"/>
      <c r="L25" s="154"/>
      <c r="M25" s="154"/>
      <c r="N25" s="154"/>
      <c r="O25" s="154"/>
      <c r="P25" s="154"/>
      <c r="Q25" s="154"/>
      <c r="R25" s="154"/>
      <c r="S25" s="168"/>
      <c r="T25" s="155"/>
      <c r="U25" s="175"/>
      <c r="V25" s="156"/>
      <c r="W25" s="201"/>
      <c r="X25" s="202"/>
      <c r="Z25" s="169">
        <v>1280.96</v>
      </c>
    </row>
    <row r="26" spans="2:26" s="47" customFormat="1" ht="15">
      <c r="B26" s="199"/>
      <c r="C26" s="188"/>
      <c r="D26" s="170"/>
      <c r="E26" s="173"/>
      <c r="F26" s="173"/>
      <c r="G26" s="171"/>
      <c r="H26" s="152"/>
      <c r="I26" s="153"/>
      <c r="J26" s="151"/>
      <c r="K26" s="154"/>
      <c r="L26" s="154"/>
      <c r="M26" s="154"/>
      <c r="N26" s="154"/>
      <c r="O26" s="154"/>
      <c r="P26" s="154"/>
      <c r="Q26" s="154"/>
      <c r="R26" s="154"/>
      <c r="S26" s="168"/>
      <c r="T26" s="72"/>
      <c r="U26" s="176"/>
      <c r="V26" s="156"/>
      <c r="W26" s="201"/>
      <c r="X26" s="202"/>
      <c r="Z26" s="169">
        <v>1537.152</v>
      </c>
    </row>
    <row r="27" spans="2:26" s="47" customFormat="1" ht="15">
      <c r="B27" s="199"/>
      <c r="C27" s="188"/>
      <c r="D27" s="191"/>
      <c r="E27" s="192"/>
      <c r="F27" s="192"/>
      <c r="G27" s="193"/>
      <c r="H27" s="194"/>
      <c r="I27" s="195"/>
      <c r="J27" s="196"/>
      <c r="K27" s="154"/>
      <c r="L27" s="154"/>
      <c r="M27" s="154"/>
      <c r="N27" s="154"/>
      <c r="O27" s="154"/>
      <c r="P27" s="154"/>
      <c r="Q27" s="154"/>
      <c r="R27" s="154"/>
      <c r="S27" s="168"/>
      <c r="T27" s="72"/>
      <c r="U27" s="176"/>
      <c r="V27" s="156"/>
      <c r="W27" s="201"/>
      <c r="X27" s="202"/>
      <c r="Z27" s="169">
        <v>2477.268</v>
      </c>
    </row>
    <row r="28" spans="2:26" s="47" customFormat="1" ht="15.4" thickBot="1">
      <c r="B28" s="199"/>
      <c r="C28" s="189"/>
      <c r="D28" s="104"/>
      <c r="E28" s="173"/>
      <c r="F28" s="173"/>
      <c r="G28" s="197"/>
      <c r="H28" s="197"/>
      <c r="I28" s="198"/>
      <c r="J28" s="104"/>
      <c r="K28" s="190"/>
      <c r="L28" s="154"/>
      <c r="M28" s="154"/>
      <c r="N28" s="154"/>
      <c r="O28" s="154"/>
      <c r="P28" s="154"/>
      <c r="Q28" s="154"/>
      <c r="R28" s="154"/>
      <c r="S28" s="168"/>
      <c r="T28" s="72"/>
      <c r="U28" s="176"/>
      <c r="V28" s="156"/>
      <c r="W28" s="201"/>
      <c r="X28" s="202"/>
      <c r="Z28" s="169">
        <v>2477.268</v>
      </c>
    </row>
    <row r="29" spans="2:26" ht="22.15" customHeight="1" thickBot="1">
      <c r="B29" s="213" t="s">
        <v>81</v>
      </c>
      <c r="C29" s="214"/>
      <c r="D29" s="214"/>
      <c r="E29" s="214"/>
      <c r="F29" s="214"/>
      <c r="G29" s="214"/>
      <c r="H29" s="214"/>
      <c r="I29" s="214"/>
      <c r="J29" s="214"/>
      <c r="K29" s="214"/>
      <c r="L29" s="214"/>
      <c r="M29" s="214"/>
      <c r="N29" s="214"/>
      <c r="O29" s="214"/>
      <c r="P29" s="214"/>
      <c r="Q29" s="214"/>
      <c r="R29" s="215"/>
      <c r="S29" s="163" t="s">
        <v>66</v>
      </c>
      <c r="T29" s="164"/>
      <c r="U29" s="177">
        <f>SUM(U25:U28)</f>
        <v>0</v>
      </c>
      <c r="V29" s="73"/>
    </row>
    <row r="30" spans="2:26" s="6" customFormat="1">
      <c r="B30" s="182"/>
      <c r="C30" s="183"/>
      <c r="D30" s="184"/>
      <c r="E30" s="184"/>
      <c r="F30" s="184"/>
      <c r="G30" s="184"/>
      <c r="H30" s="184"/>
      <c r="I30" s="184"/>
      <c r="J30" s="184"/>
      <c r="K30" s="65"/>
      <c r="L30" s="65"/>
      <c r="M30" s="65"/>
      <c r="N30" s="65"/>
      <c r="O30" s="65"/>
      <c r="P30" s="65"/>
      <c r="Q30" s="66"/>
      <c r="R30" s="67"/>
      <c r="S30" s="61"/>
      <c r="T30" s="61"/>
      <c r="U30" s="178"/>
      <c r="V30" s="74"/>
      <c r="W30" s="46"/>
    </row>
    <row r="31" spans="2:26" s="6" customFormat="1">
      <c r="B31" s="185"/>
      <c r="C31" s="186"/>
      <c r="D31" s="187"/>
      <c r="E31" s="187"/>
      <c r="F31" s="187"/>
      <c r="G31" s="187"/>
      <c r="H31" s="187"/>
      <c r="I31" s="187"/>
      <c r="J31" s="187"/>
      <c r="K31"/>
      <c r="L31"/>
      <c r="M31"/>
      <c r="N31"/>
      <c r="O31"/>
      <c r="P31"/>
      <c r="Q31" s="68"/>
      <c r="R31" s="69"/>
      <c r="S31" s="46"/>
      <c r="T31" s="46"/>
      <c r="U31" s="179"/>
      <c r="V31" s="75"/>
      <c r="W31" s="46"/>
    </row>
    <row r="32" spans="2:26" s="6" customFormat="1">
      <c r="B32" s="185"/>
      <c r="C32" s="3"/>
      <c r="D32" s="3"/>
      <c r="E32" s="2"/>
      <c r="F32" s="32"/>
      <c r="G32" s="32"/>
      <c r="H32" s="33"/>
      <c r="I32" s="3"/>
      <c r="J32"/>
      <c r="K32"/>
      <c r="L32"/>
      <c r="M32"/>
      <c r="N32"/>
      <c r="O32"/>
      <c r="P32"/>
      <c r="Q32" s="68"/>
      <c r="R32" s="69"/>
      <c r="S32" s="46"/>
      <c r="T32" s="46"/>
      <c r="U32" s="179"/>
      <c r="V32" s="75"/>
      <c r="W32" s="46"/>
    </row>
    <row r="33" spans="2:26" s="6" customFormat="1" ht="13.15">
      <c r="B33" s="185"/>
      <c r="C33" s="34" t="s">
        <v>52</v>
      </c>
      <c r="D33" s="34"/>
      <c r="E33" s="2"/>
      <c r="F33" s="3"/>
      <c r="G33" s="3"/>
      <c r="H33" s="3"/>
      <c r="I33" s="3" t="s">
        <v>53</v>
      </c>
      <c r="J33"/>
      <c r="K33"/>
      <c r="L33"/>
      <c r="M33"/>
      <c r="N33"/>
      <c r="O33"/>
      <c r="P33"/>
      <c r="Q33" s="68"/>
      <c r="R33" s="69"/>
      <c r="S33" s="46"/>
      <c r="T33" s="46"/>
      <c r="U33" s="179"/>
      <c r="V33" s="75"/>
      <c r="W33" s="46"/>
    </row>
    <row r="34" spans="2:26" s="6" customFormat="1" ht="13.15">
      <c r="B34" s="185"/>
      <c r="C34" s="206"/>
      <c r="D34" s="206"/>
      <c r="E34" s="206"/>
      <c r="F34" s="206"/>
      <c r="G34" s="35"/>
      <c r="H34" s="34" t="s">
        <v>54</v>
      </c>
      <c r="I34" s="34"/>
      <c r="J34" s="17" t="s">
        <v>55</v>
      </c>
      <c r="K34"/>
      <c r="L34"/>
      <c r="M34"/>
      <c r="N34"/>
      <c r="O34"/>
      <c r="P34"/>
      <c r="Q34" s="68"/>
      <c r="R34" s="69"/>
      <c r="S34" s="46"/>
      <c r="T34" s="46"/>
      <c r="U34" s="179"/>
      <c r="V34" s="75"/>
      <c r="W34" s="46"/>
    </row>
    <row r="35" spans="2:26" s="6" customFormat="1">
      <c r="B35" s="185"/>
      <c r="C35" s="35" t="s">
        <v>56</v>
      </c>
      <c r="D35" s="35"/>
      <c r="E35" s="36"/>
      <c r="F35" s="35"/>
      <c r="G35" s="35"/>
      <c r="H35" s="37">
        <v>1696.56</v>
      </c>
      <c r="I35" s="37"/>
      <c r="J35" s="37">
        <f>$H35*1.2</f>
        <v>2035.8719999999998</v>
      </c>
      <c r="K35"/>
      <c r="L35"/>
      <c r="M35"/>
      <c r="N35"/>
      <c r="O35"/>
      <c r="P35"/>
      <c r="Q35" s="68"/>
      <c r="R35" s="69"/>
      <c r="S35" s="46"/>
      <c r="T35" s="46"/>
      <c r="U35" s="179"/>
      <c r="V35" s="75"/>
      <c r="W35" s="46"/>
    </row>
    <row r="36" spans="2:26" s="6" customFormat="1">
      <c r="B36" s="185"/>
      <c r="C36" s="206" t="s">
        <v>57</v>
      </c>
      <c r="D36" s="206"/>
      <c r="E36" s="206"/>
      <c r="F36" s="206"/>
      <c r="G36" s="35"/>
      <c r="H36" s="37">
        <v>2466</v>
      </c>
      <c r="I36" s="37"/>
      <c r="J36" s="37">
        <f>$H36*1.2</f>
        <v>2959.2</v>
      </c>
      <c r="K36"/>
      <c r="L36"/>
      <c r="M36"/>
      <c r="N36"/>
      <c r="O36"/>
      <c r="P36"/>
      <c r="Q36" s="68"/>
      <c r="R36" s="69"/>
      <c r="S36" s="46"/>
      <c r="T36" s="46"/>
      <c r="U36" s="179"/>
      <c r="V36" s="75"/>
      <c r="W36" s="46"/>
    </row>
    <row r="37" spans="2:26" s="6" customFormat="1">
      <c r="B37" s="185"/>
      <c r="C37" s="3"/>
      <c r="D37" s="3"/>
      <c r="E37" s="2"/>
      <c r="F37" s="3"/>
      <c r="G37" s="3"/>
      <c r="H37" s="3"/>
      <c r="I37" s="3"/>
      <c r="J37"/>
      <c r="K37"/>
      <c r="L37"/>
      <c r="M37"/>
      <c r="N37"/>
      <c r="O37"/>
      <c r="P37"/>
      <c r="Q37" s="68"/>
      <c r="R37" s="69"/>
      <c r="S37" s="46"/>
      <c r="T37" s="46"/>
      <c r="U37" s="179"/>
      <c r="V37" s="75"/>
      <c r="W37" s="46"/>
    </row>
    <row r="38" spans="2:26" s="6" customFormat="1" ht="13.15">
      <c r="B38" s="185"/>
      <c r="C38" s="35" t="s">
        <v>80</v>
      </c>
      <c r="D38" s="35"/>
      <c r="E38" s="12"/>
      <c r="F38" s="12"/>
      <c r="G38" s="12"/>
      <c r="H38" s="12"/>
      <c r="I38" s="12"/>
      <c r="J38" s="12"/>
      <c r="K38" s="12"/>
      <c r="L38"/>
      <c r="M38"/>
      <c r="N38"/>
      <c r="O38"/>
      <c r="P38"/>
      <c r="Q38" s="68"/>
      <c r="R38" s="69"/>
      <c r="S38" s="46"/>
      <c r="T38" s="46"/>
      <c r="U38" s="179"/>
      <c r="V38" s="75"/>
      <c r="W38" s="46"/>
    </row>
    <row r="39" spans="2:26" s="6" customFormat="1">
      <c r="B39" s="185"/>
      <c r="C39" s="35" t="s">
        <v>58</v>
      </c>
      <c r="D39" s="35"/>
      <c r="E39" s="38"/>
      <c r="F39" s="12"/>
      <c r="G39" s="12"/>
      <c r="H39" s="12"/>
      <c r="I39" s="12"/>
      <c r="J39" s="12"/>
      <c r="K39" s="12"/>
      <c r="L39"/>
      <c r="M39"/>
      <c r="N39"/>
      <c r="O39"/>
      <c r="P39"/>
      <c r="Q39" s="68"/>
      <c r="R39" s="69"/>
      <c r="S39" s="46"/>
      <c r="T39" s="46"/>
      <c r="U39" s="179"/>
      <c r="V39" s="75"/>
      <c r="W39" s="46"/>
    </row>
    <row r="40" spans="2:26" s="6" customFormat="1">
      <c r="B40" s="185"/>
      <c r="C40" s="12"/>
      <c r="D40" s="12"/>
      <c r="E40" s="12"/>
      <c r="F40" s="12"/>
      <c r="G40" s="12"/>
      <c r="H40" s="12"/>
      <c r="I40" s="12"/>
      <c r="J40"/>
      <c r="K40"/>
      <c r="L40"/>
      <c r="M40"/>
      <c r="N40"/>
      <c r="O40"/>
      <c r="P40"/>
      <c r="Q40"/>
      <c r="R40"/>
      <c r="S40"/>
      <c r="T40"/>
      <c r="U40" s="179"/>
      <c r="V40" s="76"/>
      <c r="W40"/>
    </row>
    <row r="41" spans="2:26" s="6" customFormat="1">
      <c r="B41" s="62"/>
      <c r="C41" s="3"/>
      <c r="D41"/>
      <c r="E41" s="3"/>
      <c r="F41" s="3"/>
      <c r="G41" s="3"/>
      <c r="H41" s="3"/>
      <c r="I41"/>
      <c r="J41"/>
      <c r="K41"/>
      <c r="L41"/>
      <c r="M41"/>
      <c r="N41"/>
      <c r="O41"/>
      <c r="P41"/>
      <c r="Q41"/>
      <c r="R41"/>
      <c r="S41"/>
      <c r="T41"/>
      <c r="U41" s="179"/>
      <c r="V41" s="75"/>
      <c r="W41" s="46"/>
    </row>
    <row r="42" spans="2:26" s="6" customFormat="1">
      <c r="B42" s="62"/>
      <c r="C42" s="3"/>
      <c r="D42" s="46"/>
      <c r="E42" s="157"/>
      <c r="F42" s="157"/>
      <c r="G42" s="157"/>
      <c r="H42" s="157"/>
      <c r="I42" s="157"/>
      <c r="J42" s="46"/>
      <c r="K42"/>
      <c r="L42" s="46"/>
      <c r="M42" s="46"/>
      <c r="N42" s="46"/>
      <c r="O42" s="46"/>
      <c r="P42" s="46"/>
      <c r="Q42" s="157"/>
      <c r="R42" s="157"/>
      <c r="S42" s="157"/>
      <c r="T42" s="157"/>
      <c r="U42" s="179"/>
      <c r="V42" s="75"/>
      <c r="W42" s="46"/>
    </row>
    <row r="43" spans="2:26" s="6" customFormat="1">
      <c r="B43" s="31"/>
      <c r="C43" s="3"/>
      <c r="D43" s="46"/>
      <c r="E43" s="207" t="s">
        <v>67</v>
      </c>
      <c r="F43" s="207"/>
      <c r="G43" s="207"/>
      <c r="H43" s="207"/>
      <c r="I43" s="207"/>
      <c r="J43" s="46"/>
      <c r="K43"/>
      <c r="L43" s="46"/>
      <c r="M43" s="46"/>
      <c r="N43" s="46"/>
      <c r="O43" s="46"/>
      <c r="P43" s="46"/>
      <c r="Q43" s="207" t="s">
        <v>68</v>
      </c>
      <c r="R43" s="207"/>
      <c r="S43" s="207"/>
      <c r="T43" s="207"/>
      <c r="U43" s="179"/>
      <c r="V43" s="76"/>
      <c r="W43"/>
    </row>
    <row r="44" spans="2:26" s="6" customFormat="1">
      <c r="B44" s="31"/>
      <c r="C44" s="1"/>
      <c r="D44" s="1"/>
      <c r="E44" s="1"/>
      <c r="F44" s="1"/>
      <c r="G44" s="3"/>
      <c r="H44" s="2"/>
      <c r="I44" s="13"/>
      <c r="J44" s="46"/>
      <c r="K44"/>
      <c r="L44"/>
      <c r="M44"/>
      <c r="N44"/>
      <c r="O44"/>
      <c r="P44"/>
      <c r="Q44" s="68"/>
      <c r="R44" s="69"/>
      <c r="S44" s="46"/>
      <c r="T44" s="46"/>
      <c r="U44" s="179"/>
      <c r="V44" s="75"/>
      <c r="W44" s="46"/>
    </row>
    <row r="45" spans="2:26" s="6" customFormat="1" ht="13.15" thickBot="1">
      <c r="B45" s="39"/>
      <c r="C45" s="63"/>
      <c r="D45" s="64"/>
      <c r="E45" s="40"/>
      <c r="F45" s="40"/>
      <c r="G45" s="41"/>
      <c r="H45" s="41"/>
      <c r="I45" s="45"/>
      <c r="J45" s="45"/>
      <c r="K45" s="45"/>
      <c r="L45" s="45"/>
      <c r="M45" s="45"/>
      <c r="N45" s="45"/>
      <c r="O45" s="45"/>
      <c r="P45" s="45"/>
      <c r="Q45" s="70"/>
      <c r="R45" s="71"/>
      <c r="S45" s="77"/>
      <c r="T45" s="77"/>
      <c r="U45" s="180"/>
      <c r="V45" s="78"/>
      <c r="W45" s="46"/>
    </row>
    <row r="46" spans="2:26">
      <c r="Z46" s="6"/>
    </row>
  </sheetData>
  <autoFilter ref="B24:X29" xr:uid="{00000000-0001-0000-3500-000000000000}"/>
  <mergeCells count="8">
    <mergeCell ref="C36:F36"/>
    <mergeCell ref="E43:I43"/>
    <mergeCell ref="Q43:T43"/>
    <mergeCell ref="V22:V23"/>
    <mergeCell ref="D22:U22"/>
    <mergeCell ref="D23:U23"/>
    <mergeCell ref="B29:R29"/>
    <mergeCell ref="C34:F34"/>
  </mergeCells>
  <phoneticPr fontId="14" type="noConversion"/>
  <conditionalFormatting sqref="K25:P28">
    <cfRule type="cellIs" dxfId="0" priority="29" stopIfTrue="1" operator="equal">
      <formula>0</formula>
    </cfRule>
  </conditionalFormatting>
  <pageMargins left="0.39370078740157499" right="0.39370078740157499" top="0.39370078740157499" bottom="0.98425196850393704" header="0.511811023622047" footer="0.511811023622047"/>
  <pageSetup paperSize="8" scale="55" fitToHeight="0" orientation="landscape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17" ma:contentTypeDescription="Crie um novo documento." ma:contentTypeScope="" ma:versionID="b03e92e83ddbfe953464899740f5d5bb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78badaa948bbbbf41e59d1920735e7e3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1dbe249-41fe-4454-9af1-7b366db50ac0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f78bd75-e5af-473e-a771-af58d935aeec">
      <Terms xmlns="http://schemas.microsoft.com/office/infopath/2007/PartnerControls"/>
    </lcf76f155ced4ddcb4097134ff3c332f>
    <TaxCatchAll xmlns="2e1cb776-6995-4ef2-a2af-ac4d4b6f492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441D9A-BAB7-435E-9604-3C0E8FEA4D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736B5A-EB32-4C6E-8113-1E09D49D5827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customXml/itemProps3.xml><?xml version="1.0" encoding="utf-8"?>
<ds:datastoreItem xmlns:ds="http://schemas.openxmlformats.org/officeDocument/2006/customXml" ds:itemID="{8D652D1B-C240-4FDF-A95A-10510DB74A4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MES</vt:lpstr>
      <vt:lpstr>PAGAMENTO MOD</vt:lpstr>
      <vt:lpstr>MES!Area_de_impressao</vt:lpstr>
      <vt:lpstr>'PAGAMENTO MOD'!Area_de_impressao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iara</dc:creator>
  <cp:keywords/>
  <dc:description/>
  <cp:lastModifiedBy>Leandro Netto</cp:lastModifiedBy>
  <cp:revision/>
  <dcterms:created xsi:type="dcterms:W3CDTF">2006-09-18T14:54:00Z</dcterms:created>
  <dcterms:modified xsi:type="dcterms:W3CDTF">2026-04-25T20:53:10Z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0x01010064F60118CF4DD941A5203D2B469A8CE2</vt:lpwstr>
  </property>
  <property fmtid="{D5CDD505-2E9C-101B-9397-08002B2CF9AE}" pid="3" name="_activity">
    <vt:lpwstr/>
  </property>
  <property fmtid="{D5CDD505-2E9C-101B-9397-08002B2CF9AE}" pid="4" name="lcf76f155ced4ddcb4097134ff3c332f">
    <vt:lpwstr/>
  </property>
  <property fmtid="{D5CDD505-2E9C-101B-9397-08002B2CF9AE}" pid="5" name="teste">
    <vt:lpwstr/>
  </property>
  <property fmtid="{D5CDD505-2E9C-101B-9397-08002B2CF9AE}" pid="6" name="TaxCatchAll">
    <vt:lpwstr/>
  </property>
  <property fmtid="{D5CDD505-2E9C-101B-9397-08002B2CF9AE}" pid="7" name="MediaServiceImageTags">
    <vt:lpwstr/>
  </property>
  <property fmtid="{D5CDD505-2E9C-101B-9397-08002B2CF9AE}" pid="8" name="ICV">
    <vt:lpwstr>FE2E77499BB0478C93C9AF34C634026C_12</vt:lpwstr>
  </property>
  <property fmtid="{D5CDD505-2E9C-101B-9397-08002B2CF9AE}" pid="9" name="KSOProductBuildVer">
    <vt:lpwstr>1046-12.2.0.23131</vt:lpwstr>
  </property>
</Properties>
</file>