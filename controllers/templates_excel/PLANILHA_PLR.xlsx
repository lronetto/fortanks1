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lrone\code\sfortanks\controllers\templates_excel\"/>
    </mc:Choice>
  </mc:AlternateContent>
  <xr:revisionPtr revIDLastSave="0" documentId="13_ncr:1_{FAB9C4A2-ABBC-4C67-AFB7-40739A0E94C1}" xr6:coauthVersionLast="47" xr6:coauthVersionMax="47" xr10:uidLastSave="{00000000-0000-0000-0000-000000000000}"/>
  <bookViews>
    <workbookView xWindow="-98" yWindow="-98" windowWidth="21795" windowHeight="12975" tabRatio="598" activeTab="1" xr2:uid="{00000000-000D-0000-FFFF-FFFF00000000}"/>
  </bookViews>
  <sheets>
    <sheet name="MES" sheetId="170" r:id="rId1"/>
    <sheet name="PAGAMENTO MOD" sheetId="146" r:id="rId2"/>
  </sheets>
  <definedNames>
    <definedName name="_xlnm._FilterDatabase" localSheetId="0" hidden="1">MES!$B$34:$S$56</definedName>
    <definedName name="_xlnm._FilterDatabase" localSheetId="1" hidden="1">'PAGAMENTO MOD'!$B$24:$X$82</definedName>
    <definedName name="_xlnm.Print_Area" localSheetId="0">MES!$B$33:$S$56</definedName>
    <definedName name="_xlnm.Print_Area" localSheetId="1">'PAGAMENTO MOD'!$B$22:$V$98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" i="146" l="1"/>
  <c r="J88" i="146"/>
  <c r="U82" i="146" l="1"/>
</calcChain>
</file>

<file path=xl/sharedStrings.xml><?xml version="1.0" encoding="utf-8"?>
<sst xmlns="http://schemas.openxmlformats.org/spreadsheetml/2006/main" count="113" uniqueCount="82">
  <si>
    <t>CPF</t>
  </si>
  <si>
    <t>NOME</t>
  </si>
  <si>
    <t>MOD</t>
  </si>
  <si>
    <t>OBRA</t>
  </si>
  <si>
    <t>Número de meses da obra</t>
  </si>
  <si>
    <t>no</t>
  </si>
  <si>
    <t>Número de mês da planilha</t>
  </si>
  <si>
    <t>REGRAS</t>
  </si>
  <si>
    <t>1 - Assiduidade (40%)</t>
  </si>
  <si>
    <t>Quant. de faltas
(justificadas ou não)</t>
  </si>
  <si>
    <t>Redução do 
colaborador</t>
  </si>
  <si>
    <t>4 ou mais</t>
  </si>
  <si>
    <t>PLR no mês</t>
  </si>
  <si>
    <t>2 - Horas Extras (10%)</t>
  </si>
  <si>
    <t>Horas extras excedidas em relação ao orçamento (cálculo por função)</t>
  </si>
  <si>
    <t>% excedente</t>
  </si>
  <si>
    <t>% de redução</t>
  </si>
  <si>
    <t>x%</t>
  </si>
  <si>
    <t>2x%</t>
  </si>
  <si>
    <t>3- Qualidade, Limpeza e organização (20%)</t>
  </si>
  <si>
    <t>Nota da equipe</t>
  </si>
  <si>
    <t>% PLR</t>
  </si>
  <si>
    <t>x</t>
  </si>
  <si>
    <t>4 - Cumprimento do prazo da obra (30%)</t>
  </si>
  <si>
    <t>Atraso acumulado</t>
  </si>
  <si>
    <t>% redução</t>
  </si>
  <si>
    <t>4% à 6%</t>
  </si>
  <si>
    <t>7% à 10%</t>
  </si>
  <si>
    <t>&gt; 11%</t>
  </si>
  <si>
    <t>PREENCHER TODOS OS MESES COM O NOME DOS FUNCIONÁRIOS EM ORDEM ALFABÉTICA</t>
  </si>
  <si>
    <t>CERRADO</t>
  </si>
  <si>
    <t>CHAPA</t>
  </si>
  <si>
    <r>
      <rPr>
        <b/>
        <sz val="10"/>
        <rFont val="Arial"/>
        <family val="2"/>
      </rPr>
      <t>DATA ADM</t>
    </r>
  </si>
  <si>
    <t>DATA DEMISSÃO/ FECHAMENTO</t>
  </si>
  <si>
    <t>EQUIPE</t>
  </si>
  <si>
    <t>TRANSFERENCIA</t>
  </si>
  <si>
    <t>Colaboradores</t>
  </si>
  <si>
    <t>Funçao</t>
  </si>
  <si>
    <t>Assiduidade
(30%)</t>
  </si>
  <si>
    <t>Zero Acidente (15%)</t>
  </si>
  <si>
    <t>Segurança
Limpeza
Organização
 (25%)</t>
  </si>
  <si>
    <t>Prazo
(30%)</t>
  </si>
  <si>
    <t>P (%) mês</t>
  </si>
  <si>
    <t xml:space="preserve">P(%) acumulado até o Mês 
</t>
  </si>
  <si>
    <t>ANOTAÇÕES</t>
  </si>
  <si>
    <t>Fechamento</t>
  </si>
  <si>
    <t>DEMISSÃO / FECHAMENTO</t>
  </si>
  <si>
    <t>TEMPO DE CASA</t>
  </si>
  <si>
    <t>FUNÇÃO</t>
  </si>
  <si>
    <t>SOMA</t>
  </si>
  <si>
    <t>SALÁRIO BASE PARA PLR</t>
  </si>
  <si>
    <t>VPO</t>
  </si>
  <si>
    <t>Notas Explicativas:</t>
  </si>
  <si>
    <t xml:space="preserve"> </t>
  </si>
  <si>
    <t>Até 18 meses</t>
  </si>
  <si>
    <t>Acima de 18 meses</t>
  </si>
  <si>
    <t>VP0  Auxiliar de Obras(SINTRACICAL-ES)</t>
  </si>
  <si>
    <t>VP0   Oficial    (SINTRACICAL-ES)</t>
  </si>
  <si>
    <t>Critério para apuração do % acumulado dos colaboradores transferidos= ( Será utilizado a média de todo o período e praticada em todas as obras).</t>
  </si>
  <si>
    <t>EF</t>
  </si>
  <si>
    <t>MO</t>
  </si>
  <si>
    <t>AGOSTO</t>
  </si>
  <si>
    <t>FORTANKS GRUPO II  PROJETO PATIO K - MOD</t>
  </si>
  <si>
    <t>ADMISSÂO</t>
  </si>
  <si>
    <t>P(%) Média acumulada</t>
  </si>
  <si>
    <t>ANOTAÇÃO</t>
  </si>
  <si>
    <t>TOTAL A PAGAR :</t>
  </si>
  <si>
    <t>Elaborado por: Renata Soares</t>
  </si>
  <si>
    <t>Liberado por: Klebson Thomaz</t>
  </si>
  <si>
    <t>PERÍODO DE APURAÇÃO: AGOSTO/2025 À JANEIRO/2026</t>
  </si>
  <si>
    <t>AGO 25</t>
  </si>
  <si>
    <t>SET 25</t>
  </si>
  <si>
    <t>OUT 25</t>
  </si>
  <si>
    <t>NOV 25</t>
  </si>
  <si>
    <t>DEZ 25</t>
  </si>
  <si>
    <t>JAN 25</t>
  </si>
  <si>
    <t>FECHAMENTO PLR | ABRIL/2026</t>
  </si>
  <si>
    <t>Sal. Atualizado</t>
  </si>
  <si>
    <t>SALARIO BASE - LEANDRO</t>
  </si>
  <si>
    <t>VALOR TOTAL                   A PAGAR</t>
  </si>
  <si>
    <r>
      <t xml:space="preserve">Cálculo do Valor a Ser Pago = </t>
    </r>
    <r>
      <rPr>
        <b/>
        <sz val="10"/>
        <rFont val="Arial"/>
        <family val="2"/>
      </rPr>
      <t>(Vpo x P(%) acumulado )</t>
    </r>
  </si>
  <si>
    <t>Último pagamento em 31/10/2025, próximo pagamento em 29/04/2026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</si>
</sst>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&quot;R$&quot;\ #,##0.00"/>
    <numFmt numFmtId="167" formatCode="0000000"/>
    <numFmt numFmtId="168" formatCode="&quot;R$ &quot;#,##0.00_);[Red]\(&quot;R$ &quot;#,##0.00\)"/>
    <numFmt numFmtId="169" formatCode="&quot;R$ &quot;#,##0.00"/>
    <numFmt numFmtId="170" formatCode="0.0%"/>
    <numFmt numFmtId="172" formatCode="\R\$\ #,##0.00"/>
  </numFmts>
  <fonts count="16">
    <font>
      <sz val="10"/>
      <name val="Arial"/>
      <charset val="134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indexed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color rgb="FF92D050"/>
      <name val="Arial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3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3" applyFont="1"/>
    <xf numFmtId="10" fontId="0" fillId="0" borderId="0" xfId="3" applyNumberFormat="1" applyFont="1"/>
    <xf numFmtId="165" fontId="0" fillId="0" borderId="0" xfId="2" applyFont="1"/>
    <xf numFmtId="0" fontId="1" fillId="0" borderId="0" xfId="0" applyFont="1"/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wrapText="1"/>
    </xf>
    <xf numFmtId="10" fontId="1" fillId="0" borderId="0" xfId="3" applyNumberFormat="1" applyFont="1"/>
    <xf numFmtId="165" fontId="1" fillId="0" borderId="0" xfId="2" applyFont="1"/>
    <xf numFmtId="165" fontId="2" fillId="3" borderId="3" xfId="2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4" borderId="3" xfId="0" applyFill="1" applyBorder="1"/>
    <xf numFmtId="0" fontId="2" fillId="0" borderId="0" xfId="0" applyFont="1"/>
    <xf numFmtId="0" fontId="2" fillId="5" borderId="3" xfId="0" applyFont="1" applyFill="1" applyBorder="1"/>
    <xf numFmtId="14" fontId="1" fillId="5" borderId="3" xfId="0" applyNumberFormat="1" applyFont="1" applyFill="1" applyBorder="1" applyAlignment="1">
      <alignment horizontal="center" vertical="center" wrapText="1"/>
    </xf>
    <xf numFmtId="9" fontId="4" fillId="5" borderId="3" xfId="0" applyNumberFormat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0" fillId="5" borderId="3" xfId="0" applyFill="1" applyBorder="1"/>
    <xf numFmtId="14" fontId="6" fillId="5" borderId="3" xfId="0" applyNumberFormat="1" applyFont="1" applyFill="1" applyBorder="1" applyAlignment="1">
      <alignment horizontal="center"/>
    </xf>
    <xf numFmtId="9" fontId="4" fillId="5" borderId="3" xfId="0" applyNumberFormat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4" fontId="1" fillId="5" borderId="3" xfId="0" applyNumberFormat="1" applyFont="1" applyFill="1" applyBorder="1" applyAlignment="1">
      <alignment horizontal="center"/>
    </xf>
    <xf numFmtId="9" fontId="1" fillId="5" borderId="3" xfId="0" applyNumberFormat="1" applyFont="1" applyFill="1" applyBorder="1" applyAlignment="1">
      <alignment horizontal="center"/>
    </xf>
    <xf numFmtId="9" fontId="7" fillId="5" borderId="3" xfId="0" applyNumberFormat="1" applyFont="1" applyFill="1" applyBorder="1" applyAlignment="1">
      <alignment horizontal="center"/>
    </xf>
    <xf numFmtId="0" fontId="8" fillId="5" borderId="3" xfId="0" applyFont="1" applyFill="1" applyBorder="1"/>
    <xf numFmtId="0" fontId="1" fillId="5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4" fontId="1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7" xfId="0" applyBorder="1"/>
    <xf numFmtId="165" fontId="0" fillId="0" borderId="0" xfId="2" applyFont="1" applyBorder="1"/>
    <xf numFmtId="0" fontId="0" fillId="6" borderId="0" xfId="0" applyFill="1"/>
    <xf numFmtId="0" fontId="0" fillId="6" borderId="14" xfId="0" applyFill="1" applyBorder="1"/>
    <xf numFmtId="0" fontId="2" fillId="0" borderId="0" xfId="0" applyFont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14" fontId="1" fillId="2" borderId="0" xfId="0" applyNumberFormat="1" applyFont="1" applyFill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14" fontId="2" fillId="3" borderId="19" xfId="0" applyNumberFormat="1" applyFont="1" applyFill="1" applyBorder="1" applyAlignment="1">
      <alignment horizontal="center" vertical="center" wrapText="1"/>
    </xf>
    <xf numFmtId="49" fontId="2" fillId="3" borderId="19" xfId="0" applyNumberFormat="1" applyFont="1" applyFill="1" applyBorder="1" applyAlignment="1">
      <alignment horizontal="center" vertical="center" wrapText="1"/>
    </xf>
    <xf numFmtId="9" fontId="2" fillId="3" borderId="19" xfId="3" applyFont="1" applyFill="1" applyBorder="1" applyAlignment="1">
      <alignment horizontal="center" vertical="center" wrapText="1"/>
    </xf>
    <xf numFmtId="165" fontId="2" fillId="3" borderId="19" xfId="4" applyFont="1" applyFill="1" applyBorder="1" applyAlignment="1">
      <alignment horizontal="center" vertical="center" wrapText="1"/>
    </xf>
    <xf numFmtId="165" fontId="2" fillId="3" borderId="19" xfId="2" applyFont="1" applyFill="1" applyBorder="1" applyAlignment="1">
      <alignment horizontal="center" vertical="center" wrapText="1"/>
    </xf>
    <xf numFmtId="165" fontId="2" fillId="3" borderId="23" xfId="2" applyFont="1" applyFill="1" applyBorder="1" applyAlignment="1">
      <alignment horizontal="center" vertical="center" wrapText="1"/>
    </xf>
    <xf numFmtId="165" fontId="0" fillId="0" borderId="16" xfId="2" applyFont="1" applyBorder="1"/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6" xfId="0" applyBorder="1"/>
    <xf numFmtId="9" fontId="0" fillId="0" borderId="16" xfId="3" applyFont="1" applyBorder="1"/>
    <xf numFmtId="10" fontId="0" fillId="0" borderId="16" xfId="3" applyNumberFormat="1" applyFont="1" applyBorder="1"/>
    <xf numFmtId="9" fontId="0" fillId="0" borderId="0" xfId="3" applyFont="1" applyBorder="1"/>
    <xf numFmtId="10" fontId="0" fillId="0" borderId="0" xfId="3" applyNumberFormat="1" applyFont="1" applyBorder="1"/>
    <xf numFmtId="9" fontId="0" fillId="0" borderId="7" xfId="3" applyFont="1" applyBorder="1"/>
    <xf numFmtId="10" fontId="0" fillId="0" borderId="7" xfId="3" applyNumberFormat="1" applyFont="1" applyBorder="1"/>
    <xf numFmtId="165" fontId="0" fillId="6" borderId="3" xfId="2" applyFont="1" applyFill="1" applyBorder="1" applyAlignment="1">
      <alignment horizontal="center"/>
    </xf>
    <xf numFmtId="0" fontId="0" fillId="0" borderId="27" xfId="0" applyBorder="1"/>
    <xf numFmtId="165" fontId="0" fillId="0" borderId="28" xfId="2" applyFont="1" applyBorder="1"/>
    <xf numFmtId="165" fontId="0" fillId="0" borderId="29" xfId="2" applyFont="1" applyBorder="1"/>
    <xf numFmtId="0" fontId="0" fillId="0" borderId="29" xfId="0" applyBorder="1"/>
    <xf numFmtId="165" fontId="0" fillId="0" borderId="7" xfId="2" applyFont="1" applyBorder="1"/>
    <xf numFmtId="165" fontId="0" fillId="0" borderId="21" xfId="2" applyFont="1" applyBorder="1"/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3" xfId="0" applyNumberFormat="1" applyFont="1" applyBorder="1"/>
    <xf numFmtId="168" fontId="0" fillId="0" borderId="3" xfId="0" applyNumberFormat="1" applyBorder="1" applyAlignment="1">
      <alignment horizontal="center"/>
    </xf>
    <xf numFmtId="0" fontId="1" fillId="5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9" fontId="7" fillId="0" borderId="3" xfId="3" applyFont="1" applyFill="1" applyBorder="1" applyAlignment="1">
      <alignment horizontal="center"/>
    </xf>
    <xf numFmtId="0" fontId="2" fillId="0" borderId="3" xfId="0" applyFont="1" applyBorder="1"/>
    <xf numFmtId="165" fontId="1" fillId="0" borderId="3" xfId="2" applyBorder="1"/>
    <xf numFmtId="169" fontId="1" fillId="0" borderId="3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1" xfId="0" applyFont="1" applyBorder="1"/>
    <xf numFmtId="2" fontId="0" fillId="0" borderId="12" xfId="0" applyNumberFormat="1" applyBorder="1" applyAlignment="1">
      <alignment horizontal="center"/>
    </xf>
    <xf numFmtId="0" fontId="0" fillId="0" borderId="30" xfId="0" applyBorder="1"/>
    <xf numFmtId="0" fontId="2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/>
    </xf>
    <xf numFmtId="165" fontId="8" fillId="0" borderId="19" xfId="2" applyFont="1" applyBorder="1" applyAlignment="1">
      <alignment horizontal="center" vertical="center" wrapText="1"/>
    </xf>
    <xf numFmtId="169" fontId="2" fillId="0" borderId="19" xfId="2" applyNumberFormat="1" applyFont="1" applyBorder="1" applyAlignment="1">
      <alignment horizontal="center" vertical="center" wrapText="1"/>
    </xf>
    <xf numFmtId="9" fontId="2" fillId="0" borderId="19" xfId="3" applyFont="1" applyBorder="1" applyAlignment="1">
      <alignment horizontal="center" vertical="center" wrapText="1"/>
    </xf>
    <xf numFmtId="0" fontId="0" fillId="6" borderId="3" xfId="0" applyFill="1" applyBorder="1"/>
    <xf numFmtId="2" fontId="2" fillId="0" borderId="19" xfId="0" applyNumberFormat="1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0" fillId="0" borderId="8" xfId="0" applyBorder="1"/>
    <xf numFmtId="14" fontId="1" fillId="0" borderId="32" xfId="0" applyNumberFormat="1" applyFont="1" applyBorder="1" applyAlignment="1">
      <alignment horizontal="center"/>
    </xf>
    <xf numFmtId="14" fontId="1" fillId="0" borderId="32" xfId="0" applyNumberFormat="1" applyFont="1" applyBorder="1"/>
    <xf numFmtId="0" fontId="0" fillId="0" borderId="32" xfId="0" applyBorder="1"/>
    <xf numFmtId="0" fontId="0" fillId="0" borderId="33" xfId="0" applyBorder="1"/>
    <xf numFmtId="14" fontId="2" fillId="0" borderId="0" xfId="0" applyNumberFormat="1" applyFont="1" applyAlignment="1">
      <alignment horizontal="center"/>
    </xf>
    <xf numFmtId="17" fontId="0" fillId="0" borderId="0" xfId="1" applyNumberFormat="1" applyFont="1" applyBorder="1"/>
    <xf numFmtId="0" fontId="2" fillId="0" borderId="18" xfId="1" applyNumberFormat="1" applyFont="1" applyBorder="1" applyAlignment="1">
      <alignment horizontal="center" vertical="center"/>
    </xf>
    <xf numFmtId="9" fontId="0" fillId="0" borderId="3" xfId="3" applyFont="1" applyFill="1" applyBorder="1" applyAlignment="1">
      <alignment horizontal="center"/>
    </xf>
    <xf numFmtId="0" fontId="0" fillId="0" borderId="34" xfId="0" applyBorder="1"/>
    <xf numFmtId="14" fontId="0" fillId="0" borderId="34" xfId="0" applyNumberForma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9" fontId="2" fillId="0" borderId="3" xfId="3" applyFont="1" applyFill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0" borderId="12" xfId="3" applyFont="1" applyBorder="1" applyAlignment="1">
      <alignment horizontal="center"/>
    </xf>
    <xf numFmtId="170" fontId="0" fillId="0" borderId="34" xfId="0" applyNumberFormat="1" applyBorder="1" applyAlignment="1">
      <alignment horizontal="center" vertical="center"/>
    </xf>
    <xf numFmtId="9" fontId="0" fillId="0" borderId="0" xfId="3" applyFont="1" applyBorder="1" applyAlignment="1">
      <alignment horizontal="center"/>
    </xf>
    <xf numFmtId="10" fontId="0" fillId="6" borderId="3" xfId="3" applyNumberFormat="1" applyFont="1" applyFill="1" applyBorder="1" applyAlignment="1">
      <alignment horizontal="center" vertical="center"/>
    </xf>
    <xf numFmtId="10" fontId="0" fillId="6" borderId="32" xfId="3" applyNumberFormat="1" applyFont="1" applyFill="1" applyBorder="1" applyAlignment="1">
      <alignment horizontal="center" vertical="center"/>
    </xf>
    <xf numFmtId="17" fontId="0" fillId="0" borderId="0" xfId="1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7" xfId="0" applyBorder="1" applyAlignment="1">
      <alignment horizontal="center"/>
    </xf>
    <xf numFmtId="14" fontId="0" fillId="0" borderId="37" xfId="0" applyNumberFormat="1" applyBorder="1" applyAlignment="1">
      <alignment horizontal="right" vertical="center"/>
    </xf>
    <xf numFmtId="0" fontId="0" fillId="0" borderId="37" xfId="0" applyBorder="1"/>
    <xf numFmtId="170" fontId="0" fillId="0" borderId="37" xfId="0" applyNumberFormat="1" applyBorder="1" applyAlignment="1">
      <alignment horizontal="center" vertical="center"/>
    </xf>
    <xf numFmtId="0" fontId="0" fillId="0" borderId="0" xfId="1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10" fontId="0" fillId="0" borderId="3" xfId="0" applyNumberFormat="1" applyBorder="1" applyAlignment="1">
      <alignment horizontal="center" vertical="center"/>
    </xf>
    <xf numFmtId="0" fontId="2" fillId="6" borderId="0" xfId="0" applyFont="1" applyFill="1"/>
    <xf numFmtId="14" fontId="0" fillId="0" borderId="34" xfId="0" applyNumberFormat="1" applyBorder="1" applyAlignment="1">
      <alignment horizontal="center" vertical="center"/>
    </xf>
    <xf numFmtId="49" fontId="2" fillId="3" borderId="40" xfId="1" applyNumberFormat="1" applyFont="1" applyFill="1" applyBorder="1" applyAlignment="1">
      <alignment horizontal="center" vertical="center"/>
    </xf>
    <xf numFmtId="0" fontId="2" fillId="7" borderId="41" xfId="0" applyFont="1" applyFill="1" applyBorder="1" applyAlignment="1">
      <alignment horizontal="center" vertical="center"/>
    </xf>
    <xf numFmtId="14" fontId="2" fillId="7" borderId="41" xfId="0" applyNumberFormat="1" applyFont="1" applyFill="1" applyBorder="1" applyAlignment="1">
      <alignment horizontal="center" vertical="center"/>
    </xf>
    <xf numFmtId="165" fontId="8" fillId="7" borderId="41" xfId="2" applyFont="1" applyFill="1" applyBorder="1" applyAlignment="1">
      <alignment horizontal="center" vertical="center" wrapText="1"/>
    </xf>
    <xf numFmtId="169" fontId="2" fillId="7" borderId="41" xfId="2" applyNumberFormat="1" applyFont="1" applyFill="1" applyBorder="1" applyAlignment="1">
      <alignment horizontal="center" vertical="center" wrapText="1"/>
    </xf>
    <xf numFmtId="9" fontId="2" fillId="7" borderId="41" xfId="3" applyFont="1" applyFill="1" applyBorder="1" applyAlignment="1">
      <alignment horizontal="center" vertical="center" wrapText="1"/>
    </xf>
    <xf numFmtId="0" fontId="2" fillId="7" borderId="41" xfId="0" applyFont="1" applyFill="1" applyBorder="1" applyAlignment="1">
      <alignment horizontal="center" vertical="center" wrapText="1"/>
    </xf>
    <xf numFmtId="2" fontId="2" fillId="7" borderId="41" xfId="0" applyNumberFormat="1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/>
    </xf>
    <xf numFmtId="14" fontId="0" fillId="0" borderId="37" xfId="0" applyNumberFormat="1" applyBorder="1" applyAlignment="1">
      <alignment horizontal="center" vertical="center"/>
    </xf>
    <xf numFmtId="10" fontId="0" fillId="0" borderId="34" xfId="0" applyNumberFormat="1" applyBorder="1" applyAlignment="1">
      <alignment horizontal="center" vertical="center"/>
    </xf>
    <xf numFmtId="0" fontId="0" fillId="6" borderId="8" xfId="0" applyFill="1" applyBorder="1"/>
    <xf numFmtId="0" fontId="0" fillId="6" borderId="34" xfId="0" applyFill="1" applyBorder="1"/>
    <xf numFmtId="0" fontId="3" fillId="6" borderId="9" xfId="9" applyFont="1" applyFill="1" applyBorder="1" applyAlignment="1">
      <alignment horizontal="center"/>
    </xf>
    <xf numFmtId="14" fontId="0" fillId="6" borderId="34" xfId="0" applyNumberFormat="1" applyFill="1" applyBorder="1" applyAlignment="1">
      <alignment horizontal="center" vertical="center"/>
    </xf>
    <xf numFmtId="1" fontId="0" fillId="6" borderId="34" xfId="0" applyNumberFormat="1" applyFill="1" applyBorder="1" applyAlignment="1">
      <alignment horizontal="center" vertical="center"/>
    </xf>
    <xf numFmtId="10" fontId="0" fillId="6" borderId="34" xfId="0" applyNumberFormat="1" applyFill="1" applyBorder="1" applyAlignment="1">
      <alignment horizontal="center" vertical="center"/>
    </xf>
    <xf numFmtId="165" fontId="0" fillId="6" borderId="9" xfId="2" applyFont="1" applyFill="1" applyBorder="1" applyAlignment="1">
      <alignment horizontal="center"/>
    </xf>
    <xf numFmtId="0" fontId="0" fillId="6" borderId="24" xfId="0" applyFill="1" applyBorder="1"/>
    <xf numFmtId="165" fontId="0" fillId="6" borderId="12" xfId="2" applyFont="1" applyFill="1" applyBorder="1" applyAlignment="1">
      <alignment horizontal="center"/>
    </xf>
    <xf numFmtId="0" fontId="0" fillId="6" borderId="25" xfId="0" applyFill="1" applyBorder="1"/>
    <xf numFmtId="0" fontId="1" fillId="0" borderId="14" xfId="9" applyBorder="1"/>
    <xf numFmtId="0" fontId="2" fillId="5" borderId="1" xfId="0" applyFont="1" applyFill="1" applyBorder="1"/>
    <xf numFmtId="0" fontId="2" fillId="5" borderId="2" xfId="0" applyFont="1" applyFill="1" applyBorder="1"/>
    <xf numFmtId="0" fontId="2" fillId="5" borderId="4" xfId="0" applyFont="1" applyFill="1" applyBorder="1"/>
    <xf numFmtId="0" fontId="10" fillId="0" borderId="6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165" fontId="11" fillId="0" borderId="18" xfId="2" applyFont="1" applyBorder="1" applyAlignment="1">
      <alignment vertical="center"/>
    </xf>
    <xf numFmtId="165" fontId="11" fillId="0" borderId="19" xfId="2" applyFont="1" applyBorder="1" applyAlignment="1">
      <alignment vertical="center"/>
    </xf>
    <xf numFmtId="165" fontId="0" fillId="6" borderId="3" xfId="2" applyFont="1" applyFill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172" fontId="0" fillId="0" borderId="34" xfId="0" applyNumberFormat="1" applyBorder="1" applyAlignment="1">
      <alignment horizontal="center" vertical="center"/>
    </xf>
    <xf numFmtId="172" fontId="0" fillId="0" borderId="43" xfId="0" applyNumberForma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72" fontId="0" fillId="0" borderId="3" xfId="0" applyNumberFormat="1" applyBorder="1" applyAlignment="1">
      <alignment horizontal="center" vertical="center"/>
    </xf>
    <xf numFmtId="172" fontId="0" fillId="6" borderId="34" xfId="0" applyNumberFormat="1" applyFill="1" applyBorder="1" applyAlignment="1">
      <alignment horizontal="center" vertical="center"/>
    </xf>
    <xf numFmtId="172" fontId="0" fillId="6" borderId="3" xfId="0" applyNumberFormat="1" applyFill="1" applyBorder="1" applyAlignment="1">
      <alignment horizontal="center" vertical="center"/>
    </xf>
    <xf numFmtId="0" fontId="0" fillId="6" borderId="44" xfId="0" applyFill="1" applyBorder="1"/>
    <xf numFmtId="14" fontId="0" fillId="6" borderId="45" xfId="0" applyNumberFormat="1" applyFill="1" applyBorder="1" applyAlignment="1">
      <alignment horizontal="center" vertical="center"/>
    </xf>
    <xf numFmtId="0" fontId="3" fillId="6" borderId="13" xfId="9" applyFont="1" applyFill="1" applyBorder="1" applyAlignment="1">
      <alignment horizontal="center"/>
    </xf>
    <xf numFmtId="0" fontId="3" fillId="6" borderId="3" xfId="9" applyFont="1" applyFill="1" applyBorder="1" applyAlignment="1">
      <alignment horizontal="center"/>
    </xf>
    <xf numFmtId="0" fontId="1" fillId="0" borderId="8" xfId="0" applyFont="1" applyBorder="1"/>
    <xf numFmtId="0" fontId="0" fillId="6" borderId="43" xfId="0" applyFill="1" applyBorder="1"/>
    <xf numFmtId="0" fontId="1" fillId="6" borderId="3" xfId="0" applyFont="1" applyFill="1" applyBorder="1"/>
    <xf numFmtId="165" fontId="1" fillId="0" borderId="0" xfId="2" applyFont="1" applyAlignment="1"/>
    <xf numFmtId="165" fontId="0" fillId="6" borderId="9" xfId="2" applyFont="1" applyFill="1" applyBorder="1" applyAlignment="1"/>
    <xf numFmtId="165" fontId="0" fillId="6" borderId="3" xfId="2" applyFont="1" applyFill="1" applyBorder="1" applyAlignment="1"/>
    <xf numFmtId="165" fontId="11" fillId="0" borderId="23" xfId="2" applyFont="1" applyBorder="1" applyAlignment="1">
      <alignment vertical="center"/>
    </xf>
    <xf numFmtId="165" fontId="0" fillId="0" borderId="16" xfId="2" applyFont="1" applyBorder="1" applyAlignment="1"/>
    <xf numFmtId="165" fontId="0" fillId="0" borderId="0" xfId="2" applyFont="1" applyBorder="1" applyAlignment="1"/>
    <xf numFmtId="165" fontId="0" fillId="0" borderId="7" xfId="2" applyFont="1" applyBorder="1" applyAlignment="1"/>
    <xf numFmtId="165" fontId="0" fillId="0" borderId="0" xfId="2" applyFont="1" applyAlignment="1"/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 vertical="center"/>
    </xf>
    <xf numFmtId="165" fontId="0" fillId="0" borderId="16" xfId="2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 vertical="center"/>
    </xf>
    <xf numFmtId="165" fontId="0" fillId="0" borderId="0" xfId="2" applyFont="1" applyBorder="1" applyAlignment="1">
      <alignment horizontal="left"/>
    </xf>
    <xf numFmtId="167" fontId="0" fillId="6" borderId="34" xfId="0" applyNumberFormat="1" applyFill="1" applyBorder="1" applyAlignment="1">
      <alignment horizontal="center"/>
    </xf>
    <xf numFmtId="167" fontId="0" fillId="6" borderId="44" xfId="0" applyNumberFormat="1" applyFill="1" applyBorder="1" applyAlignment="1">
      <alignment horizontal="center"/>
    </xf>
    <xf numFmtId="10" fontId="0" fillId="6" borderId="45" xfId="0" applyNumberFormat="1" applyFill="1" applyBorder="1" applyAlignment="1">
      <alignment horizontal="center" vertical="center"/>
    </xf>
    <xf numFmtId="0" fontId="0" fillId="6" borderId="46" xfId="0" applyFill="1" applyBorder="1"/>
    <xf numFmtId="0" fontId="3" fillId="6" borderId="12" xfId="9" applyFont="1" applyFill="1" applyBorder="1" applyAlignment="1">
      <alignment horizontal="center"/>
    </xf>
    <xf numFmtId="14" fontId="0" fillId="6" borderId="39" xfId="0" applyNumberFormat="1" applyFill="1" applyBorder="1" applyAlignment="1">
      <alignment horizontal="center" vertical="center"/>
    </xf>
    <xf numFmtId="14" fontId="0" fillId="6" borderId="38" xfId="0" applyNumberFormat="1" applyFill="1" applyBorder="1" applyAlignment="1">
      <alignment horizontal="center" vertical="center"/>
    </xf>
    <xf numFmtId="1" fontId="0" fillId="6" borderId="38" xfId="0" applyNumberFormat="1" applyFill="1" applyBorder="1" applyAlignment="1">
      <alignment horizontal="center" vertical="center"/>
    </xf>
    <xf numFmtId="0" fontId="0" fillId="6" borderId="38" xfId="0" applyFill="1" applyBorder="1"/>
    <xf numFmtId="14" fontId="0" fillId="6" borderId="43" xfId="0" applyNumberFormat="1" applyFill="1" applyBorder="1" applyAlignment="1">
      <alignment horizontal="center" vertical="center"/>
    </xf>
    <xf numFmtId="1" fontId="0" fillId="6" borderId="43" xfId="0" applyNumberFormat="1" applyFill="1" applyBorder="1" applyAlignment="1">
      <alignment horizontal="center" vertical="center"/>
    </xf>
    <xf numFmtId="14" fontId="0" fillId="6" borderId="3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0" fontId="0" fillId="6" borderId="35" xfId="0" applyFill="1" applyBorder="1"/>
    <xf numFmtId="0" fontId="3" fillId="6" borderId="0" xfId="9" applyFont="1" applyFill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165" fontId="0" fillId="6" borderId="3" xfId="2" applyFont="1" applyFill="1" applyBorder="1"/>
    <xf numFmtId="165" fontId="15" fillId="6" borderId="3" xfId="2" applyFont="1" applyFill="1" applyBorder="1"/>
    <xf numFmtId="0" fontId="6" fillId="6" borderId="3" xfId="0" applyFont="1" applyFill="1" applyBorder="1"/>
    <xf numFmtId="0" fontId="1" fillId="0" borderId="0" xfId="0" applyFont="1" applyAlignment="1">
      <alignment horizontal="left"/>
    </xf>
    <xf numFmtId="165" fontId="1" fillId="0" borderId="26" xfId="2" applyFont="1" applyBorder="1" applyAlignment="1">
      <alignment horizontal="center"/>
    </xf>
    <xf numFmtId="49" fontId="11" fillId="0" borderId="20" xfId="0" applyNumberFormat="1" applyFont="1" applyBorder="1" applyAlignment="1">
      <alignment horizontal="center" vertical="center"/>
    </xf>
    <xf numFmtId="49" fontId="11" fillId="0" borderId="22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4" fillId="0" borderId="31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26" xfId="0" applyFont="1" applyBorder="1" applyAlignment="1">
      <alignment horizontal="left"/>
    </xf>
  </cellXfs>
  <cellStyles count="15">
    <cellStyle name="Moeda" xfId="2" builtinId="4"/>
    <cellStyle name="Moeda 2" xfId="4" xr:uid="{00000000-0005-0000-0000-000031000000}"/>
    <cellStyle name="Moeda 2 2" xfId="5" xr:uid="{00000000-0005-0000-0000-000032000000}"/>
    <cellStyle name="Moeda 3" xfId="6" xr:uid="{00000000-0005-0000-0000-000033000000}"/>
    <cellStyle name="Moeda 3 2" xfId="7" xr:uid="{00000000-0005-0000-0000-000034000000}"/>
    <cellStyle name="Moeda 4" xfId="8" xr:uid="{00000000-0005-0000-0000-000035000000}"/>
    <cellStyle name="Normal" xfId="0" builtinId="0"/>
    <cellStyle name="Normal 2" xfId="9" xr:uid="{00000000-0005-0000-0000-000036000000}"/>
    <cellStyle name="Normal 3" xfId="10" xr:uid="{00000000-0005-0000-0000-000037000000}"/>
    <cellStyle name="Porcentagem" xfId="3" builtinId="5"/>
    <cellStyle name="Porcentagem 2" xfId="11" xr:uid="{00000000-0005-0000-0000-000038000000}"/>
    <cellStyle name="Porcentagem 2 2" xfId="12" xr:uid="{00000000-0005-0000-0000-000039000000}"/>
    <cellStyle name="Porcentagem 3" xfId="13" xr:uid="{00000000-0005-0000-0000-00003A000000}"/>
    <cellStyle name="Porcentagem 4" xfId="14" xr:uid="{00000000-0005-0000-0000-00003B000000}"/>
    <cellStyle name="Vírgula" xfId="1" builtinId="3"/>
  </cellStyles>
  <dxfs count="1">
    <dxf>
      <font>
        <color theme="0"/>
      </font>
    </dxf>
  </dxfs>
  <tableStyles count="1" defaultTableStyle="TableStyleMedium9" defaultPivotStyle="PivotStyleLight16">
    <tableStyle name="Invisible" pivot="0" table="0" count="0" xr9:uid="{06BA74AF-7975-4C3A-9B42-DD73A04D9B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107158</xdr:colOff>
      <xdr:row>21</xdr:row>
      <xdr:rowOff>10706</xdr:rowOff>
    </xdr:from>
    <xdr:to>
      <xdr:col>2</xdr:col>
      <xdr:colOff>702470</xdr:colOff>
      <xdr:row>22</xdr:row>
      <xdr:rowOff>250031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7158" y="3832612"/>
          <a:ext cx="1476374" cy="727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1:AU70"/>
  <sheetViews>
    <sheetView topLeftCell="A19" zoomScale="80" zoomScaleNormal="80" zoomScaleSheetLayoutView="90" workbookViewId="0">
      <selection activeCell="J2" sqref="J2"/>
    </sheetView>
  </sheetViews>
  <sheetFormatPr defaultColWidth="9.1328125" defaultRowHeight="12.75"/>
  <cols>
    <col min="1" max="1" width="4.1328125" customWidth="1"/>
    <col min="2" max="2" width="17.73046875" style="137" customWidth="1"/>
    <col min="3" max="3" width="8" style="1" bestFit="1" customWidth="1"/>
    <col min="4" max="4" width="12.1328125" customWidth="1"/>
    <col min="5" max="5" width="13.86328125" style="2" customWidth="1"/>
    <col min="6" max="6" width="7.73046875" style="3" hidden="1" customWidth="1"/>
    <col min="7" max="7" width="8.265625" customWidth="1"/>
    <col min="8" max="8" width="10.73046875" customWidth="1"/>
    <col min="9" max="9" width="5.1328125" style="3" customWidth="1"/>
    <col min="10" max="10" width="16.265625" customWidth="1"/>
    <col min="11" max="11" width="45.59765625" customWidth="1"/>
    <col min="12" max="12" width="46" customWidth="1"/>
    <col min="13" max="13" width="14.265625" style="45" bestFit="1" customWidth="1"/>
    <col min="14" max="14" width="13.73046875" style="3" bestFit="1" customWidth="1"/>
    <col min="15" max="15" width="13.1328125" style="126" customWidth="1"/>
    <col min="16" max="16" width="6.73046875" style="3" bestFit="1" customWidth="1"/>
    <col min="17" max="17" width="12.265625" style="81" customWidth="1"/>
    <col min="18" max="18" width="12.73046875" customWidth="1"/>
    <col min="19" max="19" width="29.3984375" customWidth="1"/>
    <col min="20" max="29" width="9.1328125" customWidth="1"/>
    <col min="47" max="47" width="9.1328125" hidden="1" customWidth="1"/>
  </cols>
  <sheetData>
    <row r="1" spans="2:18">
      <c r="B1" s="135"/>
      <c r="K1" s="15" t="s">
        <v>4</v>
      </c>
      <c r="L1" s="8" t="s">
        <v>5</v>
      </c>
      <c r="M1" s="8">
        <v>1</v>
      </c>
      <c r="N1" s="8"/>
      <c r="O1" s="117"/>
      <c r="P1" s="8"/>
      <c r="Q1" s="43"/>
      <c r="R1" s="44"/>
    </row>
    <row r="2" spans="2:18">
      <c r="B2" s="135"/>
      <c r="K2" s="15" t="s">
        <v>6</v>
      </c>
      <c r="L2" s="8" t="s">
        <v>5</v>
      </c>
      <c r="M2" s="120">
        <v>1</v>
      </c>
      <c r="N2" s="8"/>
      <c r="O2" s="117"/>
      <c r="P2" s="8"/>
      <c r="Q2" s="43"/>
      <c r="R2" s="44"/>
    </row>
    <row r="3" spans="2:18">
      <c r="B3" s="135"/>
      <c r="K3" s="15"/>
      <c r="L3" s="84"/>
      <c r="M3" s="8"/>
      <c r="N3" s="8"/>
      <c r="O3" s="117"/>
      <c r="P3" s="8"/>
      <c r="Q3" s="43"/>
      <c r="R3" s="44"/>
    </row>
    <row r="4" spans="2:18">
      <c r="B4" s="135"/>
      <c r="K4" s="15"/>
      <c r="L4" s="84"/>
      <c r="M4" s="8"/>
      <c r="N4" s="8"/>
      <c r="O4" s="117"/>
      <c r="P4" s="8"/>
      <c r="Q4" s="43"/>
      <c r="R4" s="44"/>
    </row>
    <row r="5" spans="2:18">
      <c r="B5" s="135"/>
      <c r="K5" s="15"/>
      <c r="L5" s="8"/>
      <c r="M5" s="8"/>
      <c r="N5" s="8"/>
      <c r="O5" s="117"/>
      <c r="P5" s="8"/>
      <c r="Q5" s="43"/>
      <c r="R5" s="44"/>
    </row>
    <row r="6" spans="2:18">
      <c r="B6" s="135"/>
      <c r="K6" s="15"/>
      <c r="L6" s="17"/>
      <c r="M6" s="121"/>
      <c r="N6" s="8"/>
      <c r="O6" s="117"/>
      <c r="P6" s="8"/>
      <c r="Q6" s="43"/>
      <c r="R6" s="44"/>
    </row>
    <row r="7" spans="2:18">
      <c r="B7" s="135"/>
      <c r="K7" s="15"/>
      <c r="L7" s="15"/>
      <c r="M7" s="8"/>
      <c r="N7" s="8"/>
      <c r="O7" s="117"/>
      <c r="P7" s="8"/>
      <c r="Q7" s="43"/>
      <c r="R7" s="44"/>
    </row>
    <row r="8" spans="2:18" ht="13.15">
      <c r="B8" s="135"/>
      <c r="K8" s="19" t="s">
        <v>7</v>
      </c>
      <c r="L8" s="23"/>
      <c r="M8" s="52"/>
      <c r="N8" s="52"/>
      <c r="O8" s="117"/>
      <c r="P8" s="8"/>
      <c r="Q8" s="43"/>
      <c r="R8" s="44"/>
    </row>
    <row r="9" spans="2:18" s="18" customFormat="1" ht="25.5">
      <c r="B9" s="136"/>
      <c r="C9" s="82"/>
      <c r="E9" s="114"/>
      <c r="F9" s="50"/>
      <c r="I9" s="50"/>
      <c r="K9" s="19" t="s">
        <v>8</v>
      </c>
      <c r="L9" s="85" t="s">
        <v>9</v>
      </c>
      <c r="M9" s="21" t="s">
        <v>10</v>
      </c>
      <c r="N9" s="22"/>
      <c r="O9" s="122"/>
      <c r="P9" s="86"/>
      <c r="Q9" s="94"/>
      <c r="R9" s="95"/>
    </row>
    <row r="10" spans="2:18">
      <c r="B10" s="135"/>
      <c r="K10" s="23"/>
      <c r="L10" s="87">
        <v>1</v>
      </c>
      <c r="M10" s="25">
        <v>0.1</v>
      </c>
      <c r="N10" s="26"/>
      <c r="O10" s="117"/>
      <c r="P10" s="8"/>
      <c r="Q10" s="43"/>
      <c r="R10" s="44"/>
    </row>
    <row r="11" spans="2:18">
      <c r="B11" s="135"/>
      <c r="K11" s="23"/>
      <c r="L11" s="87">
        <v>2</v>
      </c>
      <c r="M11" s="25">
        <v>0.2</v>
      </c>
      <c r="N11" s="26"/>
      <c r="O11" s="117"/>
      <c r="P11" s="8"/>
      <c r="Q11" s="43"/>
      <c r="R11" s="44"/>
    </row>
    <row r="12" spans="2:18">
      <c r="B12" s="135"/>
      <c r="K12" s="23"/>
      <c r="L12" s="31">
        <v>3</v>
      </c>
      <c r="M12" s="28">
        <v>0.3</v>
      </c>
      <c r="N12" s="26"/>
      <c r="O12" s="117"/>
      <c r="P12" s="8"/>
      <c r="Q12" s="43"/>
      <c r="R12" s="44"/>
    </row>
    <row r="13" spans="2:18">
      <c r="B13" s="135"/>
      <c r="K13" s="23"/>
      <c r="L13" s="87" t="s">
        <v>11</v>
      </c>
      <c r="M13" s="29" t="s">
        <v>12</v>
      </c>
      <c r="N13" s="26"/>
      <c r="O13" s="117"/>
      <c r="P13" s="8"/>
      <c r="Q13" s="43"/>
      <c r="R13" s="44"/>
    </row>
    <row r="14" spans="2:18">
      <c r="B14" s="135"/>
      <c r="K14" s="23"/>
      <c r="L14" s="87"/>
      <c r="M14" s="29"/>
      <c r="N14" s="26"/>
      <c r="O14" s="117"/>
      <c r="P14" s="8"/>
      <c r="Q14" s="43"/>
      <c r="R14" s="44"/>
    </row>
    <row r="15" spans="2:18" ht="13.15">
      <c r="B15" s="135"/>
      <c r="K15" s="30" t="s">
        <v>13</v>
      </c>
      <c r="L15" s="87"/>
      <c r="M15" s="29"/>
      <c r="N15" s="26"/>
      <c r="O15" s="117"/>
      <c r="P15" s="8"/>
      <c r="Q15" s="43"/>
      <c r="R15" s="44"/>
    </row>
    <row r="16" spans="2:18">
      <c r="B16" s="135"/>
      <c r="K16" s="23" t="s">
        <v>14</v>
      </c>
      <c r="L16" s="31" t="s">
        <v>15</v>
      </c>
      <c r="M16" s="28" t="s">
        <v>16</v>
      </c>
      <c r="N16" s="26"/>
      <c r="O16" s="117"/>
      <c r="P16" s="8"/>
      <c r="Q16" s="43"/>
      <c r="R16" s="44"/>
    </row>
    <row r="17" spans="2:18">
      <c r="B17" s="135"/>
      <c r="K17" s="23"/>
      <c r="L17" s="31" t="s">
        <v>17</v>
      </c>
      <c r="M17" s="28" t="s">
        <v>18</v>
      </c>
      <c r="N17" s="26"/>
      <c r="O17" s="117"/>
      <c r="P17" s="8"/>
      <c r="Q17" s="43"/>
      <c r="R17" s="44"/>
    </row>
    <row r="18" spans="2:18">
      <c r="B18" s="135"/>
      <c r="K18" s="23"/>
      <c r="L18" s="87"/>
      <c r="M18" s="29"/>
      <c r="N18" s="26"/>
      <c r="O18" s="117"/>
      <c r="P18" s="8"/>
      <c r="Q18" s="43"/>
      <c r="R18" s="44"/>
    </row>
    <row r="19" spans="2:18">
      <c r="B19" s="135"/>
      <c r="K19" s="23"/>
      <c r="L19" s="87"/>
      <c r="M19" s="29"/>
      <c r="N19" s="26"/>
      <c r="O19" s="117"/>
      <c r="P19" s="8"/>
      <c r="Q19" s="43"/>
      <c r="R19" s="44"/>
    </row>
    <row r="20" spans="2:18" ht="13.15">
      <c r="B20" s="135"/>
      <c r="K20" s="19" t="s">
        <v>19</v>
      </c>
      <c r="L20" s="31" t="s">
        <v>20</v>
      </c>
      <c r="M20" s="28" t="s">
        <v>21</v>
      </c>
      <c r="N20" s="26"/>
      <c r="O20" s="117"/>
      <c r="P20" s="8"/>
      <c r="Q20" s="43"/>
      <c r="R20" s="44"/>
    </row>
    <row r="21" spans="2:18">
      <c r="B21" s="135"/>
      <c r="K21" s="23"/>
      <c r="L21" s="31" t="s">
        <v>22</v>
      </c>
      <c r="M21" s="28" t="s">
        <v>17</v>
      </c>
      <c r="N21" s="26"/>
      <c r="O21" s="117"/>
      <c r="P21" s="8"/>
      <c r="Q21" s="43"/>
      <c r="R21" s="44"/>
    </row>
    <row r="22" spans="2:18">
      <c r="B22" s="135"/>
      <c r="K22" s="23"/>
      <c r="L22" s="31"/>
      <c r="M22" s="28"/>
      <c r="N22" s="26"/>
      <c r="O22" s="117"/>
      <c r="P22" s="8"/>
      <c r="Q22" s="43"/>
      <c r="R22" s="44"/>
    </row>
    <row r="23" spans="2:18">
      <c r="B23" s="135"/>
      <c r="K23" s="23"/>
      <c r="L23" s="87"/>
      <c r="M23" s="29"/>
      <c r="N23" s="26"/>
      <c r="O23" s="117"/>
      <c r="P23" s="8"/>
      <c r="Q23" s="43"/>
      <c r="R23" s="44"/>
    </row>
    <row r="24" spans="2:18" ht="13.15">
      <c r="B24" s="135"/>
      <c r="K24" s="19" t="s">
        <v>23</v>
      </c>
      <c r="L24" s="31" t="s">
        <v>24</v>
      </c>
      <c r="M24" s="28" t="s">
        <v>25</v>
      </c>
      <c r="N24" s="31"/>
      <c r="O24" s="88"/>
      <c r="P24" s="8"/>
      <c r="Q24" s="43"/>
      <c r="R24" s="44"/>
    </row>
    <row r="25" spans="2:18">
      <c r="B25" s="135"/>
      <c r="K25" s="23"/>
      <c r="L25" s="31" t="s">
        <v>26</v>
      </c>
      <c r="M25" s="29">
        <v>0.1</v>
      </c>
      <c r="N25" s="31"/>
      <c r="O25" s="89"/>
      <c r="P25" s="8"/>
      <c r="Q25" s="43"/>
      <c r="R25" s="44"/>
    </row>
    <row r="26" spans="2:18">
      <c r="B26" s="135"/>
      <c r="K26" s="23"/>
      <c r="L26" s="31" t="s">
        <v>27</v>
      </c>
      <c r="M26" s="29">
        <v>0.2</v>
      </c>
      <c r="N26" s="31"/>
      <c r="O26" s="89"/>
      <c r="P26" s="8"/>
      <c r="Q26" s="43"/>
      <c r="R26" s="44"/>
    </row>
    <row r="27" spans="2:18">
      <c r="B27" s="135"/>
      <c r="K27" s="23"/>
      <c r="L27" s="31" t="s">
        <v>28</v>
      </c>
      <c r="M27" s="29">
        <v>0.3</v>
      </c>
      <c r="N27" s="31"/>
      <c r="O27" s="89"/>
      <c r="P27" s="8"/>
      <c r="Q27" s="43"/>
      <c r="R27" s="44"/>
    </row>
    <row r="28" spans="2:18">
      <c r="B28" s="135"/>
      <c r="K28" s="23"/>
      <c r="L28" s="31"/>
      <c r="M28" s="26"/>
      <c r="N28" s="31"/>
      <c r="O28" s="89"/>
      <c r="P28" s="8"/>
      <c r="Q28" s="43"/>
      <c r="R28" s="44"/>
    </row>
    <row r="29" spans="2:18">
      <c r="B29" s="135"/>
      <c r="K29" s="23"/>
      <c r="L29" s="31"/>
      <c r="M29" s="26"/>
      <c r="N29" s="31"/>
      <c r="O29" s="89"/>
      <c r="P29" s="8"/>
      <c r="Q29" s="43"/>
      <c r="R29" s="44"/>
    </row>
    <row r="30" spans="2:18" ht="13.15">
      <c r="B30" s="135"/>
      <c r="C30" s="82"/>
      <c r="K30" s="23"/>
      <c r="L30" s="31"/>
      <c r="M30" s="26"/>
      <c r="N30" s="31"/>
      <c r="O30" s="89"/>
      <c r="P30" s="8"/>
      <c r="Q30" s="43"/>
      <c r="R30" s="44"/>
    </row>
    <row r="31" spans="2:18" ht="13.15">
      <c r="C31" s="82"/>
      <c r="K31" s="90" t="s">
        <v>29</v>
      </c>
      <c r="L31" s="91"/>
      <c r="M31" s="92"/>
      <c r="N31" s="8"/>
      <c r="O31" s="123"/>
      <c r="P31" s="8"/>
      <c r="Q31" s="43"/>
      <c r="R31" s="44"/>
    </row>
    <row r="32" spans="2:18" ht="13.15" thickBot="1">
      <c r="B32" s="129"/>
      <c r="C32" s="129"/>
      <c r="D32" s="115"/>
      <c r="E32" s="115"/>
      <c r="F32" s="115"/>
      <c r="G32" s="115"/>
      <c r="H32" s="115"/>
      <c r="K32" s="232" t="s">
        <v>30</v>
      </c>
      <c r="L32" s="233"/>
      <c r="M32" s="233"/>
      <c r="N32" s="231"/>
      <c r="O32" s="124"/>
      <c r="P32" s="93"/>
      <c r="Q32" s="96"/>
      <c r="R32" s="97"/>
    </row>
    <row r="33" spans="2:19" s="18" customFormat="1" ht="62.25" customHeight="1" thickBot="1">
      <c r="B33" s="116" t="s">
        <v>0</v>
      </c>
      <c r="C33" s="98" t="s">
        <v>31</v>
      </c>
      <c r="D33" s="99" t="s">
        <v>32</v>
      </c>
      <c r="E33" s="100" t="s">
        <v>33</v>
      </c>
      <c r="F33" s="101" t="s">
        <v>34</v>
      </c>
      <c r="G33" s="101" t="s">
        <v>3</v>
      </c>
      <c r="H33" s="101" t="s">
        <v>59</v>
      </c>
      <c r="I33" s="101" t="s">
        <v>60</v>
      </c>
      <c r="J33" s="101" t="s">
        <v>35</v>
      </c>
      <c r="K33" s="98" t="s">
        <v>36</v>
      </c>
      <c r="L33" s="98" t="s">
        <v>37</v>
      </c>
      <c r="M33" s="103" t="s">
        <v>38</v>
      </c>
      <c r="N33" s="104" t="s">
        <v>39</v>
      </c>
      <c r="O33" s="105" t="s">
        <v>40</v>
      </c>
      <c r="P33" s="101" t="s">
        <v>41</v>
      </c>
      <c r="Q33" s="98" t="s">
        <v>42</v>
      </c>
      <c r="R33" s="107" t="s">
        <v>43</v>
      </c>
      <c r="S33" s="108" t="s">
        <v>61</v>
      </c>
    </row>
    <row r="34" spans="2:19" s="141" customFormat="1" ht="13.15">
      <c r="B34" s="143"/>
      <c r="C34" s="144"/>
      <c r="D34" s="144"/>
      <c r="E34" s="145"/>
      <c r="F34" s="144"/>
      <c r="G34" s="144"/>
      <c r="H34" s="144"/>
      <c r="I34" s="144"/>
      <c r="J34" s="144"/>
      <c r="K34" s="144"/>
      <c r="L34" s="144"/>
      <c r="M34" s="146"/>
      <c r="N34" s="147"/>
      <c r="O34" s="148"/>
      <c r="P34" s="149"/>
      <c r="Q34" s="144"/>
      <c r="R34" s="150"/>
      <c r="S34" s="151" t="s">
        <v>44</v>
      </c>
    </row>
    <row r="35" spans="2:19">
      <c r="B35" s="138"/>
      <c r="C35" s="130"/>
      <c r="D35" s="119"/>
      <c r="E35" s="142"/>
      <c r="F35" s="102"/>
      <c r="G35" s="83"/>
      <c r="H35" s="83"/>
      <c r="I35" s="102"/>
      <c r="J35" s="15"/>
      <c r="K35" s="118"/>
      <c r="L35" s="118"/>
      <c r="M35" s="125"/>
      <c r="N35" s="125"/>
      <c r="O35" s="125"/>
      <c r="P35" s="125"/>
      <c r="Q35" s="127"/>
      <c r="R35" s="140"/>
      <c r="S35" s="109"/>
    </row>
    <row r="36" spans="2:19">
      <c r="B36" s="138"/>
      <c r="C36" s="130"/>
      <c r="D36" s="119"/>
      <c r="E36" s="142"/>
      <c r="F36" s="102"/>
      <c r="G36" s="83"/>
      <c r="H36" s="83"/>
      <c r="I36" s="102"/>
      <c r="J36" s="15"/>
      <c r="K36" s="118"/>
      <c r="L36" s="118"/>
      <c r="M36" s="125"/>
      <c r="N36" s="125"/>
      <c r="O36" s="125"/>
      <c r="P36" s="125"/>
      <c r="Q36" s="127"/>
      <c r="R36" s="140"/>
      <c r="S36" s="109"/>
    </row>
    <row r="37" spans="2:19">
      <c r="B37" s="138"/>
      <c r="C37" s="130"/>
      <c r="D37" s="119"/>
      <c r="E37" s="142"/>
      <c r="F37" s="102"/>
      <c r="G37" s="83"/>
      <c r="H37" s="83"/>
      <c r="I37" s="102"/>
      <c r="J37" s="15"/>
      <c r="K37" s="118"/>
      <c r="L37" s="155"/>
      <c r="M37" s="125"/>
      <c r="N37" s="125"/>
      <c r="O37" s="125"/>
      <c r="P37" s="125"/>
      <c r="Q37" s="127"/>
      <c r="R37" s="140"/>
      <c r="S37" s="109"/>
    </row>
    <row r="38" spans="2:19">
      <c r="B38" s="138"/>
      <c r="C38" s="130"/>
      <c r="D38" s="119"/>
      <c r="E38" s="142"/>
      <c r="F38" s="102"/>
      <c r="G38" s="83"/>
      <c r="H38" s="83"/>
      <c r="I38" s="102"/>
      <c r="J38" s="15"/>
      <c r="K38" s="118"/>
      <c r="L38" s="118"/>
      <c r="M38" s="125"/>
      <c r="N38" s="125"/>
      <c r="O38" s="125"/>
      <c r="P38" s="125"/>
      <c r="Q38" s="127"/>
      <c r="R38" s="140"/>
      <c r="S38" s="109"/>
    </row>
    <row r="39" spans="2:19">
      <c r="B39" s="138"/>
      <c r="C39" s="130"/>
      <c r="D39" s="119"/>
      <c r="E39" s="142"/>
      <c r="F39" s="102"/>
      <c r="G39" s="83"/>
      <c r="H39" s="83"/>
      <c r="I39" s="102"/>
      <c r="J39" s="15"/>
      <c r="K39" s="118"/>
      <c r="L39" s="118"/>
      <c r="M39" s="125"/>
      <c r="N39" s="125"/>
      <c r="O39" s="125"/>
      <c r="P39" s="125"/>
      <c r="Q39" s="127"/>
      <c r="R39" s="140"/>
      <c r="S39" s="109"/>
    </row>
    <row r="40" spans="2:19">
      <c r="B40" s="138"/>
      <c r="C40" s="130"/>
      <c r="D40" s="119"/>
      <c r="E40" s="142"/>
      <c r="F40" s="102"/>
      <c r="G40" s="83"/>
      <c r="H40" s="83"/>
      <c r="I40" s="102"/>
      <c r="J40" s="15"/>
      <c r="K40" s="118"/>
      <c r="L40" s="118"/>
      <c r="M40" s="125"/>
      <c r="N40" s="125"/>
      <c r="O40" s="125"/>
      <c r="P40" s="125"/>
      <c r="Q40" s="127"/>
      <c r="R40" s="140"/>
      <c r="S40" s="109"/>
    </row>
    <row r="41" spans="2:19">
      <c r="B41" s="138"/>
      <c r="C41" s="130"/>
      <c r="D41" s="119"/>
      <c r="E41" s="142"/>
      <c r="F41" s="102"/>
      <c r="G41" s="83"/>
      <c r="H41" s="83"/>
      <c r="I41" s="102"/>
      <c r="J41" s="15"/>
      <c r="K41" s="118"/>
      <c r="L41" s="118"/>
      <c r="M41" s="125"/>
      <c r="N41" s="125"/>
      <c r="O41" s="125"/>
      <c r="P41" s="125"/>
      <c r="Q41" s="127"/>
      <c r="R41" s="140"/>
      <c r="S41" s="109"/>
    </row>
    <row r="42" spans="2:19">
      <c r="B42" s="138"/>
      <c r="C42" s="130"/>
      <c r="D42" s="119"/>
      <c r="E42" s="142"/>
      <c r="F42" s="102"/>
      <c r="G42" s="83"/>
      <c r="H42" s="83"/>
      <c r="I42" s="102"/>
      <c r="J42" s="15"/>
      <c r="K42" s="118"/>
      <c r="L42" s="118"/>
      <c r="M42" s="125"/>
      <c r="N42" s="125"/>
      <c r="O42" s="125"/>
      <c r="P42" s="125"/>
      <c r="Q42" s="127"/>
      <c r="R42" s="140"/>
      <c r="S42" s="109"/>
    </row>
    <row r="43" spans="2:19">
      <c r="B43" s="138"/>
      <c r="C43" s="130"/>
      <c r="D43" s="119"/>
      <c r="E43" s="142"/>
      <c r="F43" s="102"/>
      <c r="G43" s="83"/>
      <c r="H43" s="83"/>
      <c r="I43" s="102"/>
      <c r="J43" s="15"/>
      <c r="K43" s="118"/>
      <c r="L43" s="118"/>
      <c r="M43" s="125"/>
      <c r="N43" s="125"/>
      <c r="O43" s="125"/>
      <c r="P43" s="125"/>
      <c r="Q43" s="127"/>
      <c r="R43" s="140"/>
      <c r="S43" s="109"/>
    </row>
    <row r="44" spans="2:19">
      <c r="B44" s="138"/>
      <c r="C44" s="130"/>
      <c r="D44" s="119"/>
      <c r="E44" s="142"/>
      <c r="F44" s="102"/>
      <c r="G44" s="83"/>
      <c r="H44" s="83"/>
      <c r="I44" s="102"/>
      <c r="J44" s="15"/>
      <c r="K44" s="118"/>
      <c r="L44" s="118"/>
      <c r="M44" s="125"/>
      <c r="N44" s="125"/>
      <c r="O44" s="125"/>
      <c r="P44" s="125"/>
      <c r="Q44" s="127"/>
      <c r="R44" s="140"/>
      <c r="S44" s="109"/>
    </row>
    <row r="45" spans="2:19">
      <c r="B45" s="138"/>
      <c r="C45" s="130"/>
      <c r="D45" s="119"/>
      <c r="E45" s="142"/>
      <c r="F45" s="102"/>
      <c r="G45" s="83"/>
      <c r="H45" s="83"/>
      <c r="I45" s="102"/>
      <c r="J45" s="15"/>
      <c r="K45" s="118"/>
      <c r="L45" s="118"/>
      <c r="M45" s="125"/>
      <c r="N45" s="125"/>
      <c r="O45" s="125"/>
      <c r="P45" s="125"/>
      <c r="Q45" s="127"/>
      <c r="R45" s="140"/>
      <c r="S45" s="109"/>
    </row>
    <row r="46" spans="2:19">
      <c r="B46" s="138"/>
      <c r="C46" s="130"/>
      <c r="D46" s="119"/>
      <c r="E46" s="142"/>
      <c r="F46" s="102"/>
      <c r="G46" s="83"/>
      <c r="H46" s="83"/>
      <c r="I46" s="102"/>
      <c r="J46" s="15"/>
      <c r="K46" s="118"/>
      <c r="L46" s="118"/>
      <c r="M46" s="125"/>
      <c r="N46" s="125"/>
      <c r="O46" s="125"/>
      <c r="P46" s="125"/>
      <c r="Q46" s="127"/>
      <c r="R46" s="140"/>
      <c r="S46" s="109"/>
    </row>
    <row r="47" spans="2:19">
      <c r="B47" s="138"/>
      <c r="C47" s="130"/>
      <c r="D47" s="119"/>
      <c r="E47" s="142"/>
      <c r="F47" s="102"/>
      <c r="G47" s="83"/>
      <c r="H47" s="83"/>
      <c r="I47" s="102"/>
      <c r="J47" s="15"/>
      <c r="K47" s="118"/>
      <c r="L47" s="118"/>
      <c r="M47" s="125"/>
      <c r="N47" s="125"/>
      <c r="O47" s="125"/>
      <c r="P47" s="125"/>
      <c r="Q47" s="127"/>
      <c r="R47" s="140"/>
      <c r="S47" s="109"/>
    </row>
    <row r="48" spans="2:19">
      <c r="B48" s="138"/>
      <c r="C48" s="130"/>
      <c r="D48" s="119"/>
      <c r="E48" s="142"/>
      <c r="F48" s="102"/>
      <c r="G48" s="83"/>
      <c r="H48" s="83"/>
      <c r="I48" s="102"/>
      <c r="J48" s="15"/>
      <c r="K48" s="118"/>
      <c r="L48" s="118"/>
      <c r="M48" s="125"/>
      <c r="N48" s="125"/>
      <c r="O48" s="125"/>
      <c r="P48" s="125"/>
      <c r="Q48" s="127"/>
      <c r="R48" s="140"/>
      <c r="S48" s="109"/>
    </row>
    <row r="49" spans="2:19">
      <c r="B49" s="138"/>
      <c r="C49" s="130"/>
      <c r="D49" s="119"/>
      <c r="E49" s="142"/>
      <c r="F49" s="102"/>
      <c r="G49" s="83"/>
      <c r="H49" s="83"/>
      <c r="I49" s="102"/>
      <c r="J49" s="15"/>
      <c r="K49" s="118"/>
      <c r="L49" s="155"/>
      <c r="M49" s="125"/>
      <c r="N49" s="125"/>
      <c r="O49" s="125"/>
      <c r="P49" s="125"/>
      <c r="Q49" s="127"/>
      <c r="R49" s="140"/>
      <c r="S49" s="109"/>
    </row>
    <row r="50" spans="2:19">
      <c r="B50" s="138"/>
      <c r="C50" s="130"/>
      <c r="D50" s="119"/>
      <c r="E50" s="142"/>
      <c r="F50" s="102"/>
      <c r="G50" s="83"/>
      <c r="H50" s="83"/>
      <c r="I50" s="102"/>
      <c r="J50" s="15"/>
      <c r="K50" s="118"/>
      <c r="L50" s="118"/>
      <c r="M50" s="125"/>
      <c r="N50" s="125"/>
      <c r="O50" s="125"/>
      <c r="P50" s="125"/>
      <c r="Q50" s="127"/>
      <c r="R50" s="140"/>
      <c r="S50" s="109"/>
    </row>
    <row r="51" spans="2:19">
      <c r="B51" s="138"/>
      <c r="C51" s="130"/>
      <c r="D51" s="119"/>
      <c r="E51" s="142"/>
      <c r="F51" s="102"/>
      <c r="G51" s="83"/>
      <c r="H51" s="83"/>
      <c r="I51" s="102"/>
      <c r="J51" s="15"/>
      <c r="K51" s="118"/>
      <c r="L51" s="118"/>
      <c r="M51" s="125"/>
      <c r="N51" s="125"/>
      <c r="O51" s="125"/>
      <c r="P51" s="125"/>
      <c r="Q51" s="127"/>
      <c r="R51" s="140"/>
      <c r="S51" s="109"/>
    </row>
    <row r="52" spans="2:19">
      <c r="B52" s="138"/>
      <c r="C52" s="130"/>
      <c r="D52" s="119"/>
      <c r="E52" s="142"/>
      <c r="F52" s="102"/>
      <c r="G52" s="83"/>
      <c r="H52" s="83"/>
      <c r="I52" s="102"/>
      <c r="J52" s="15"/>
      <c r="K52" s="118"/>
      <c r="L52" s="118"/>
      <c r="M52" s="125"/>
      <c r="N52" s="125"/>
      <c r="O52" s="125"/>
      <c r="P52" s="125"/>
      <c r="Q52" s="127"/>
      <c r="R52" s="140"/>
      <c r="S52" s="109"/>
    </row>
    <row r="53" spans="2:19">
      <c r="B53" s="138"/>
      <c r="C53" s="130"/>
      <c r="D53" s="119"/>
      <c r="E53" s="142"/>
      <c r="F53" s="102"/>
      <c r="G53" s="83"/>
      <c r="H53" s="83"/>
      <c r="I53" s="102"/>
      <c r="J53" s="15"/>
      <c r="K53" s="118"/>
      <c r="L53" s="118"/>
      <c r="M53" s="125"/>
      <c r="N53" s="125"/>
      <c r="O53" s="125"/>
      <c r="P53" s="125"/>
      <c r="Q53" s="127"/>
      <c r="R53" s="140"/>
      <c r="S53" s="109"/>
    </row>
    <row r="54" spans="2:19">
      <c r="B54" s="138"/>
      <c r="C54" s="130"/>
      <c r="D54" s="119"/>
      <c r="E54" s="142"/>
      <c r="F54" s="102"/>
      <c r="G54" s="83"/>
      <c r="H54" s="83"/>
      <c r="I54" s="102"/>
      <c r="J54" s="15"/>
      <c r="K54" s="118"/>
      <c r="L54" s="118"/>
      <c r="M54" s="125"/>
      <c r="N54" s="125"/>
      <c r="O54" s="125"/>
      <c r="P54" s="125"/>
      <c r="Q54" s="127"/>
      <c r="R54" s="140"/>
      <c r="S54" s="109"/>
    </row>
    <row r="55" spans="2:19">
      <c r="B55" s="138"/>
      <c r="C55" s="130"/>
      <c r="D55" s="119"/>
      <c r="E55" s="142"/>
      <c r="F55" s="102"/>
      <c r="G55" s="83"/>
      <c r="H55" s="83"/>
      <c r="I55" s="102"/>
      <c r="J55" s="15"/>
      <c r="K55" s="118"/>
      <c r="L55" s="118"/>
      <c r="M55" s="125"/>
      <c r="N55" s="125"/>
      <c r="O55" s="125"/>
      <c r="P55" s="125"/>
      <c r="Q55" s="127"/>
      <c r="R55" s="140"/>
      <c r="S55" s="109"/>
    </row>
    <row r="56" spans="2:19">
      <c r="B56" s="138"/>
      <c r="C56" s="130"/>
      <c r="D56" s="119"/>
      <c r="E56" s="142"/>
      <c r="F56" s="102"/>
      <c r="G56" s="83"/>
      <c r="H56" s="83"/>
      <c r="I56" s="102"/>
      <c r="J56" s="15"/>
      <c r="K56" s="118"/>
      <c r="L56" s="118"/>
      <c r="M56" s="125"/>
      <c r="N56" s="125"/>
      <c r="O56" s="125"/>
      <c r="P56" s="125"/>
      <c r="Q56" s="127"/>
      <c r="R56" s="140"/>
      <c r="S56" s="109"/>
    </row>
    <row r="57" spans="2:19">
      <c r="B57" s="138"/>
      <c r="C57" s="130"/>
      <c r="D57" s="119"/>
      <c r="E57" s="142"/>
      <c r="F57" s="102"/>
      <c r="G57" s="83"/>
      <c r="H57" s="83"/>
      <c r="I57" s="102"/>
      <c r="J57" s="15"/>
      <c r="K57" s="118"/>
      <c r="L57" s="118"/>
      <c r="M57" s="125"/>
      <c r="N57" s="125"/>
      <c r="O57" s="125"/>
      <c r="P57" s="125"/>
      <c r="Q57" s="127"/>
      <c r="R57" s="140"/>
      <c r="S57" s="109"/>
    </row>
    <row r="58" spans="2:19">
      <c r="B58" s="138"/>
      <c r="C58" s="130"/>
      <c r="D58" s="119"/>
      <c r="E58" s="142"/>
      <c r="F58" s="102"/>
      <c r="G58" s="83"/>
      <c r="H58" s="83"/>
      <c r="I58" s="102"/>
      <c r="J58" s="15"/>
      <c r="K58" s="118"/>
      <c r="L58" s="118"/>
      <c r="M58" s="125"/>
      <c r="N58" s="125"/>
      <c r="O58" s="125"/>
      <c r="P58" s="125"/>
      <c r="Q58" s="127"/>
      <c r="R58" s="140"/>
      <c r="S58" s="109"/>
    </row>
    <row r="59" spans="2:19">
      <c r="B59" s="138"/>
      <c r="C59" s="130"/>
      <c r="D59" s="119"/>
      <c r="E59" s="142"/>
      <c r="F59" s="102"/>
      <c r="G59" s="83"/>
      <c r="H59" s="83"/>
      <c r="I59" s="102"/>
      <c r="J59" s="15"/>
      <c r="K59" s="118"/>
      <c r="L59" s="118"/>
      <c r="M59" s="125"/>
      <c r="N59" s="125"/>
      <c r="O59" s="125"/>
      <c r="P59" s="125"/>
      <c r="Q59" s="127"/>
      <c r="R59" s="140"/>
      <c r="S59" s="109"/>
    </row>
    <row r="60" spans="2:19">
      <c r="B60" s="138"/>
      <c r="C60" s="130"/>
      <c r="D60" s="119"/>
      <c r="E60" s="142"/>
      <c r="F60" s="102"/>
      <c r="G60" s="83"/>
      <c r="H60" s="83"/>
      <c r="I60" s="102"/>
      <c r="J60" s="15"/>
      <c r="K60" s="118"/>
      <c r="L60" s="118"/>
      <c r="M60" s="125"/>
      <c r="N60" s="125"/>
      <c r="O60" s="125"/>
      <c r="P60" s="125"/>
      <c r="Q60" s="127"/>
      <c r="R60" s="140"/>
      <c r="S60" s="109"/>
    </row>
    <row r="61" spans="2:19">
      <c r="B61" s="138"/>
      <c r="C61" s="130"/>
      <c r="D61" s="119"/>
      <c r="E61" s="142"/>
      <c r="F61" s="102"/>
      <c r="G61" s="83"/>
      <c r="H61" s="83"/>
      <c r="I61" s="102"/>
      <c r="J61" s="15"/>
      <c r="K61" s="118"/>
      <c r="L61" s="118"/>
      <c r="M61" s="125"/>
      <c r="N61" s="125"/>
      <c r="O61" s="125"/>
      <c r="P61" s="125"/>
      <c r="Q61" s="127"/>
      <c r="R61" s="140"/>
      <c r="S61" s="109"/>
    </row>
    <row r="62" spans="2:19">
      <c r="B62" s="138"/>
      <c r="C62" s="130"/>
      <c r="D62" s="119"/>
      <c r="E62" s="142"/>
      <c r="F62" s="102"/>
      <c r="G62" s="83"/>
      <c r="H62" s="83"/>
      <c r="I62" s="102"/>
      <c r="J62" s="15"/>
      <c r="K62" s="118"/>
      <c r="L62" s="118"/>
      <c r="M62" s="125"/>
      <c r="N62" s="125"/>
      <c r="O62" s="125"/>
      <c r="P62" s="125"/>
      <c r="Q62" s="127"/>
      <c r="R62" s="140"/>
      <c r="S62" s="109"/>
    </row>
    <row r="63" spans="2:19">
      <c r="B63" s="138"/>
      <c r="C63" s="130"/>
      <c r="D63" s="119"/>
      <c r="E63" s="142"/>
      <c r="F63" s="102"/>
      <c r="G63" s="83"/>
      <c r="H63" s="83"/>
      <c r="I63" s="102"/>
      <c r="J63" s="15"/>
      <c r="K63" s="118"/>
      <c r="L63" s="118"/>
      <c r="M63" s="125"/>
      <c r="N63" s="125"/>
      <c r="O63" s="125"/>
      <c r="P63" s="125"/>
      <c r="Q63" s="127"/>
      <c r="R63" s="140"/>
      <c r="S63" s="109"/>
    </row>
    <row r="64" spans="2:19">
      <c r="B64" s="138"/>
      <c r="C64" s="130"/>
      <c r="D64" s="119"/>
      <c r="E64" s="142"/>
      <c r="F64" s="102"/>
      <c r="G64" s="83"/>
      <c r="H64" s="83"/>
      <c r="I64" s="102"/>
      <c r="J64" s="15"/>
      <c r="K64" s="118"/>
      <c r="L64" s="118"/>
      <c r="M64" s="125"/>
      <c r="N64" s="125"/>
      <c r="O64" s="125"/>
      <c r="P64" s="125"/>
      <c r="Q64" s="127"/>
      <c r="R64" s="140"/>
      <c r="S64" s="109"/>
    </row>
    <row r="65" spans="2:19">
      <c r="B65" s="138"/>
      <c r="C65" s="130"/>
      <c r="D65" s="119"/>
      <c r="E65" s="142"/>
      <c r="F65" s="102"/>
      <c r="G65" s="83"/>
      <c r="H65" s="83"/>
      <c r="I65" s="102"/>
      <c r="J65" s="15"/>
      <c r="K65" s="118"/>
      <c r="L65" s="118"/>
      <c r="M65" s="125"/>
      <c r="N65" s="125"/>
      <c r="O65" s="125"/>
      <c r="P65" s="125"/>
      <c r="Q65" s="127"/>
      <c r="R65" s="140"/>
      <c r="S65" s="109"/>
    </row>
    <row r="66" spans="2:19">
      <c r="B66" s="138"/>
      <c r="C66" s="130"/>
      <c r="D66" s="119"/>
      <c r="E66" s="142"/>
      <c r="F66" s="102"/>
      <c r="G66" s="83"/>
      <c r="H66" s="83"/>
      <c r="I66" s="102"/>
      <c r="J66" s="15"/>
      <c r="K66" s="118"/>
      <c r="L66" s="118"/>
      <c r="M66" s="125"/>
      <c r="N66" s="125"/>
      <c r="O66" s="125"/>
      <c r="P66" s="125"/>
      <c r="Q66" s="127"/>
      <c r="R66" s="140"/>
      <c r="S66" s="109"/>
    </row>
    <row r="67" spans="2:19">
      <c r="B67" s="138"/>
      <c r="C67" s="130"/>
      <c r="D67" s="119"/>
      <c r="E67" s="142"/>
      <c r="F67" s="102"/>
      <c r="G67" s="83"/>
      <c r="H67" s="83"/>
      <c r="I67" s="102"/>
      <c r="J67" s="15"/>
      <c r="K67" s="118"/>
      <c r="L67" s="118"/>
      <c r="M67" s="125"/>
      <c r="N67" s="125"/>
      <c r="O67" s="125"/>
      <c r="P67" s="125"/>
      <c r="Q67" s="127"/>
      <c r="R67" s="140"/>
      <c r="S67" s="109"/>
    </row>
    <row r="68" spans="2:19">
      <c r="B68" s="138"/>
      <c r="C68" s="130"/>
      <c r="D68" s="119"/>
      <c r="E68" s="142"/>
      <c r="F68" s="102"/>
      <c r="G68" s="83"/>
      <c r="H68" s="83"/>
      <c r="I68" s="102"/>
      <c r="J68" s="15"/>
      <c r="K68" s="118"/>
      <c r="L68" s="118"/>
      <c r="M68" s="125"/>
      <c r="N68" s="125"/>
      <c r="O68" s="125"/>
      <c r="P68" s="125"/>
      <c r="Q68" s="127"/>
      <c r="R68" s="140"/>
      <c r="S68" s="109"/>
    </row>
    <row r="69" spans="2:19">
      <c r="B69" s="138"/>
      <c r="C69" s="130"/>
      <c r="D69" s="119"/>
      <c r="E69" s="142"/>
      <c r="F69" s="102"/>
      <c r="G69" s="83"/>
      <c r="H69" s="83"/>
      <c r="I69" s="102"/>
      <c r="J69" s="15"/>
      <c r="K69" s="118"/>
      <c r="L69" s="118"/>
      <c r="M69" s="125"/>
      <c r="N69" s="125"/>
      <c r="O69" s="125"/>
      <c r="P69" s="125"/>
      <c r="Q69" s="127"/>
      <c r="R69" s="140"/>
      <c r="S69" s="109"/>
    </row>
    <row r="70" spans="2:19" ht="13.15" thickBot="1">
      <c r="B70" s="139"/>
      <c r="C70" s="131"/>
      <c r="D70" s="132"/>
      <c r="E70" s="152"/>
      <c r="F70" s="110"/>
      <c r="G70" s="111"/>
      <c r="H70" s="111"/>
      <c r="I70" s="110"/>
      <c r="J70" s="112"/>
      <c r="K70" s="133"/>
      <c r="L70" s="133"/>
      <c r="M70" s="134"/>
      <c r="N70" s="134"/>
      <c r="O70" s="134"/>
      <c r="P70" s="134"/>
      <c r="Q70" s="128"/>
      <c r="R70" s="140"/>
      <c r="S70" s="113"/>
    </row>
  </sheetData>
  <sortState xmlns:xlrd2="http://schemas.microsoft.com/office/spreadsheetml/2017/richdata2" ref="B35:S56">
    <sortCondition ref="K35:K56"/>
  </sortState>
  <mergeCells count="1">
    <mergeCell ref="K32:N32"/>
  </mergeCells>
  <pageMargins left="0.39370078740157499" right="0.78740157480314998" top="0.39370078740157499" bottom="0.98425196850393704" header="0.511811023622047" footer="0.511811023622047"/>
  <pageSetup paperSize="8" scale="69" orientation="landscape" r:id="rId1"/>
  <headerFooter alignWithMargins="0"/>
  <rowBreaks count="1" manualBreakCount="1">
    <brk id="3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A99"/>
  <sheetViews>
    <sheetView showGridLines="0" tabSelected="1" topLeftCell="A21" zoomScale="80" zoomScaleNormal="80" zoomScaleSheetLayoutView="85" workbookViewId="0">
      <selection activeCell="B25" sqref="B25"/>
    </sheetView>
  </sheetViews>
  <sheetFormatPr defaultColWidth="9" defaultRowHeight="12.75"/>
  <cols>
    <col min="1" max="1" width="3.86328125" customWidth="1"/>
    <col min="2" max="2" width="13.265625" style="3" customWidth="1"/>
    <col min="3" max="3" width="14.86328125" style="1" customWidth="1"/>
    <col min="4" max="4" width="44.73046875" style="13" customWidth="1"/>
    <col min="5" max="5" width="6.86328125" style="3" customWidth="1"/>
    <col min="6" max="6" width="9.86328125" style="3" bestFit="1" customWidth="1"/>
    <col min="7" max="7" width="14.3984375" style="2" customWidth="1"/>
    <col min="8" max="8" width="13.86328125" style="2" customWidth="1"/>
    <col min="9" max="9" width="15" bestFit="1" customWidth="1"/>
    <col min="10" max="10" width="31.86328125" bestFit="1" customWidth="1"/>
    <col min="11" max="11" width="9.59765625" bestFit="1" customWidth="1"/>
    <col min="12" max="12" width="8.86328125" customWidth="1"/>
    <col min="13" max="13" width="9.73046875" customWidth="1"/>
    <col min="14" max="15" width="8.86328125" customWidth="1"/>
    <col min="16" max="16" width="9.59765625" bestFit="1" customWidth="1"/>
    <col min="17" max="17" width="9.265625" style="4" customWidth="1"/>
    <col min="18" max="18" width="13.73046875" style="5" customWidth="1"/>
    <col min="19" max="19" width="14.3984375" style="6" customWidth="1"/>
    <col min="20" max="20" width="13.86328125" style="6" customWidth="1"/>
    <col min="21" max="21" width="22.59765625" style="195" bestFit="1" customWidth="1"/>
    <col min="22" max="22" width="87" bestFit="1" customWidth="1"/>
    <col min="23" max="23" width="10.59765625" customWidth="1"/>
    <col min="24" max="24" width="13.86328125" style="6" customWidth="1"/>
    <col min="25" max="25" width="9" hidden="1" customWidth="1"/>
    <col min="26" max="26" width="29.3984375" hidden="1" customWidth="1"/>
    <col min="27" max="27" width="9" hidden="1" customWidth="1"/>
  </cols>
  <sheetData>
    <row r="1" spans="2:21">
      <c r="C1" s="3"/>
      <c r="D1" s="15" t="s">
        <v>4</v>
      </c>
      <c r="E1" s="8"/>
      <c r="F1" s="8"/>
      <c r="G1" s="16" t="s">
        <v>5</v>
      </c>
      <c r="H1" s="8">
        <v>6</v>
      </c>
      <c r="I1" s="8"/>
      <c r="Q1"/>
      <c r="R1"/>
      <c r="S1"/>
      <c r="T1"/>
      <c r="U1"/>
    </row>
    <row r="2" spans="2:21">
      <c r="C2" s="3"/>
      <c r="D2" s="15" t="s">
        <v>6</v>
      </c>
      <c r="E2" s="8"/>
      <c r="F2" s="8"/>
      <c r="G2" s="16" t="s">
        <v>5</v>
      </c>
      <c r="H2" s="120">
        <v>6</v>
      </c>
      <c r="I2" s="8"/>
      <c r="Q2"/>
      <c r="R2"/>
      <c r="S2"/>
      <c r="T2"/>
      <c r="U2"/>
    </row>
    <row r="3" spans="2:21" ht="13.15">
      <c r="C3" s="3"/>
      <c r="D3" s="165" t="s">
        <v>7</v>
      </c>
      <c r="E3" s="166"/>
      <c r="F3" s="166"/>
      <c r="G3" s="166"/>
      <c r="H3" s="166"/>
      <c r="I3" s="167"/>
      <c r="Q3"/>
      <c r="R3"/>
      <c r="S3"/>
      <c r="T3"/>
      <c r="U3"/>
    </row>
    <row r="4" spans="2:21" ht="38.25">
      <c r="B4" s="50"/>
      <c r="C4" s="50"/>
      <c r="D4" s="19" t="s">
        <v>8</v>
      </c>
      <c r="E4" s="51"/>
      <c r="F4" s="51"/>
      <c r="G4" s="20" t="s">
        <v>9</v>
      </c>
      <c r="H4" s="21" t="s">
        <v>10</v>
      </c>
      <c r="I4" s="22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</row>
    <row r="5" spans="2:21">
      <c r="C5" s="3"/>
      <c r="D5" s="23"/>
      <c r="E5" s="52"/>
      <c r="F5" s="52"/>
      <c r="G5" s="24">
        <v>1</v>
      </c>
      <c r="H5" s="25">
        <v>0.1</v>
      </c>
      <c r="I5" s="26"/>
      <c r="Q5"/>
      <c r="R5"/>
      <c r="S5"/>
      <c r="T5"/>
      <c r="U5"/>
    </row>
    <row r="6" spans="2:21">
      <c r="C6" s="3"/>
      <c r="D6" s="23"/>
      <c r="E6" s="52"/>
      <c r="F6" s="52"/>
      <c r="G6" s="24">
        <v>2</v>
      </c>
      <c r="H6" s="25">
        <v>0.2</v>
      </c>
      <c r="I6" s="26"/>
      <c r="Q6"/>
      <c r="R6"/>
      <c r="S6"/>
      <c r="T6"/>
      <c r="U6"/>
    </row>
    <row r="7" spans="2:21">
      <c r="C7" s="3"/>
      <c r="D7" s="23"/>
      <c r="E7" s="52"/>
      <c r="F7" s="52"/>
      <c r="G7" s="27">
        <v>3</v>
      </c>
      <c r="H7" s="28">
        <v>0.3</v>
      </c>
      <c r="I7" s="26"/>
      <c r="Q7"/>
      <c r="R7"/>
      <c r="S7"/>
      <c r="T7"/>
      <c r="U7"/>
    </row>
    <row r="8" spans="2:21">
      <c r="C8" s="3"/>
      <c r="D8" s="23"/>
      <c r="E8" s="52"/>
      <c r="F8" s="52"/>
      <c r="G8" s="24" t="s">
        <v>11</v>
      </c>
      <c r="H8" s="29" t="s">
        <v>12</v>
      </c>
      <c r="I8" s="26"/>
      <c r="Q8"/>
      <c r="R8"/>
      <c r="S8"/>
      <c r="T8"/>
      <c r="U8"/>
    </row>
    <row r="9" spans="2:21" ht="13.15">
      <c r="C9" s="3"/>
      <c r="D9" s="30" t="s">
        <v>13</v>
      </c>
      <c r="E9" s="53"/>
      <c r="F9" s="53"/>
      <c r="G9" s="24"/>
      <c r="H9" s="29"/>
      <c r="I9" s="26"/>
      <c r="Q9"/>
      <c r="R9"/>
      <c r="S9"/>
      <c r="T9"/>
      <c r="U9"/>
    </row>
    <row r="10" spans="2:21">
      <c r="C10" s="3"/>
      <c r="D10" s="23" t="s">
        <v>14</v>
      </c>
      <c r="E10" s="52"/>
      <c r="F10" s="52"/>
      <c r="G10" s="27" t="s">
        <v>15</v>
      </c>
      <c r="H10" s="28" t="s">
        <v>16</v>
      </c>
      <c r="I10" s="26"/>
      <c r="Q10"/>
      <c r="R10"/>
      <c r="S10"/>
      <c r="T10"/>
      <c r="U10"/>
    </row>
    <row r="11" spans="2:21">
      <c r="C11" s="3"/>
      <c r="D11" s="23"/>
      <c r="E11" s="52"/>
      <c r="F11" s="52"/>
      <c r="G11" s="27" t="s">
        <v>17</v>
      </c>
      <c r="H11" s="28" t="s">
        <v>18</v>
      </c>
      <c r="I11" s="26"/>
      <c r="Q11"/>
      <c r="R11"/>
      <c r="S11"/>
      <c r="T11"/>
      <c r="U11"/>
    </row>
    <row r="12" spans="2:21" ht="13.15">
      <c r="C12" s="3"/>
      <c r="D12" s="19" t="s">
        <v>19</v>
      </c>
      <c r="E12" s="51"/>
      <c r="F12" s="51"/>
      <c r="G12" s="27" t="s">
        <v>20</v>
      </c>
      <c r="H12" s="28" t="s">
        <v>21</v>
      </c>
      <c r="I12" s="26"/>
      <c r="Q12"/>
      <c r="R12"/>
      <c r="S12"/>
      <c r="T12"/>
      <c r="U12"/>
    </row>
    <row r="13" spans="2:21">
      <c r="C13" s="3"/>
      <c r="D13" s="23"/>
      <c r="E13" s="52"/>
      <c r="F13" s="52"/>
      <c r="G13" s="27" t="s">
        <v>22</v>
      </c>
      <c r="H13" s="28" t="s">
        <v>17</v>
      </c>
      <c r="I13" s="26"/>
      <c r="Q13"/>
      <c r="R13"/>
      <c r="S13"/>
      <c r="T13"/>
      <c r="U13"/>
    </row>
    <row r="14" spans="2:21">
      <c r="C14" s="3"/>
      <c r="D14" s="23"/>
      <c r="E14" s="52"/>
      <c r="F14" s="52"/>
      <c r="G14" s="27"/>
      <c r="H14" s="28"/>
      <c r="I14" s="26"/>
      <c r="Q14"/>
      <c r="R14"/>
      <c r="S14"/>
      <c r="T14"/>
      <c r="U14"/>
    </row>
    <row r="15" spans="2:21">
      <c r="C15" s="3"/>
      <c r="D15" s="23"/>
      <c r="E15" s="52"/>
      <c r="F15" s="52"/>
      <c r="G15" s="24"/>
      <c r="H15" s="29"/>
      <c r="I15" s="26"/>
      <c r="Q15"/>
      <c r="R15"/>
      <c r="S15"/>
      <c r="T15"/>
      <c r="U15"/>
    </row>
    <row r="16" spans="2:21" ht="13.15">
      <c r="C16" s="3"/>
      <c r="D16" s="19" t="s">
        <v>23</v>
      </c>
      <c r="E16" s="51"/>
      <c r="F16" s="51"/>
      <c r="G16" s="27" t="s">
        <v>24</v>
      </c>
      <c r="H16" s="28" t="s">
        <v>25</v>
      </c>
      <c r="I16" s="31"/>
      <c r="Q16"/>
      <c r="R16"/>
      <c r="S16"/>
      <c r="T16"/>
      <c r="U16"/>
    </row>
    <row r="17" spans="2:26">
      <c r="C17" s="3"/>
      <c r="D17" s="23"/>
      <c r="E17" s="52"/>
      <c r="F17" s="52"/>
      <c r="G17" s="27" t="s">
        <v>26</v>
      </c>
      <c r="H17" s="29">
        <v>0.1</v>
      </c>
      <c r="I17" s="31"/>
      <c r="Q17"/>
      <c r="R17"/>
      <c r="S17"/>
      <c r="T17"/>
      <c r="U17"/>
    </row>
    <row r="18" spans="2:26">
      <c r="C18" s="3"/>
      <c r="D18" s="23"/>
      <c r="E18" s="52"/>
      <c r="F18" s="52"/>
      <c r="G18" s="27" t="s">
        <v>27</v>
      </c>
      <c r="H18" s="29">
        <v>0.2</v>
      </c>
      <c r="I18" s="31"/>
      <c r="Q18"/>
      <c r="R18"/>
      <c r="S18"/>
      <c r="T18"/>
      <c r="U18"/>
    </row>
    <row r="19" spans="2:26">
      <c r="C19" s="3"/>
      <c r="D19" s="23"/>
      <c r="E19" s="52"/>
      <c r="F19" s="52"/>
      <c r="G19" s="27" t="s">
        <v>28</v>
      </c>
      <c r="H19" s="29">
        <v>0.3</v>
      </c>
      <c r="I19" s="31"/>
      <c r="Q19"/>
      <c r="R19"/>
      <c r="S19"/>
      <c r="T19"/>
      <c r="U19"/>
    </row>
    <row r="20" spans="2:26">
      <c r="D20" s="13" t="s">
        <v>45</v>
      </c>
      <c r="G20" s="54">
        <v>46053</v>
      </c>
      <c r="Q20" s="9"/>
      <c r="R20" s="10"/>
      <c r="S20" s="11"/>
      <c r="T20" s="11"/>
      <c r="U20" s="188"/>
    </row>
    <row r="21" spans="2:26" ht="13.15" thickBot="1">
      <c r="G21" s="54"/>
      <c r="Q21" s="9"/>
      <c r="R21" s="10"/>
      <c r="S21" s="11"/>
      <c r="T21" s="11"/>
      <c r="U21" s="188"/>
    </row>
    <row r="22" spans="2:26" ht="38.25" customHeight="1" thickBot="1">
      <c r="B22" s="173"/>
      <c r="C22" s="174"/>
      <c r="D22" s="225" t="s">
        <v>76</v>
      </c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7"/>
      <c r="V22" s="223" t="s">
        <v>69</v>
      </c>
      <c r="W22" s="217"/>
    </row>
    <row r="23" spans="2:26" ht="26.25" customHeight="1" thickBot="1">
      <c r="B23" s="168"/>
      <c r="C23" s="169"/>
      <c r="D23" s="225" t="s">
        <v>62</v>
      </c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7"/>
      <c r="V23" s="224"/>
      <c r="W23" s="217"/>
    </row>
    <row r="24" spans="2:26" ht="46.15" customHeight="1" thickBot="1">
      <c r="B24" s="55" t="s">
        <v>0</v>
      </c>
      <c r="C24" s="56" t="s">
        <v>31</v>
      </c>
      <c r="D24" s="56" t="s">
        <v>1</v>
      </c>
      <c r="E24" s="56" t="s">
        <v>2</v>
      </c>
      <c r="F24" s="56"/>
      <c r="G24" s="57" t="s">
        <v>63</v>
      </c>
      <c r="H24" s="57" t="s">
        <v>46</v>
      </c>
      <c r="I24" s="56" t="s">
        <v>47</v>
      </c>
      <c r="J24" s="56" t="s">
        <v>48</v>
      </c>
      <c r="K24" s="58" t="s">
        <v>70</v>
      </c>
      <c r="L24" s="58" t="s">
        <v>71</v>
      </c>
      <c r="M24" s="58" t="s">
        <v>72</v>
      </c>
      <c r="N24" s="58" t="s">
        <v>73</v>
      </c>
      <c r="O24" s="58" t="s">
        <v>74</v>
      </c>
      <c r="P24" s="58" t="s">
        <v>75</v>
      </c>
      <c r="Q24" s="59" t="s">
        <v>49</v>
      </c>
      <c r="R24" s="59" t="s">
        <v>64</v>
      </c>
      <c r="S24" s="60" t="s">
        <v>50</v>
      </c>
      <c r="T24" s="61" t="s">
        <v>51</v>
      </c>
      <c r="U24" s="62" t="s">
        <v>79</v>
      </c>
      <c r="V24" s="62" t="s">
        <v>65</v>
      </c>
      <c r="W24" s="217"/>
      <c r="X24" s="12" t="s">
        <v>77</v>
      </c>
      <c r="Z24" s="177" t="s">
        <v>78</v>
      </c>
    </row>
    <row r="25" spans="2:26" s="48" customFormat="1" ht="15">
      <c r="B25" s="215"/>
      <c r="C25" s="202"/>
      <c r="D25" s="155"/>
      <c r="E25" s="183"/>
      <c r="F25" s="216"/>
      <c r="G25" s="157"/>
      <c r="H25" s="157"/>
      <c r="I25" s="158"/>
      <c r="J25" s="155"/>
      <c r="K25" s="159"/>
      <c r="L25" s="159"/>
      <c r="M25" s="159"/>
      <c r="N25" s="159"/>
      <c r="O25" s="159"/>
      <c r="P25" s="159"/>
      <c r="Q25" s="159"/>
      <c r="R25" s="159"/>
      <c r="S25" s="179"/>
      <c r="T25" s="160"/>
      <c r="U25" s="189"/>
      <c r="V25" s="161"/>
      <c r="W25" s="217"/>
      <c r="X25" s="218"/>
      <c r="Z25" s="180">
        <v>1280.96</v>
      </c>
    </row>
    <row r="26" spans="2:26" s="48" customFormat="1" ht="15">
      <c r="B26" s="215"/>
      <c r="C26" s="202"/>
      <c r="D26" s="181"/>
      <c r="E26" s="184"/>
      <c r="F26" s="184"/>
      <c r="G26" s="182"/>
      <c r="H26" s="157"/>
      <c r="I26" s="158"/>
      <c r="J26" s="155"/>
      <c r="K26" s="159"/>
      <c r="L26" s="159"/>
      <c r="M26" s="159"/>
      <c r="N26" s="159"/>
      <c r="O26" s="159"/>
      <c r="P26" s="159"/>
      <c r="Q26" s="159"/>
      <c r="R26" s="159"/>
      <c r="S26" s="179"/>
      <c r="T26" s="74"/>
      <c r="U26" s="190"/>
      <c r="V26" s="161"/>
      <c r="W26" s="217"/>
      <c r="X26" s="218"/>
      <c r="Z26" s="180">
        <v>1537.152</v>
      </c>
    </row>
    <row r="27" spans="2:26" s="48" customFormat="1" ht="15">
      <c r="B27" s="215"/>
      <c r="C27" s="202"/>
      <c r="D27" s="205"/>
      <c r="E27" s="206"/>
      <c r="F27" s="206"/>
      <c r="G27" s="207"/>
      <c r="H27" s="208"/>
      <c r="I27" s="209"/>
      <c r="J27" s="210"/>
      <c r="K27" s="159"/>
      <c r="L27" s="159"/>
      <c r="M27" s="159"/>
      <c r="N27" s="159"/>
      <c r="O27" s="159"/>
      <c r="P27" s="159"/>
      <c r="Q27" s="159"/>
      <c r="R27" s="159"/>
      <c r="S27" s="179"/>
      <c r="T27" s="74"/>
      <c r="U27" s="190"/>
      <c r="V27" s="161"/>
      <c r="W27" s="217"/>
      <c r="X27" s="218"/>
      <c r="Z27" s="180">
        <v>2477.268</v>
      </c>
    </row>
    <row r="28" spans="2:26" s="48" customFormat="1" ht="15">
      <c r="B28" s="215"/>
      <c r="C28" s="203"/>
      <c r="D28" s="106"/>
      <c r="E28" s="184"/>
      <c r="F28" s="184"/>
      <c r="G28" s="213"/>
      <c r="H28" s="213"/>
      <c r="I28" s="214"/>
      <c r="J28" s="106"/>
      <c r="K28" s="204"/>
      <c r="L28" s="159"/>
      <c r="M28" s="159"/>
      <c r="N28" s="159"/>
      <c r="O28" s="159"/>
      <c r="P28" s="159"/>
      <c r="Q28" s="159"/>
      <c r="R28" s="159"/>
      <c r="S28" s="179"/>
      <c r="T28" s="74"/>
      <c r="U28" s="190"/>
      <c r="V28" s="161"/>
      <c r="W28" s="217"/>
      <c r="X28" s="218"/>
      <c r="Z28" s="180">
        <v>2477.268</v>
      </c>
    </row>
    <row r="29" spans="2:26" s="48" customFormat="1" ht="15">
      <c r="B29" s="215"/>
      <c r="C29" s="203"/>
      <c r="D29" s="106"/>
      <c r="E29" s="184"/>
      <c r="F29" s="184"/>
      <c r="G29" s="213"/>
      <c r="H29" s="213"/>
      <c r="I29" s="214"/>
      <c r="J29" s="106"/>
      <c r="K29" s="204"/>
      <c r="L29" s="159"/>
      <c r="M29" s="159"/>
      <c r="N29" s="159"/>
      <c r="O29" s="159"/>
      <c r="P29" s="159"/>
      <c r="Q29" s="153"/>
      <c r="R29" s="153"/>
      <c r="S29" s="179"/>
      <c r="T29" s="74"/>
      <c r="U29" s="190"/>
      <c r="V29" s="161"/>
      <c r="W29" s="217"/>
      <c r="X29" s="218"/>
      <c r="Z29" s="178">
        <v>2477.268</v>
      </c>
    </row>
    <row r="30" spans="2:26" s="48" customFormat="1" ht="15">
      <c r="B30" s="215"/>
      <c r="C30" s="203"/>
      <c r="D30" s="106"/>
      <c r="E30" s="184"/>
      <c r="F30" s="184"/>
      <c r="G30" s="213"/>
      <c r="H30" s="213"/>
      <c r="I30" s="214"/>
      <c r="J30" s="106"/>
      <c r="K30" s="204"/>
      <c r="L30" s="159"/>
      <c r="M30" s="159"/>
      <c r="N30" s="159"/>
      <c r="O30" s="159"/>
      <c r="P30" s="159"/>
      <c r="Q30" s="153"/>
      <c r="R30" s="153"/>
      <c r="S30" s="179"/>
      <c r="T30" s="74"/>
      <c r="U30" s="190"/>
      <c r="V30" s="154"/>
      <c r="W30" s="217"/>
      <c r="X30" s="218"/>
      <c r="Z30" s="178">
        <v>1280.96</v>
      </c>
    </row>
    <row r="31" spans="2:26" s="48" customFormat="1" ht="15">
      <c r="B31" s="215"/>
      <c r="C31" s="203"/>
      <c r="D31" s="106"/>
      <c r="E31" s="184"/>
      <c r="F31" s="184"/>
      <c r="G31" s="213"/>
      <c r="H31" s="213"/>
      <c r="I31" s="214"/>
      <c r="J31" s="106"/>
      <c r="K31" s="204"/>
      <c r="L31" s="159"/>
      <c r="M31" s="159"/>
      <c r="N31" s="159"/>
      <c r="O31" s="159"/>
      <c r="P31" s="159"/>
      <c r="Q31" s="153"/>
      <c r="R31" s="153"/>
      <c r="S31" s="179"/>
      <c r="T31" s="74"/>
      <c r="U31" s="190"/>
      <c r="V31" s="154"/>
      <c r="W31" s="217"/>
      <c r="X31" s="218"/>
      <c r="Z31" s="178">
        <v>1280.96</v>
      </c>
    </row>
    <row r="32" spans="2:26" s="48" customFormat="1" ht="14.25">
      <c r="B32" s="215"/>
      <c r="C32" s="203"/>
      <c r="D32" s="106"/>
      <c r="E32" s="184"/>
      <c r="F32" s="184"/>
      <c r="G32" s="213"/>
      <c r="H32" s="213"/>
      <c r="I32" s="214"/>
      <c r="J32" s="106"/>
      <c r="K32" s="204"/>
      <c r="L32" s="159"/>
      <c r="M32" s="159"/>
      <c r="N32" s="159"/>
      <c r="O32" s="159"/>
      <c r="P32" s="159"/>
      <c r="Q32" s="153"/>
      <c r="R32" s="153"/>
      <c r="S32" s="179"/>
      <c r="T32" s="74"/>
      <c r="U32" s="190"/>
      <c r="V32" s="154"/>
      <c r="X32" s="218"/>
      <c r="Z32" s="178">
        <v>2064.39</v>
      </c>
    </row>
    <row r="33" spans="2:26" s="48" customFormat="1" ht="14.25">
      <c r="B33" s="215"/>
      <c r="C33" s="203"/>
      <c r="D33" s="106"/>
      <c r="E33" s="184"/>
      <c r="F33" s="184"/>
      <c r="G33" s="213"/>
      <c r="H33" s="213"/>
      <c r="I33" s="214"/>
      <c r="J33" s="106"/>
      <c r="K33" s="204"/>
      <c r="L33" s="159"/>
      <c r="M33" s="159"/>
      <c r="N33" s="159"/>
      <c r="O33" s="159"/>
      <c r="P33" s="159"/>
      <c r="Q33" s="153"/>
      <c r="R33" s="153"/>
      <c r="S33" s="179"/>
      <c r="T33" s="74"/>
      <c r="U33" s="190"/>
      <c r="V33" s="154"/>
      <c r="X33" s="218"/>
      <c r="Z33" s="178">
        <v>1280.96</v>
      </c>
    </row>
    <row r="34" spans="2:26" s="48" customFormat="1" ht="15.75" customHeight="1">
      <c r="B34" s="215"/>
      <c r="C34" s="203"/>
      <c r="D34" s="106"/>
      <c r="E34" s="184"/>
      <c r="F34" s="184"/>
      <c r="G34" s="213"/>
      <c r="H34" s="213"/>
      <c r="I34" s="214"/>
      <c r="J34" s="106"/>
      <c r="K34" s="204"/>
      <c r="L34" s="159"/>
      <c r="M34" s="159"/>
      <c r="N34" s="159"/>
      <c r="O34" s="159"/>
      <c r="P34" s="159"/>
      <c r="Q34" s="153"/>
      <c r="R34" s="153"/>
      <c r="S34" s="179"/>
      <c r="T34" s="74"/>
      <c r="U34" s="190"/>
      <c r="V34" s="154"/>
      <c r="X34" s="218"/>
      <c r="Z34" s="178">
        <v>2064.39</v>
      </c>
    </row>
    <row r="35" spans="2:26" s="48" customFormat="1" ht="15.75" customHeight="1">
      <c r="B35" s="215"/>
      <c r="C35" s="203"/>
      <c r="D35" s="106"/>
      <c r="E35" s="184"/>
      <c r="F35" s="184"/>
      <c r="G35" s="213"/>
      <c r="H35" s="213"/>
      <c r="I35" s="214"/>
      <c r="J35" s="106"/>
      <c r="K35" s="204"/>
      <c r="L35" s="159"/>
      <c r="M35" s="159"/>
      <c r="N35" s="159"/>
      <c r="O35" s="159"/>
      <c r="P35" s="159"/>
      <c r="Q35" s="153"/>
      <c r="R35" s="153"/>
      <c r="S35" s="179"/>
      <c r="T35" s="74"/>
      <c r="U35" s="190"/>
      <c r="V35" s="154"/>
      <c r="X35" s="218"/>
      <c r="Z35" s="178">
        <v>1280.96</v>
      </c>
    </row>
    <row r="36" spans="2:26" s="48" customFormat="1" ht="15.75" customHeight="1">
      <c r="B36" s="215"/>
      <c r="C36" s="203"/>
      <c r="D36" s="106"/>
      <c r="E36" s="184"/>
      <c r="F36" s="184"/>
      <c r="G36" s="213"/>
      <c r="H36" s="213"/>
      <c r="I36" s="214"/>
      <c r="J36" s="106"/>
      <c r="K36" s="204"/>
      <c r="L36" s="159"/>
      <c r="M36" s="159"/>
      <c r="N36" s="159"/>
      <c r="O36" s="159"/>
      <c r="P36" s="159"/>
      <c r="Q36" s="153"/>
      <c r="R36" s="153"/>
      <c r="S36" s="179"/>
      <c r="T36" s="74"/>
      <c r="U36" s="190"/>
      <c r="V36" s="154"/>
      <c r="X36" s="218"/>
      <c r="Z36" s="178">
        <v>2064.39</v>
      </c>
    </row>
    <row r="37" spans="2:26" s="48" customFormat="1" ht="15.75" customHeight="1">
      <c r="B37" s="215"/>
      <c r="C37" s="203"/>
      <c r="D37" s="106"/>
      <c r="E37" s="184"/>
      <c r="F37" s="184"/>
      <c r="G37" s="213"/>
      <c r="H37" s="213"/>
      <c r="I37" s="214"/>
      <c r="J37" s="106"/>
      <c r="K37" s="204"/>
      <c r="L37" s="159"/>
      <c r="M37" s="159"/>
      <c r="N37" s="159"/>
      <c r="O37" s="159"/>
      <c r="P37" s="159"/>
      <c r="Q37" s="153"/>
      <c r="R37" s="153"/>
      <c r="S37" s="179"/>
      <c r="T37" s="74"/>
      <c r="U37" s="190"/>
      <c r="V37" s="154"/>
      <c r="X37" s="218"/>
      <c r="Z37" s="178">
        <v>2064.39</v>
      </c>
    </row>
    <row r="38" spans="2:26" s="48" customFormat="1" ht="15.75" customHeight="1">
      <c r="B38" s="215"/>
      <c r="C38" s="203"/>
      <c r="D38" s="106"/>
      <c r="E38" s="184"/>
      <c r="F38" s="184"/>
      <c r="G38" s="213"/>
      <c r="H38" s="213"/>
      <c r="I38" s="214"/>
      <c r="J38" s="106"/>
      <c r="K38" s="204"/>
      <c r="L38" s="159"/>
      <c r="M38" s="159"/>
      <c r="N38" s="159"/>
      <c r="O38" s="159"/>
      <c r="P38" s="159"/>
      <c r="Q38" s="153"/>
      <c r="R38" s="153"/>
      <c r="S38" s="179"/>
      <c r="T38" s="74"/>
      <c r="U38" s="190"/>
      <c r="V38" s="154"/>
      <c r="X38" s="218"/>
      <c r="Z38" s="178">
        <v>2064.39</v>
      </c>
    </row>
    <row r="39" spans="2:26" s="48" customFormat="1" ht="15.75" customHeight="1">
      <c r="B39" s="215"/>
      <c r="C39" s="203"/>
      <c r="D39" s="106"/>
      <c r="E39" s="184"/>
      <c r="F39" s="184"/>
      <c r="G39" s="213"/>
      <c r="H39" s="213"/>
      <c r="I39" s="214"/>
      <c r="J39" s="106"/>
      <c r="K39" s="204"/>
      <c r="L39" s="159"/>
      <c r="M39" s="159"/>
      <c r="N39" s="159"/>
      <c r="O39" s="159"/>
      <c r="P39" s="159"/>
      <c r="Q39" s="153"/>
      <c r="R39" s="153"/>
      <c r="S39" s="179"/>
      <c r="T39" s="74"/>
      <c r="U39" s="190"/>
      <c r="V39" s="161"/>
      <c r="X39" s="218"/>
      <c r="Z39" s="178">
        <v>2477.268</v>
      </c>
    </row>
    <row r="40" spans="2:26" s="48" customFormat="1" ht="15.75" customHeight="1">
      <c r="B40" s="215"/>
      <c r="C40" s="203"/>
      <c r="D40" s="106"/>
      <c r="E40" s="184"/>
      <c r="F40" s="184"/>
      <c r="G40" s="213"/>
      <c r="H40" s="213"/>
      <c r="I40" s="214"/>
      <c r="J40" s="106"/>
      <c r="K40" s="204"/>
      <c r="L40" s="159"/>
      <c r="M40" s="159"/>
      <c r="N40" s="159"/>
      <c r="O40" s="159"/>
      <c r="P40" s="159"/>
      <c r="Q40" s="153"/>
      <c r="R40" s="153"/>
      <c r="S40" s="179"/>
      <c r="T40" s="74"/>
      <c r="U40" s="190"/>
      <c r="V40" s="161"/>
      <c r="X40" s="218"/>
      <c r="Z40" s="176">
        <v>2064.39</v>
      </c>
    </row>
    <row r="41" spans="2:26" s="48" customFormat="1" ht="15.75" customHeight="1">
      <c r="B41" s="215"/>
      <c r="C41" s="203"/>
      <c r="D41" s="106"/>
      <c r="E41" s="184"/>
      <c r="F41" s="184"/>
      <c r="G41" s="213"/>
      <c r="H41" s="213"/>
      <c r="I41" s="214"/>
      <c r="J41" s="106"/>
      <c r="K41" s="204"/>
      <c r="L41" s="159"/>
      <c r="M41" s="159"/>
      <c r="N41" s="159"/>
      <c r="O41" s="159"/>
      <c r="P41" s="159"/>
      <c r="Q41" s="153"/>
      <c r="R41" s="153"/>
      <c r="S41" s="179"/>
      <c r="T41" s="74"/>
      <c r="U41" s="190"/>
      <c r="V41" s="161"/>
      <c r="X41" s="218"/>
      <c r="Z41" s="175">
        <v>1280.96</v>
      </c>
    </row>
    <row r="42" spans="2:26" s="48" customFormat="1" ht="15.75" customHeight="1">
      <c r="B42" s="215"/>
      <c r="C42" s="203"/>
      <c r="D42" s="106"/>
      <c r="E42" s="184"/>
      <c r="F42" s="184"/>
      <c r="G42" s="213"/>
      <c r="H42" s="213"/>
      <c r="I42" s="214"/>
      <c r="J42" s="106"/>
      <c r="K42" s="204"/>
      <c r="L42" s="159"/>
      <c r="M42" s="159"/>
      <c r="N42" s="159"/>
      <c r="O42" s="159"/>
      <c r="P42" s="159"/>
      <c r="Q42" s="153"/>
      <c r="R42" s="153"/>
      <c r="S42" s="179"/>
      <c r="T42" s="74"/>
      <c r="U42" s="190"/>
      <c r="V42" s="161"/>
      <c r="X42" s="218"/>
      <c r="Z42" s="175">
        <v>2477.268</v>
      </c>
    </row>
    <row r="43" spans="2:26" s="48" customFormat="1" ht="15.75" customHeight="1">
      <c r="B43" s="215"/>
      <c r="C43" s="203"/>
      <c r="D43" s="106"/>
      <c r="E43" s="184"/>
      <c r="F43" s="184"/>
      <c r="G43" s="213"/>
      <c r="H43" s="213"/>
      <c r="I43" s="214"/>
      <c r="J43" s="106"/>
      <c r="K43" s="204"/>
      <c r="L43" s="159"/>
      <c r="M43" s="159"/>
      <c r="N43" s="159"/>
      <c r="O43" s="159"/>
      <c r="P43" s="159"/>
      <c r="Q43" s="153"/>
      <c r="R43" s="153"/>
      <c r="S43" s="179"/>
      <c r="T43" s="74"/>
      <c r="U43" s="190"/>
      <c r="V43" s="161"/>
      <c r="X43" s="218"/>
      <c r="Z43" s="175">
        <v>1280.96</v>
      </c>
    </row>
    <row r="44" spans="2:26" s="48" customFormat="1" ht="15.75" customHeight="1">
      <c r="B44" s="215"/>
      <c r="C44" s="203"/>
      <c r="D44" s="106"/>
      <c r="E44" s="184"/>
      <c r="F44" s="184"/>
      <c r="G44" s="213"/>
      <c r="H44" s="213"/>
      <c r="I44" s="214"/>
      <c r="J44" s="106"/>
      <c r="K44" s="204"/>
      <c r="L44" s="159"/>
      <c r="M44" s="159"/>
      <c r="N44" s="159"/>
      <c r="O44" s="159"/>
      <c r="P44" s="159"/>
      <c r="Q44" s="153"/>
      <c r="R44" s="153"/>
      <c r="S44" s="179"/>
      <c r="T44" s="74"/>
      <c r="U44" s="172"/>
      <c r="V44" s="161"/>
      <c r="X44" s="218"/>
      <c r="Z44" s="175">
        <v>1280.96</v>
      </c>
    </row>
    <row r="45" spans="2:26" s="48" customFormat="1" ht="15.75" customHeight="1">
      <c r="B45" s="215"/>
      <c r="C45" s="203"/>
      <c r="D45" s="106"/>
      <c r="E45" s="184"/>
      <c r="F45" s="184"/>
      <c r="G45" s="213"/>
      <c r="H45" s="213"/>
      <c r="I45" s="214"/>
      <c r="J45" s="106"/>
      <c r="K45" s="204"/>
      <c r="L45" s="159"/>
      <c r="M45" s="159"/>
      <c r="N45" s="159"/>
      <c r="O45" s="159"/>
      <c r="P45" s="159"/>
      <c r="Q45" s="153"/>
      <c r="R45" s="153"/>
      <c r="S45" s="179"/>
      <c r="T45" s="74"/>
      <c r="U45" s="172"/>
      <c r="V45" s="161"/>
      <c r="X45" s="218"/>
      <c r="Z45" s="175">
        <v>2064.39</v>
      </c>
    </row>
    <row r="46" spans="2:26" s="48" customFormat="1" ht="15.75" customHeight="1">
      <c r="B46" s="215"/>
      <c r="C46" s="203"/>
      <c r="D46" s="106"/>
      <c r="E46" s="184"/>
      <c r="F46" s="184"/>
      <c r="G46" s="213"/>
      <c r="H46" s="213"/>
      <c r="I46" s="214"/>
      <c r="J46" s="106"/>
      <c r="K46" s="204"/>
      <c r="L46" s="159"/>
      <c r="M46" s="159"/>
      <c r="N46" s="159"/>
      <c r="O46" s="159"/>
      <c r="P46" s="159"/>
      <c r="Q46" s="153"/>
      <c r="R46" s="153"/>
      <c r="S46" s="179"/>
      <c r="T46" s="74"/>
      <c r="U46" s="172"/>
      <c r="V46" s="161"/>
      <c r="X46" s="218"/>
      <c r="Z46" s="175">
        <v>2064.39</v>
      </c>
    </row>
    <row r="47" spans="2:26" s="48" customFormat="1" ht="15.75" customHeight="1">
      <c r="B47" s="215"/>
      <c r="C47" s="203"/>
      <c r="D47" s="106"/>
      <c r="E47" s="184"/>
      <c r="F47" s="184"/>
      <c r="G47" s="213"/>
      <c r="H47" s="213"/>
      <c r="I47" s="214"/>
      <c r="J47" s="106"/>
      <c r="K47" s="204"/>
      <c r="L47" s="159"/>
      <c r="M47" s="159"/>
      <c r="N47" s="159"/>
      <c r="O47" s="159"/>
      <c r="P47" s="159"/>
      <c r="Q47" s="153"/>
      <c r="R47" s="153"/>
      <c r="S47" s="179"/>
      <c r="T47" s="74"/>
      <c r="U47" s="172"/>
      <c r="V47" s="161"/>
      <c r="X47" s="218"/>
      <c r="Z47" s="175">
        <v>2064.39</v>
      </c>
    </row>
    <row r="48" spans="2:26" s="48" customFormat="1" ht="15.75" customHeight="1">
      <c r="B48" s="215"/>
      <c r="C48" s="203"/>
      <c r="D48" s="106"/>
      <c r="E48" s="184"/>
      <c r="F48" s="184"/>
      <c r="G48" s="213"/>
      <c r="H48" s="213"/>
      <c r="I48" s="214"/>
      <c r="J48" s="106"/>
      <c r="K48" s="204"/>
      <c r="L48" s="159"/>
      <c r="M48" s="159"/>
      <c r="N48" s="159"/>
      <c r="O48" s="159"/>
      <c r="P48" s="159"/>
      <c r="Q48" s="153"/>
      <c r="R48" s="153"/>
      <c r="S48" s="179"/>
      <c r="T48" s="74"/>
      <c r="U48" s="172"/>
      <c r="V48" s="154"/>
      <c r="X48" s="218"/>
      <c r="Z48" s="175">
        <v>1280.96</v>
      </c>
    </row>
    <row r="49" spans="1:26" s="48" customFormat="1" ht="15.75" customHeight="1">
      <c r="B49" s="215"/>
      <c r="C49" s="203"/>
      <c r="D49" s="106"/>
      <c r="E49" s="184"/>
      <c r="F49" s="184"/>
      <c r="G49" s="213"/>
      <c r="H49" s="213"/>
      <c r="I49" s="214"/>
      <c r="J49" s="106"/>
      <c r="K49" s="204"/>
      <c r="L49" s="159"/>
      <c r="M49" s="159"/>
      <c r="N49" s="159"/>
      <c r="O49" s="159"/>
      <c r="P49" s="159"/>
      <c r="Q49" s="153"/>
      <c r="R49" s="153"/>
      <c r="S49" s="179"/>
      <c r="T49" s="74"/>
      <c r="U49" s="172"/>
      <c r="V49" s="154"/>
      <c r="X49" s="218"/>
      <c r="Z49" s="175">
        <v>1280.96</v>
      </c>
    </row>
    <row r="50" spans="1:26" s="48" customFormat="1" ht="15.75" customHeight="1">
      <c r="B50" s="215"/>
      <c r="C50" s="203"/>
      <c r="D50" s="106"/>
      <c r="E50" s="184"/>
      <c r="F50" s="184"/>
      <c r="G50" s="213"/>
      <c r="H50" s="213"/>
      <c r="I50" s="214"/>
      <c r="J50" s="106"/>
      <c r="K50" s="204"/>
      <c r="L50" s="159"/>
      <c r="M50" s="159"/>
      <c r="N50" s="159"/>
      <c r="O50" s="159"/>
      <c r="P50" s="159"/>
      <c r="Q50" s="153"/>
      <c r="R50" s="153"/>
      <c r="S50" s="179"/>
      <c r="T50" s="74"/>
      <c r="U50" s="172"/>
      <c r="V50" s="161"/>
      <c r="X50" s="218"/>
      <c r="Z50" s="175">
        <v>1537.152</v>
      </c>
    </row>
    <row r="51" spans="1:26" s="48" customFormat="1" ht="15.75" customHeight="1">
      <c r="B51" s="215"/>
      <c r="C51" s="203"/>
      <c r="D51" s="106"/>
      <c r="E51" s="184"/>
      <c r="F51" s="184"/>
      <c r="G51" s="213"/>
      <c r="H51" s="213"/>
      <c r="I51" s="214"/>
      <c r="J51" s="106"/>
      <c r="K51" s="204"/>
      <c r="L51" s="159"/>
      <c r="M51" s="159"/>
      <c r="N51" s="159"/>
      <c r="O51" s="159"/>
      <c r="P51" s="159"/>
      <c r="Q51" s="153"/>
      <c r="R51" s="153"/>
      <c r="S51" s="179"/>
      <c r="T51" s="74"/>
      <c r="U51" s="172"/>
      <c r="V51" s="161"/>
      <c r="X51" s="218"/>
      <c r="Z51" s="175">
        <v>2064.39</v>
      </c>
    </row>
    <row r="52" spans="1:26" s="48" customFormat="1" ht="15.75" customHeight="1">
      <c r="B52" s="215"/>
      <c r="C52" s="203"/>
      <c r="D52" s="106"/>
      <c r="E52" s="184"/>
      <c r="F52" s="184"/>
      <c r="G52" s="213"/>
      <c r="H52" s="213"/>
      <c r="I52" s="214"/>
      <c r="J52" s="106"/>
      <c r="K52" s="204"/>
      <c r="L52" s="159"/>
      <c r="M52" s="159"/>
      <c r="N52" s="159"/>
      <c r="O52" s="159"/>
      <c r="P52" s="159"/>
      <c r="Q52" s="153"/>
      <c r="R52" s="153"/>
      <c r="S52" s="179"/>
      <c r="T52" s="74"/>
      <c r="U52" s="172"/>
      <c r="V52" s="161"/>
      <c r="X52" s="219"/>
      <c r="Z52" s="175">
        <v>2477.268</v>
      </c>
    </row>
    <row r="53" spans="1:26" s="49" customFormat="1" ht="15.75" customHeight="1">
      <c r="A53" s="48"/>
      <c r="B53" s="215"/>
      <c r="C53" s="203"/>
      <c r="D53" s="106"/>
      <c r="E53" s="184"/>
      <c r="F53" s="184"/>
      <c r="G53" s="213"/>
      <c r="H53" s="213"/>
      <c r="I53" s="214"/>
      <c r="J53" s="106"/>
      <c r="K53" s="204"/>
      <c r="L53" s="159"/>
      <c r="M53" s="159"/>
      <c r="N53" s="159"/>
      <c r="O53" s="159"/>
      <c r="P53" s="159"/>
      <c r="Q53" s="153"/>
      <c r="R53" s="153"/>
      <c r="S53" s="179"/>
      <c r="T53" s="74"/>
      <c r="U53" s="172"/>
      <c r="V53" s="161"/>
      <c r="W53" s="48"/>
      <c r="X53" s="218"/>
      <c r="Z53" s="175">
        <v>2064.39</v>
      </c>
    </row>
    <row r="54" spans="1:26" s="48" customFormat="1" ht="15.75" customHeight="1">
      <c r="B54" s="215"/>
      <c r="C54" s="203"/>
      <c r="D54" s="106"/>
      <c r="E54" s="184"/>
      <c r="F54" s="184"/>
      <c r="G54" s="213"/>
      <c r="H54" s="213"/>
      <c r="I54" s="214"/>
      <c r="J54" s="106"/>
      <c r="K54" s="204"/>
      <c r="L54" s="159"/>
      <c r="M54" s="159"/>
      <c r="N54" s="159"/>
      <c r="O54" s="159"/>
      <c r="P54" s="159"/>
      <c r="Q54" s="153"/>
      <c r="R54" s="153"/>
      <c r="S54" s="179"/>
      <c r="T54" s="74"/>
      <c r="U54" s="172"/>
      <c r="V54" s="161"/>
      <c r="X54" s="218"/>
      <c r="Z54" s="175">
        <v>1280.96</v>
      </c>
    </row>
    <row r="55" spans="1:26" s="48" customFormat="1" ht="15.75" customHeight="1">
      <c r="B55" s="215"/>
      <c r="C55" s="203"/>
      <c r="D55" s="106"/>
      <c r="E55" s="184"/>
      <c r="F55" s="184"/>
      <c r="G55" s="213"/>
      <c r="H55" s="213"/>
      <c r="I55" s="214"/>
      <c r="J55" s="106"/>
      <c r="K55" s="204"/>
      <c r="L55" s="159"/>
      <c r="M55" s="159"/>
      <c r="N55" s="159"/>
      <c r="O55" s="159"/>
      <c r="P55" s="159"/>
      <c r="Q55" s="153"/>
      <c r="R55" s="153"/>
      <c r="S55" s="179"/>
      <c r="T55" s="74"/>
      <c r="U55" s="172"/>
      <c r="V55" s="161"/>
      <c r="X55" s="218"/>
      <c r="Z55" s="175">
        <v>2064.39</v>
      </c>
    </row>
    <row r="56" spans="1:26" s="48" customFormat="1" ht="15.75" customHeight="1">
      <c r="B56" s="215"/>
      <c r="C56" s="203"/>
      <c r="D56" s="106"/>
      <c r="E56" s="184"/>
      <c r="F56" s="184"/>
      <c r="G56" s="213"/>
      <c r="H56" s="213"/>
      <c r="I56" s="214"/>
      <c r="J56" s="106"/>
      <c r="K56" s="204"/>
      <c r="L56" s="159"/>
      <c r="M56" s="159"/>
      <c r="N56" s="159"/>
      <c r="O56" s="159"/>
      <c r="P56" s="159"/>
      <c r="Q56" s="153"/>
      <c r="R56" s="153"/>
      <c r="S56" s="179"/>
      <c r="T56" s="74"/>
      <c r="U56" s="172"/>
      <c r="V56" s="161"/>
      <c r="X56" s="218"/>
      <c r="Z56" s="175">
        <v>2064.39</v>
      </c>
    </row>
    <row r="57" spans="1:26" s="48" customFormat="1" ht="15.75" customHeight="1">
      <c r="B57" s="215"/>
      <c r="C57" s="203"/>
      <c r="D57" s="106"/>
      <c r="E57" s="184"/>
      <c r="F57" s="184"/>
      <c r="G57" s="213"/>
      <c r="H57" s="213"/>
      <c r="I57" s="214"/>
      <c r="J57" s="106"/>
      <c r="K57" s="204"/>
      <c r="L57" s="159"/>
      <c r="M57" s="159"/>
      <c r="N57" s="159"/>
      <c r="O57" s="159"/>
      <c r="P57" s="159"/>
      <c r="Q57" s="153"/>
      <c r="R57" s="153"/>
      <c r="S57" s="179"/>
      <c r="T57" s="74"/>
      <c r="U57" s="190"/>
      <c r="V57" s="161"/>
      <c r="X57" s="218"/>
      <c r="Z57" s="175">
        <v>1280.96</v>
      </c>
    </row>
    <row r="58" spans="1:26" s="48" customFormat="1" ht="15.75" customHeight="1">
      <c r="B58" s="215"/>
      <c r="C58" s="203"/>
      <c r="D58" s="106"/>
      <c r="E58" s="184"/>
      <c r="F58" s="184"/>
      <c r="G58" s="213"/>
      <c r="H58" s="213"/>
      <c r="I58" s="214"/>
      <c r="J58" s="106"/>
      <c r="K58" s="204"/>
      <c r="L58" s="159"/>
      <c r="M58" s="159"/>
      <c r="N58" s="159"/>
      <c r="O58" s="159"/>
      <c r="P58" s="159"/>
      <c r="Q58" s="153"/>
      <c r="R58" s="153"/>
      <c r="S58" s="179"/>
      <c r="T58" s="74"/>
      <c r="U58" s="190"/>
      <c r="V58" s="185"/>
      <c r="W58" s="7"/>
      <c r="X58" s="218"/>
      <c r="Z58" s="175">
        <v>2477.268</v>
      </c>
    </row>
    <row r="59" spans="1:26" s="48" customFormat="1" ht="15.75" customHeight="1">
      <c r="B59" s="215"/>
      <c r="C59" s="203"/>
      <c r="D59" s="106"/>
      <c r="E59" s="184"/>
      <c r="F59" s="184"/>
      <c r="G59" s="213"/>
      <c r="H59" s="213"/>
      <c r="I59" s="214"/>
      <c r="J59" s="187"/>
      <c r="K59" s="204"/>
      <c r="L59" s="159"/>
      <c r="M59" s="159"/>
      <c r="N59" s="159"/>
      <c r="O59" s="159"/>
      <c r="P59" s="159"/>
      <c r="Q59" s="153"/>
      <c r="R59" s="153"/>
      <c r="S59" s="179"/>
      <c r="T59" s="74"/>
      <c r="U59" s="190"/>
      <c r="V59" s="185"/>
      <c r="W59" s="7"/>
      <c r="X59" s="218"/>
      <c r="Z59" s="175">
        <v>2477.268</v>
      </c>
    </row>
    <row r="60" spans="1:26" s="48" customFormat="1" ht="15.75" customHeight="1">
      <c r="B60" s="215"/>
      <c r="C60" s="203"/>
      <c r="D60" s="106"/>
      <c r="E60" s="184"/>
      <c r="F60" s="184"/>
      <c r="G60" s="213"/>
      <c r="H60" s="213"/>
      <c r="I60" s="214"/>
      <c r="J60" s="106"/>
      <c r="K60" s="204"/>
      <c r="L60" s="159"/>
      <c r="M60" s="159"/>
      <c r="N60" s="159"/>
      <c r="O60" s="159"/>
      <c r="P60" s="159"/>
      <c r="Q60" s="153"/>
      <c r="R60" s="153"/>
      <c r="S60" s="179"/>
      <c r="T60" s="74"/>
      <c r="U60" s="190"/>
      <c r="V60" s="161"/>
      <c r="X60" s="218"/>
      <c r="Z60" s="175">
        <v>2477.268</v>
      </c>
    </row>
    <row r="61" spans="1:26" s="48" customFormat="1" ht="15.75" customHeight="1">
      <c r="B61" s="215"/>
      <c r="C61" s="203"/>
      <c r="D61" s="106"/>
      <c r="E61" s="184"/>
      <c r="F61" s="184"/>
      <c r="G61" s="213"/>
      <c r="H61" s="213"/>
      <c r="I61" s="214"/>
      <c r="J61" s="187"/>
      <c r="K61" s="204"/>
      <c r="L61" s="159"/>
      <c r="M61" s="159"/>
      <c r="N61" s="159"/>
      <c r="O61" s="159"/>
      <c r="P61" s="159"/>
      <c r="Q61" s="153"/>
      <c r="R61" s="153"/>
      <c r="S61" s="179"/>
      <c r="T61" s="74"/>
      <c r="U61" s="190"/>
      <c r="V61" s="161"/>
      <c r="X61" s="218"/>
      <c r="Z61" s="175">
        <v>2477.268</v>
      </c>
    </row>
    <row r="62" spans="1:26" s="48" customFormat="1" ht="15.75" customHeight="1">
      <c r="B62" s="215"/>
      <c r="C62" s="203"/>
      <c r="D62" s="106"/>
      <c r="E62" s="184"/>
      <c r="F62" s="184"/>
      <c r="G62" s="213"/>
      <c r="H62" s="213"/>
      <c r="I62" s="214"/>
      <c r="J62" s="106"/>
      <c r="K62" s="204"/>
      <c r="L62" s="159"/>
      <c r="M62" s="159"/>
      <c r="N62" s="159"/>
      <c r="O62" s="159"/>
      <c r="P62" s="159"/>
      <c r="Q62" s="153"/>
      <c r="R62" s="153"/>
      <c r="S62" s="179"/>
      <c r="T62" s="74"/>
      <c r="U62" s="190"/>
      <c r="V62" s="161"/>
      <c r="X62" s="218"/>
      <c r="Z62" s="175">
        <v>1280.96</v>
      </c>
    </row>
    <row r="63" spans="1:26" s="48" customFormat="1" ht="15.75" customHeight="1">
      <c r="B63" s="215"/>
      <c r="C63" s="203"/>
      <c r="D63" s="106"/>
      <c r="E63" s="184"/>
      <c r="F63" s="184"/>
      <c r="G63" s="213"/>
      <c r="H63" s="213"/>
      <c r="I63" s="214"/>
      <c r="J63" s="106"/>
      <c r="K63" s="204"/>
      <c r="L63" s="159"/>
      <c r="M63" s="159"/>
      <c r="N63" s="159"/>
      <c r="O63" s="159"/>
      <c r="P63" s="159"/>
      <c r="Q63" s="153"/>
      <c r="R63" s="153"/>
      <c r="S63" s="179"/>
      <c r="T63" s="74"/>
      <c r="U63" s="190"/>
      <c r="V63" s="185"/>
      <c r="W63" s="7"/>
      <c r="X63" s="218"/>
      <c r="Z63" s="175">
        <v>1537.152</v>
      </c>
    </row>
    <row r="64" spans="1:26" s="48" customFormat="1" ht="15.75" customHeight="1">
      <c r="B64" s="215"/>
      <c r="C64" s="203"/>
      <c r="D64" s="106"/>
      <c r="E64" s="184"/>
      <c r="F64" s="184"/>
      <c r="G64" s="213"/>
      <c r="H64" s="213"/>
      <c r="I64" s="214"/>
      <c r="J64" s="187"/>
      <c r="K64" s="204"/>
      <c r="L64" s="159"/>
      <c r="M64" s="159"/>
      <c r="N64" s="159"/>
      <c r="O64" s="159"/>
      <c r="P64" s="159"/>
      <c r="Q64" s="153"/>
      <c r="R64" s="153"/>
      <c r="S64" s="179"/>
      <c r="T64" s="74"/>
      <c r="U64" s="190"/>
      <c r="V64" s="185"/>
      <c r="W64" s="7"/>
      <c r="X64" s="218"/>
      <c r="Z64" s="175"/>
    </row>
    <row r="65" spans="2:26" s="48" customFormat="1" ht="15.75" customHeight="1">
      <c r="B65" s="215"/>
      <c r="C65" s="203"/>
      <c r="D65" s="106"/>
      <c r="E65" s="184"/>
      <c r="F65" s="184"/>
      <c r="G65" s="213"/>
      <c r="H65" s="213"/>
      <c r="I65" s="214"/>
      <c r="J65" s="187"/>
      <c r="K65" s="204"/>
      <c r="L65" s="159"/>
      <c r="M65" s="159"/>
      <c r="N65" s="159"/>
      <c r="O65" s="159"/>
      <c r="P65" s="159"/>
      <c r="Q65" s="153"/>
      <c r="R65" s="153"/>
      <c r="S65" s="179"/>
      <c r="T65" s="74"/>
      <c r="U65" s="190"/>
      <c r="V65" s="161"/>
      <c r="X65" s="218"/>
      <c r="Z65" s="175">
        <v>1280.96</v>
      </c>
    </row>
    <row r="66" spans="2:26" s="48" customFormat="1" ht="15.75" customHeight="1">
      <c r="B66" s="215"/>
      <c r="C66" s="203"/>
      <c r="D66" s="106"/>
      <c r="E66" s="184"/>
      <c r="F66" s="184"/>
      <c r="G66" s="213"/>
      <c r="H66" s="213"/>
      <c r="I66" s="214"/>
      <c r="J66" s="106"/>
      <c r="K66" s="204"/>
      <c r="L66" s="159"/>
      <c r="M66" s="159"/>
      <c r="N66" s="159"/>
      <c r="O66" s="159"/>
      <c r="P66" s="159"/>
      <c r="Q66" s="153"/>
      <c r="R66" s="153"/>
      <c r="S66" s="179"/>
      <c r="T66" s="74"/>
      <c r="U66" s="190"/>
      <c r="V66" s="161"/>
      <c r="X66" s="218"/>
      <c r="Z66" s="175">
        <v>2064.39</v>
      </c>
    </row>
    <row r="67" spans="2:26" s="48" customFormat="1" ht="15.75" customHeight="1">
      <c r="B67" s="215"/>
      <c r="C67" s="203"/>
      <c r="D67" s="106"/>
      <c r="E67" s="184"/>
      <c r="F67" s="184"/>
      <c r="G67" s="213"/>
      <c r="H67" s="213"/>
      <c r="I67" s="214"/>
      <c r="J67" s="220"/>
      <c r="K67" s="204"/>
      <c r="L67" s="159"/>
      <c r="M67" s="159"/>
      <c r="N67" s="159"/>
      <c r="O67" s="159"/>
      <c r="P67" s="159"/>
      <c r="Q67" s="153"/>
      <c r="R67" s="153"/>
      <c r="S67" s="179"/>
      <c r="T67" s="74"/>
      <c r="U67" s="190"/>
      <c r="V67" s="161"/>
      <c r="X67" s="218"/>
      <c r="Z67" s="175">
        <v>2064.39</v>
      </c>
    </row>
    <row r="68" spans="2:26" s="48" customFormat="1" ht="15.75" customHeight="1">
      <c r="B68" s="215"/>
      <c r="C68" s="203"/>
      <c r="D68" s="106"/>
      <c r="E68" s="184"/>
      <c r="F68" s="184"/>
      <c r="G68" s="213"/>
      <c r="H68" s="213"/>
      <c r="I68" s="214"/>
      <c r="J68" s="187"/>
      <c r="K68" s="204"/>
      <c r="L68" s="159"/>
      <c r="M68" s="159"/>
      <c r="N68" s="159"/>
      <c r="O68" s="159"/>
      <c r="P68" s="159"/>
      <c r="Q68" s="153"/>
      <c r="R68" s="153"/>
      <c r="S68" s="179"/>
      <c r="T68" s="74"/>
      <c r="U68" s="190"/>
      <c r="V68" s="161"/>
      <c r="X68" s="218"/>
      <c r="Z68" s="175">
        <v>1537.152</v>
      </c>
    </row>
    <row r="69" spans="2:26" s="48" customFormat="1" ht="15.75" customHeight="1">
      <c r="B69" s="215"/>
      <c r="C69" s="203"/>
      <c r="D69" s="106"/>
      <c r="E69" s="184"/>
      <c r="F69" s="184"/>
      <c r="G69" s="213"/>
      <c r="H69" s="213"/>
      <c r="I69" s="214"/>
      <c r="J69" s="106"/>
      <c r="K69" s="204"/>
      <c r="L69" s="159"/>
      <c r="M69" s="159"/>
      <c r="N69" s="159"/>
      <c r="O69" s="159"/>
      <c r="P69" s="159"/>
      <c r="Q69" s="153"/>
      <c r="R69" s="153"/>
      <c r="S69" s="179"/>
      <c r="T69" s="74"/>
      <c r="U69" s="190"/>
      <c r="V69" s="185"/>
      <c r="W69" s="7"/>
      <c r="X69" s="218"/>
      <c r="Z69" s="175">
        <v>1537.152</v>
      </c>
    </row>
    <row r="70" spans="2:26" s="48" customFormat="1" ht="15.75" customHeight="1">
      <c r="B70" s="215"/>
      <c r="C70" s="203"/>
      <c r="D70" s="106"/>
      <c r="E70" s="184"/>
      <c r="F70" s="184"/>
      <c r="G70" s="213"/>
      <c r="H70" s="213"/>
      <c r="I70" s="214"/>
      <c r="J70" s="106"/>
      <c r="K70" s="204"/>
      <c r="L70" s="159"/>
      <c r="M70" s="159"/>
      <c r="N70" s="159"/>
      <c r="O70" s="159"/>
      <c r="P70" s="159"/>
      <c r="Q70" s="153"/>
      <c r="R70" s="153"/>
      <c r="S70" s="179"/>
      <c r="T70" s="74"/>
      <c r="U70" s="190"/>
      <c r="V70" s="161"/>
      <c r="X70" s="218"/>
      <c r="Z70" s="175">
        <v>1280.96</v>
      </c>
    </row>
    <row r="71" spans="2:26" s="48" customFormat="1" ht="15.75" customHeight="1">
      <c r="B71" s="215"/>
      <c r="C71" s="203"/>
      <c r="D71" s="106"/>
      <c r="E71" s="184"/>
      <c r="F71" s="184"/>
      <c r="G71" s="213"/>
      <c r="H71" s="213"/>
      <c r="I71" s="214"/>
      <c r="J71" s="106"/>
      <c r="K71" s="204"/>
      <c r="L71" s="159"/>
      <c r="M71" s="159"/>
      <c r="N71" s="159"/>
      <c r="O71" s="159"/>
      <c r="P71" s="159"/>
      <c r="Q71" s="153"/>
      <c r="R71" s="153"/>
      <c r="S71" s="179"/>
      <c r="T71" s="74"/>
      <c r="U71" s="190"/>
      <c r="V71" s="185"/>
      <c r="W71" s="7"/>
      <c r="X71" s="218"/>
      <c r="Z71" s="175">
        <v>1537.152</v>
      </c>
    </row>
    <row r="72" spans="2:26" s="48" customFormat="1" ht="15.75" customHeight="1">
      <c r="B72" s="215"/>
      <c r="C72" s="203"/>
      <c r="D72" s="106"/>
      <c r="E72" s="184"/>
      <c r="F72" s="184"/>
      <c r="G72" s="213"/>
      <c r="H72" s="213"/>
      <c r="I72" s="214"/>
      <c r="J72" s="187"/>
      <c r="K72" s="204"/>
      <c r="L72" s="159"/>
      <c r="M72" s="159"/>
      <c r="N72" s="159"/>
      <c r="O72" s="159"/>
      <c r="P72" s="159"/>
      <c r="Q72" s="153"/>
      <c r="R72" s="153"/>
      <c r="S72" s="179"/>
      <c r="T72" s="74"/>
      <c r="U72" s="190"/>
      <c r="V72" s="185"/>
      <c r="W72" s="7"/>
      <c r="X72" s="218"/>
      <c r="Z72" s="175"/>
    </row>
    <row r="73" spans="2:26" s="48" customFormat="1" ht="15.75" customHeight="1">
      <c r="B73" s="215"/>
      <c r="C73" s="203"/>
      <c r="D73" s="106"/>
      <c r="E73" s="184"/>
      <c r="F73" s="184"/>
      <c r="G73" s="213"/>
      <c r="H73" s="213"/>
      <c r="I73" s="214"/>
      <c r="J73" s="187"/>
      <c r="K73" s="204"/>
      <c r="L73" s="159"/>
      <c r="M73" s="159"/>
      <c r="N73" s="159"/>
      <c r="O73" s="159"/>
      <c r="P73" s="159"/>
      <c r="Q73" s="153"/>
      <c r="R73" s="153"/>
      <c r="S73" s="179"/>
      <c r="T73" s="74"/>
      <c r="U73" s="190"/>
      <c r="V73" s="161"/>
      <c r="X73" s="218"/>
      <c r="Z73" s="175">
        <v>1280.96</v>
      </c>
    </row>
    <row r="74" spans="2:26" s="48" customFormat="1" ht="15.75" customHeight="1">
      <c r="B74" s="215"/>
      <c r="C74" s="203"/>
      <c r="D74" s="106"/>
      <c r="E74" s="184"/>
      <c r="F74" s="184"/>
      <c r="G74" s="213"/>
      <c r="H74" s="213"/>
      <c r="I74" s="214"/>
      <c r="J74" s="106"/>
      <c r="K74" s="204"/>
      <c r="L74" s="159"/>
      <c r="M74" s="159"/>
      <c r="N74" s="159"/>
      <c r="O74" s="159"/>
      <c r="P74" s="159"/>
      <c r="Q74" s="153"/>
      <c r="R74" s="153"/>
      <c r="S74" s="179"/>
      <c r="T74" s="74"/>
      <c r="U74" s="190"/>
      <c r="V74" s="161"/>
      <c r="X74" s="218"/>
      <c r="Z74" s="175">
        <v>2064.39</v>
      </c>
    </row>
    <row r="75" spans="2:26" s="48" customFormat="1" ht="15.75" customHeight="1">
      <c r="B75" s="215"/>
      <c r="C75" s="203"/>
      <c r="D75" s="106"/>
      <c r="E75" s="184"/>
      <c r="F75" s="184"/>
      <c r="G75" s="213"/>
      <c r="H75" s="213"/>
      <c r="I75" s="214"/>
      <c r="J75" s="220"/>
      <c r="K75" s="204"/>
      <c r="L75" s="159"/>
      <c r="M75" s="159"/>
      <c r="N75" s="159"/>
      <c r="O75" s="159"/>
      <c r="P75" s="159"/>
      <c r="Q75" s="153"/>
      <c r="R75" s="153"/>
      <c r="S75" s="179"/>
      <c r="T75" s="74"/>
      <c r="U75" s="190"/>
      <c r="V75" s="161"/>
      <c r="X75" s="218"/>
      <c r="Z75" s="175">
        <v>2064.39</v>
      </c>
    </row>
    <row r="76" spans="2:26" s="48" customFormat="1" ht="15.75" customHeight="1">
      <c r="B76" s="215"/>
      <c r="C76" s="203"/>
      <c r="D76" s="106"/>
      <c r="E76" s="184"/>
      <c r="F76" s="184"/>
      <c r="G76" s="213"/>
      <c r="H76" s="213"/>
      <c r="I76" s="214"/>
      <c r="J76" s="187"/>
      <c r="K76" s="204"/>
      <c r="L76" s="159"/>
      <c r="M76" s="159"/>
      <c r="N76" s="159"/>
      <c r="O76" s="159"/>
      <c r="P76" s="159"/>
      <c r="Q76" s="153"/>
      <c r="R76" s="153"/>
      <c r="S76" s="179"/>
      <c r="T76" s="74"/>
      <c r="U76" s="190"/>
      <c r="V76" s="161"/>
      <c r="X76" s="218"/>
      <c r="Z76" s="175">
        <v>1537.152</v>
      </c>
    </row>
    <row r="77" spans="2:26" s="48" customFormat="1" ht="15.75" customHeight="1">
      <c r="B77" s="215"/>
      <c r="C77" s="203"/>
      <c r="D77" s="106"/>
      <c r="E77" s="184"/>
      <c r="F77" s="184"/>
      <c r="G77" s="213"/>
      <c r="H77" s="213"/>
      <c r="I77" s="214"/>
      <c r="J77" s="106"/>
      <c r="K77" s="204"/>
      <c r="L77" s="159"/>
      <c r="M77" s="159"/>
      <c r="N77" s="159"/>
      <c r="O77" s="159"/>
      <c r="P77" s="159"/>
      <c r="Q77" s="153"/>
      <c r="R77" s="153"/>
      <c r="S77" s="179"/>
      <c r="T77" s="74"/>
      <c r="U77" s="190"/>
      <c r="V77" s="185"/>
      <c r="W77" s="7"/>
      <c r="X77" s="218"/>
      <c r="Z77" s="175">
        <v>1537.152</v>
      </c>
    </row>
    <row r="78" spans="2:26" s="48" customFormat="1" ht="15.75" customHeight="1">
      <c r="B78" s="215"/>
      <c r="C78" s="203"/>
      <c r="D78" s="106"/>
      <c r="E78" s="184"/>
      <c r="F78" s="184"/>
      <c r="G78" s="213"/>
      <c r="H78" s="213"/>
      <c r="I78" s="214"/>
      <c r="J78" s="106"/>
      <c r="K78" s="204"/>
      <c r="L78" s="159"/>
      <c r="M78" s="159"/>
      <c r="N78" s="159"/>
      <c r="O78" s="159"/>
      <c r="P78" s="159"/>
      <c r="Q78" s="153"/>
      <c r="R78" s="153"/>
      <c r="S78" s="179"/>
      <c r="T78" s="74"/>
      <c r="U78" s="190"/>
      <c r="V78" s="185"/>
      <c r="W78" s="7"/>
      <c r="X78" s="218"/>
      <c r="Z78" s="175">
        <v>1537.152</v>
      </c>
    </row>
    <row r="79" spans="2:26" s="48" customFormat="1" ht="15.75" customHeight="1">
      <c r="B79" s="215"/>
      <c r="C79" s="202"/>
      <c r="D79" s="186"/>
      <c r="E79" s="156"/>
      <c r="F79" s="156"/>
      <c r="G79" s="211"/>
      <c r="H79" s="211"/>
      <c r="I79" s="212"/>
      <c r="J79" s="186"/>
      <c r="K79" s="159"/>
      <c r="L79" s="159"/>
      <c r="M79" s="159"/>
      <c r="N79" s="159"/>
      <c r="O79" s="159"/>
      <c r="P79" s="159"/>
      <c r="Q79" s="153"/>
      <c r="R79" s="153"/>
      <c r="S79" s="179"/>
      <c r="T79" s="74"/>
      <c r="U79" s="190"/>
      <c r="V79" s="185"/>
      <c r="W79" s="7"/>
      <c r="X79" s="218"/>
      <c r="Z79" s="175">
        <v>1537.152</v>
      </c>
    </row>
    <row r="80" spans="2:26" s="48" customFormat="1" ht="15.75" customHeight="1">
      <c r="B80" s="215"/>
      <c r="C80" s="202"/>
      <c r="D80" s="155"/>
      <c r="E80" s="156"/>
      <c r="F80" s="184"/>
      <c r="G80" s="157"/>
      <c r="H80" s="157"/>
      <c r="I80" s="158"/>
      <c r="J80" s="155"/>
      <c r="K80" s="159"/>
      <c r="L80" s="159"/>
      <c r="M80" s="159"/>
      <c r="N80" s="159"/>
      <c r="O80" s="159"/>
      <c r="P80" s="159"/>
      <c r="Q80" s="153"/>
      <c r="R80" s="153"/>
      <c r="S80" s="179"/>
      <c r="T80" s="74"/>
      <c r="U80" s="190"/>
      <c r="V80" s="185"/>
      <c r="W80" s="7"/>
      <c r="X80" s="218"/>
      <c r="Z80" s="175">
        <v>1537.152</v>
      </c>
    </row>
    <row r="81" spans="2:26" s="48" customFormat="1" ht="14.65" thickBot="1">
      <c r="B81" s="215"/>
      <c r="C81" s="202"/>
      <c r="D81" s="155"/>
      <c r="E81" s="156"/>
      <c r="F81" s="184"/>
      <c r="G81" s="157"/>
      <c r="H81" s="157"/>
      <c r="I81" s="158"/>
      <c r="J81" s="155"/>
      <c r="K81" s="159"/>
      <c r="L81" s="159"/>
      <c r="M81" s="159"/>
      <c r="N81" s="159"/>
      <c r="O81" s="159"/>
      <c r="P81" s="159"/>
      <c r="Q81" s="153"/>
      <c r="R81" s="153"/>
      <c r="S81" s="179"/>
      <c r="T81" s="162"/>
      <c r="U81" s="190"/>
      <c r="V81" s="163"/>
      <c r="X81" s="218"/>
      <c r="Z81" s="175">
        <v>1280.96</v>
      </c>
    </row>
    <row r="82" spans="2:26" ht="22.15" customHeight="1" thickBot="1">
      <c r="B82" s="228" t="s">
        <v>81</v>
      </c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30"/>
      <c r="S82" s="170" t="s">
        <v>66</v>
      </c>
      <c r="T82" s="171"/>
      <c r="U82" s="191">
        <f>SUM(U25:U81)</f>
        <v>0</v>
      </c>
      <c r="V82" s="75"/>
    </row>
    <row r="83" spans="2:26" s="6" customFormat="1">
      <c r="B83" s="196"/>
      <c r="C83" s="197"/>
      <c r="D83" s="198"/>
      <c r="E83" s="198"/>
      <c r="F83" s="198"/>
      <c r="G83" s="198"/>
      <c r="H83" s="198"/>
      <c r="I83" s="198"/>
      <c r="J83" s="198"/>
      <c r="K83" s="67"/>
      <c r="L83" s="67"/>
      <c r="M83" s="67"/>
      <c r="N83" s="67"/>
      <c r="O83" s="67"/>
      <c r="P83" s="67"/>
      <c r="Q83" s="68"/>
      <c r="R83" s="69"/>
      <c r="S83" s="63"/>
      <c r="T83" s="63"/>
      <c r="U83" s="192"/>
      <c r="V83" s="76"/>
      <c r="W83" s="47"/>
    </row>
    <row r="84" spans="2:26" s="6" customFormat="1">
      <c r="B84" s="199"/>
      <c r="C84" s="200"/>
      <c r="D84" s="201"/>
      <c r="E84" s="201"/>
      <c r="F84" s="201"/>
      <c r="G84" s="201"/>
      <c r="H84" s="201"/>
      <c r="I84" s="201"/>
      <c r="J84" s="201"/>
      <c r="K84"/>
      <c r="L84"/>
      <c r="M84"/>
      <c r="N84"/>
      <c r="O84"/>
      <c r="P84"/>
      <c r="Q84" s="70"/>
      <c r="R84" s="71"/>
      <c r="S84" s="47"/>
      <c r="T84" s="47"/>
      <c r="U84" s="193"/>
      <c r="V84" s="77"/>
      <c r="W84" s="47"/>
    </row>
    <row r="85" spans="2:26" s="6" customFormat="1">
      <c r="B85" s="199"/>
      <c r="C85" s="3"/>
      <c r="D85" s="3"/>
      <c r="E85" s="2"/>
      <c r="F85" s="33"/>
      <c r="G85" s="33"/>
      <c r="H85" s="34"/>
      <c r="I85" s="3"/>
      <c r="J85"/>
      <c r="K85"/>
      <c r="L85"/>
      <c r="M85"/>
      <c r="N85"/>
      <c r="O85"/>
      <c r="P85"/>
      <c r="Q85" s="70"/>
      <c r="R85" s="71"/>
      <c r="S85" s="47"/>
      <c r="T85" s="47"/>
      <c r="U85" s="193"/>
      <c r="V85" s="77"/>
      <c r="W85" s="47"/>
    </row>
    <row r="86" spans="2:26" s="6" customFormat="1" ht="13.15">
      <c r="B86" s="199"/>
      <c r="C86" s="35" t="s">
        <v>52</v>
      </c>
      <c r="D86" s="35"/>
      <c r="E86" s="2"/>
      <c r="F86" s="3"/>
      <c r="G86" s="3"/>
      <c r="H86" s="3"/>
      <c r="I86" s="3" t="s">
        <v>53</v>
      </c>
      <c r="J86"/>
      <c r="K86"/>
      <c r="L86"/>
      <c r="M86"/>
      <c r="N86"/>
      <c r="O86"/>
      <c r="P86"/>
      <c r="Q86" s="70"/>
      <c r="R86" s="71"/>
      <c r="S86" s="47"/>
      <c r="T86" s="47"/>
      <c r="U86" s="193"/>
      <c r="V86" s="77"/>
      <c r="W86" s="47"/>
    </row>
    <row r="87" spans="2:26" s="6" customFormat="1" ht="13.15">
      <c r="B87" s="199"/>
      <c r="C87" s="221"/>
      <c r="D87" s="221"/>
      <c r="E87" s="221"/>
      <c r="F87" s="221"/>
      <c r="G87" s="36"/>
      <c r="H87" s="35" t="s">
        <v>54</v>
      </c>
      <c r="I87" s="35"/>
      <c r="J87" s="18" t="s">
        <v>55</v>
      </c>
      <c r="K87"/>
      <c r="L87"/>
      <c r="M87"/>
      <c r="N87"/>
      <c r="O87"/>
      <c r="P87"/>
      <c r="Q87" s="70"/>
      <c r="R87" s="71"/>
      <c r="S87" s="47"/>
      <c r="T87" s="47"/>
      <c r="U87" s="193"/>
      <c r="V87" s="77"/>
      <c r="W87" s="47"/>
    </row>
    <row r="88" spans="2:26" s="6" customFormat="1">
      <c r="B88" s="199"/>
      <c r="C88" s="36" t="s">
        <v>56</v>
      </c>
      <c r="D88" s="36"/>
      <c r="E88" s="37"/>
      <c r="F88" s="36"/>
      <c r="G88" s="36"/>
      <c r="H88" s="38">
        <v>1696.56</v>
      </c>
      <c r="I88" s="38"/>
      <c r="J88" s="38">
        <f>H88*1.2</f>
        <v>2035.8719999999998</v>
      </c>
      <c r="K88"/>
      <c r="L88"/>
      <c r="M88"/>
      <c r="N88"/>
      <c r="O88"/>
      <c r="P88"/>
      <c r="Q88" s="70"/>
      <c r="R88" s="71"/>
      <c r="S88" s="47"/>
      <c r="T88" s="47"/>
      <c r="U88" s="193"/>
      <c r="V88" s="77"/>
      <c r="W88" s="47"/>
    </row>
    <row r="89" spans="2:26" s="6" customFormat="1">
      <c r="B89" s="199"/>
      <c r="C89" s="221" t="s">
        <v>57</v>
      </c>
      <c r="D89" s="221"/>
      <c r="E89" s="221"/>
      <c r="F89" s="221"/>
      <c r="G89" s="36"/>
      <c r="H89" s="38">
        <v>2466</v>
      </c>
      <c r="I89" s="38"/>
      <c r="J89" s="38">
        <f>H89*1.2</f>
        <v>2959.2</v>
      </c>
      <c r="K89"/>
      <c r="L89"/>
      <c r="M89"/>
      <c r="N89"/>
      <c r="O89"/>
      <c r="P89"/>
      <c r="Q89" s="70"/>
      <c r="R89" s="71"/>
      <c r="S89" s="47"/>
      <c r="T89" s="47"/>
      <c r="U89" s="193"/>
      <c r="V89" s="77"/>
      <c r="W89" s="47"/>
    </row>
    <row r="90" spans="2:26" s="6" customFormat="1">
      <c r="B90" s="199"/>
      <c r="C90" s="3"/>
      <c r="D90" s="3"/>
      <c r="E90" s="2"/>
      <c r="F90" s="3"/>
      <c r="G90" s="3"/>
      <c r="H90" s="3"/>
      <c r="I90" s="3"/>
      <c r="J90"/>
      <c r="K90"/>
      <c r="L90"/>
      <c r="M90"/>
      <c r="N90"/>
      <c r="O90"/>
      <c r="P90"/>
      <c r="Q90" s="70"/>
      <c r="R90" s="71"/>
      <c r="S90" s="47"/>
      <c r="T90" s="47"/>
      <c r="U90" s="193"/>
      <c r="V90" s="77"/>
      <c r="W90" s="47"/>
    </row>
    <row r="91" spans="2:26" s="6" customFormat="1" ht="13.15">
      <c r="B91" s="199"/>
      <c r="C91" s="36" t="s">
        <v>80</v>
      </c>
      <c r="D91" s="36"/>
      <c r="E91" s="13"/>
      <c r="F91" s="13"/>
      <c r="G91" s="13"/>
      <c r="H91" s="13"/>
      <c r="I91" s="13"/>
      <c r="J91" s="13"/>
      <c r="K91" s="13"/>
      <c r="L91"/>
      <c r="M91"/>
      <c r="N91"/>
      <c r="O91"/>
      <c r="P91"/>
      <c r="Q91" s="70"/>
      <c r="R91" s="71"/>
      <c r="S91" s="47"/>
      <c r="T91" s="47"/>
      <c r="U91" s="193"/>
      <c r="V91" s="77"/>
      <c r="W91" s="47"/>
    </row>
    <row r="92" spans="2:26" s="6" customFormat="1">
      <c r="B92" s="199"/>
      <c r="C92" s="36" t="s">
        <v>58</v>
      </c>
      <c r="D92" s="36"/>
      <c r="E92" s="39"/>
      <c r="F92" s="13"/>
      <c r="G92" s="13"/>
      <c r="H92" s="13"/>
      <c r="I92" s="13"/>
      <c r="J92" s="13"/>
      <c r="K92" s="13"/>
      <c r="L92"/>
      <c r="M92"/>
      <c r="N92"/>
      <c r="O92"/>
      <c r="P92"/>
      <c r="Q92" s="70"/>
      <c r="R92" s="71"/>
      <c r="S92" s="47"/>
      <c r="T92" s="47"/>
      <c r="U92" s="193"/>
      <c r="V92" s="77"/>
      <c r="W92" s="47"/>
    </row>
    <row r="93" spans="2:26" s="6" customFormat="1">
      <c r="B93" s="199"/>
      <c r="C93" s="13"/>
      <c r="D93" s="13"/>
      <c r="E93" s="13"/>
      <c r="F93" s="13"/>
      <c r="G93" s="13"/>
      <c r="H93" s="13"/>
      <c r="I93" s="13"/>
      <c r="J93"/>
      <c r="K93"/>
      <c r="L93"/>
      <c r="M93"/>
      <c r="N93"/>
      <c r="O93"/>
      <c r="P93"/>
      <c r="Q93"/>
      <c r="R93"/>
      <c r="S93"/>
      <c r="T93"/>
      <c r="U93" s="193"/>
      <c r="V93" s="78"/>
      <c r="W93"/>
    </row>
    <row r="94" spans="2:26" s="6" customFormat="1">
      <c r="B94" s="64"/>
      <c r="C94" s="3"/>
      <c r="D94"/>
      <c r="E94" s="3"/>
      <c r="F94" s="3"/>
      <c r="G94" s="3"/>
      <c r="H94" s="3"/>
      <c r="I94"/>
      <c r="J94"/>
      <c r="K94"/>
      <c r="L94"/>
      <c r="M94"/>
      <c r="N94"/>
      <c r="O94"/>
      <c r="P94"/>
      <c r="Q94"/>
      <c r="R94"/>
      <c r="S94"/>
      <c r="T94"/>
      <c r="U94" s="193"/>
      <c r="V94" s="77"/>
      <c r="W94" s="47"/>
    </row>
    <row r="95" spans="2:26" s="6" customFormat="1">
      <c r="B95" s="64"/>
      <c r="C95" s="3"/>
      <c r="D95" s="47"/>
      <c r="E95" s="164"/>
      <c r="F95" s="164"/>
      <c r="G95" s="164"/>
      <c r="H95" s="164"/>
      <c r="I95" s="164"/>
      <c r="J95" s="47"/>
      <c r="K95"/>
      <c r="L95" s="47"/>
      <c r="M95" s="47"/>
      <c r="N95" s="47"/>
      <c r="O95" s="47"/>
      <c r="P95" s="47"/>
      <c r="Q95" s="164"/>
      <c r="R95" s="164"/>
      <c r="S95" s="164"/>
      <c r="T95" s="164"/>
      <c r="U95" s="193"/>
      <c r="V95" s="77"/>
      <c r="W95" s="47"/>
    </row>
    <row r="96" spans="2:26" s="6" customFormat="1">
      <c r="B96" s="32"/>
      <c r="C96" s="3"/>
      <c r="D96" s="47"/>
      <c r="E96" s="222" t="s">
        <v>67</v>
      </c>
      <c r="F96" s="222"/>
      <c r="G96" s="222"/>
      <c r="H96" s="222"/>
      <c r="I96" s="222"/>
      <c r="J96" s="47"/>
      <c r="K96"/>
      <c r="L96" s="47"/>
      <c r="M96" s="47"/>
      <c r="N96" s="47"/>
      <c r="O96" s="47"/>
      <c r="P96" s="47"/>
      <c r="Q96" s="222" t="s">
        <v>68</v>
      </c>
      <c r="R96" s="222"/>
      <c r="S96" s="222"/>
      <c r="T96" s="222"/>
      <c r="U96" s="193"/>
      <c r="V96" s="78"/>
      <c r="W96"/>
    </row>
    <row r="97" spans="2:26" s="6" customFormat="1">
      <c r="B97" s="32"/>
      <c r="C97" s="1"/>
      <c r="D97" s="1"/>
      <c r="E97" s="1"/>
      <c r="F97" s="1"/>
      <c r="G97" s="3"/>
      <c r="H97" s="2"/>
      <c r="I97" s="14"/>
      <c r="J97" s="47"/>
      <c r="K97"/>
      <c r="L97"/>
      <c r="M97"/>
      <c r="N97"/>
      <c r="O97"/>
      <c r="P97"/>
      <c r="Q97" s="70"/>
      <c r="R97" s="71"/>
      <c r="S97" s="47"/>
      <c r="T97" s="47"/>
      <c r="U97" s="193"/>
      <c r="V97" s="77"/>
      <c r="W97" s="47"/>
    </row>
    <row r="98" spans="2:26" s="6" customFormat="1" ht="13.15" thickBot="1">
      <c r="B98" s="40"/>
      <c r="C98" s="65"/>
      <c r="D98" s="66"/>
      <c r="E98" s="41"/>
      <c r="F98" s="41"/>
      <c r="G98" s="42"/>
      <c r="H98" s="42"/>
      <c r="I98" s="46"/>
      <c r="J98" s="46"/>
      <c r="K98" s="46"/>
      <c r="L98" s="46"/>
      <c r="M98" s="46"/>
      <c r="N98" s="46"/>
      <c r="O98" s="46"/>
      <c r="P98" s="46"/>
      <c r="Q98" s="72"/>
      <c r="R98" s="73"/>
      <c r="S98" s="79"/>
      <c r="T98" s="79"/>
      <c r="U98" s="194"/>
      <c r="V98" s="80"/>
      <c r="W98" s="47"/>
    </row>
    <row r="99" spans="2:26">
      <c r="Z99" s="6"/>
    </row>
  </sheetData>
  <autoFilter ref="B24:X82" xr:uid="{00000000-0001-0000-3500-000000000000}"/>
  <mergeCells count="8">
    <mergeCell ref="C89:F89"/>
    <mergeCell ref="E96:I96"/>
    <mergeCell ref="Q96:T96"/>
    <mergeCell ref="V22:V23"/>
    <mergeCell ref="D22:U22"/>
    <mergeCell ref="D23:U23"/>
    <mergeCell ref="B82:R82"/>
    <mergeCell ref="C87:F87"/>
  </mergeCells>
  <phoneticPr fontId="14" type="noConversion"/>
  <conditionalFormatting sqref="K25:P81">
    <cfRule type="cellIs" dxfId="0" priority="29" stopIfTrue="1" operator="equal">
      <formula>0</formula>
    </cfRule>
  </conditionalFormatting>
  <pageMargins left="0.39370078740157499" right="0.39370078740157499" top="0.39370078740157499" bottom="0.98425196850393704" header="0.511811023622047" footer="0.511811023622047"/>
  <pageSetup paperSize="8" scale="55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8bd75-e5af-473e-a771-af58d935aeec">
      <Terms xmlns="http://schemas.microsoft.com/office/infopath/2007/PartnerControls"/>
    </lcf76f155ced4ddcb4097134ff3c332f>
    <TaxCatchAll xmlns="2e1cb776-6995-4ef2-a2af-ac4d4b6f49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F60118CF4DD941A5203D2B469A8CE2" ma:contentTypeVersion="17" ma:contentTypeDescription="Crie um novo documento." ma:contentTypeScope="" ma:versionID="b03e92e83ddbfe953464899740f5d5bb">
  <xsd:schema xmlns:xsd="http://www.w3.org/2001/XMLSchema" xmlns:xs="http://www.w3.org/2001/XMLSchema" xmlns:p="http://schemas.microsoft.com/office/2006/metadata/properties" xmlns:ns2="4f78bd75-e5af-473e-a771-af58d935aeec" xmlns:ns3="2e1cb776-6995-4ef2-a2af-ac4d4b6f4925" targetNamespace="http://schemas.microsoft.com/office/2006/metadata/properties" ma:root="true" ma:fieldsID="78badaa948bbbbf41e59d1920735e7e3" ns2:_="" ns3:_="">
    <xsd:import namespace="4f78bd75-e5af-473e-a771-af58d935aeec"/>
    <xsd:import namespace="2e1cb776-6995-4ef2-a2af-ac4d4b6f49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8bd75-e5af-473e-a771-af58d935a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339697e3-62eb-412e-b6ec-2aacf9b20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cb776-6995-4ef2-a2af-ac4d4b6f492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1dbe249-41fe-4454-9af1-7b366db50ac0}" ma:internalName="TaxCatchAll" ma:showField="CatchAllData" ma:web="2e1cb776-6995-4ef2-a2af-ac4d4b6f49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736B5A-EB32-4C6E-8113-1E09D49D5827}">
  <ds:schemaRefs>
    <ds:schemaRef ds:uri="http://schemas.microsoft.com/office/2006/metadata/properties"/>
    <ds:schemaRef ds:uri="http://schemas.microsoft.com/office/infopath/2007/PartnerControls"/>
    <ds:schemaRef ds:uri="4f78bd75-e5af-473e-a771-af58d935aeec"/>
    <ds:schemaRef ds:uri="2e1cb776-6995-4ef2-a2af-ac4d4b6f4925"/>
  </ds:schemaRefs>
</ds:datastoreItem>
</file>

<file path=customXml/itemProps2.xml><?xml version="1.0" encoding="utf-8"?>
<ds:datastoreItem xmlns:ds="http://schemas.openxmlformats.org/officeDocument/2006/customXml" ds:itemID="{8D652D1B-C240-4FDF-A95A-10510DB74A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41D9A-BAB7-435E-9604-3C0E8FEA4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8bd75-e5af-473e-a771-af58d935aeec"/>
    <ds:schemaRef ds:uri="2e1cb776-6995-4ef2-a2af-ac4d4b6f49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MES</vt:lpstr>
      <vt:lpstr>PAGAMENTO MOD</vt:lpstr>
      <vt:lpstr>MES!Area_de_impressao</vt:lpstr>
      <vt:lpstr>'PAGAMENTO MOD'!Area_de_impressao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iara</dc:creator>
  <cp:keywords/>
  <dc:description/>
  <cp:lastModifiedBy>Leandro Netto</cp:lastModifiedBy>
  <cp:revision/>
  <dcterms:created xsi:type="dcterms:W3CDTF">2006-09-18T14:54:00Z</dcterms:created>
  <dcterms:modified xsi:type="dcterms:W3CDTF">2026-04-23T18:41:53Z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_activity">
    <vt:lpwstr/>
  </property>
  <property fmtid="{D5CDD505-2E9C-101B-9397-08002B2CF9AE}" pid="4" name="lcf76f155ced4ddcb4097134ff3c332f">
    <vt:lpwstr/>
  </property>
  <property fmtid="{D5CDD505-2E9C-101B-9397-08002B2CF9AE}" pid="5" name="teste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ICV">
    <vt:lpwstr>FE2E77499BB0478C93C9AF34C634026C_12</vt:lpwstr>
  </property>
  <property fmtid="{D5CDD505-2E9C-101B-9397-08002B2CF9AE}" pid="9" name="KSOProductBuildVer">
    <vt:lpwstr>1046-12.2.0.23131</vt:lpwstr>
  </property>
</Properties>
</file>