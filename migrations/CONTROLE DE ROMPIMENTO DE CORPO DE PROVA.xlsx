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rone\SynologyDrive\fortanks_novo\migrations\"/>
    </mc:Choice>
  </mc:AlternateContent>
  <xr:revisionPtr revIDLastSave="0" documentId="13_ncr:1_{7ADCDC7D-2756-45A8-A124-7202E7F181E3}" xr6:coauthVersionLast="47" xr6:coauthVersionMax="47" xr10:uidLastSave="{00000000-0000-0000-0000-000000000000}"/>
  <bookViews>
    <workbookView xWindow="-103" yWindow="-103" windowWidth="24892" windowHeight="14914" xr2:uid="{437C0CCF-D8C3-4EF4-A524-599D9B67D98E}"/>
  </bookViews>
  <sheets>
    <sheet name="controle ruptura" sheetId="1" r:id="rId1"/>
  </sheets>
  <externalReferences>
    <externalReference r:id="rId2"/>
  </externalReferences>
  <definedNames>
    <definedName name="_xlnm._FilterDatabase" localSheetId="0" hidden="1">'controle ruptura'!$Q$2:$S$954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1" l="1"/>
  <c r="Q6" i="1"/>
  <c r="O6" i="1"/>
  <c r="M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S118" i="1"/>
  <c r="Q118" i="1"/>
  <c r="M118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7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M107" i="1"/>
  <c r="M108" i="1"/>
  <c r="M109" i="1"/>
  <c r="M110" i="1"/>
  <c r="M111" i="1"/>
  <c r="M112" i="1"/>
  <c r="M113" i="1"/>
  <c r="M114" i="1"/>
  <c r="M115" i="1"/>
  <c r="M116" i="1"/>
  <c r="M117" i="1"/>
  <c r="B119" i="1"/>
  <c r="B120" i="1"/>
  <c r="C120" i="1" s="1"/>
  <c r="B121" i="1"/>
  <c r="C121" i="1" s="1"/>
  <c r="B122" i="1"/>
  <c r="C122" i="1" s="1"/>
  <c r="B123" i="1"/>
  <c r="D123" i="1" s="1"/>
  <c r="B124" i="1"/>
  <c r="D124" i="1" s="1"/>
  <c r="B125" i="1"/>
  <c r="D125" i="1" s="1"/>
  <c r="B126" i="1"/>
  <c r="D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D134" i="1" s="1"/>
  <c r="B135" i="1"/>
  <c r="D135" i="1" s="1"/>
  <c r="B136" i="1"/>
  <c r="D136" i="1" s="1"/>
  <c r="B137" i="1"/>
  <c r="D137" i="1" s="1"/>
  <c r="B138" i="1"/>
  <c r="C138" i="1" s="1"/>
  <c r="B139" i="1"/>
  <c r="C139" i="1" s="1"/>
  <c r="B140" i="1"/>
  <c r="D140" i="1" s="1"/>
  <c r="B141" i="1"/>
  <c r="D141" i="1" s="1"/>
  <c r="B142" i="1"/>
  <c r="C142" i="1" s="1"/>
  <c r="B143" i="1"/>
  <c r="C143" i="1" s="1"/>
  <c r="B144" i="1"/>
  <c r="C144" i="1" s="1"/>
  <c r="B145" i="1"/>
  <c r="D145" i="1" s="1"/>
  <c r="B146" i="1"/>
  <c r="D146" i="1" s="1"/>
  <c r="B147" i="1"/>
  <c r="D147" i="1" s="1"/>
  <c r="B148" i="1"/>
  <c r="C148" i="1" s="1"/>
  <c r="B149" i="1"/>
  <c r="C149" i="1" s="1"/>
  <c r="B150" i="1"/>
  <c r="C150" i="1" s="1"/>
  <c r="B151" i="1"/>
  <c r="D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D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D167" i="1" s="1"/>
  <c r="B168" i="1"/>
  <c r="C168" i="1" s="1"/>
  <c r="B169" i="1"/>
  <c r="D169" i="1" s="1"/>
  <c r="B170" i="1"/>
  <c r="D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D178" i="1" s="1"/>
  <c r="B179" i="1"/>
  <c r="C179" i="1" s="1"/>
  <c r="B180" i="1"/>
  <c r="D180" i="1" s="1"/>
  <c r="B181" i="1"/>
  <c r="D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D189" i="1" s="1"/>
  <c r="B190" i="1"/>
  <c r="D190" i="1" s="1"/>
  <c r="B191" i="1"/>
  <c r="D191" i="1" s="1"/>
  <c r="B192" i="1"/>
  <c r="D192" i="1" s="1"/>
  <c r="B193" i="1"/>
  <c r="C193" i="1" s="1"/>
  <c r="B194" i="1"/>
  <c r="C194" i="1" s="1"/>
  <c r="B195" i="1"/>
  <c r="C195" i="1" s="1"/>
  <c r="B196" i="1"/>
  <c r="D196" i="1" s="1"/>
  <c r="B197" i="1"/>
  <c r="C197" i="1" s="1"/>
  <c r="B198" i="1"/>
  <c r="C198" i="1" s="1"/>
  <c r="B199" i="1"/>
  <c r="C199" i="1" s="1"/>
  <c r="B200" i="1"/>
  <c r="D200" i="1" s="1"/>
  <c r="B201" i="1"/>
  <c r="C201" i="1" s="1"/>
  <c r="B202" i="1"/>
  <c r="D202" i="1" s="1"/>
  <c r="B203" i="1"/>
  <c r="D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D211" i="1" s="1"/>
  <c r="B212" i="1"/>
  <c r="D212" i="1" s="1"/>
  <c r="B213" i="1"/>
  <c r="D213" i="1" s="1"/>
  <c r="B214" i="1"/>
  <c r="D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D222" i="1" s="1"/>
  <c r="B223" i="1"/>
  <c r="C223" i="1" s="1"/>
  <c r="B224" i="1"/>
  <c r="D224" i="1" s="1"/>
  <c r="B225" i="1"/>
  <c r="D225" i="1" s="1"/>
  <c r="B226" i="1"/>
  <c r="C226" i="1" s="1"/>
  <c r="B227" i="1"/>
  <c r="C227" i="1" s="1"/>
  <c r="B228" i="1"/>
  <c r="D228" i="1" s="1"/>
  <c r="B229" i="1"/>
  <c r="D229" i="1" s="1"/>
  <c r="B230" i="1"/>
  <c r="C230" i="1" s="1"/>
  <c r="B231" i="1"/>
  <c r="C231" i="1" s="1"/>
  <c r="B232" i="1"/>
  <c r="C232" i="1" s="1"/>
  <c r="B233" i="1"/>
  <c r="D233" i="1" s="1"/>
  <c r="B234" i="1"/>
  <c r="D234" i="1" s="1"/>
  <c r="B235" i="1"/>
  <c r="D235" i="1" s="1"/>
  <c r="B236" i="1"/>
  <c r="C236" i="1" s="1"/>
  <c r="B237" i="1"/>
  <c r="C237" i="1" s="1"/>
  <c r="B238" i="1"/>
  <c r="C238" i="1" s="1"/>
  <c r="B239" i="1"/>
  <c r="C239" i="1" s="1"/>
  <c r="B240" i="1"/>
  <c r="D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D246" i="1" s="1"/>
  <c r="B247" i="1"/>
  <c r="C247" i="1" s="1"/>
  <c r="B248" i="1"/>
  <c r="C248" i="1" s="1"/>
  <c r="B249" i="1"/>
  <c r="C249" i="1" s="1"/>
  <c r="B250" i="1"/>
  <c r="D250" i="1" s="1"/>
  <c r="B251" i="1"/>
  <c r="C251" i="1" s="1"/>
  <c r="B252" i="1"/>
  <c r="C252" i="1" s="1"/>
  <c r="B253" i="1"/>
  <c r="C253" i="1" s="1"/>
  <c r="B254" i="1"/>
  <c r="C254" i="1" s="1"/>
  <c r="B255" i="1"/>
  <c r="D255" i="1" s="1"/>
  <c r="B256" i="1"/>
  <c r="C256" i="1" s="1"/>
  <c r="B257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B118" i="1"/>
  <c r="D118" i="1" s="1"/>
  <c r="B5" i="1"/>
  <c r="C5" i="1" s="1"/>
  <c r="B6" i="1"/>
  <c r="C6" i="1" s="1"/>
  <c r="B7" i="1"/>
  <c r="D7" i="1" s="1"/>
  <c r="B8" i="1"/>
  <c r="D8" i="1" s="1"/>
  <c r="B9" i="1"/>
  <c r="C9" i="1" s="1"/>
  <c r="B10" i="1"/>
  <c r="C10" i="1" s="1"/>
  <c r="B11" i="1"/>
  <c r="D11" i="1" s="1"/>
  <c r="B12" i="1"/>
  <c r="C12" i="1" s="1"/>
  <c r="B13" i="1"/>
  <c r="C13" i="1" s="1"/>
  <c r="B14" i="1"/>
  <c r="D14" i="1" s="1"/>
  <c r="B15" i="1"/>
  <c r="D15" i="1" s="1"/>
  <c r="B16" i="1"/>
  <c r="C16" i="1" s="1"/>
  <c r="B17" i="1"/>
  <c r="C17" i="1" s="1"/>
  <c r="B18" i="1"/>
  <c r="D18" i="1" s="1"/>
  <c r="B19" i="1"/>
  <c r="D19" i="1" s="1"/>
  <c r="B20" i="1"/>
  <c r="D20" i="1" s="1"/>
  <c r="B21" i="1"/>
  <c r="C21" i="1" s="1"/>
  <c r="B22" i="1"/>
  <c r="D22" i="1" s="1"/>
  <c r="B23" i="1"/>
  <c r="C23" i="1" s="1"/>
  <c r="B24" i="1"/>
  <c r="C24" i="1" s="1"/>
  <c r="B25" i="1"/>
  <c r="D25" i="1" s="1"/>
  <c r="B26" i="1"/>
  <c r="D26" i="1" s="1"/>
  <c r="B27" i="1"/>
  <c r="C27" i="1" s="1"/>
  <c r="B28" i="1"/>
  <c r="C28" i="1" s="1"/>
  <c r="B29" i="1"/>
  <c r="D29" i="1" s="1"/>
  <c r="B30" i="1"/>
  <c r="D30" i="1" s="1"/>
  <c r="B31" i="1"/>
  <c r="C31" i="1" s="1"/>
  <c r="B32" i="1"/>
  <c r="C32" i="1" s="1"/>
  <c r="B33" i="1"/>
  <c r="D33" i="1" s="1"/>
  <c r="B34" i="1"/>
  <c r="C34" i="1" s="1"/>
  <c r="B35" i="1"/>
  <c r="D35" i="1" s="1"/>
  <c r="B36" i="1"/>
  <c r="D36" i="1" s="1"/>
  <c r="B37" i="1"/>
  <c r="D37" i="1" s="1"/>
  <c r="B38" i="1"/>
  <c r="C38" i="1" s="1"/>
  <c r="B39" i="1"/>
  <c r="C39" i="1" s="1"/>
  <c r="B40" i="1"/>
  <c r="D40" i="1" s="1"/>
  <c r="B41" i="1"/>
  <c r="D41" i="1" s="1"/>
  <c r="B42" i="1"/>
  <c r="C42" i="1" s="1"/>
  <c r="B43" i="1"/>
  <c r="C43" i="1" s="1"/>
  <c r="B44" i="1"/>
  <c r="D44" i="1" s="1"/>
  <c r="B45" i="1"/>
  <c r="C45" i="1" s="1"/>
  <c r="B46" i="1"/>
  <c r="C46" i="1" s="1"/>
  <c r="B47" i="1"/>
  <c r="C47" i="1" s="1"/>
  <c r="B48" i="1"/>
  <c r="D48" i="1" s="1"/>
  <c r="B49" i="1"/>
  <c r="C49" i="1" s="1"/>
  <c r="B50" i="1"/>
  <c r="C50" i="1" s="1"/>
  <c r="B51" i="1"/>
  <c r="D51" i="1" s="1"/>
  <c r="B52" i="1"/>
  <c r="D52" i="1" s="1"/>
  <c r="B53" i="1"/>
  <c r="D53" i="1" s="1"/>
  <c r="B54" i="1"/>
  <c r="C54" i="1" s="1"/>
  <c r="B55" i="1"/>
  <c r="D55" i="1" s="1"/>
  <c r="B56" i="1"/>
  <c r="C56" i="1" s="1"/>
  <c r="B57" i="1"/>
  <c r="D57" i="1" s="1"/>
  <c r="B58" i="1"/>
  <c r="C58" i="1" s="1"/>
  <c r="B59" i="1"/>
  <c r="D59" i="1" s="1"/>
  <c r="B60" i="1"/>
  <c r="C60" i="1" s="1"/>
  <c r="B61" i="1"/>
  <c r="C61" i="1" s="1"/>
  <c r="B62" i="1"/>
  <c r="D62" i="1" s="1"/>
  <c r="B63" i="1"/>
  <c r="D63" i="1" s="1"/>
  <c r="B64" i="1"/>
  <c r="C64" i="1" s="1"/>
  <c r="B65" i="1"/>
  <c r="C65" i="1" s="1"/>
  <c r="B66" i="1"/>
  <c r="D66" i="1" s="1"/>
  <c r="B67" i="1"/>
  <c r="C67" i="1" s="1"/>
  <c r="B68" i="1"/>
  <c r="C68" i="1" s="1"/>
  <c r="B69" i="1"/>
  <c r="C69" i="1" s="1"/>
  <c r="B70" i="1"/>
  <c r="D70" i="1" s="1"/>
  <c r="B71" i="1"/>
  <c r="C71" i="1" s="1"/>
  <c r="B72" i="1"/>
  <c r="C72" i="1" s="1"/>
  <c r="B73" i="1"/>
  <c r="D73" i="1" s="1"/>
  <c r="B74" i="1"/>
  <c r="D74" i="1" s="1"/>
  <c r="B75" i="1"/>
  <c r="D75" i="1" s="1"/>
  <c r="B76" i="1"/>
  <c r="C76" i="1" s="1"/>
  <c r="B77" i="1"/>
  <c r="D77" i="1" s="1"/>
  <c r="B78" i="1"/>
  <c r="C78" i="1" s="1"/>
  <c r="B79" i="1"/>
  <c r="C79" i="1" s="1"/>
  <c r="B80" i="1"/>
  <c r="C80" i="1" s="1"/>
  <c r="B81" i="1"/>
  <c r="D81" i="1" s="1"/>
  <c r="B82" i="1"/>
  <c r="C82" i="1" s="1"/>
  <c r="B83" i="1"/>
  <c r="C83" i="1" s="1"/>
  <c r="B84" i="1"/>
  <c r="C84" i="1" s="1"/>
  <c r="B85" i="1"/>
  <c r="D85" i="1" s="1"/>
  <c r="B86" i="1"/>
  <c r="C86" i="1" s="1"/>
  <c r="B87" i="1"/>
  <c r="C87" i="1" s="1"/>
  <c r="B88" i="1"/>
  <c r="C88" i="1" s="1"/>
  <c r="B89" i="1"/>
  <c r="C89" i="1" s="1"/>
  <c r="B90" i="1"/>
  <c r="D90" i="1" s="1"/>
  <c r="B91" i="1"/>
  <c r="C91" i="1" s="1"/>
  <c r="B92" i="1"/>
  <c r="D92" i="1" s="1"/>
  <c r="B93" i="1"/>
  <c r="D93" i="1" s="1"/>
  <c r="B94" i="1"/>
  <c r="C94" i="1" s="1"/>
  <c r="B95" i="1"/>
  <c r="C95" i="1" s="1"/>
  <c r="B96" i="1"/>
  <c r="D96" i="1" s="1"/>
  <c r="B97" i="1"/>
  <c r="C97" i="1" s="1"/>
  <c r="B98" i="1"/>
  <c r="C98" i="1" s="1"/>
  <c r="B99" i="1"/>
  <c r="C99" i="1" s="1"/>
  <c r="B100" i="1"/>
  <c r="C100" i="1" s="1"/>
  <c r="B101" i="1"/>
  <c r="D101" i="1" s="1"/>
  <c r="B102" i="1"/>
  <c r="D102" i="1" s="1"/>
  <c r="B103" i="1"/>
  <c r="D103" i="1" s="1"/>
  <c r="B104" i="1"/>
  <c r="D104" i="1" s="1"/>
  <c r="B105" i="1"/>
  <c r="C105" i="1" s="1"/>
  <c r="B106" i="1"/>
  <c r="C106" i="1" s="1"/>
  <c r="B107" i="1"/>
  <c r="D107" i="1" s="1"/>
  <c r="B108" i="1"/>
  <c r="D108" i="1" s="1"/>
  <c r="B109" i="1"/>
  <c r="C109" i="1" s="1"/>
  <c r="B110" i="1"/>
  <c r="C110" i="1" s="1"/>
  <c r="B111" i="1"/>
  <c r="C111" i="1" s="1"/>
  <c r="B112" i="1"/>
  <c r="D112" i="1" s="1"/>
  <c r="B113" i="1"/>
  <c r="C113" i="1" s="1"/>
  <c r="B114" i="1"/>
  <c r="D114" i="1" s="1"/>
  <c r="B115" i="1"/>
  <c r="D115" i="1" s="1"/>
  <c r="B116" i="1"/>
  <c r="C116" i="1" s="1"/>
  <c r="B117" i="1"/>
  <c r="C117" i="1" s="1"/>
  <c r="D119" i="1"/>
  <c r="C44" i="1" l="1"/>
  <c r="D218" i="1"/>
  <c r="C228" i="1"/>
  <c r="C118" i="1"/>
  <c r="D54" i="1"/>
  <c r="D177" i="1"/>
  <c r="C255" i="1"/>
  <c r="D179" i="1"/>
  <c r="D188" i="1"/>
  <c r="D207" i="1"/>
  <c r="C211" i="1"/>
  <c r="C240" i="1"/>
  <c r="C250" i="1"/>
  <c r="C229" i="1"/>
  <c r="C124" i="1"/>
  <c r="C103" i="1"/>
  <c r="D239" i="1"/>
  <c r="C145" i="1"/>
  <c r="C140" i="1"/>
  <c r="C25" i="1"/>
  <c r="D45" i="1"/>
  <c r="C63" i="1"/>
  <c r="C136" i="1"/>
  <c r="C224" i="1"/>
  <c r="D175" i="1"/>
  <c r="D153" i="1"/>
  <c r="D80" i="1"/>
  <c r="C59" i="1"/>
  <c r="C203" i="1"/>
  <c r="D193" i="1"/>
  <c r="D89" i="1"/>
  <c r="D241" i="1"/>
  <c r="C202" i="1"/>
  <c r="C192" i="1"/>
  <c r="D223" i="1"/>
  <c r="C115" i="1"/>
  <c r="D105" i="1"/>
  <c r="C35" i="1"/>
  <c r="D42" i="1"/>
  <c r="C151" i="1"/>
  <c r="C246" i="1"/>
  <c r="C180" i="1"/>
  <c r="C70" i="1"/>
  <c r="C18" i="1"/>
  <c r="C225" i="1"/>
  <c r="C196" i="1"/>
  <c r="D168" i="1"/>
  <c r="C107" i="1"/>
  <c r="C57" i="1"/>
  <c r="D186" i="1"/>
  <c r="D232" i="1"/>
  <c r="C214" i="1"/>
  <c r="C146" i="1"/>
  <c r="C96" i="1"/>
  <c r="D86" i="1"/>
  <c r="D173" i="1"/>
  <c r="D155" i="1"/>
  <c r="C119" i="1"/>
  <c r="D251" i="1"/>
  <c r="D164" i="1"/>
  <c r="D21" i="1"/>
  <c r="D152" i="1"/>
  <c r="D144" i="1"/>
  <c r="C135" i="1"/>
  <c r="D116" i="1"/>
  <c r="D58" i="1"/>
  <c r="D195" i="1"/>
  <c r="C178" i="1"/>
  <c r="D87" i="1"/>
  <c r="D67" i="1"/>
  <c r="C20" i="1"/>
  <c r="C169" i="1"/>
  <c r="D160" i="1"/>
  <c r="C48" i="1"/>
  <c r="C158" i="1"/>
  <c r="C141" i="1"/>
  <c r="C26" i="1"/>
  <c r="C7" i="1"/>
  <c r="D210" i="1"/>
  <c r="C167" i="1"/>
  <c r="D226" i="1"/>
  <c r="C200" i="1"/>
  <c r="D111" i="1"/>
  <c r="D243" i="1"/>
  <c r="C234" i="1"/>
  <c r="D208" i="1"/>
  <c r="C191" i="1"/>
  <c r="D129" i="1"/>
  <c r="C53" i="1"/>
  <c r="D24" i="1"/>
  <c r="D166" i="1"/>
  <c r="D157" i="1"/>
  <c r="C134" i="1"/>
  <c r="C108" i="1"/>
  <c r="C73" i="1"/>
  <c r="D56" i="1"/>
  <c r="D252" i="1"/>
  <c r="C212" i="1"/>
  <c r="D204" i="1"/>
  <c r="C189" i="1"/>
  <c r="C29" i="1"/>
  <c r="C36" i="1"/>
  <c r="C11" i="1"/>
  <c r="D217" i="1"/>
  <c r="D201" i="1"/>
  <c r="D138" i="1"/>
  <c r="D130" i="1"/>
  <c r="D122" i="1"/>
  <c r="C33" i="1"/>
  <c r="D131" i="1"/>
  <c r="D230" i="1"/>
  <c r="D199" i="1"/>
  <c r="C102" i="1"/>
  <c r="C93" i="1"/>
  <c r="C85" i="1"/>
  <c r="C75" i="1"/>
  <c r="D254" i="1"/>
  <c r="C222" i="1"/>
  <c r="D182" i="1"/>
  <c r="D127" i="1"/>
  <c r="C40" i="1"/>
  <c r="D31" i="1"/>
  <c r="D23" i="1"/>
  <c r="C101" i="1"/>
  <c r="C92" i="1"/>
  <c r="C74" i="1"/>
  <c r="D245" i="1"/>
  <c r="C213" i="1"/>
  <c r="C190" i="1"/>
  <c r="D174" i="1"/>
  <c r="D142" i="1"/>
  <c r="C14" i="1"/>
  <c r="D237" i="1"/>
  <c r="C181" i="1"/>
  <c r="C126" i="1"/>
  <c r="D64" i="1"/>
  <c r="C22" i="1"/>
  <c r="D46" i="1"/>
  <c r="D162" i="1"/>
  <c r="D248" i="1"/>
  <c r="C233" i="1"/>
  <c r="D197" i="1"/>
  <c r="C125" i="1"/>
  <c r="C81" i="1"/>
  <c r="D32" i="1"/>
  <c r="D109" i="1"/>
  <c r="C66" i="1"/>
  <c r="C52" i="1"/>
  <c r="C37" i="1"/>
  <c r="D10" i="1"/>
  <c r="C137" i="1"/>
  <c r="C123" i="1"/>
  <c r="D94" i="1"/>
  <c r="D79" i="1"/>
  <c r="D65" i="1"/>
  <c r="C51" i="1"/>
  <c r="C30" i="1"/>
  <c r="D9" i="1"/>
  <c r="C15" i="1"/>
  <c r="D43" i="1"/>
  <c r="D215" i="1"/>
  <c r="C114" i="1"/>
  <c r="D100" i="1"/>
  <c r="D78" i="1"/>
  <c r="C8" i="1"/>
  <c r="D113" i="1"/>
  <c r="C77" i="1"/>
  <c r="C235" i="1"/>
  <c r="D221" i="1"/>
  <c r="D185" i="1"/>
  <c r="D171" i="1"/>
  <c r="D149" i="1"/>
  <c r="D120" i="1"/>
  <c r="D69" i="1"/>
  <c r="D34" i="1"/>
  <c r="D13" i="1"/>
  <c r="D98" i="1"/>
  <c r="D91" i="1"/>
  <c r="C55" i="1"/>
  <c r="C41" i="1"/>
  <c r="D76" i="1"/>
  <c r="C62" i="1"/>
  <c r="D47" i="1"/>
  <c r="D206" i="1"/>
  <c r="D163" i="1"/>
  <c r="C170" i="1"/>
  <c r="C112" i="1"/>
  <c r="D97" i="1"/>
  <c r="D68" i="1"/>
  <c r="D12" i="1"/>
  <c r="D256" i="1"/>
  <c r="D184" i="1"/>
  <c r="D219" i="1"/>
  <c r="C147" i="1"/>
  <c r="D133" i="1"/>
  <c r="C104" i="1"/>
  <c r="C90" i="1"/>
  <c r="C19" i="1"/>
  <c r="D244" i="1"/>
  <c r="D156" i="1"/>
  <c r="D249" i="1"/>
  <c r="D238" i="1"/>
  <c r="D227" i="1"/>
  <c r="D216" i="1"/>
  <c r="D205" i="1"/>
  <c r="D194" i="1"/>
  <c r="D183" i="1"/>
  <c r="D172" i="1"/>
  <c r="D161" i="1"/>
  <c r="D150" i="1"/>
  <c r="D139" i="1"/>
  <c r="D128" i="1"/>
  <c r="D117" i="1"/>
  <c r="D106" i="1"/>
  <c r="D95" i="1"/>
  <c r="D84" i="1"/>
  <c r="D83" i="1"/>
  <c r="D72" i="1"/>
  <c r="D61" i="1"/>
  <c r="D50" i="1"/>
  <c r="D39" i="1"/>
  <c r="D28" i="1"/>
  <c r="D17" i="1"/>
  <c r="D6" i="1"/>
  <c r="D253" i="1"/>
  <c r="D242" i="1"/>
  <c r="D231" i="1"/>
  <c r="D220" i="1"/>
  <c r="D209" i="1"/>
  <c r="D198" i="1"/>
  <c r="D187" i="1"/>
  <c r="D176" i="1"/>
  <c r="D165" i="1"/>
  <c r="D154" i="1"/>
  <c r="D143" i="1"/>
  <c r="D132" i="1"/>
  <c r="D121" i="1"/>
  <c r="D110" i="1"/>
  <c r="D99" i="1"/>
  <c r="D88" i="1"/>
  <c r="D247" i="1"/>
  <c r="D236" i="1"/>
  <c r="D159" i="1"/>
  <c r="D148" i="1"/>
  <c r="D82" i="1"/>
  <c r="D71" i="1"/>
  <c r="D60" i="1"/>
  <c r="D49" i="1"/>
  <c r="D38" i="1"/>
  <c r="D27" i="1"/>
  <c r="D16" i="1"/>
  <c r="D5" i="1"/>
  <c r="F508" i="1" l="1"/>
  <c r="F509" i="1"/>
  <c r="Y300" i="1"/>
  <c r="Z300" i="1" s="1"/>
  <c r="F313" i="1"/>
  <c r="AC500" i="1"/>
  <c r="AD500" i="1"/>
  <c r="AE500" i="1"/>
  <c r="AC501" i="1"/>
  <c r="AD501" i="1"/>
  <c r="AE501" i="1"/>
  <c r="AC502" i="1"/>
  <c r="AD502" i="1"/>
  <c r="AE502" i="1"/>
  <c r="AC503" i="1"/>
  <c r="AD503" i="1"/>
  <c r="AE503" i="1"/>
  <c r="AC504" i="1"/>
  <c r="AD504" i="1"/>
  <c r="AE504" i="1"/>
  <c r="AC470" i="1"/>
  <c r="AD470" i="1"/>
  <c r="AE470" i="1"/>
  <c r="AC471" i="1"/>
  <c r="AD471" i="1"/>
  <c r="AE471" i="1"/>
  <c r="AC472" i="1"/>
  <c r="AD472" i="1"/>
  <c r="AE472" i="1"/>
  <c r="AC473" i="1"/>
  <c r="AD473" i="1"/>
  <c r="AE473" i="1"/>
  <c r="AC474" i="1"/>
  <c r="AD474" i="1"/>
  <c r="AE474" i="1"/>
  <c r="AC475" i="1"/>
  <c r="AD475" i="1"/>
  <c r="AE475" i="1"/>
  <c r="AC476" i="1"/>
  <c r="AD476" i="1"/>
  <c r="AE476" i="1"/>
  <c r="AC477" i="1"/>
  <c r="AD477" i="1"/>
  <c r="AE477" i="1"/>
  <c r="AC478" i="1"/>
  <c r="AD478" i="1"/>
  <c r="AE478" i="1"/>
  <c r="AC479" i="1"/>
  <c r="AD479" i="1"/>
  <c r="AE479" i="1"/>
  <c r="AC480" i="1"/>
  <c r="AD480" i="1"/>
  <c r="AE480" i="1"/>
  <c r="AC481" i="1"/>
  <c r="AD481" i="1"/>
  <c r="AE481" i="1"/>
  <c r="AC482" i="1"/>
  <c r="AD482" i="1"/>
  <c r="AE482" i="1"/>
  <c r="AC483" i="1"/>
  <c r="AD483" i="1"/>
  <c r="AE483" i="1"/>
  <c r="AC484" i="1"/>
  <c r="AD484" i="1"/>
  <c r="AE484" i="1"/>
  <c r="AC485" i="1"/>
  <c r="AD485" i="1"/>
  <c r="AI485" i="1" s="1"/>
  <c r="AK485" i="1" s="1"/>
  <c r="AE485" i="1"/>
  <c r="AC486" i="1"/>
  <c r="AD486" i="1"/>
  <c r="AE486" i="1"/>
  <c r="AC487" i="1"/>
  <c r="AD487" i="1"/>
  <c r="AE487" i="1"/>
  <c r="AC488" i="1"/>
  <c r="AD488" i="1"/>
  <c r="AE488" i="1"/>
  <c r="AC490" i="1"/>
  <c r="AD490" i="1"/>
  <c r="AE490" i="1"/>
  <c r="AC491" i="1"/>
  <c r="AD491" i="1"/>
  <c r="AE491" i="1"/>
  <c r="AC492" i="1"/>
  <c r="AD492" i="1"/>
  <c r="AE492" i="1"/>
  <c r="AC493" i="1"/>
  <c r="AD493" i="1"/>
  <c r="AE493" i="1"/>
  <c r="AC494" i="1"/>
  <c r="AD494" i="1"/>
  <c r="AE494" i="1"/>
  <c r="AC269" i="1"/>
  <c r="AD269" i="1"/>
  <c r="AE269" i="1"/>
  <c r="AC270" i="1"/>
  <c r="AD270" i="1"/>
  <c r="AE270" i="1"/>
  <c r="AC271" i="1"/>
  <c r="AD271" i="1"/>
  <c r="AE271" i="1"/>
  <c r="AC272" i="1"/>
  <c r="AD272" i="1"/>
  <c r="AE272" i="1"/>
  <c r="AC273" i="1"/>
  <c r="AD273" i="1"/>
  <c r="AE273" i="1"/>
  <c r="AC274" i="1"/>
  <c r="AD274" i="1"/>
  <c r="AE274" i="1"/>
  <c r="AC275" i="1"/>
  <c r="AD275" i="1"/>
  <c r="AE275" i="1"/>
  <c r="AC276" i="1"/>
  <c r="AD276" i="1"/>
  <c r="AE276" i="1"/>
  <c r="AC277" i="1"/>
  <c r="AD277" i="1"/>
  <c r="AE277" i="1"/>
  <c r="AC278" i="1"/>
  <c r="AD278" i="1"/>
  <c r="AE278" i="1"/>
  <c r="AC279" i="1"/>
  <c r="AD279" i="1"/>
  <c r="AE279" i="1"/>
  <c r="AC280" i="1"/>
  <c r="AD280" i="1"/>
  <c r="AE280" i="1"/>
  <c r="AC281" i="1"/>
  <c r="AD281" i="1"/>
  <c r="AE281" i="1"/>
  <c r="AC282" i="1"/>
  <c r="AD282" i="1"/>
  <c r="AE282" i="1"/>
  <c r="AC283" i="1"/>
  <c r="AD283" i="1"/>
  <c r="AE283" i="1"/>
  <c r="AC284" i="1"/>
  <c r="AD284" i="1"/>
  <c r="AE284" i="1"/>
  <c r="AC285" i="1"/>
  <c r="AD285" i="1"/>
  <c r="AE285" i="1"/>
  <c r="AC286" i="1"/>
  <c r="AD286" i="1"/>
  <c r="AE286" i="1"/>
  <c r="AC287" i="1"/>
  <c r="AD287" i="1"/>
  <c r="AE287" i="1"/>
  <c r="AC288" i="1"/>
  <c r="AD288" i="1"/>
  <c r="AE288" i="1"/>
  <c r="AC289" i="1"/>
  <c r="AD289" i="1"/>
  <c r="AE289" i="1"/>
  <c r="AC290" i="1"/>
  <c r="AD290" i="1"/>
  <c r="AE290" i="1"/>
  <c r="AC291" i="1"/>
  <c r="AD291" i="1"/>
  <c r="AE291" i="1"/>
  <c r="AC292" i="1"/>
  <c r="AD292" i="1"/>
  <c r="AE292" i="1"/>
  <c r="AC293" i="1"/>
  <c r="AD293" i="1"/>
  <c r="AE293" i="1"/>
  <c r="AC294" i="1"/>
  <c r="AD294" i="1"/>
  <c r="AE294" i="1"/>
  <c r="AC295" i="1"/>
  <c r="AD295" i="1"/>
  <c r="AE295" i="1"/>
  <c r="AC296" i="1"/>
  <c r="AD296" i="1"/>
  <c r="AE296" i="1"/>
  <c r="AC297" i="1"/>
  <c r="AD297" i="1"/>
  <c r="AE297" i="1"/>
  <c r="AC298" i="1"/>
  <c r="AD298" i="1"/>
  <c r="AE298" i="1"/>
  <c r="AC299" i="1"/>
  <c r="AD299" i="1"/>
  <c r="AE299" i="1"/>
  <c r="AC300" i="1"/>
  <c r="AD300" i="1"/>
  <c r="AE300" i="1"/>
  <c r="AC301" i="1"/>
  <c r="AD301" i="1"/>
  <c r="AE301" i="1"/>
  <c r="AC302" i="1"/>
  <c r="AD302" i="1"/>
  <c r="AE302" i="1"/>
  <c r="AC303" i="1"/>
  <c r="AD303" i="1"/>
  <c r="AE303" i="1"/>
  <c r="AC304" i="1"/>
  <c r="AD304" i="1"/>
  <c r="AE304" i="1"/>
  <c r="AC305" i="1"/>
  <c r="AD305" i="1"/>
  <c r="AE305" i="1"/>
  <c r="AC306" i="1"/>
  <c r="AD306" i="1"/>
  <c r="AE306" i="1"/>
  <c r="AC307" i="1"/>
  <c r="AD307" i="1"/>
  <c r="AE307" i="1"/>
  <c r="AC308" i="1"/>
  <c r="AD308" i="1"/>
  <c r="AE308" i="1"/>
  <c r="AC309" i="1"/>
  <c r="AD309" i="1"/>
  <c r="AE309" i="1"/>
  <c r="AC310" i="1"/>
  <c r="AD310" i="1"/>
  <c r="AE310" i="1"/>
  <c r="AC311" i="1"/>
  <c r="AD311" i="1"/>
  <c r="AE311" i="1"/>
  <c r="AC312" i="1"/>
  <c r="AD312" i="1"/>
  <c r="AE312" i="1"/>
  <c r="AC313" i="1"/>
  <c r="AD313" i="1"/>
  <c r="AE313" i="1"/>
  <c r="AC314" i="1"/>
  <c r="AD314" i="1"/>
  <c r="AE314" i="1"/>
  <c r="AC315" i="1"/>
  <c r="AD315" i="1"/>
  <c r="AE315" i="1"/>
  <c r="AC316" i="1"/>
  <c r="AD316" i="1"/>
  <c r="AE316" i="1"/>
  <c r="AC317" i="1"/>
  <c r="AD317" i="1"/>
  <c r="AE317" i="1"/>
  <c r="AC318" i="1"/>
  <c r="AD318" i="1"/>
  <c r="AE318" i="1"/>
  <c r="AC319" i="1"/>
  <c r="AD319" i="1"/>
  <c r="AE319" i="1"/>
  <c r="AC320" i="1"/>
  <c r="AD320" i="1"/>
  <c r="AE320" i="1"/>
  <c r="AC321" i="1"/>
  <c r="AD321" i="1"/>
  <c r="AE321" i="1"/>
  <c r="AC322" i="1"/>
  <c r="AD322" i="1"/>
  <c r="AE322" i="1"/>
  <c r="AC323" i="1"/>
  <c r="AD323" i="1"/>
  <c r="AE323" i="1"/>
  <c r="AC324" i="1"/>
  <c r="AD324" i="1"/>
  <c r="AE324" i="1"/>
  <c r="AC325" i="1"/>
  <c r="AD325" i="1"/>
  <c r="AE325" i="1"/>
  <c r="AC326" i="1"/>
  <c r="AD326" i="1"/>
  <c r="AE326" i="1"/>
  <c r="AC327" i="1"/>
  <c r="AD327" i="1"/>
  <c r="AE327" i="1"/>
  <c r="AC328" i="1"/>
  <c r="AD328" i="1"/>
  <c r="AE328" i="1"/>
  <c r="AC329" i="1"/>
  <c r="AD329" i="1"/>
  <c r="AE329" i="1"/>
  <c r="AC330" i="1"/>
  <c r="AD330" i="1"/>
  <c r="AE330" i="1"/>
  <c r="AC331" i="1"/>
  <c r="AD331" i="1"/>
  <c r="AE331" i="1"/>
  <c r="AC332" i="1"/>
  <c r="AD332" i="1"/>
  <c r="AE332" i="1"/>
  <c r="AC333" i="1"/>
  <c r="AD333" i="1"/>
  <c r="AE333" i="1"/>
  <c r="AC334" i="1"/>
  <c r="AD334" i="1"/>
  <c r="AE334" i="1"/>
  <c r="AC335" i="1"/>
  <c r="AD335" i="1"/>
  <c r="AE335" i="1"/>
  <c r="AC336" i="1"/>
  <c r="AD336" i="1"/>
  <c r="AE336" i="1"/>
  <c r="AC337" i="1"/>
  <c r="AD337" i="1"/>
  <c r="AE337" i="1"/>
  <c r="AC338" i="1"/>
  <c r="AD338" i="1"/>
  <c r="AE338" i="1"/>
  <c r="AC339" i="1"/>
  <c r="AD339" i="1"/>
  <c r="AE339" i="1"/>
  <c r="AC340" i="1"/>
  <c r="AD340" i="1"/>
  <c r="AE340" i="1"/>
  <c r="AC341" i="1"/>
  <c r="AD341" i="1"/>
  <c r="AE341" i="1"/>
  <c r="AC342" i="1"/>
  <c r="AD342" i="1"/>
  <c r="AE342" i="1"/>
  <c r="AC343" i="1"/>
  <c r="AD343" i="1"/>
  <c r="AE343" i="1"/>
  <c r="AC344" i="1"/>
  <c r="AD344" i="1"/>
  <c r="AE344" i="1"/>
  <c r="AC345" i="1"/>
  <c r="AD345" i="1"/>
  <c r="AE345" i="1"/>
  <c r="AC346" i="1"/>
  <c r="AD346" i="1"/>
  <c r="AE346" i="1"/>
  <c r="AC347" i="1"/>
  <c r="AD347" i="1"/>
  <c r="AE347" i="1"/>
  <c r="AC348" i="1"/>
  <c r="AD348" i="1"/>
  <c r="AE348" i="1"/>
  <c r="AC349" i="1"/>
  <c r="AD349" i="1"/>
  <c r="AE349" i="1"/>
  <c r="AC350" i="1"/>
  <c r="AD350" i="1"/>
  <c r="AE350" i="1"/>
  <c r="AC351" i="1"/>
  <c r="AD351" i="1"/>
  <c r="AE351" i="1"/>
  <c r="AC352" i="1"/>
  <c r="AD352" i="1"/>
  <c r="AE352" i="1"/>
  <c r="AC353" i="1"/>
  <c r="AD353" i="1"/>
  <c r="AE353" i="1"/>
  <c r="AC354" i="1"/>
  <c r="AD354" i="1"/>
  <c r="AE354" i="1"/>
  <c r="AC355" i="1"/>
  <c r="AD355" i="1"/>
  <c r="AE355" i="1"/>
  <c r="AC356" i="1"/>
  <c r="AD356" i="1"/>
  <c r="AE356" i="1"/>
  <c r="AC357" i="1"/>
  <c r="AD357" i="1"/>
  <c r="AE357" i="1"/>
  <c r="AC358" i="1"/>
  <c r="AD358" i="1"/>
  <c r="AE358" i="1"/>
  <c r="AC359" i="1"/>
  <c r="AD359" i="1"/>
  <c r="AE359" i="1"/>
  <c r="AC360" i="1"/>
  <c r="AD360" i="1"/>
  <c r="AE360" i="1"/>
  <c r="AC361" i="1"/>
  <c r="AD361" i="1"/>
  <c r="AE361" i="1"/>
  <c r="AC362" i="1"/>
  <c r="AD362" i="1"/>
  <c r="AE362" i="1"/>
  <c r="AC363" i="1"/>
  <c r="AD363" i="1"/>
  <c r="AE363" i="1"/>
  <c r="AC364" i="1"/>
  <c r="AD364" i="1"/>
  <c r="AE364" i="1"/>
  <c r="AC365" i="1"/>
  <c r="AD365" i="1"/>
  <c r="AE365" i="1"/>
  <c r="AC366" i="1"/>
  <c r="AD366" i="1"/>
  <c r="AE366" i="1"/>
  <c r="AC367" i="1"/>
  <c r="AD367" i="1"/>
  <c r="AE367" i="1"/>
  <c r="AC368" i="1"/>
  <c r="AD368" i="1"/>
  <c r="AE368" i="1"/>
  <c r="AC369" i="1"/>
  <c r="AD369" i="1"/>
  <c r="AE369" i="1"/>
  <c r="AC370" i="1"/>
  <c r="AD370" i="1"/>
  <c r="AE370" i="1"/>
  <c r="AC371" i="1"/>
  <c r="AD371" i="1"/>
  <c r="AE371" i="1"/>
  <c r="AC372" i="1"/>
  <c r="AD372" i="1"/>
  <c r="AE372" i="1"/>
  <c r="AC373" i="1"/>
  <c r="AD373" i="1"/>
  <c r="AE373" i="1"/>
  <c r="AC374" i="1"/>
  <c r="AD374" i="1"/>
  <c r="AE374" i="1"/>
  <c r="AC375" i="1"/>
  <c r="AD375" i="1"/>
  <c r="AE375" i="1"/>
  <c r="AC376" i="1"/>
  <c r="AD376" i="1"/>
  <c r="AE376" i="1"/>
  <c r="AC377" i="1"/>
  <c r="AD377" i="1"/>
  <c r="AE377" i="1"/>
  <c r="AC378" i="1"/>
  <c r="AD378" i="1"/>
  <c r="AE378" i="1"/>
  <c r="AC379" i="1"/>
  <c r="AD379" i="1"/>
  <c r="AE379" i="1"/>
  <c r="AC380" i="1"/>
  <c r="AD380" i="1"/>
  <c r="AE380" i="1"/>
  <c r="AC381" i="1"/>
  <c r="AD381" i="1"/>
  <c r="AE381" i="1"/>
  <c r="AC382" i="1"/>
  <c r="AD382" i="1"/>
  <c r="AE382" i="1"/>
  <c r="AC383" i="1"/>
  <c r="AD383" i="1"/>
  <c r="AE383" i="1"/>
  <c r="AC384" i="1"/>
  <c r="AD384" i="1"/>
  <c r="AE384" i="1"/>
  <c r="AC385" i="1"/>
  <c r="AD385" i="1"/>
  <c r="AE385" i="1"/>
  <c r="AC386" i="1"/>
  <c r="AD386" i="1"/>
  <c r="AE386" i="1"/>
  <c r="AC387" i="1"/>
  <c r="AD387" i="1"/>
  <c r="AE387" i="1"/>
  <c r="AC388" i="1"/>
  <c r="AD388" i="1"/>
  <c r="AE388" i="1"/>
  <c r="AC389" i="1"/>
  <c r="AD389" i="1"/>
  <c r="AE389" i="1"/>
  <c r="AC390" i="1"/>
  <c r="AD390" i="1"/>
  <c r="AE390" i="1"/>
  <c r="AC391" i="1"/>
  <c r="AD391" i="1"/>
  <c r="AE391" i="1"/>
  <c r="AC392" i="1"/>
  <c r="AD392" i="1"/>
  <c r="AE392" i="1"/>
  <c r="AC393" i="1"/>
  <c r="AD393" i="1"/>
  <c r="AE393" i="1"/>
  <c r="AC394" i="1"/>
  <c r="AD394" i="1"/>
  <c r="AE394" i="1"/>
  <c r="AC395" i="1"/>
  <c r="AD395" i="1"/>
  <c r="AE395" i="1"/>
  <c r="AC396" i="1"/>
  <c r="AD396" i="1"/>
  <c r="AE396" i="1"/>
  <c r="AC397" i="1"/>
  <c r="AD397" i="1"/>
  <c r="AE397" i="1"/>
  <c r="AC398" i="1"/>
  <c r="AD398" i="1"/>
  <c r="AE398" i="1"/>
  <c r="AC399" i="1"/>
  <c r="AD399" i="1"/>
  <c r="AE399" i="1"/>
  <c r="AC400" i="1"/>
  <c r="AD400" i="1"/>
  <c r="AE400" i="1"/>
  <c r="AC401" i="1"/>
  <c r="AD401" i="1"/>
  <c r="AE401" i="1"/>
  <c r="AC402" i="1"/>
  <c r="AD402" i="1"/>
  <c r="AE402" i="1"/>
  <c r="AC403" i="1"/>
  <c r="AD403" i="1"/>
  <c r="AE403" i="1"/>
  <c r="AC404" i="1"/>
  <c r="AD404" i="1"/>
  <c r="AE404" i="1"/>
  <c r="AC405" i="1"/>
  <c r="AD405" i="1"/>
  <c r="AE405" i="1"/>
  <c r="AC406" i="1"/>
  <c r="AD406" i="1"/>
  <c r="AE406" i="1"/>
  <c r="AC407" i="1"/>
  <c r="AD407" i="1"/>
  <c r="AE407" i="1"/>
  <c r="AC408" i="1"/>
  <c r="AD408" i="1"/>
  <c r="AE408" i="1"/>
  <c r="AC409" i="1"/>
  <c r="AD409" i="1"/>
  <c r="AE409" i="1"/>
  <c r="AC410" i="1"/>
  <c r="AD410" i="1"/>
  <c r="AE410" i="1"/>
  <c r="AC411" i="1"/>
  <c r="AD411" i="1"/>
  <c r="AE411" i="1"/>
  <c r="AC412" i="1"/>
  <c r="AD412" i="1"/>
  <c r="AE412" i="1"/>
  <c r="AC413" i="1"/>
  <c r="AD413" i="1"/>
  <c r="AE413" i="1"/>
  <c r="AC414" i="1"/>
  <c r="AD414" i="1"/>
  <c r="AE414" i="1"/>
  <c r="AC415" i="1"/>
  <c r="AD415" i="1"/>
  <c r="AE415" i="1"/>
  <c r="AC416" i="1"/>
  <c r="AD416" i="1"/>
  <c r="AE416" i="1"/>
  <c r="AC417" i="1"/>
  <c r="AD417" i="1"/>
  <c r="AE417" i="1"/>
  <c r="AC418" i="1"/>
  <c r="AD418" i="1"/>
  <c r="AE418" i="1"/>
  <c r="AC419" i="1"/>
  <c r="AD419" i="1"/>
  <c r="AE419" i="1"/>
  <c r="AC420" i="1"/>
  <c r="AD420" i="1"/>
  <c r="AE420" i="1"/>
  <c r="AC421" i="1"/>
  <c r="AD421" i="1"/>
  <c r="AE421" i="1"/>
  <c r="AC422" i="1"/>
  <c r="AD422" i="1"/>
  <c r="AE422" i="1"/>
  <c r="AC423" i="1"/>
  <c r="AD423" i="1"/>
  <c r="AE423" i="1"/>
  <c r="AC424" i="1"/>
  <c r="AD424" i="1"/>
  <c r="AE424" i="1"/>
  <c r="AC425" i="1"/>
  <c r="AD425" i="1"/>
  <c r="AE425" i="1"/>
  <c r="AC426" i="1"/>
  <c r="AD426" i="1"/>
  <c r="AE426" i="1"/>
  <c r="AC427" i="1"/>
  <c r="AD427" i="1"/>
  <c r="AE427" i="1"/>
  <c r="AC428" i="1"/>
  <c r="AD428" i="1"/>
  <c r="AE428" i="1"/>
  <c r="AC429" i="1"/>
  <c r="AD429" i="1"/>
  <c r="AE429" i="1"/>
  <c r="AC430" i="1"/>
  <c r="AD430" i="1"/>
  <c r="AE430" i="1"/>
  <c r="AC431" i="1"/>
  <c r="AD431" i="1"/>
  <c r="AE431" i="1"/>
  <c r="AC432" i="1"/>
  <c r="AD432" i="1"/>
  <c r="AE432" i="1"/>
  <c r="AC433" i="1"/>
  <c r="AD433" i="1"/>
  <c r="AE433" i="1"/>
  <c r="AC434" i="1"/>
  <c r="AD434" i="1"/>
  <c r="AE434" i="1"/>
  <c r="AC435" i="1"/>
  <c r="AD435" i="1"/>
  <c r="AE435" i="1"/>
  <c r="AC436" i="1"/>
  <c r="AD436" i="1"/>
  <c r="AE436" i="1"/>
  <c r="AC437" i="1"/>
  <c r="AD437" i="1"/>
  <c r="AE437" i="1"/>
  <c r="AC438" i="1"/>
  <c r="AD438" i="1"/>
  <c r="AE438" i="1"/>
  <c r="AC439" i="1"/>
  <c r="AD439" i="1"/>
  <c r="AE439" i="1"/>
  <c r="AC440" i="1"/>
  <c r="AD440" i="1"/>
  <c r="AE440" i="1"/>
  <c r="AC441" i="1"/>
  <c r="AD441" i="1"/>
  <c r="AE441" i="1"/>
  <c r="AC442" i="1"/>
  <c r="AD442" i="1"/>
  <c r="AE442" i="1"/>
  <c r="AC443" i="1"/>
  <c r="AD443" i="1"/>
  <c r="AE443" i="1"/>
  <c r="AC444" i="1"/>
  <c r="AD444" i="1"/>
  <c r="AE444" i="1"/>
  <c r="AC445" i="1"/>
  <c r="AD445" i="1"/>
  <c r="AE445" i="1"/>
  <c r="AC446" i="1"/>
  <c r="AD446" i="1"/>
  <c r="AE446" i="1"/>
  <c r="AC447" i="1"/>
  <c r="AD447" i="1"/>
  <c r="AE447" i="1"/>
  <c r="AC448" i="1"/>
  <c r="AD448" i="1"/>
  <c r="AE448" i="1"/>
  <c r="AC449" i="1"/>
  <c r="AD449" i="1"/>
  <c r="AE449" i="1"/>
  <c r="AC450" i="1"/>
  <c r="AD450" i="1"/>
  <c r="AE450" i="1"/>
  <c r="AC451" i="1"/>
  <c r="AD451" i="1"/>
  <c r="AE451" i="1"/>
  <c r="AC452" i="1"/>
  <c r="AD452" i="1"/>
  <c r="AE452" i="1"/>
  <c r="AC453" i="1"/>
  <c r="AD453" i="1"/>
  <c r="AE453" i="1"/>
  <c r="AC454" i="1"/>
  <c r="AD454" i="1"/>
  <c r="AE454" i="1"/>
  <c r="AC455" i="1"/>
  <c r="AD455" i="1"/>
  <c r="AE455" i="1"/>
  <c r="AC456" i="1"/>
  <c r="AD456" i="1"/>
  <c r="AE456" i="1"/>
  <c r="AC457" i="1"/>
  <c r="AD457" i="1"/>
  <c r="AE457" i="1"/>
  <c r="AC458" i="1"/>
  <c r="AD458" i="1"/>
  <c r="AE458" i="1"/>
  <c r="AC459" i="1"/>
  <c r="AD459" i="1"/>
  <c r="AE459" i="1"/>
  <c r="AC460" i="1"/>
  <c r="AD460" i="1"/>
  <c r="AE460" i="1"/>
  <c r="AC461" i="1"/>
  <c r="AD461" i="1"/>
  <c r="AE461" i="1"/>
  <c r="AC462" i="1"/>
  <c r="AD462" i="1"/>
  <c r="AE462" i="1"/>
  <c r="AC463" i="1"/>
  <c r="AD463" i="1"/>
  <c r="AE463" i="1"/>
  <c r="AC464" i="1"/>
  <c r="AD464" i="1"/>
  <c r="AE464" i="1"/>
  <c r="AC465" i="1"/>
  <c r="AD465" i="1"/>
  <c r="AE465" i="1"/>
  <c r="AC466" i="1"/>
  <c r="AD466" i="1"/>
  <c r="AE466" i="1"/>
  <c r="AC467" i="1"/>
  <c r="AD467" i="1"/>
  <c r="AE467" i="1"/>
  <c r="AC468" i="1"/>
  <c r="AD468" i="1"/>
  <c r="AE468" i="1"/>
  <c r="AC469" i="1"/>
  <c r="AD469" i="1"/>
  <c r="AE469" i="1"/>
  <c r="AC489" i="1"/>
  <c r="AD489" i="1"/>
  <c r="AE489" i="1"/>
  <c r="AC495" i="1"/>
  <c r="AD495" i="1"/>
  <c r="AE495" i="1"/>
  <c r="AC496" i="1"/>
  <c r="AD496" i="1"/>
  <c r="AE496" i="1"/>
  <c r="AC497" i="1"/>
  <c r="AD497" i="1"/>
  <c r="AE497" i="1"/>
  <c r="AC498" i="1"/>
  <c r="AD498" i="1"/>
  <c r="AE498" i="1"/>
  <c r="AC499" i="1"/>
  <c r="AD499" i="1"/>
  <c r="AE499" i="1"/>
  <c r="AC505" i="1"/>
  <c r="AD505" i="1"/>
  <c r="AE505" i="1"/>
  <c r="AC506" i="1"/>
  <c r="AD506" i="1"/>
  <c r="AE506" i="1"/>
  <c r="AC507" i="1"/>
  <c r="AD507" i="1"/>
  <c r="AE507" i="1"/>
  <c r="AC508" i="1"/>
  <c r="AD508" i="1"/>
  <c r="AE508" i="1"/>
  <c r="AC509" i="1"/>
  <c r="AD509" i="1"/>
  <c r="AE509" i="1"/>
  <c r="AC510" i="1"/>
  <c r="AD510" i="1"/>
  <c r="AE510" i="1"/>
  <c r="AC511" i="1"/>
  <c r="AD511" i="1"/>
  <c r="AE511" i="1"/>
  <c r="AC512" i="1"/>
  <c r="AD512" i="1"/>
  <c r="AE512" i="1"/>
  <c r="AC513" i="1"/>
  <c r="AD513" i="1"/>
  <c r="AE513" i="1"/>
  <c r="AC514" i="1"/>
  <c r="AD514" i="1"/>
  <c r="AE514" i="1"/>
  <c r="AC515" i="1"/>
  <c r="AD515" i="1"/>
  <c r="AE515" i="1"/>
  <c r="AC516" i="1"/>
  <c r="AD516" i="1"/>
  <c r="AE516" i="1"/>
  <c r="AC517" i="1"/>
  <c r="AD517" i="1"/>
  <c r="AE517" i="1"/>
  <c r="AC518" i="1"/>
  <c r="AD518" i="1"/>
  <c r="AE518" i="1"/>
  <c r="AC519" i="1"/>
  <c r="AD519" i="1"/>
  <c r="AE519" i="1"/>
  <c r="AC520" i="1"/>
  <c r="AD520" i="1"/>
  <c r="AE520" i="1"/>
  <c r="AC521" i="1"/>
  <c r="AD521" i="1"/>
  <c r="AE521" i="1"/>
  <c r="AC522" i="1"/>
  <c r="AD522" i="1"/>
  <c r="AE522" i="1"/>
  <c r="AC523" i="1"/>
  <c r="AD523" i="1"/>
  <c r="AE523" i="1"/>
  <c r="AC524" i="1"/>
  <c r="AD524" i="1"/>
  <c r="AE524" i="1"/>
  <c r="AC525" i="1"/>
  <c r="AD525" i="1"/>
  <c r="AE525" i="1"/>
  <c r="AC526" i="1"/>
  <c r="AD526" i="1"/>
  <c r="AE526" i="1"/>
  <c r="AC527" i="1"/>
  <c r="AD527" i="1"/>
  <c r="AE527" i="1"/>
  <c r="AC528" i="1"/>
  <c r="AD528" i="1"/>
  <c r="AE528" i="1"/>
  <c r="AC529" i="1"/>
  <c r="AD529" i="1"/>
  <c r="AE529" i="1"/>
  <c r="AC530" i="1"/>
  <c r="AD530" i="1"/>
  <c r="AE530" i="1"/>
  <c r="AC531" i="1"/>
  <c r="AD531" i="1"/>
  <c r="AE531" i="1"/>
  <c r="AC532" i="1"/>
  <c r="AD532" i="1"/>
  <c r="AE532" i="1"/>
  <c r="AC533" i="1"/>
  <c r="AD533" i="1"/>
  <c r="AE533" i="1"/>
  <c r="AC534" i="1"/>
  <c r="AD534" i="1"/>
  <c r="AE534" i="1"/>
  <c r="AE268" i="1"/>
  <c r="AD268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364" i="1"/>
  <c r="N365" i="1"/>
  <c r="N366" i="1"/>
  <c r="N367" i="1"/>
  <c r="N368" i="1"/>
  <c r="N369" i="1"/>
  <c r="N370" i="1"/>
  <c r="N371" i="1"/>
  <c r="N372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R359" i="1"/>
  <c r="R360" i="1"/>
  <c r="R361" i="1"/>
  <c r="R362" i="1"/>
  <c r="R363" i="1"/>
  <c r="N359" i="1"/>
  <c r="N360" i="1"/>
  <c r="N361" i="1"/>
  <c r="N362" i="1"/>
  <c r="N363" i="1"/>
  <c r="R358" i="1"/>
  <c r="N358" i="1"/>
  <c r="N325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F276" i="1"/>
  <c r="AH276" i="1" s="1"/>
  <c r="AF275" i="1"/>
  <c r="AG275" i="1" s="1"/>
  <c r="C360" i="1"/>
  <c r="D360" i="1"/>
  <c r="F360" i="1"/>
  <c r="G360" i="1"/>
  <c r="AF360" i="1"/>
  <c r="AH360" i="1" s="1"/>
  <c r="C361" i="1"/>
  <c r="D361" i="1"/>
  <c r="F361" i="1"/>
  <c r="G361" i="1"/>
  <c r="AF361" i="1"/>
  <c r="AH361" i="1" s="1"/>
  <c r="C362" i="1"/>
  <c r="D362" i="1"/>
  <c r="F362" i="1"/>
  <c r="G362" i="1"/>
  <c r="AF362" i="1"/>
  <c r="AG362" i="1" s="1"/>
  <c r="C363" i="1"/>
  <c r="D363" i="1"/>
  <c r="F363" i="1"/>
  <c r="G363" i="1"/>
  <c r="AF363" i="1"/>
  <c r="AG363" i="1" s="1"/>
  <c r="C364" i="1"/>
  <c r="D364" i="1"/>
  <c r="F364" i="1"/>
  <c r="G364" i="1"/>
  <c r="AF364" i="1"/>
  <c r="AH364" i="1" s="1"/>
  <c r="C365" i="1"/>
  <c r="D365" i="1"/>
  <c r="F365" i="1"/>
  <c r="G365" i="1"/>
  <c r="AF365" i="1"/>
  <c r="AG365" i="1" s="1"/>
  <c r="C366" i="1"/>
  <c r="D366" i="1"/>
  <c r="F366" i="1"/>
  <c r="G366" i="1"/>
  <c r="AF366" i="1"/>
  <c r="AG366" i="1" s="1"/>
  <c r="C367" i="1"/>
  <c r="D367" i="1"/>
  <c r="F367" i="1"/>
  <c r="G367" i="1"/>
  <c r="AF367" i="1"/>
  <c r="AH367" i="1" s="1"/>
  <c r="C368" i="1"/>
  <c r="D368" i="1"/>
  <c r="F368" i="1"/>
  <c r="G368" i="1"/>
  <c r="AF368" i="1"/>
  <c r="AG368" i="1" s="1"/>
  <c r="C369" i="1"/>
  <c r="D369" i="1"/>
  <c r="F369" i="1"/>
  <c r="G369" i="1"/>
  <c r="AF369" i="1"/>
  <c r="C370" i="1"/>
  <c r="D370" i="1"/>
  <c r="F370" i="1"/>
  <c r="G370" i="1"/>
  <c r="AF370" i="1"/>
  <c r="AG370" i="1" s="1"/>
  <c r="C371" i="1"/>
  <c r="D371" i="1"/>
  <c r="F371" i="1"/>
  <c r="G371" i="1"/>
  <c r="AF371" i="1"/>
  <c r="AG371" i="1" s="1"/>
  <c r="C372" i="1"/>
  <c r="D372" i="1"/>
  <c r="F372" i="1"/>
  <c r="G372" i="1"/>
  <c r="AF372" i="1"/>
  <c r="AH372" i="1" s="1"/>
  <c r="C373" i="1"/>
  <c r="D373" i="1"/>
  <c r="F373" i="1"/>
  <c r="G373" i="1"/>
  <c r="AF373" i="1"/>
  <c r="AH373" i="1" s="1"/>
  <c r="C374" i="1"/>
  <c r="D374" i="1"/>
  <c r="F374" i="1"/>
  <c r="G374" i="1"/>
  <c r="AF374" i="1"/>
  <c r="AG374" i="1" s="1"/>
  <c r="C375" i="1"/>
  <c r="D375" i="1"/>
  <c r="F375" i="1"/>
  <c r="G375" i="1"/>
  <c r="AF375" i="1"/>
  <c r="C376" i="1"/>
  <c r="D376" i="1"/>
  <c r="F376" i="1"/>
  <c r="G376" i="1"/>
  <c r="AF376" i="1"/>
  <c r="C377" i="1"/>
  <c r="D377" i="1"/>
  <c r="F377" i="1"/>
  <c r="G377" i="1"/>
  <c r="AF377" i="1"/>
  <c r="AG377" i="1" s="1"/>
  <c r="C378" i="1"/>
  <c r="D378" i="1"/>
  <c r="F378" i="1"/>
  <c r="G378" i="1"/>
  <c r="AF378" i="1"/>
  <c r="AH378" i="1" s="1"/>
  <c r="C379" i="1"/>
  <c r="D379" i="1"/>
  <c r="F379" i="1"/>
  <c r="G379" i="1"/>
  <c r="AF379" i="1"/>
  <c r="AH379" i="1" s="1"/>
  <c r="C380" i="1"/>
  <c r="D380" i="1"/>
  <c r="F380" i="1"/>
  <c r="G380" i="1"/>
  <c r="AF380" i="1"/>
  <c r="AH380" i="1" s="1"/>
  <c r="C381" i="1"/>
  <c r="D381" i="1"/>
  <c r="F381" i="1"/>
  <c r="G381" i="1"/>
  <c r="AF381" i="1"/>
  <c r="AH381" i="1" s="1"/>
  <c r="C382" i="1"/>
  <c r="D382" i="1"/>
  <c r="F382" i="1"/>
  <c r="G382" i="1"/>
  <c r="AF382" i="1"/>
  <c r="AG382" i="1" s="1"/>
  <c r="C383" i="1"/>
  <c r="D383" i="1"/>
  <c r="F383" i="1"/>
  <c r="G383" i="1"/>
  <c r="AF383" i="1"/>
  <c r="C384" i="1"/>
  <c r="D384" i="1"/>
  <c r="F384" i="1"/>
  <c r="G384" i="1"/>
  <c r="AF384" i="1"/>
  <c r="AG384" i="1" s="1"/>
  <c r="C385" i="1"/>
  <c r="D385" i="1"/>
  <c r="F385" i="1"/>
  <c r="G385" i="1"/>
  <c r="AF385" i="1"/>
  <c r="AH385" i="1" s="1"/>
  <c r="C386" i="1"/>
  <c r="D386" i="1"/>
  <c r="F386" i="1"/>
  <c r="G386" i="1"/>
  <c r="AF386" i="1"/>
  <c r="AH386" i="1" s="1"/>
  <c r="C387" i="1"/>
  <c r="D387" i="1"/>
  <c r="F387" i="1"/>
  <c r="G387" i="1"/>
  <c r="AF387" i="1"/>
  <c r="AG387" i="1" s="1"/>
  <c r="C388" i="1"/>
  <c r="D388" i="1"/>
  <c r="F388" i="1"/>
  <c r="G388" i="1"/>
  <c r="AF388" i="1"/>
  <c r="C389" i="1"/>
  <c r="D389" i="1"/>
  <c r="F389" i="1"/>
  <c r="G389" i="1"/>
  <c r="AF389" i="1"/>
  <c r="AG389" i="1" s="1"/>
  <c r="C390" i="1"/>
  <c r="D390" i="1"/>
  <c r="F390" i="1"/>
  <c r="G390" i="1"/>
  <c r="AF390" i="1"/>
  <c r="AG390" i="1" s="1"/>
  <c r="C391" i="1"/>
  <c r="D391" i="1"/>
  <c r="F391" i="1"/>
  <c r="G391" i="1"/>
  <c r="AF391" i="1"/>
  <c r="AG391" i="1" s="1"/>
  <c r="C392" i="1"/>
  <c r="D392" i="1"/>
  <c r="F392" i="1"/>
  <c r="G392" i="1"/>
  <c r="AF392" i="1"/>
  <c r="AH392" i="1" s="1"/>
  <c r="C393" i="1"/>
  <c r="D393" i="1"/>
  <c r="F393" i="1"/>
  <c r="G393" i="1"/>
  <c r="AF393" i="1"/>
  <c r="AH393" i="1" s="1"/>
  <c r="C394" i="1"/>
  <c r="D394" i="1"/>
  <c r="F394" i="1"/>
  <c r="G394" i="1"/>
  <c r="AF394" i="1"/>
  <c r="AH394" i="1" s="1"/>
  <c r="C395" i="1"/>
  <c r="D395" i="1"/>
  <c r="F395" i="1"/>
  <c r="G395" i="1"/>
  <c r="AF395" i="1"/>
  <c r="AG395" i="1" s="1"/>
  <c r="C396" i="1"/>
  <c r="D396" i="1"/>
  <c r="F396" i="1"/>
  <c r="G396" i="1"/>
  <c r="AF396" i="1"/>
  <c r="AG396" i="1" s="1"/>
  <c r="C397" i="1"/>
  <c r="D397" i="1"/>
  <c r="F397" i="1"/>
  <c r="G397" i="1"/>
  <c r="AF397" i="1"/>
  <c r="AH397" i="1" s="1"/>
  <c r="C398" i="1"/>
  <c r="D398" i="1"/>
  <c r="F398" i="1"/>
  <c r="G398" i="1"/>
  <c r="AF398" i="1"/>
  <c r="AG398" i="1" s="1"/>
  <c r="C399" i="1"/>
  <c r="D399" i="1"/>
  <c r="F399" i="1"/>
  <c r="G399" i="1"/>
  <c r="AF399" i="1"/>
  <c r="AH399" i="1" s="1"/>
  <c r="C400" i="1"/>
  <c r="D400" i="1"/>
  <c r="F400" i="1"/>
  <c r="G400" i="1"/>
  <c r="AF400" i="1"/>
  <c r="AG400" i="1" s="1"/>
  <c r="C401" i="1"/>
  <c r="D401" i="1"/>
  <c r="F401" i="1"/>
  <c r="G401" i="1"/>
  <c r="AF401" i="1"/>
  <c r="C402" i="1"/>
  <c r="D402" i="1"/>
  <c r="F402" i="1"/>
  <c r="G402" i="1"/>
  <c r="AF402" i="1"/>
  <c r="C403" i="1"/>
  <c r="D403" i="1"/>
  <c r="F403" i="1"/>
  <c r="G403" i="1"/>
  <c r="AF403" i="1"/>
  <c r="AH403" i="1" s="1"/>
  <c r="C404" i="1"/>
  <c r="D404" i="1"/>
  <c r="F404" i="1"/>
  <c r="G404" i="1"/>
  <c r="AF404" i="1"/>
  <c r="AH404" i="1" s="1"/>
  <c r="C405" i="1"/>
  <c r="D405" i="1"/>
  <c r="F405" i="1"/>
  <c r="G405" i="1"/>
  <c r="AF405" i="1"/>
  <c r="C406" i="1"/>
  <c r="D406" i="1"/>
  <c r="F406" i="1"/>
  <c r="G406" i="1"/>
  <c r="AF406" i="1"/>
  <c r="AG406" i="1" s="1"/>
  <c r="C407" i="1"/>
  <c r="D407" i="1"/>
  <c r="F407" i="1"/>
  <c r="G407" i="1"/>
  <c r="AF407" i="1"/>
  <c r="AG407" i="1" s="1"/>
  <c r="C408" i="1"/>
  <c r="D408" i="1"/>
  <c r="F408" i="1"/>
  <c r="G408" i="1"/>
  <c r="AF408" i="1"/>
  <c r="AH408" i="1" s="1"/>
  <c r="C409" i="1"/>
  <c r="D409" i="1"/>
  <c r="F409" i="1"/>
  <c r="G409" i="1"/>
  <c r="AF409" i="1"/>
  <c r="AG409" i="1" s="1"/>
  <c r="C410" i="1"/>
  <c r="D410" i="1"/>
  <c r="F410" i="1"/>
  <c r="G410" i="1"/>
  <c r="AF410" i="1"/>
  <c r="C411" i="1"/>
  <c r="D411" i="1"/>
  <c r="F411" i="1"/>
  <c r="G411" i="1"/>
  <c r="AF411" i="1"/>
  <c r="AH411" i="1" s="1"/>
  <c r="C412" i="1"/>
  <c r="D412" i="1"/>
  <c r="F412" i="1"/>
  <c r="G412" i="1"/>
  <c r="AF412" i="1"/>
  <c r="AG412" i="1" s="1"/>
  <c r="C413" i="1"/>
  <c r="D413" i="1"/>
  <c r="F413" i="1"/>
  <c r="G413" i="1"/>
  <c r="AF413" i="1"/>
  <c r="AH413" i="1" s="1"/>
  <c r="C414" i="1"/>
  <c r="D414" i="1"/>
  <c r="F414" i="1"/>
  <c r="G414" i="1"/>
  <c r="AF414" i="1"/>
  <c r="C415" i="1"/>
  <c r="D415" i="1"/>
  <c r="F415" i="1"/>
  <c r="G415" i="1"/>
  <c r="AF415" i="1"/>
  <c r="AG415" i="1" s="1"/>
  <c r="C416" i="1"/>
  <c r="D416" i="1"/>
  <c r="F416" i="1"/>
  <c r="G416" i="1"/>
  <c r="AF416" i="1"/>
  <c r="AG416" i="1" s="1"/>
  <c r="C417" i="1"/>
  <c r="D417" i="1"/>
  <c r="F417" i="1"/>
  <c r="G417" i="1"/>
  <c r="AF417" i="1"/>
  <c r="AH417" i="1" s="1"/>
  <c r="C418" i="1"/>
  <c r="D418" i="1"/>
  <c r="F418" i="1"/>
  <c r="G418" i="1"/>
  <c r="AF418" i="1"/>
  <c r="AH418" i="1" s="1"/>
  <c r="C419" i="1"/>
  <c r="D419" i="1"/>
  <c r="F419" i="1"/>
  <c r="G419" i="1"/>
  <c r="AF419" i="1"/>
  <c r="AG419" i="1" s="1"/>
  <c r="C420" i="1"/>
  <c r="D420" i="1"/>
  <c r="F420" i="1"/>
  <c r="G420" i="1"/>
  <c r="AF420" i="1"/>
  <c r="AG420" i="1" s="1"/>
  <c r="C421" i="1"/>
  <c r="D421" i="1"/>
  <c r="F421" i="1"/>
  <c r="G421" i="1"/>
  <c r="AF421" i="1"/>
  <c r="C422" i="1"/>
  <c r="D422" i="1"/>
  <c r="F422" i="1"/>
  <c r="G422" i="1"/>
  <c r="AF422" i="1"/>
  <c r="AH422" i="1" s="1"/>
  <c r="C423" i="1"/>
  <c r="D423" i="1"/>
  <c r="F423" i="1"/>
  <c r="G423" i="1"/>
  <c r="AF423" i="1"/>
  <c r="C424" i="1"/>
  <c r="D424" i="1"/>
  <c r="F424" i="1"/>
  <c r="G424" i="1"/>
  <c r="AF424" i="1"/>
  <c r="AH424" i="1" s="1"/>
  <c r="C425" i="1"/>
  <c r="D425" i="1"/>
  <c r="F425" i="1"/>
  <c r="G425" i="1"/>
  <c r="AF425" i="1"/>
  <c r="C426" i="1"/>
  <c r="D426" i="1"/>
  <c r="F426" i="1"/>
  <c r="G426" i="1"/>
  <c r="AF426" i="1"/>
  <c r="AG426" i="1" s="1"/>
  <c r="C427" i="1"/>
  <c r="D427" i="1"/>
  <c r="F427" i="1"/>
  <c r="G427" i="1"/>
  <c r="AF427" i="1"/>
  <c r="AG427" i="1" s="1"/>
  <c r="C428" i="1"/>
  <c r="D428" i="1"/>
  <c r="F428" i="1"/>
  <c r="G428" i="1"/>
  <c r="AF428" i="1"/>
  <c r="AH428" i="1" s="1"/>
  <c r="C429" i="1"/>
  <c r="D429" i="1"/>
  <c r="F429" i="1"/>
  <c r="G429" i="1"/>
  <c r="AF429" i="1"/>
  <c r="C430" i="1"/>
  <c r="D430" i="1"/>
  <c r="F430" i="1"/>
  <c r="G430" i="1"/>
  <c r="AF430" i="1"/>
  <c r="AG430" i="1" s="1"/>
  <c r="C431" i="1"/>
  <c r="D431" i="1"/>
  <c r="F431" i="1"/>
  <c r="G431" i="1"/>
  <c r="AF431" i="1"/>
  <c r="AH431" i="1" s="1"/>
  <c r="C432" i="1"/>
  <c r="D432" i="1"/>
  <c r="F432" i="1"/>
  <c r="G432" i="1"/>
  <c r="AF432" i="1"/>
  <c r="AH432" i="1" s="1"/>
  <c r="C433" i="1"/>
  <c r="D433" i="1"/>
  <c r="F433" i="1"/>
  <c r="G433" i="1"/>
  <c r="AF433" i="1"/>
  <c r="C434" i="1"/>
  <c r="D434" i="1"/>
  <c r="F434" i="1"/>
  <c r="G434" i="1"/>
  <c r="AF434" i="1"/>
  <c r="AG434" i="1" s="1"/>
  <c r="C435" i="1"/>
  <c r="D435" i="1"/>
  <c r="F435" i="1"/>
  <c r="G435" i="1"/>
  <c r="AF435" i="1"/>
  <c r="AG435" i="1" s="1"/>
  <c r="C436" i="1"/>
  <c r="D436" i="1"/>
  <c r="F436" i="1"/>
  <c r="G436" i="1"/>
  <c r="AF436" i="1"/>
  <c r="AG436" i="1" s="1"/>
  <c r="C437" i="1"/>
  <c r="D437" i="1"/>
  <c r="F437" i="1"/>
  <c r="G437" i="1"/>
  <c r="AF437" i="1"/>
  <c r="AG437" i="1" s="1"/>
  <c r="C438" i="1"/>
  <c r="D438" i="1"/>
  <c r="F438" i="1"/>
  <c r="G438" i="1"/>
  <c r="AF438" i="1"/>
  <c r="AG438" i="1" s="1"/>
  <c r="C439" i="1"/>
  <c r="D439" i="1"/>
  <c r="F439" i="1"/>
  <c r="G439" i="1"/>
  <c r="AF439" i="1"/>
  <c r="C440" i="1"/>
  <c r="D440" i="1"/>
  <c r="F440" i="1"/>
  <c r="G440" i="1"/>
  <c r="AF440" i="1"/>
  <c r="AH440" i="1" s="1"/>
  <c r="C441" i="1"/>
  <c r="D441" i="1"/>
  <c r="F441" i="1"/>
  <c r="G441" i="1"/>
  <c r="AF441" i="1"/>
  <c r="AH441" i="1" s="1"/>
  <c r="C442" i="1"/>
  <c r="D442" i="1"/>
  <c r="F442" i="1"/>
  <c r="G442" i="1"/>
  <c r="AF442" i="1"/>
  <c r="AG442" i="1" s="1"/>
  <c r="C443" i="1"/>
  <c r="D443" i="1"/>
  <c r="F443" i="1"/>
  <c r="G443" i="1"/>
  <c r="AF443" i="1"/>
  <c r="AG443" i="1" s="1"/>
  <c r="C444" i="1"/>
  <c r="D444" i="1"/>
  <c r="F444" i="1"/>
  <c r="G444" i="1"/>
  <c r="AF444" i="1"/>
  <c r="AH444" i="1" s="1"/>
  <c r="C445" i="1"/>
  <c r="D445" i="1"/>
  <c r="F445" i="1"/>
  <c r="G445" i="1"/>
  <c r="AF445" i="1"/>
  <c r="C446" i="1"/>
  <c r="D446" i="1"/>
  <c r="F446" i="1"/>
  <c r="G446" i="1"/>
  <c r="AF446" i="1"/>
  <c r="C447" i="1"/>
  <c r="D447" i="1"/>
  <c r="F447" i="1"/>
  <c r="G447" i="1"/>
  <c r="AF447" i="1"/>
  <c r="AH447" i="1" s="1"/>
  <c r="C448" i="1"/>
  <c r="D448" i="1"/>
  <c r="F448" i="1"/>
  <c r="G448" i="1"/>
  <c r="AF448" i="1"/>
  <c r="AH448" i="1" s="1"/>
  <c r="C449" i="1"/>
  <c r="D449" i="1"/>
  <c r="F449" i="1"/>
  <c r="G449" i="1"/>
  <c r="AF449" i="1"/>
  <c r="AH449" i="1" s="1"/>
  <c r="C450" i="1"/>
  <c r="D450" i="1"/>
  <c r="F450" i="1"/>
  <c r="G450" i="1"/>
  <c r="AF450" i="1"/>
  <c r="C451" i="1"/>
  <c r="D451" i="1"/>
  <c r="F451" i="1"/>
  <c r="G451" i="1"/>
  <c r="AF451" i="1"/>
  <c r="AH451" i="1" s="1"/>
  <c r="C452" i="1"/>
  <c r="D452" i="1"/>
  <c r="F452" i="1"/>
  <c r="G452" i="1"/>
  <c r="AF452" i="1"/>
  <c r="AG452" i="1" s="1"/>
  <c r="C453" i="1"/>
  <c r="D453" i="1"/>
  <c r="F453" i="1"/>
  <c r="G453" i="1"/>
  <c r="AF453" i="1"/>
  <c r="AG453" i="1" s="1"/>
  <c r="C454" i="1"/>
  <c r="D454" i="1"/>
  <c r="F454" i="1"/>
  <c r="G454" i="1"/>
  <c r="AF454" i="1"/>
  <c r="AG454" i="1" s="1"/>
  <c r="C455" i="1"/>
  <c r="D455" i="1"/>
  <c r="F455" i="1"/>
  <c r="G455" i="1"/>
  <c r="AF455" i="1"/>
  <c r="AG455" i="1" s="1"/>
  <c r="C456" i="1"/>
  <c r="D456" i="1"/>
  <c r="F456" i="1"/>
  <c r="G456" i="1"/>
  <c r="AF456" i="1"/>
  <c r="AG456" i="1" s="1"/>
  <c r="C457" i="1"/>
  <c r="D457" i="1"/>
  <c r="F457" i="1"/>
  <c r="G457" i="1"/>
  <c r="AF457" i="1"/>
  <c r="AH457" i="1" s="1"/>
  <c r="C458" i="1"/>
  <c r="D458" i="1"/>
  <c r="F458" i="1"/>
  <c r="G458" i="1"/>
  <c r="AF458" i="1"/>
  <c r="C459" i="1"/>
  <c r="D459" i="1"/>
  <c r="F459" i="1"/>
  <c r="G459" i="1"/>
  <c r="AF459" i="1"/>
  <c r="AG459" i="1" s="1"/>
  <c r="C460" i="1"/>
  <c r="D460" i="1"/>
  <c r="F460" i="1"/>
  <c r="G460" i="1"/>
  <c r="AF460" i="1"/>
  <c r="AH460" i="1" s="1"/>
  <c r="C461" i="1"/>
  <c r="D461" i="1"/>
  <c r="F461" i="1"/>
  <c r="G461" i="1"/>
  <c r="AF461" i="1"/>
  <c r="C462" i="1"/>
  <c r="D462" i="1"/>
  <c r="F462" i="1"/>
  <c r="G462" i="1"/>
  <c r="AF462" i="1"/>
  <c r="C463" i="1"/>
  <c r="D463" i="1"/>
  <c r="F463" i="1"/>
  <c r="G463" i="1"/>
  <c r="AF463" i="1"/>
  <c r="AG463" i="1" s="1"/>
  <c r="C464" i="1"/>
  <c r="D464" i="1"/>
  <c r="F464" i="1"/>
  <c r="G464" i="1"/>
  <c r="AF464" i="1"/>
  <c r="AG464" i="1" s="1"/>
  <c r="C465" i="1"/>
  <c r="D465" i="1"/>
  <c r="F465" i="1"/>
  <c r="G465" i="1"/>
  <c r="AF465" i="1"/>
  <c r="AH465" i="1" s="1"/>
  <c r="C466" i="1"/>
  <c r="D466" i="1"/>
  <c r="F466" i="1"/>
  <c r="G466" i="1"/>
  <c r="AF466" i="1"/>
  <c r="AH466" i="1" s="1"/>
  <c r="C467" i="1"/>
  <c r="D467" i="1"/>
  <c r="F467" i="1"/>
  <c r="G467" i="1"/>
  <c r="AF467" i="1"/>
  <c r="AH467" i="1" s="1"/>
  <c r="C468" i="1"/>
  <c r="D468" i="1"/>
  <c r="F468" i="1"/>
  <c r="G468" i="1"/>
  <c r="AF468" i="1"/>
  <c r="C469" i="1"/>
  <c r="D469" i="1"/>
  <c r="F469" i="1"/>
  <c r="G469" i="1"/>
  <c r="AF469" i="1"/>
  <c r="AH469" i="1" s="1"/>
  <c r="C470" i="1"/>
  <c r="D470" i="1"/>
  <c r="F470" i="1"/>
  <c r="G470" i="1"/>
  <c r="AF470" i="1"/>
  <c r="AG470" i="1" s="1"/>
  <c r="AH470" i="1"/>
  <c r="C471" i="1"/>
  <c r="D471" i="1"/>
  <c r="F471" i="1"/>
  <c r="G471" i="1"/>
  <c r="AF471" i="1"/>
  <c r="C472" i="1"/>
  <c r="D472" i="1"/>
  <c r="F472" i="1"/>
  <c r="G472" i="1"/>
  <c r="AF472" i="1"/>
  <c r="AH472" i="1" s="1"/>
  <c r="AG472" i="1"/>
  <c r="C473" i="1"/>
  <c r="D473" i="1"/>
  <c r="F473" i="1"/>
  <c r="G473" i="1"/>
  <c r="AF473" i="1"/>
  <c r="AG473" i="1" s="1"/>
  <c r="C474" i="1"/>
  <c r="D474" i="1"/>
  <c r="F474" i="1"/>
  <c r="G474" i="1"/>
  <c r="AF474" i="1"/>
  <c r="AH474" i="1" s="1"/>
  <c r="AG474" i="1"/>
  <c r="C475" i="1"/>
  <c r="D475" i="1"/>
  <c r="F475" i="1"/>
  <c r="G475" i="1"/>
  <c r="AF475" i="1"/>
  <c r="C476" i="1"/>
  <c r="D476" i="1"/>
  <c r="F476" i="1"/>
  <c r="G476" i="1"/>
  <c r="AF476" i="1"/>
  <c r="AG476" i="1" s="1"/>
  <c r="C477" i="1"/>
  <c r="D477" i="1"/>
  <c r="F477" i="1"/>
  <c r="G477" i="1"/>
  <c r="AF477" i="1"/>
  <c r="AH477" i="1" s="1"/>
  <c r="C478" i="1"/>
  <c r="D478" i="1"/>
  <c r="F478" i="1"/>
  <c r="G478" i="1"/>
  <c r="AF478" i="1"/>
  <c r="AH478" i="1" s="1"/>
  <c r="C479" i="1"/>
  <c r="D479" i="1"/>
  <c r="F479" i="1"/>
  <c r="G479" i="1"/>
  <c r="AF479" i="1"/>
  <c r="AH479" i="1" s="1"/>
  <c r="C480" i="1"/>
  <c r="D480" i="1"/>
  <c r="F480" i="1"/>
  <c r="G480" i="1"/>
  <c r="AF480" i="1"/>
  <c r="C481" i="1"/>
  <c r="D481" i="1"/>
  <c r="F481" i="1"/>
  <c r="G481" i="1"/>
  <c r="AF481" i="1"/>
  <c r="AG481" i="1" s="1"/>
  <c r="C482" i="1"/>
  <c r="D482" i="1"/>
  <c r="F482" i="1"/>
  <c r="G482" i="1"/>
  <c r="AF482" i="1"/>
  <c r="AG482" i="1" s="1"/>
  <c r="C483" i="1"/>
  <c r="D483" i="1"/>
  <c r="F483" i="1"/>
  <c r="G483" i="1"/>
  <c r="AF483" i="1"/>
  <c r="AH483" i="1" s="1"/>
  <c r="C484" i="1"/>
  <c r="D484" i="1"/>
  <c r="F484" i="1"/>
  <c r="G484" i="1"/>
  <c r="AF484" i="1"/>
  <c r="AG484" i="1" s="1"/>
  <c r="C485" i="1"/>
  <c r="D485" i="1"/>
  <c r="F485" i="1"/>
  <c r="G485" i="1"/>
  <c r="AF485" i="1"/>
  <c r="AH485" i="1" s="1"/>
  <c r="C486" i="1"/>
  <c r="D486" i="1"/>
  <c r="F486" i="1"/>
  <c r="G486" i="1"/>
  <c r="AF486" i="1"/>
  <c r="AG486" i="1" s="1"/>
  <c r="C487" i="1"/>
  <c r="D487" i="1"/>
  <c r="F487" i="1"/>
  <c r="G487" i="1"/>
  <c r="AF487" i="1"/>
  <c r="AH487" i="1" s="1"/>
  <c r="C488" i="1"/>
  <c r="D488" i="1"/>
  <c r="F488" i="1"/>
  <c r="G488" i="1"/>
  <c r="AF488" i="1"/>
  <c r="AG488" i="1" s="1"/>
  <c r="C489" i="1"/>
  <c r="D489" i="1"/>
  <c r="F489" i="1"/>
  <c r="G489" i="1"/>
  <c r="AF489" i="1"/>
  <c r="AH489" i="1" s="1"/>
  <c r="C490" i="1"/>
  <c r="D490" i="1"/>
  <c r="F490" i="1"/>
  <c r="G490" i="1"/>
  <c r="AF490" i="1"/>
  <c r="AH490" i="1" s="1"/>
  <c r="C491" i="1"/>
  <c r="D491" i="1"/>
  <c r="F491" i="1"/>
  <c r="G491" i="1"/>
  <c r="AF491" i="1"/>
  <c r="AH491" i="1" s="1"/>
  <c r="C492" i="1"/>
  <c r="D492" i="1"/>
  <c r="F492" i="1"/>
  <c r="G492" i="1"/>
  <c r="AF492" i="1"/>
  <c r="C493" i="1"/>
  <c r="D493" i="1"/>
  <c r="F493" i="1"/>
  <c r="G493" i="1"/>
  <c r="AF493" i="1"/>
  <c r="C494" i="1"/>
  <c r="D494" i="1"/>
  <c r="F494" i="1"/>
  <c r="G494" i="1"/>
  <c r="AF494" i="1"/>
  <c r="AH494" i="1" s="1"/>
  <c r="C495" i="1"/>
  <c r="D495" i="1"/>
  <c r="F495" i="1"/>
  <c r="G495" i="1"/>
  <c r="AF495" i="1"/>
  <c r="AG495" i="1" s="1"/>
  <c r="C496" i="1"/>
  <c r="D496" i="1"/>
  <c r="F496" i="1"/>
  <c r="G496" i="1"/>
  <c r="AF496" i="1"/>
  <c r="AG496" i="1" s="1"/>
  <c r="C497" i="1"/>
  <c r="D497" i="1"/>
  <c r="F497" i="1"/>
  <c r="G497" i="1"/>
  <c r="AF497" i="1"/>
  <c r="AH497" i="1" s="1"/>
  <c r="C498" i="1"/>
  <c r="D498" i="1"/>
  <c r="F498" i="1"/>
  <c r="G498" i="1"/>
  <c r="AF498" i="1"/>
  <c r="AH498" i="1" s="1"/>
  <c r="C499" i="1"/>
  <c r="D499" i="1"/>
  <c r="F499" i="1"/>
  <c r="G499" i="1"/>
  <c r="AF499" i="1"/>
  <c r="AG499" i="1" s="1"/>
  <c r="C500" i="1"/>
  <c r="D500" i="1"/>
  <c r="F500" i="1"/>
  <c r="G500" i="1"/>
  <c r="AF500" i="1"/>
  <c r="AG500" i="1" s="1"/>
  <c r="C501" i="1"/>
  <c r="D501" i="1"/>
  <c r="F501" i="1"/>
  <c r="G501" i="1"/>
  <c r="AF501" i="1"/>
  <c r="C502" i="1"/>
  <c r="D502" i="1"/>
  <c r="F502" i="1"/>
  <c r="G502" i="1"/>
  <c r="AF502" i="1"/>
  <c r="AG502" i="1" s="1"/>
  <c r="C503" i="1"/>
  <c r="D503" i="1"/>
  <c r="F503" i="1"/>
  <c r="G503" i="1"/>
  <c r="AF503" i="1"/>
  <c r="AH503" i="1" s="1"/>
  <c r="C504" i="1"/>
  <c r="D504" i="1"/>
  <c r="F504" i="1"/>
  <c r="G504" i="1"/>
  <c r="AF504" i="1"/>
  <c r="C505" i="1"/>
  <c r="D505" i="1"/>
  <c r="F505" i="1"/>
  <c r="G505" i="1"/>
  <c r="AF505" i="1"/>
  <c r="C506" i="1"/>
  <c r="D506" i="1"/>
  <c r="F506" i="1"/>
  <c r="G506" i="1"/>
  <c r="AF506" i="1"/>
  <c r="AG506" i="1" s="1"/>
  <c r="C507" i="1"/>
  <c r="D507" i="1"/>
  <c r="F507" i="1"/>
  <c r="G507" i="1"/>
  <c r="AF507" i="1"/>
  <c r="AH507" i="1" s="1"/>
  <c r="C508" i="1"/>
  <c r="D508" i="1"/>
  <c r="G508" i="1"/>
  <c r="AF508" i="1"/>
  <c r="AH508" i="1" s="1"/>
  <c r="C509" i="1"/>
  <c r="D509" i="1"/>
  <c r="G509" i="1"/>
  <c r="AF509" i="1"/>
  <c r="C510" i="1"/>
  <c r="D510" i="1"/>
  <c r="F510" i="1"/>
  <c r="G510" i="1"/>
  <c r="AF510" i="1"/>
  <c r="AG510" i="1" s="1"/>
  <c r="C511" i="1"/>
  <c r="D511" i="1"/>
  <c r="F511" i="1"/>
  <c r="G511" i="1"/>
  <c r="AF511" i="1"/>
  <c r="AG511" i="1" s="1"/>
  <c r="C512" i="1"/>
  <c r="D512" i="1"/>
  <c r="F512" i="1"/>
  <c r="G512" i="1"/>
  <c r="AF512" i="1"/>
  <c r="C513" i="1"/>
  <c r="D513" i="1"/>
  <c r="F513" i="1"/>
  <c r="G513" i="1"/>
  <c r="AF513" i="1"/>
  <c r="AG513" i="1" s="1"/>
  <c r="C514" i="1"/>
  <c r="D514" i="1"/>
  <c r="F514" i="1"/>
  <c r="G514" i="1"/>
  <c r="AF514" i="1"/>
  <c r="AG514" i="1" s="1"/>
  <c r="C515" i="1"/>
  <c r="D515" i="1"/>
  <c r="F515" i="1"/>
  <c r="G515" i="1"/>
  <c r="AF515" i="1"/>
  <c r="AG515" i="1" s="1"/>
  <c r="C516" i="1"/>
  <c r="D516" i="1"/>
  <c r="F516" i="1"/>
  <c r="G516" i="1"/>
  <c r="AF516" i="1"/>
  <c r="AG516" i="1" s="1"/>
  <c r="C517" i="1"/>
  <c r="D517" i="1"/>
  <c r="F517" i="1"/>
  <c r="G517" i="1"/>
  <c r="AF517" i="1"/>
  <c r="AG517" i="1" s="1"/>
  <c r="C518" i="1"/>
  <c r="D518" i="1"/>
  <c r="F518" i="1"/>
  <c r="G518" i="1"/>
  <c r="AF518" i="1"/>
  <c r="AG518" i="1" s="1"/>
  <c r="C519" i="1"/>
  <c r="D519" i="1"/>
  <c r="F519" i="1"/>
  <c r="G519" i="1"/>
  <c r="AF519" i="1"/>
  <c r="AG519" i="1" s="1"/>
  <c r="C520" i="1"/>
  <c r="D520" i="1"/>
  <c r="F520" i="1"/>
  <c r="G520" i="1"/>
  <c r="AF520" i="1"/>
  <c r="AG520" i="1" s="1"/>
  <c r="C521" i="1"/>
  <c r="D521" i="1"/>
  <c r="F521" i="1"/>
  <c r="G521" i="1"/>
  <c r="AF521" i="1"/>
  <c r="AG521" i="1" s="1"/>
  <c r="C522" i="1"/>
  <c r="D522" i="1"/>
  <c r="F522" i="1"/>
  <c r="G522" i="1"/>
  <c r="AF522" i="1"/>
  <c r="C523" i="1"/>
  <c r="D523" i="1"/>
  <c r="F523" i="1"/>
  <c r="G523" i="1"/>
  <c r="AF523" i="1"/>
  <c r="AG523" i="1" s="1"/>
  <c r="C524" i="1"/>
  <c r="D524" i="1"/>
  <c r="F524" i="1"/>
  <c r="G524" i="1"/>
  <c r="AF524" i="1"/>
  <c r="C525" i="1"/>
  <c r="D525" i="1"/>
  <c r="F525" i="1"/>
  <c r="G525" i="1"/>
  <c r="AF525" i="1"/>
  <c r="AH525" i="1" s="1"/>
  <c r="C526" i="1"/>
  <c r="D526" i="1"/>
  <c r="F526" i="1"/>
  <c r="G526" i="1"/>
  <c r="AF526" i="1"/>
  <c r="AH526" i="1" s="1"/>
  <c r="C527" i="1"/>
  <c r="D527" i="1"/>
  <c r="F527" i="1"/>
  <c r="G527" i="1"/>
  <c r="AF527" i="1"/>
  <c r="AG527" i="1" s="1"/>
  <c r="C528" i="1"/>
  <c r="D528" i="1"/>
  <c r="F528" i="1"/>
  <c r="G528" i="1"/>
  <c r="AF528" i="1"/>
  <c r="AG528" i="1" s="1"/>
  <c r="C529" i="1"/>
  <c r="D529" i="1"/>
  <c r="F529" i="1"/>
  <c r="G529" i="1"/>
  <c r="AF529" i="1"/>
  <c r="AG529" i="1" s="1"/>
  <c r="C530" i="1"/>
  <c r="D530" i="1"/>
  <c r="F530" i="1"/>
  <c r="G530" i="1"/>
  <c r="AF530" i="1"/>
  <c r="C531" i="1"/>
  <c r="D531" i="1"/>
  <c r="F531" i="1"/>
  <c r="G531" i="1"/>
  <c r="AF531" i="1"/>
  <c r="C532" i="1"/>
  <c r="D532" i="1"/>
  <c r="F532" i="1"/>
  <c r="G532" i="1"/>
  <c r="AF532" i="1"/>
  <c r="C533" i="1"/>
  <c r="D533" i="1"/>
  <c r="F533" i="1"/>
  <c r="G533" i="1"/>
  <c r="AF533" i="1"/>
  <c r="AH533" i="1" s="1"/>
  <c r="C534" i="1"/>
  <c r="D534" i="1"/>
  <c r="F534" i="1"/>
  <c r="G534" i="1"/>
  <c r="AF534" i="1"/>
  <c r="AG534" i="1" s="1"/>
  <c r="C535" i="1"/>
  <c r="D535" i="1"/>
  <c r="F535" i="1"/>
  <c r="G535" i="1"/>
  <c r="AC535" i="1"/>
  <c r="AF535" i="1"/>
  <c r="C536" i="1"/>
  <c r="D536" i="1"/>
  <c r="F536" i="1"/>
  <c r="G536" i="1"/>
  <c r="AC536" i="1"/>
  <c r="AF536" i="1"/>
  <c r="AG536" i="1" s="1"/>
  <c r="C537" i="1"/>
  <c r="D537" i="1"/>
  <c r="F537" i="1"/>
  <c r="G537" i="1"/>
  <c r="AC537" i="1"/>
  <c r="AF537" i="1"/>
  <c r="C538" i="1"/>
  <c r="D538" i="1"/>
  <c r="F538" i="1"/>
  <c r="G538" i="1"/>
  <c r="AC538" i="1"/>
  <c r="AF538" i="1"/>
  <c r="C539" i="1"/>
  <c r="D539" i="1"/>
  <c r="F539" i="1"/>
  <c r="G539" i="1"/>
  <c r="AC539" i="1"/>
  <c r="AF539" i="1"/>
  <c r="AH539" i="1" s="1"/>
  <c r="C540" i="1"/>
  <c r="D540" i="1"/>
  <c r="F540" i="1"/>
  <c r="G540" i="1"/>
  <c r="AC540" i="1"/>
  <c r="AF540" i="1"/>
  <c r="AG540" i="1" s="1"/>
  <c r="C541" i="1"/>
  <c r="D541" i="1"/>
  <c r="F541" i="1"/>
  <c r="G541" i="1"/>
  <c r="AC541" i="1"/>
  <c r="AF541" i="1"/>
  <c r="AH541" i="1" s="1"/>
  <c r="C542" i="1"/>
  <c r="D542" i="1"/>
  <c r="F542" i="1"/>
  <c r="G542" i="1"/>
  <c r="AC542" i="1"/>
  <c r="AF542" i="1"/>
  <c r="AG542" i="1" s="1"/>
  <c r="C543" i="1"/>
  <c r="D543" i="1"/>
  <c r="F543" i="1"/>
  <c r="G543" i="1"/>
  <c r="AC543" i="1"/>
  <c r="AF543" i="1"/>
  <c r="AH543" i="1" s="1"/>
  <c r="C544" i="1"/>
  <c r="D544" i="1"/>
  <c r="F544" i="1"/>
  <c r="G544" i="1"/>
  <c r="AC544" i="1"/>
  <c r="AF544" i="1"/>
  <c r="AG544" i="1" s="1"/>
  <c r="C545" i="1"/>
  <c r="D545" i="1"/>
  <c r="F545" i="1"/>
  <c r="G545" i="1"/>
  <c r="AC545" i="1"/>
  <c r="AF545" i="1"/>
  <c r="AG545" i="1" s="1"/>
  <c r="C546" i="1"/>
  <c r="D546" i="1"/>
  <c r="F546" i="1"/>
  <c r="G546" i="1"/>
  <c r="AC546" i="1"/>
  <c r="AF546" i="1"/>
  <c r="AG546" i="1" s="1"/>
  <c r="C547" i="1"/>
  <c r="D547" i="1"/>
  <c r="F547" i="1"/>
  <c r="G547" i="1"/>
  <c r="AC547" i="1"/>
  <c r="AF547" i="1"/>
  <c r="C548" i="1"/>
  <c r="D548" i="1"/>
  <c r="F548" i="1"/>
  <c r="G548" i="1"/>
  <c r="AC548" i="1"/>
  <c r="AF548" i="1"/>
  <c r="AG548" i="1" s="1"/>
  <c r="C549" i="1"/>
  <c r="D549" i="1"/>
  <c r="F549" i="1"/>
  <c r="G549" i="1"/>
  <c r="AC549" i="1"/>
  <c r="AF549" i="1"/>
  <c r="AG549" i="1" s="1"/>
  <c r="C550" i="1"/>
  <c r="D550" i="1"/>
  <c r="F550" i="1"/>
  <c r="G550" i="1"/>
  <c r="AC550" i="1"/>
  <c r="AF550" i="1"/>
  <c r="AH550" i="1" s="1"/>
  <c r="C551" i="1"/>
  <c r="D551" i="1"/>
  <c r="F551" i="1"/>
  <c r="G551" i="1"/>
  <c r="AC551" i="1"/>
  <c r="AF551" i="1"/>
  <c r="AG551" i="1" s="1"/>
  <c r="C552" i="1"/>
  <c r="D552" i="1"/>
  <c r="F552" i="1"/>
  <c r="G552" i="1"/>
  <c r="AC552" i="1"/>
  <c r="AF552" i="1"/>
  <c r="C553" i="1"/>
  <c r="D553" i="1"/>
  <c r="F553" i="1"/>
  <c r="G553" i="1"/>
  <c r="AC553" i="1"/>
  <c r="AF553" i="1"/>
  <c r="AH553" i="1" s="1"/>
  <c r="C554" i="1"/>
  <c r="D554" i="1"/>
  <c r="F554" i="1"/>
  <c r="G554" i="1"/>
  <c r="AC554" i="1"/>
  <c r="AF554" i="1"/>
  <c r="AG554" i="1" s="1"/>
  <c r="C555" i="1"/>
  <c r="D555" i="1"/>
  <c r="F555" i="1"/>
  <c r="G555" i="1"/>
  <c r="AC555" i="1"/>
  <c r="AF555" i="1"/>
  <c r="AG555" i="1" s="1"/>
  <c r="C556" i="1"/>
  <c r="D556" i="1"/>
  <c r="F556" i="1"/>
  <c r="G556" i="1"/>
  <c r="AC556" i="1"/>
  <c r="AF556" i="1"/>
  <c r="C557" i="1"/>
  <c r="D557" i="1"/>
  <c r="F557" i="1"/>
  <c r="G557" i="1"/>
  <c r="AC557" i="1"/>
  <c r="AF557" i="1"/>
  <c r="AH557" i="1" s="1"/>
  <c r="C558" i="1"/>
  <c r="D558" i="1"/>
  <c r="F558" i="1"/>
  <c r="G558" i="1"/>
  <c r="AC558" i="1"/>
  <c r="AF558" i="1"/>
  <c r="C559" i="1"/>
  <c r="D559" i="1"/>
  <c r="F559" i="1"/>
  <c r="G559" i="1"/>
  <c r="AC559" i="1"/>
  <c r="AI559" i="1" s="1"/>
  <c r="AK559" i="1" s="1"/>
  <c r="AF559" i="1"/>
  <c r="AG559" i="1" s="1"/>
  <c r="C560" i="1"/>
  <c r="D560" i="1"/>
  <c r="F560" i="1"/>
  <c r="G560" i="1"/>
  <c r="AC560" i="1"/>
  <c r="AI560" i="1" s="1"/>
  <c r="AK560" i="1" s="1"/>
  <c r="AF560" i="1"/>
  <c r="AG560" i="1" s="1"/>
  <c r="C561" i="1"/>
  <c r="D561" i="1"/>
  <c r="F561" i="1"/>
  <c r="G561" i="1"/>
  <c r="AC561" i="1"/>
  <c r="AF561" i="1"/>
  <c r="AH561" i="1" s="1"/>
  <c r="C562" i="1"/>
  <c r="D562" i="1"/>
  <c r="F562" i="1"/>
  <c r="G562" i="1"/>
  <c r="AC562" i="1"/>
  <c r="AF562" i="1"/>
  <c r="AG562" i="1" s="1"/>
  <c r="C563" i="1"/>
  <c r="D563" i="1"/>
  <c r="F563" i="1"/>
  <c r="G563" i="1"/>
  <c r="AC563" i="1"/>
  <c r="AF563" i="1"/>
  <c r="AH563" i="1" s="1"/>
  <c r="C564" i="1"/>
  <c r="D564" i="1"/>
  <c r="F564" i="1"/>
  <c r="G564" i="1"/>
  <c r="AC564" i="1"/>
  <c r="AF564" i="1"/>
  <c r="AG564" i="1" s="1"/>
  <c r="C565" i="1"/>
  <c r="D565" i="1"/>
  <c r="F565" i="1"/>
  <c r="G565" i="1"/>
  <c r="AC565" i="1"/>
  <c r="AF565" i="1"/>
  <c r="AH565" i="1" s="1"/>
  <c r="C566" i="1"/>
  <c r="D566" i="1"/>
  <c r="F566" i="1"/>
  <c r="G566" i="1"/>
  <c r="AC566" i="1"/>
  <c r="AF566" i="1"/>
  <c r="C567" i="1"/>
  <c r="D567" i="1"/>
  <c r="F567" i="1"/>
  <c r="G567" i="1"/>
  <c r="AC567" i="1"/>
  <c r="AF567" i="1"/>
  <c r="C568" i="1"/>
  <c r="D568" i="1"/>
  <c r="F568" i="1"/>
  <c r="G568" i="1"/>
  <c r="AC568" i="1"/>
  <c r="AF568" i="1"/>
  <c r="AH568" i="1" s="1"/>
  <c r="C569" i="1"/>
  <c r="D569" i="1"/>
  <c r="F569" i="1"/>
  <c r="G569" i="1"/>
  <c r="AC569" i="1"/>
  <c r="AF569" i="1"/>
  <c r="C570" i="1"/>
  <c r="D570" i="1"/>
  <c r="F570" i="1"/>
  <c r="G570" i="1"/>
  <c r="AC570" i="1"/>
  <c r="AF570" i="1"/>
  <c r="AH570" i="1" s="1"/>
  <c r="C571" i="1"/>
  <c r="D571" i="1"/>
  <c r="F571" i="1"/>
  <c r="G571" i="1"/>
  <c r="AC571" i="1"/>
  <c r="AF571" i="1"/>
  <c r="AH571" i="1" s="1"/>
  <c r="C572" i="1"/>
  <c r="D572" i="1"/>
  <c r="F572" i="1"/>
  <c r="G572" i="1"/>
  <c r="AC572" i="1"/>
  <c r="AF572" i="1"/>
  <c r="AH572" i="1" s="1"/>
  <c r="C573" i="1"/>
  <c r="D573" i="1"/>
  <c r="F573" i="1"/>
  <c r="G573" i="1"/>
  <c r="AC573" i="1"/>
  <c r="AF573" i="1"/>
  <c r="AG573" i="1" s="1"/>
  <c r="C574" i="1"/>
  <c r="D574" i="1"/>
  <c r="F574" i="1"/>
  <c r="G574" i="1"/>
  <c r="AC574" i="1"/>
  <c r="AF574" i="1"/>
  <c r="C575" i="1"/>
  <c r="D575" i="1"/>
  <c r="F575" i="1"/>
  <c r="G575" i="1"/>
  <c r="AC575" i="1"/>
  <c r="AF575" i="1"/>
  <c r="AG575" i="1" s="1"/>
  <c r="C576" i="1"/>
  <c r="D576" i="1"/>
  <c r="F576" i="1"/>
  <c r="G576" i="1"/>
  <c r="AC576" i="1"/>
  <c r="AF576" i="1"/>
  <c r="AH576" i="1" s="1"/>
  <c r="C577" i="1"/>
  <c r="D577" i="1"/>
  <c r="F577" i="1"/>
  <c r="G577" i="1"/>
  <c r="AC577" i="1"/>
  <c r="AF577" i="1"/>
  <c r="C578" i="1"/>
  <c r="D578" i="1"/>
  <c r="F578" i="1"/>
  <c r="G578" i="1"/>
  <c r="AC578" i="1"/>
  <c r="AF578" i="1"/>
  <c r="AH578" i="1" s="1"/>
  <c r="C579" i="1"/>
  <c r="D579" i="1"/>
  <c r="F579" i="1"/>
  <c r="G579" i="1"/>
  <c r="AC579" i="1"/>
  <c r="AF579" i="1"/>
  <c r="AH579" i="1" s="1"/>
  <c r="C580" i="1"/>
  <c r="D580" i="1"/>
  <c r="F580" i="1"/>
  <c r="G580" i="1"/>
  <c r="AC580" i="1"/>
  <c r="AF580" i="1"/>
  <c r="AH580" i="1" s="1"/>
  <c r="C581" i="1"/>
  <c r="D581" i="1"/>
  <c r="F581" i="1"/>
  <c r="G581" i="1"/>
  <c r="AC581" i="1"/>
  <c r="AI581" i="1" s="1"/>
  <c r="AK581" i="1" s="1"/>
  <c r="AF581" i="1"/>
  <c r="AG581" i="1" s="1"/>
  <c r="C582" i="1"/>
  <c r="D582" i="1"/>
  <c r="F582" i="1"/>
  <c r="G582" i="1"/>
  <c r="AC582" i="1"/>
  <c r="AI582" i="1" s="1"/>
  <c r="AK582" i="1" s="1"/>
  <c r="AF582" i="1"/>
  <c r="AH582" i="1" s="1"/>
  <c r="C583" i="1"/>
  <c r="D583" i="1"/>
  <c r="F583" i="1"/>
  <c r="G583" i="1"/>
  <c r="AC583" i="1"/>
  <c r="AF583" i="1"/>
  <c r="AG583" i="1" s="1"/>
  <c r="C584" i="1"/>
  <c r="D584" i="1"/>
  <c r="F584" i="1"/>
  <c r="G584" i="1"/>
  <c r="AC584" i="1"/>
  <c r="AF584" i="1"/>
  <c r="AH584" i="1" s="1"/>
  <c r="C585" i="1"/>
  <c r="D585" i="1"/>
  <c r="F585" i="1"/>
  <c r="G585" i="1"/>
  <c r="AC585" i="1"/>
  <c r="AF585" i="1"/>
  <c r="AG585" i="1" s="1"/>
  <c r="C586" i="1"/>
  <c r="D586" i="1"/>
  <c r="F586" i="1"/>
  <c r="G586" i="1"/>
  <c r="AC586" i="1"/>
  <c r="AF586" i="1"/>
  <c r="AH586" i="1" s="1"/>
  <c r="C587" i="1"/>
  <c r="D587" i="1"/>
  <c r="F587" i="1"/>
  <c r="G587" i="1"/>
  <c r="AC587" i="1"/>
  <c r="AF587" i="1"/>
  <c r="AG587" i="1" s="1"/>
  <c r="C588" i="1"/>
  <c r="D588" i="1"/>
  <c r="F588" i="1"/>
  <c r="G588" i="1"/>
  <c r="AC588" i="1"/>
  <c r="AF588" i="1"/>
  <c r="AH588" i="1" s="1"/>
  <c r="C589" i="1"/>
  <c r="D589" i="1"/>
  <c r="F589" i="1"/>
  <c r="G589" i="1"/>
  <c r="AC589" i="1"/>
  <c r="AF589" i="1"/>
  <c r="AH589" i="1" s="1"/>
  <c r="C590" i="1"/>
  <c r="D590" i="1"/>
  <c r="F590" i="1"/>
  <c r="G590" i="1"/>
  <c r="AC590" i="1"/>
  <c r="AF590" i="1"/>
  <c r="AH590" i="1" s="1"/>
  <c r="C591" i="1"/>
  <c r="D591" i="1"/>
  <c r="F591" i="1"/>
  <c r="G591" i="1"/>
  <c r="AC591" i="1"/>
  <c r="AF591" i="1"/>
  <c r="C592" i="1"/>
  <c r="D592" i="1"/>
  <c r="F592" i="1"/>
  <c r="G592" i="1"/>
  <c r="AC592" i="1"/>
  <c r="AF592" i="1"/>
  <c r="AG592" i="1" s="1"/>
  <c r="C593" i="1"/>
  <c r="D593" i="1"/>
  <c r="F593" i="1"/>
  <c r="G593" i="1"/>
  <c r="AC593" i="1"/>
  <c r="AF593" i="1"/>
  <c r="AG593" i="1" s="1"/>
  <c r="C594" i="1"/>
  <c r="D594" i="1"/>
  <c r="F594" i="1"/>
  <c r="G594" i="1"/>
  <c r="AC594" i="1"/>
  <c r="AF594" i="1"/>
  <c r="AH594" i="1" s="1"/>
  <c r="C595" i="1"/>
  <c r="D595" i="1"/>
  <c r="F595" i="1"/>
  <c r="G595" i="1"/>
  <c r="AC595" i="1"/>
  <c r="AF595" i="1"/>
  <c r="AG595" i="1" s="1"/>
  <c r="C596" i="1"/>
  <c r="D596" i="1"/>
  <c r="F596" i="1"/>
  <c r="G596" i="1"/>
  <c r="AC596" i="1"/>
  <c r="AF596" i="1"/>
  <c r="AG596" i="1" s="1"/>
  <c r="C597" i="1"/>
  <c r="D597" i="1"/>
  <c r="F597" i="1"/>
  <c r="G597" i="1"/>
  <c r="AC597" i="1"/>
  <c r="AF597" i="1"/>
  <c r="AH597" i="1" s="1"/>
  <c r="C598" i="1"/>
  <c r="D598" i="1"/>
  <c r="F598" i="1"/>
  <c r="G598" i="1"/>
  <c r="AC598" i="1"/>
  <c r="AF598" i="1"/>
  <c r="AH598" i="1" s="1"/>
  <c r="C599" i="1"/>
  <c r="D599" i="1"/>
  <c r="F599" i="1"/>
  <c r="G599" i="1"/>
  <c r="AC599" i="1"/>
  <c r="AF599" i="1"/>
  <c r="C600" i="1"/>
  <c r="D600" i="1"/>
  <c r="F600" i="1"/>
  <c r="G600" i="1"/>
  <c r="AC600" i="1"/>
  <c r="AF600" i="1"/>
  <c r="AH600" i="1" s="1"/>
  <c r="C601" i="1"/>
  <c r="D601" i="1"/>
  <c r="F601" i="1"/>
  <c r="G601" i="1"/>
  <c r="AC601" i="1"/>
  <c r="AF601" i="1"/>
  <c r="AG601" i="1" s="1"/>
  <c r="C602" i="1"/>
  <c r="D602" i="1"/>
  <c r="F602" i="1"/>
  <c r="G602" i="1"/>
  <c r="AC602" i="1"/>
  <c r="AF602" i="1"/>
  <c r="AG602" i="1" s="1"/>
  <c r="C603" i="1"/>
  <c r="D603" i="1"/>
  <c r="F603" i="1"/>
  <c r="G603" i="1"/>
  <c r="AC603" i="1"/>
  <c r="AF603" i="1"/>
  <c r="AH603" i="1" s="1"/>
  <c r="C604" i="1"/>
  <c r="D604" i="1"/>
  <c r="F604" i="1"/>
  <c r="G604" i="1"/>
  <c r="AC604" i="1"/>
  <c r="AI604" i="1" s="1"/>
  <c r="AK604" i="1" s="1"/>
  <c r="AF604" i="1"/>
  <c r="AH604" i="1" s="1"/>
  <c r="C605" i="1"/>
  <c r="D605" i="1"/>
  <c r="F605" i="1"/>
  <c r="G605" i="1"/>
  <c r="AC605" i="1"/>
  <c r="AF605" i="1"/>
  <c r="AG605" i="1" s="1"/>
  <c r="C606" i="1"/>
  <c r="D606" i="1"/>
  <c r="F606" i="1"/>
  <c r="G606" i="1"/>
  <c r="AC606" i="1"/>
  <c r="AF606" i="1"/>
  <c r="C607" i="1"/>
  <c r="D607" i="1"/>
  <c r="F607" i="1"/>
  <c r="G607" i="1"/>
  <c r="AC607" i="1"/>
  <c r="AF607" i="1"/>
  <c r="AH607" i="1" s="1"/>
  <c r="C608" i="1"/>
  <c r="D608" i="1"/>
  <c r="F608" i="1"/>
  <c r="G608" i="1"/>
  <c r="AC608" i="1"/>
  <c r="AF608" i="1"/>
  <c r="AH608" i="1" s="1"/>
  <c r="C609" i="1"/>
  <c r="D609" i="1"/>
  <c r="F609" i="1"/>
  <c r="G609" i="1"/>
  <c r="AC609" i="1"/>
  <c r="AF609" i="1"/>
  <c r="AG609" i="1" s="1"/>
  <c r="C610" i="1"/>
  <c r="D610" i="1"/>
  <c r="F610" i="1"/>
  <c r="G610" i="1"/>
  <c r="AC610" i="1"/>
  <c r="AF610" i="1"/>
  <c r="AH610" i="1" s="1"/>
  <c r="C611" i="1"/>
  <c r="D611" i="1"/>
  <c r="F611" i="1"/>
  <c r="G611" i="1"/>
  <c r="AC611" i="1"/>
  <c r="AF611" i="1"/>
  <c r="AG611" i="1" s="1"/>
  <c r="C612" i="1"/>
  <c r="D612" i="1"/>
  <c r="F612" i="1"/>
  <c r="G612" i="1"/>
  <c r="AC612" i="1"/>
  <c r="AF612" i="1"/>
  <c r="AG612" i="1" s="1"/>
  <c r="C613" i="1"/>
  <c r="D613" i="1"/>
  <c r="F613" i="1"/>
  <c r="G613" i="1"/>
  <c r="AC613" i="1"/>
  <c r="AF613" i="1"/>
  <c r="C614" i="1"/>
  <c r="D614" i="1"/>
  <c r="F614" i="1"/>
  <c r="G614" i="1"/>
  <c r="AC614" i="1"/>
  <c r="AF614" i="1"/>
  <c r="AH614" i="1" s="1"/>
  <c r="C615" i="1"/>
  <c r="D615" i="1"/>
  <c r="F615" i="1"/>
  <c r="G615" i="1"/>
  <c r="AC615" i="1"/>
  <c r="AF615" i="1"/>
  <c r="AG615" i="1" s="1"/>
  <c r="C616" i="1"/>
  <c r="D616" i="1"/>
  <c r="F616" i="1"/>
  <c r="G616" i="1"/>
  <c r="AC616" i="1"/>
  <c r="AF616" i="1"/>
  <c r="AH616" i="1" s="1"/>
  <c r="C617" i="1"/>
  <c r="D617" i="1"/>
  <c r="F617" i="1"/>
  <c r="G617" i="1"/>
  <c r="AC617" i="1"/>
  <c r="AF617" i="1"/>
  <c r="C618" i="1"/>
  <c r="D618" i="1"/>
  <c r="F618" i="1"/>
  <c r="G618" i="1"/>
  <c r="AC618" i="1"/>
  <c r="AF618" i="1"/>
  <c r="C619" i="1"/>
  <c r="D619" i="1"/>
  <c r="F619" i="1"/>
  <c r="G619" i="1"/>
  <c r="AC619" i="1"/>
  <c r="AF619" i="1"/>
  <c r="AH619" i="1" s="1"/>
  <c r="C620" i="1"/>
  <c r="D620" i="1"/>
  <c r="F620" i="1"/>
  <c r="G620" i="1"/>
  <c r="AC620" i="1"/>
  <c r="AF620" i="1"/>
  <c r="AH620" i="1" s="1"/>
  <c r="C621" i="1"/>
  <c r="D621" i="1"/>
  <c r="F621" i="1"/>
  <c r="G621" i="1"/>
  <c r="AC621" i="1"/>
  <c r="AF621" i="1"/>
  <c r="AG621" i="1" s="1"/>
  <c r="C622" i="1"/>
  <c r="D622" i="1"/>
  <c r="F622" i="1"/>
  <c r="G622" i="1"/>
  <c r="AC622" i="1"/>
  <c r="AF622" i="1"/>
  <c r="AH622" i="1" s="1"/>
  <c r="C623" i="1"/>
  <c r="D623" i="1"/>
  <c r="F623" i="1"/>
  <c r="G623" i="1"/>
  <c r="AC623" i="1"/>
  <c r="AF623" i="1"/>
  <c r="AG623" i="1" s="1"/>
  <c r="C624" i="1"/>
  <c r="D624" i="1"/>
  <c r="F624" i="1"/>
  <c r="G624" i="1"/>
  <c r="AC624" i="1"/>
  <c r="AF624" i="1"/>
  <c r="AH624" i="1" s="1"/>
  <c r="C625" i="1"/>
  <c r="D625" i="1"/>
  <c r="F625" i="1"/>
  <c r="G625" i="1"/>
  <c r="AC625" i="1"/>
  <c r="AI625" i="1" s="1"/>
  <c r="AK625" i="1" s="1"/>
  <c r="AF625" i="1"/>
  <c r="AG625" i="1" s="1"/>
  <c r="C626" i="1"/>
  <c r="D626" i="1"/>
  <c r="F626" i="1"/>
  <c r="G626" i="1"/>
  <c r="AC626" i="1"/>
  <c r="AF626" i="1"/>
  <c r="AH626" i="1" s="1"/>
  <c r="C627" i="1"/>
  <c r="D627" i="1"/>
  <c r="F627" i="1"/>
  <c r="G627" i="1"/>
  <c r="AC627" i="1"/>
  <c r="AF627" i="1"/>
  <c r="C628" i="1"/>
  <c r="D628" i="1"/>
  <c r="F628" i="1"/>
  <c r="G628" i="1"/>
  <c r="AC628" i="1"/>
  <c r="AF628" i="1"/>
  <c r="AG628" i="1" s="1"/>
  <c r="C629" i="1"/>
  <c r="D629" i="1"/>
  <c r="F629" i="1"/>
  <c r="G629" i="1"/>
  <c r="AC629" i="1"/>
  <c r="AF629" i="1"/>
  <c r="AG629" i="1" s="1"/>
  <c r="C630" i="1"/>
  <c r="D630" i="1"/>
  <c r="F630" i="1"/>
  <c r="G630" i="1"/>
  <c r="AC630" i="1"/>
  <c r="AF630" i="1"/>
  <c r="C631" i="1"/>
  <c r="D631" i="1"/>
  <c r="F631" i="1"/>
  <c r="G631" i="1"/>
  <c r="AC631" i="1"/>
  <c r="AF631" i="1"/>
  <c r="AG631" i="1" s="1"/>
  <c r="C632" i="1"/>
  <c r="D632" i="1"/>
  <c r="F632" i="1"/>
  <c r="G632" i="1"/>
  <c r="AC632" i="1"/>
  <c r="AF632" i="1"/>
  <c r="C633" i="1"/>
  <c r="D633" i="1"/>
  <c r="F633" i="1"/>
  <c r="G633" i="1"/>
  <c r="AC633" i="1"/>
  <c r="AF633" i="1"/>
  <c r="AG633" i="1" s="1"/>
  <c r="C634" i="1"/>
  <c r="D634" i="1"/>
  <c r="F634" i="1"/>
  <c r="G634" i="1"/>
  <c r="AC634" i="1"/>
  <c r="AF634" i="1"/>
  <c r="AG634" i="1" s="1"/>
  <c r="C635" i="1"/>
  <c r="D635" i="1"/>
  <c r="F635" i="1"/>
  <c r="G635" i="1"/>
  <c r="AC635" i="1"/>
  <c r="AF635" i="1"/>
  <c r="AG635" i="1" s="1"/>
  <c r="C636" i="1"/>
  <c r="D636" i="1"/>
  <c r="F636" i="1"/>
  <c r="G636" i="1"/>
  <c r="AC636" i="1"/>
  <c r="AF636" i="1"/>
  <c r="C637" i="1"/>
  <c r="D637" i="1"/>
  <c r="F637" i="1"/>
  <c r="G637" i="1"/>
  <c r="AC637" i="1"/>
  <c r="AF637" i="1"/>
  <c r="AH637" i="1" s="1"/>
  <c r="C638" i="1"/>
  <c r="D638" i="1"/>
  <c r="F638" i="1"/>
  <c r="G638" i="1"/>
  <c r="AC638" i="1"/>
  <c r="AF638" i="1"/>
  <c r="C639" i="1"/>
  <c r="D639" i="1"/>
  <c r="F639" i="1"/>
  <c r="G639" i="1"/>
  <c r="AC639" i="1"/>
  <c r="AF639" i="1"/>
  <c r="AH639" i="1" s="1"/>
  <c r="C640" i="1"/>
  <c r="D640" i="1"/>
  <c r="F640" i="1"/>
  <c r="G640" i="1"/>
  <c r="AC640" i="1"/>
  <c r="AF640" i="1"/>
  <c r="AH640" i="1" s="1"/>
  <c r="C641" i="1"/>
  <c r="D641" i="1"/>
  <c r="F641" i="1"/>
  <c r="G641" i="1"/>
  <c r="AC641" i="1"/>
  <c r="AF641" i="1"/>
  <c r="AG641" i="1" s="1"/>
  <c r="C642" i="1"/>
  <c r="D642" i="1"/>
  <c r="F642" i="1"/>
  <c r="G642" i="1"/>
  <c r="AC642" i="1"/>
  <c r="AF642" i="1"/>
  <c r="AH642" i="1" s="1"/>
  <c r="C643" i="1"/>
  <c r="D643" i="1"/>
  <c r="F643" i="1"/>
  <c r="G643" i="1"/>
  <c r="AC643" i="1"/>
  <c r="AF643" i="1"/>
  <c r="C644" i="1"/>
  <c r="D644" i="1"/>
  <c r="F644" i="1"/>
  <c r="G644" i="1"/>
  <c r="AC644" i="1"/>
  <c r="AF644" i="1"/>
  <c r="AH644" i="1" s="1"/>
  <c r="C645" i="1"/>
  <c r="D645" i="1"/>
  <c r="F645" i="1"/>
  <c r="G645" i="1"/>
  <c r="AC645" i="1"/>
  <c r="AF645" i="1"/>
  <c r="AH645" i="1" s="1"/>
  <c r="C646" i="1"/>
  <c r="D646" i="1"/>
  <c r="F646" i="1"/>
  <c r="G646" i="1"/>
  <c r="AC646" i="1"/>
  <c r="AF646" i="1"/>
  <c r="AH646" i="1" s="1"/>
  <c r="C647" i="1"/>
  <c r="D647" i="1"/>
  <c r="F647" i="1"/>
  <c r="G647" i="1"/>
  <c r="AC647" i="1"/>
  <c r="AI647" i="1" s="1"/>
  <c r="AK647" i="1" s="1"/>
  <c r="AF647" i="1"/>
  <c r="C648" i="1"/>
  <c r="D648" i="1"/>
  <c r="F648" i="1"/>
  <c r="G648" i="1"/>
  <c r="AC648" i="1"/>
  <c r="AF648" i="1"/>
  <c r="AH648" i="1" s="1"/>
  <c r="C649" i="1"/>
  <c r="D649" i="1"/>
  <c r="F649" i="1"/>
  <c r="G649" i="1"/>
  <c r="AC649" i="1"/>
  <c r="AF649" i="1"/>
  <c r="C650" i="1"/>
  <c r="D650" i="1"/>
  <c r="F650" i="1"/>
  <c r="G650" i="1"/>
  <c r="AC650" i="1"/>
  <c r="AF650" i="1"/>
  <c r="AG650" i="1" s="1"/>
  <c r="C651" i="1"/>
  <c r="D651" i="1"/>
  <c r="F651" i="1"/>
  <c r="G651" i="1"/>
  <c r="AC651" i="1"/>
  <c r="AF651" i="1"/>
  <c r="AH651" i="1" s="1"/>
  <c r="C652" i="1"/>
  <c r="D652" i="1"/>
  <c r="F652" i="1"/>
  <c r="G652" i="1"/>
  <c r="AC652" i="1"/>
  <c r="AF652" i="1"/>
  <c r="AH652" i="1" s="1"/>
  <c r="C653" i="1"/>
  <c r="D653" i="1"/>
  <c r="F653" i="1"/>
  <c r="G653" i="1"/>
  <c r="AC653" i="1"/>
  <c r="AF653" i="1"/>
  <c r="AH653" i="1" s="1"/>
  <c r="C654" i="1"/>
  <c r="D654" i="1"/>
  <c r="F654" i="1"/>
  <c r="G654" i="1"/>
  <c r="AC654" i="1"/>
  <c r="AF654" i="1"/>
  <c r="AG654" i="1" s="1"/>
  <c r="C655" i="1"/>
  <c r="D655" i="1"/>
  <c r="F655" i="1"/>
  <c r="G655" i="1"/>
  <c r="AC655" i="1"/>
  <c r="AF655" i="1"/>
  <c r="AH655" i="1" s="1"/>
  <c r="C656" i="1"/>
  <c r="D656" i="1"/>
  <c r="F656" i="1"/>
  <c r="G656" i="1"/>
  <c r="AC656" i="1"/>
  <c r="AF656" i="1"/>
  <c r="AG656" i="1" s="1"/>
  <c r="C657" i="1"/>
  <c r="D657" i="1"/>
  <c r="F657" i="1"/>
  <c r="G657" i="1"/>
  <c r="AC657" i="1"/>
  <c r="AF657" i="1"/>
  <c r="AG657" i="1" s="1"/>
  <c r="C658" i="1"/>
  <c r="D658" i="1"/>
  <c r="F658" i="1"/>
  <c r="G658" i="1"/>
  <c r="AC658" i="1"/>
  <c r="AF658" i="1"/>
  <c r="C659" i="1"/>
  <c r="D659" i="1"/>
  <c r="F659" i="1"/>
  <c r="G659" i="1"/>
  <c r="AC659" i="1"/>
  <c r="AF659" i="1"/>
  <c r="AH659" i="1" s="1"/>
  <c r="C660" i="1"/>
  <c r="D660" i="1"/>
  <c r="F660" i="1"/>
  <c r="G660" i="1"/>
  <c r="AC660" i="1"/>
  <c r="AF660" i="1"/>
  <c r="C661" i="1"/>
  <c r="D661" i="1"/>
  <c r="F661" i="1"/>
  <c r="G661" i="1"/>
  <c r="AC661" i="1"/>
  <c r="AF661" i="1"/>
  <c r="AH661" i="1" s="1"/>
  <c r="C662" i="1"/>
  <c r="D662" i="1"/>
  <c r="F662" i="1"/>
  <c r="G662" i="1"/>
  <c r="AC662" i="1"/>
  <c r="AF662" i="1"/>
  <c r="AG662" i="1" s="1"/>
  <c r="C663" i="1"/>
  <c r="D663" i="1"/>
  <c r="F663" i="1"/>
  <c r="G663" i="1"/>
  <c r="AC663" i="1"/>
  <c r="AF663" i="1"/>
  <c r="AH663" i="1" s="1"/>
  <c r="C664" i="1"/>
  <c r="D664" i="1"/>
  <c r="F664" i="1"/>
  <c r="G664" i="1"/>
  <c r="AC664" i="1"/>
  <c r="AF664" i="1"/>
  <c r="AG664" i="1" s="1"/>
  <c r="C665" i="1"/>
  <c r="D665" i="1"/>
  <c r="F665" i="1"/>
  <c r="G665" i="1"/>
  <c r="AC665" i="1"/>
  <c r="AF665" i="1"/>
  <c r="C666" i="1"/>
  <c r="D666" i="1"/>
  <c r="F666" i="1"/>
  <c r="G666" i="1"/>
  <c r="AC666" i="1"/>
  <c r="AF666" i="1"/>
  <c r="AH666" i="1" s="1"/>
  <c r="C667" i="1"/>
  <c r="D667" i="1"/>
  <c r="F667" i="1"/>
  <c r="G667" i="1"/>
  <c r="AC667" i="1"/>
  <c r="AF667" i="1"/>
  <c r="AG667" i="1" s="1"/>
  <c r="C668" i="1"/>
  <c r="D668" i="1"/>
  <c r="F668" i="1"/>
  <c r="G668" i="1"/>
  <c r="AC668" i="1"/>
  <c r="AF668" i="1"/>
  <c r="AG668" i="1" s="1"/>
  <c r="C669" i="1"/>
  <c r="D669" i="1"/>
  <c r="F669" i="1"/>
  <c r="G669" i="1"/>
  <c r="AC669" i="1"/>
  <c r="AI669" i="1" s="1"/>
  <c r="AK669" i="1" s="1"/>
  <c r="AF669" i="1"/>
  <c r="C670" i="1"/>
  <c r="D670" i="1"/>
  <c r="F670" i="1"/>
  <c r="G670" i="1"/>
  <c r="AC670" i="1"/>
  <c r="AF670" i="1"/>
  <c r="AH670" i="1" s="1"/>
  <c r="C671" i="1"/>
  <c r="D671" i="1"/>
  <c r="F671" i="1"/>
  <c r="G671" i="1"/>
  <c r="AC671" i="1"/>
  <c r="AF671" i="1"/>
  <c r="AG671" i="1" s="1"/>
  <c r="C672" i="1"/>
  <c r="D672" i="1"/>
  <c r="F672" i="1"/>
  <c r="G672" i="1"/>
  <c r="AC672" i="1"/>
  <c r="AF672" i="1"/>
  <c r="AG672" i="1" s="1"/>
  <c r="C673" i="1"/>
  <c r="D673" i="1"/>
  <c r="F673" i="1"/>
  <c r="G673" i="1"/>
  <c r="AC673" i="1"/>
  <c r="AF673" i="1"/>
  <c r="AH673" i="1" s="1"/>
  <c r="C674" i="1"/>
  <c r="D674" i="1"/>
  <c r="F674" i="1"/>
  <c r="G674" i="1"/>
  <c r="AC674" i="1"/>
  <c r="AF674" i="1"/>
  <c r="AH674" i="1" s="1"/>
  <c r="C675" i="1"/>
  <c r="D675" i="1"/>
  <c r="F675" i="1"/>
  <c r="G675" i="1"/>
  <c r="AC675" i="1"/>
  <c r="AF675" i="1"/>
  <c r="AG675" i="1" s="1"/>
  <c r="C676" i="1"/>
  <c r="D676" i="1"/>
  <c r="F676" i="1"/>
  <c r="G676" i="1"/>
  <c r="AC676" i="1"/>
  <c r="AF676" i="1"/>
  <c r="AH676" i="1" s="1"/>
  <c r="C677" i="1"/>
  <c r="D677" i="1"/>
  <c r="F677" i="1"/>
  <c r="G677" i="1"/>
  <c r="AC677" i="1"/>
  <c r="AF677" i="1"/>
  <c r="AH677" i="1" s="1"/>
  <c r="C678" i="1"/>
  <c r="D678" i="1"/>
  <c r="F678" i="1"/>
  <c r="G678" i="1"/>
  <c r="AC678" i="1"/>
  <c r="AF678" i="1"/>
  <c r="AG678" i="1" s="1"/>
  <c r="C679" i="1"/>
  <c r="D679" i="1"/>
  <c r="F679" i="1"/>
  <c r="G679" i="1"/>
  <c r="AC679" i="1"/>
  <c r="AF679" i="1"/>
  <c r="AH679" i="1" s="1"/>
  <c r="C680" i="1"/>
  <c r="D680" i="1"/>
  <c r="F680" i="1"/>
  <c r="G680" i="1"/>
  <c r="AC680" i="1"/>
  <c r="AF680" i="1"/>
  <c r="AG680" i="1" s="1"/>
  <c r="C681" i="1"/>
  <c r="D681" i="1"/>
  <c r="F681" i="1"/>
  <c r="G681" i="1"/>
  <c r="AC681" i="1"/>
  <c r="AF681" i="1"/>
  <c r="AH681" i="1" s="1"/>
  <c r="C682" i="1"/>
  <c r="D682" i="1"/>
  <c r="F682" i="1"/>
  <c r="G682" i="1"/>
  <c r="AC682" i="1"/>
  <c r="AF682" i="1"/>
  <c r="AH682" i="1" s="1"/>
  <c r="C683" i="1"/>
  <c r="D683" i="1"/>
  <c r="F683" i="1"/>
  <c r="G683" i="1"/>
  <c r="AC683" i="1"/>
  <c r="AF683" i="1"/>
  <c r="AH683" i="1" s="1"/>
  <c r="C684" i="1"/>
  <c r="D684" i="1"/>
  <c r="F684" i="1"/>
  <c r="G684" i="1"/>
  <c r="AC684" i="1"/>
  <c r="AF684" i="1"/>
  <c r="AG684" i="1" s="1"/>
  <c r="C685" i="1"/>
  <c r="D685" i="1"/>
  <c r="F685" i="1"/>
  <c r="G685" i="1"/>
  <c r="AC685" i="1"/>
  <c r="AF685" i="1"/>
  <c r="AH685" i="1" s="1"/>
  <c r="C686" i="1"/>
  <c r="D686" i="1"/>
  <c r="F686" i="1"/>
  <c r="G686" i="1"/>
  <c r="AC686" i="1"/>
  <c r="AF686" i="1"/>
  <c r="AH686" i="1" s="1"/>
  <c r="C687" i="1"/>
  <c r="D687" i="1"/>
  <c r="F687" i="1"/>
  <c r="G687" i="1"/>
  <c r="AC687" i="1"/>
  <c r="AF687" i="1"/>
  <c r="C688" i="1"/>
  <c r="D688" i="1"/>
  <c r="F688" i="1"/>
  <c r="G688" i="1"/>
  <c r="AC688" i="1"/>
  <c r="AF688" i="1"/>
  <c r="AH688" i="1" s="1"/>
  <c r="C689" i="1"/>
  <c r="D689" i="1"/>
  <c r="F689" i="1"/>
  <c r="G689" i="1"/>
  <c r="AC689" i="1"/>
  <c r="AF689" i="1"/>
  <c r="AH689" i="1" s="1"/>
  <c r="C690" i="1"/>
  <c r="D690" i="1"/>
  <c r="F690" i="1"/>
  <c r="G690" i="1"/>
  <c r="AC690" i="1"/>
  <c r="AF690" i="1"/>
  <c r="C691" i="1"/>
  <c r="D691" i="1"/>
  <c r="F691" i="1"/>
  <c r="G691" i="1"/>
  <c r="AC691" i="1"/>
  <c r="AI691" i="1" s="1"/>
  <c r="AK691" i="1" s="1"/>
  <c r="AF691" i="1"/>
  <c r="C692" i="1"/>
  <c r="D692" i="1"/>
  <c r="F692" i="1"/>
  <c r="G692" i="1"/>
  <c r="AC692" i="1"/>
  <c r="AF692" i="1"/>
  <c r="AH692" i="1" s="1"/>
  <c r="C693" i="1"/>
  <c r="D693" i="1"/>
  <c r="F693" i="1"/>
  <c r="G693" i="1"/>
  <c r="AC693" i="1"/>
  <c r="AF693" i="1"/>
  <c r="AH693" i="1" s="1"/>
  <c r="C694" i="1"/>
  <c r="D694" i="1"/>
  <c r="F694" i="1"/>
  <c r="G694" i="1"/>
  <c r="AC694" i="1"/>
  <c r="AF694" i="1"/>
  <c r="AG694" i="1" s="1"/>
  <c r="C695" i="1"/>
  <c r="D695" i="1"/>
  <c r="F695" i="1"/>
  <c r="G695" i="1"/>
  <c r="AC695" i="1"/>
  <c r="AF695" i="1"/>
  <c r="AH695" i="1" s="1"/>
  <c r="C696" i="1"/>
  <c r="D696" i="1"/>
  <c r="F696" i="1"/>
  <c r="G696" i="1"/>
  <c r="AC696" i="1"/>
  <c r="AF696" i="1"/>
  <c r="AH696" i="1" s="1"/>
  <c r="C697" i="1"/>
  <c r="D697" i="1"/>
  <c r="F697" i="1"/>
  <c r="G697" i="1"/>
  <c r="AC697" i="1"/>
  <c r="AF697" i="1"/>
  <c r="AG697" i="1" s="1"/>
  <c r="C698" i="1"/>
  <c r="D698" i="1"/>
  <c r="F698" i="1"/>
  <c r="G698" i="1"/>
  <c r="AC698" i="1"/>
  <c r="AF698" i="1"/>
  <c r="C699" i="1"/>
  <c r="D699" i="1"/>
  <c r="F699" i="1"/>
  <c r="G699" i="1"/>
  <c r="AC699" i="1"/>
  <c r="AF699" i="1"/>
  <c r="AH699" i="1" s="1"/>
  <c r="C700" i="1"/>
  <c r="D700" i="1"/>
  <c r="F700" i="1"/>
  <c r="G700" i="1"/>
  <c r="AC700" i="1"/>
  <c r="AF700" i="1"/>
  <c r="AG700" i="1" s="1"/>
  <c r="C701" i="1"/>
  <c r="D701" i="1"/>
  <c r="F701" i="1"/>
  <c r="G701" i="1"/>
  <c r="AC701" i="1"/>
  <c r="AF701" i="1"/>
  <c r="AH701" i="1" s="1"/>
  <c r="C702" i="1"/>
  <c r="D702" i="1"/>
  <c r="F702" i="1"/>
  <c r="G702" i="1"/>
  <c r="AC702" i="1"/>
  <c r="AF702" i="1"/>
  <c r="AH702" i="1" s="1"/>
  <c r="C703" i="1"/>
  <c r="D703" i="1"/>
  <c r="F703" i="1"/>
  <c r="G703" i="1"/>
  <c r="AC703" i="1"/>
  <c r="AF703" i="1"/>
  <c r="AG703" i="1" s="1"/>
  <c r="C704" i="1"/>
  <c r="D704" i="1"/>
  <c r="F704" i="1"/>
  <c r="G704" i="1"/>
  <c r="AC704" i="1"/>
  <c r="AF704" i="1"/>
  <c r="AG704" i="1" s="1"/>
  <c r="C705" i="1"/>
  <c r="D705" i="1"/>
  <c r="F705" i="1"/>
  <c r="G705" i="1"/>
  <c r="AC705" i="1"/>
  <c r="AF705" i="1"/>
  <c r="AH705" i="1" s="1"/>
  <c r="C706" i="1"/>
  <c r="D706" i="1"/>
  <c r="F706" i="1"/>
  <c r="G706" i="1"/>
  <c r="AC706" i="1"/>
  <c r="AF706" i="1"/>
  <c r="AG706" i="1" s="1"/>
  <c r="C707" i="1"/>
  <c r="D707" i="1"/>
  <c r="F707" i="1"/>
  <c r="G707" i="1"/>
  <c r="AC707" i="1"/>
  <c r="AF707" i="1"/>
  <c r="AG707" i="1" s="1"/>
  <c r="C708" i="1"/>
  <c r="D708" i="1"/>
  <c r="F708" i="1"/>
  <c r="G708" i="1"/>
  <c r="AC708" i="1"/>
  <c r="AF708" i="1"/>
  <c r="AG708" i="1" s="1"/>
  <c r="C709" i="1"/>
  <c r="D709" i="1"/>
  <c r="F709" i="1"/>
  <c r="G709" i="1"/>
  <c r="AC709" i="1"/>
  <c r="AF709" i="1"/>
  <c r="AG709" i="1" s="1"/>
  <c r="C710" i="1"/>
  <c r="D710" i="1"/>
  <c r="F710" i="1"/>
  <c r="G710" i="1"/>
  <c r="AC710" i="1"/>
  <c r="AF710" i="1"/>
  <c r="AH710" i="1" s="1"/>
  <c r="C711" i="1"/>
  <c r="D711" i="1"/>
  <c r="F711" i="1"/>
  <c r="G711" i="1"/>
  <c r="AC711" i="1"/>
  <c r="AF711" i="1"/>
  <c r="AH711" i="1" s="1"/>
  <c r="C712" i="1"/>
  <c r="D712" i="1"/>
  <c r="F712" i="1"/>
  <c r="G712" i="1"/>
  <c r="AC712" i="1"/>
  <c r="AF712" i="1"/>
  <c r="AG712" i="1" s="1"/>
  <c r="C713" i="1"/>
  <c r="D713" i="1"/>
  <c r="F713" i="1"/>
  <c r="G713" i="1"/>
  <c r="AC713" i="1"/>
  <c r="AI713" i="1" s="1"/>
  <c r="AK713" i="1" s="1"/>
  <c r="AF713" i="1"/>
  <c r="C714" i="1"/>
  <c r="D714" i="1"/>
  <c r="F714" i="1"/>
  <c r="G714" i="1"/>
  <c r="AC714" i="1"/>
  <c r="AF714" i="1"/>
  <c r="AG714" i="1" s="1"/>
  <c r="C715" i="1"/>
  <c r="D715" i="1"/>
  <c r="F715" i="1"/>
  <c r="G715" i="1"/>
  <c r="AC715" i="1"/>
  <c r="AF715" i="1"/>
  <c r="AG715" i="1" s="1"/>
  <c r="C716" i="1"/>
  <c r="D716" i="1"/>
  <c r="F716" i="1"/>
  <c r="G716" i="1"/>
  <c r="AC716" i="1"/>
  <c r="AF716" i="1"/>
  <c r="AG716" i="1" s="1"/>
  <c r="C717" i="1"/>
  <c r="D717" i="1"/>
  <c r="F717" i="1"/>
  <c r="G717" i="1"/>
  <c r="AC717" i="1"/>
  <c r="AF717" i="1"/>
  <c r="AH717" i="1" s="1"/>
  <c r="C718" i="1"/>
  <c r="D718" i="1"/>
  <c r="F718" i="1"/>
  <c r="G718" i="1"/>
  <c r="AC718" i="1"/>
  <c r="AF718" i="1"/>
  <c r="AG718" i="1" s="1"/>
  <c r="C719" i="1"/>
  <c r="D719" i="1"/>
  <c r="F719" i="1"/>
  <c r="G719" i="1"/>
  <c r="AC719" i="1"/>
  <c r="AF719" i="1"/>
  <c r="C720" i="1"/>
  <c r="D720" i="1"/>
  <c r="F720" i="1"/>
  <c r="G720" i="1"/>
  <c r="AC720" i="1"/>
  <c r="AF720" i="1"/>
  <c r="C721" i="1"/>
  <c r="D721" i="1"/>
  <c r="F721" i="1"/>
  <c r="G721" i="1"/>
  <c r="AC721" i="1"/>
  <c r="AF721" i="1"/>
  <c r="AH721" i="1" s="1"/>
  <c r="C722" i="1"/>
  <c r="D722" i="1"/>
  <c r="F722" i="1"/>
  <c r="G722" i="1"/>
  <c r="AC722" i="1"/>
  <c r="AF722" i="1"/>
  <c r="C723" i="1"/>
  <c r="D723" i="1"/>
  <c r="F723" i="1"/>
  <c r="G723" i="1"/>
  <c r="AC723" i="1"/>
  <c r="AF723" i="1"/>
  <c r="AH723" i="1" s="1"/>
  <c r="C724" i="1"/>
  <c r="D724" i="1"/>
  <c r="F724" i="1"/>
  <c r="G724" i="1"/>
  <c r="AC724" i="1"/>
  <c r="AF724" i="1"/>
  <c r="C725" i="1"/>
  <c r="D725" i="1"/>
  <c r="F725" i="1"/>
  <c r="G725" i="1"/>
  <c r="AC725" i="1"/>
  <c r="AF725" i="1"/>
  <c r="AH725" i="1" s="1"/>
  <c r="C726" i="1"/>
  <c r="D726" i="1"/>
  <c r="F726" i="1"/>
  <c r="G726" i="1"/>
  <c r="AC726" i="1"/>
  <c r="AF726" i="1"/>
  <c r="AH726" i="1" s="1"/>
  <c r="C727" i="1"/>
  <c r="D727" i="1"/>
  <c r="F727" i="1"/>
  <c r="G727" i="1"/>
  <c r="AC727" i="1"/>
  <c r="AF727" i="1"/>
  <c r="AH727" i="1" s="1"/>
  <c r="C728" i="1"/>
  <c r="D728" i="1"/>
  <c r="F728" i="1"/>
  <c r="G728" i="1"/>
  <c r="AC728" i="1"/>
  <c r="AF728" i="1"/>
  <c r="AG728" i="1" s="1"/>
  <c r="C729" i="1"/>
  <c r="D729" i="1"/>
  <c r="F729" i="1"/>
  <c r="G729" i="1"/>
  <c r="AC729" i="1"/>
  <c r="AF729" i="1"/>
  <c r="AH729" i="1" s="1"/>
  <c r="C730" i="1"/>
  <c r="D730" i="1"/>
  <c r="F730" i="1"/>
  <c r="G730" i="1"/>
  <c r="AC730" i="1"/>
  <c r="AF730" i="1"/>
  <c r="AH730" i="1" s="1"/>
  <c r="C731" i="1"/>
  <c r="D731" i="1"/>
  <c r="F731" i="1"/>
  <c r="G731" i="1"/>
  <c r="AC731" i="1"/>
  <c r="AF731" i="1"/>
  <c r="C732" i="1"/>
  <c r="D732" i="1"/>
  <c r="F732" i="1"/>
  <c r="G732" i="1"/>
  <c r="AC732" i="1"/>
  <c r="AF732" i="1"/>
  <c r="AH732" i="1" s="1"/>
  <c r="C733" i="1"/>
  <c r="D733" i="1"/>
  <c r="F733" i="1"/>
  <c r="G733" i="1"/>
  <c r="AC733" i="1"/>
  <c r="AF733" i="1"/>
  <c r="AG733" i="1" s="1"/>
  <c r="C734" i="1"/>
  <c r="D734" i="1"/>
  <c r="F734" i="1"/>
  <c r="G734" i="1"/>
  <c r="AC734" i="1"/>
  <c r="AF734" i="1"/>
  <c r="AG734" i="1" s="1"/>
  <c r="C735" i="1"/>
  <c r="D735" i="1"/>
  <c r="F735" i="1"/>
  <c r="G735" i="1"/>
  <c r="AC735" i="1"/>
  <c r="AI735" i="1" s="1"/>
  <c r="AK735" i="1" s="1"/>
  <c r="AF735" i="1"/>
  <c r="C736" i="1"/>
  <c r="D736" i="1"/>
  <c r="F736" i="1"/>
  <c r="G736" i="1"/>
  <c r="AC736" i="1"/>
  <c r="AF736" i="1"/>
  <c r="AG736" i="1" s="1"/>
  <c r="C737" i="1"/>
  <c r="D737" i="1"/>
  <c r="F737" i="1"/>
  <c r="G737" i="1"/>
  <c r="AC737" i="1"/>
  <c r="AF737" i="1"/>
  <c r="AG737" i="1" s="1"/>
  <c r="C738" i="1"/>
  <c r="D738" i="1"/>
  <c r="F738" i="1"/>
  <c r="G738" i="1"/>
  <c r="AC738" i="1"/>
  <c r="AF738" i="1"/>
  <c r="AG738" i="1" s="1"/>
  <c r="C739" i="1"/>
  <c r="D739" i="1"/>
  <c r="F739" i="1"/>
  <c r="G739" i="1"/>
  <c r="AC739" i="1"/>
  <c r="AF739" i="1"/>
  <c r="AG739" i="1" s="1"/>
  <c r="C740" i="1"/>
  <c r="D740" i="1"/>
  <c r="F740" i="1"/>
  <c r="G740" i="1"/>
  <c r="AC740" i="1"/>
  <c r="AF740" i="1"/>
  <c r="AH740" i="1" s="1"/>
  <c r="C741" i="1"/>
  <c r="D741" i="1"/>
  <c r="F741" i="1"/>
  <c r="G741" i="1"/>
  <c r="AC741" i="1"/>
  <c r="AF741" i="1"/>
  <c r="AH741" i="1" s="1"/>
  <c r="C742" i="1"/>
  <c r="D742" i="1"/>
  <c r="F742" i="1"/>
  <c r="G742" i="1"/>
  <c r="AC742" i="1"/>
  <c r="AF742" i="1"/>
  <c r="AG742" i="1" s="1"/>
  <c r="C743" i="1"/>
  <c r="D743" i="1"/>
  <c r="F743" i="1"/>
  <c r="G743" i="1"/>
  <c r="AC743" i="1"/>
  <c r="AF743" i="1"/>
  <c r="AH743" i="1" s="1"/>
  <c r="C744" i="1"/>
  <c r="D744" i="1"/>
  <c r="F744" i="1"/>
  <c r="G744" i="1"/>
  <c r="AC744" i="1"/>
  <c r="AF744" i="1"/>
  <c r="AG744" i="1" s="1"/>
  <c r="C745" i="1"/>
  <c r="D745" i="1"/>
  <c r="F745" i="1"/>
  <c r="G745" i="1"/>
  <c r="AC745" i="1"/>
  <c r="AF745" i="1"/>
  <c r="C746" i="1"/>
  <c r="D746" i="1"/>
  <c r="F746" i="1"/>
  <c r="G746" i="1"/>
  <c r="AC746" i="1"/>
  <c r="AF746" i="1"/>
  <c r="AG746" i="1" s="1"/>
  <c r="C747" i="1"/>
  <c r="D747" i="1"/>
  <c r="F747" i="1"/>
  <c r="G747" i="1"/>
  <c r="AC747" i="1"/>
  <c r="AF747" i="1"/>
  <c r="AH747" i="1" s="1"/>
  <c r="C748" i="1"/>
  <c r="D748" i="1"/>
  <c r="F748" i="1"/>
  <c r="G748" i="1"/>
  <c r="AC748" i="1"/>
  <c r="AF748" i="1"/>
  <c r="C749" i="1"/>
  <c r="D749" i="1"/>
  <c r="F749" i="1"/>
  <c r="G749" i="1"/>
  <c r="AC749" i="1"/>
  <c r="AF749" i="1"/>
  <c r="AH749" i="1" s="1"/>
  <c r="C750" i="1"/>
  <c r="D750" i="1"/>
  <c r="F750" i="1"/>
  <c r="G750" i="1"/>
  <c r="AC750" i="1"/>
  <c r="AF750" i="1"/>
  <c r="AG750" i="1" s="1"/>
  <c r="C751" i="1"/>
  <c r="D751" i="1"/>
  <c r="F751" i="1"/>
  <c r="G751" i="1"/>
  <c r="AC751" i="1"/>
  <c r="AF751" i="1"/>
  <c r="AG751" i="1" s="1"/>
  <c r="C752" i="1"/>
  <c r="D752" i="1"/>
  <c r="F752" i="1"/>
  <c r="G752" i="1"/>
  <c r="AC752" i="1"/>
  <c r="AF752" i="1"/>
  <c r="AG752" i="1" s="1"/>
  <c r="C753" i="1"/>
  <c r="D753" i="1"/>
  <c r="F753" i="1"/>
  <c r="G753" i="1"/>
  <c r="AC753" i="1"/>
  <c r="AF753" i="1"/>
  <c r="C754" i="1"/>
  <c r="D754" i="1"/>
  <c r="F754" i="1"/>
  <c r="G754" i="1"/>
  <c r="AC754" i="1"/>
  <c r="AF754" i="1"/>
  <c r="AH754" i="1" s="1"/>
  <c r="C755" i="1"/>
  <c r="D755" i="1"/>
  <c r="F755" i="1"/>
  <c r="G755" i="1"/>
  <c r="AC755" i="1"/>
  <c r="AF755" i="1"/>
  <c r="AG755" i="1" s="1"/>
  <c r="C756" i="1"/>
  <c r="D756" i="1"/>
  <c r="F756" i="1"/>
  <c r="G756" i="1"/>
  <c r="AC756" i="1"/>
  <c r="AF756" i="1"/>
  <c r="C757" i="1"/>
  <c r="D757" i="1"/>
  <c r="F757" i="1"/>
  <c r="G757" i="1"/>
  <c r="AC757" i="1"/>
  <c r="AI757" i="1" s="1"/>
  <c r="AK757" i="1" s="1"/>
  <c r="AF757" i="1"/>
  <c r="C758" i="1"/>
  <c r="D758" i="1"/>
  <c r="F758" i="1"/>
  <c r="G758" i="1"/>
  <c r="AC758" i="1"/>
  <c r="AF758" i="1"/>
  <c r="AH758" i="1" s="1"/>
  <c r="C759" i="1"/>
  <c r="D759" i="1"/>
  <c r="F759" i="1"/>
  <c r="G759" i="1"/>
  <c r="AC759" i="1"/>
  <c r="AF759" i="1"/>
  <c r="C760" i="1"/>
  <c r="D760" i="1"/>
  <c r="F760" i="1"/>
  <c r="G760" i="1"/>
  <c r="AC760" i="1"/>
  <c r="AF760" i="1"/>
  <c r="AG760" i="1" s="1"/>
  <c r="C761" i="1"/>
  <c r="D761" i="1"/>
  <c r="F761" i="1"/>
  <c r="G761" i="1"/>
  <c r="AC761" i="1"/>
  <c r="AF761" i="1"/>
  <c r="AH761" i="1" s="1"/>
  <c r="C762" i="1"/>
  <c r="D762" i="1"/>
  <c r="F762" i="1"/>
  <c r="G762" i="1"/>
  <c r="AC762" i="1"/>
  <c r="AF762" i="1"/>
  <c r="AG762" i="1" s="1"/>
  <c r="C763" i="1"/>
  <c r="D763" i="1"/>
  <c r="F763" i="1"/>
  <c r="G763" i="1"/>
  <c r="AC763" i="1"/>
  <c r="AF763" i="1"/>
  <c r="AG763" i="1" s="1"/>
  <c r="C764" i="1"/>
  <c r="D764" i="1"/>
  <c r="F764" i="1"/>
  <c r="G764" i="1"/>
  <c r="AC764" i="1"/>
  <c r="AF764" i="1"/>
  <c r="C765" i="1"/>
  <c r="D765" i="1"/>
  <c r="F765" i="1"/>
  <c r="G765" i="1"/>
  <c r="AC765" i="1"/>
  <c r="AF765" i="1"/>
  <c r="AG765" i="1" s="1"/>
  <c r="C766" i="1"/>
  <c r="D766" i="1"/>
  <c r="F766" i="1"/>
  <c r="G766" i="1"/>
  <c r="AC766" i="1"/>
  <c r="AF766" i="1"/>
  <c r="AG766" i="1" s="1"/>
  <c r="C767" i="1"/>
  <c r="D767" i="1"/>
  <c r="F767" i="1"/>
  <c r="G767" i="1"/>
  <c r="AC767" i="1"/>
  <c r="AF767" i="1"/>
  <c r="AH767" i="1" s="1"/>
  <c r="C768" i="1"/>
  <c r="D768" i="1"/>
  <c r="F768" i="1"/>
  <c r="G768" i="1"/>
  <c r="AC768" i="1"/>
  <c r="AF768" i="1"/>
  <c r="AG768" i="1" s="1"/>
  <c r="C769" i="1"/>
  <c r="D769" i="1"/>
  <c r="F769" i="1"/>
  <c r="G769" i="1"/>
  <c r="AC769" i="1"/>
  <c r="AF769" i="1"/>
  <c r="C770" i="1"/>
  <c r="D770" i="1"/>
  <c r="F770" i="1"/>
  <c r="G770" i="1"/>
  <c r="AC770" i="1"/>
  <c r="AF770" i="1"/>
  <c r="C771" i="1"/>
  <c r="D771" i="1"/>
  <c r="F771" i="1"/>
  <c r="G771" i="1"/>
  <c r="AC771" i="1"/>
  <c r="AF771" i="1"/>
  <c r="AH771" i="1" s="1"/>
  <c r="C772" i="1"/>
  <c r="D772" i="1"/>
  <c r="F772" i="1"/>
  <c r="G772" i="1"/>
  <c r="AC772" i="1"/>
  <c r="AF772" i="1"/>
  <c r="AG772" i="1" s="1"/>
  <c r="C773" i="1"/>
  <c r="D773" i="1"/>
  <c r="F773" i="1"/>
  <c r="G773" i="1"/>
  <c r="AC773" i="1"/>
  <c r="AF773" i="1"/>
  <c r="AH773" i="1" s="1"/>
  <c r="C774" i="1"/>
  <c r="D774" i="1"/>
  <c r="F774" i="1"/>
  <c r="G774" i="1"/>
  <c r="AC774" i="1"/>
  <c r="AF774" i="1"/>
  <c r="AG774" i="1" s="1"/>
  <c r="C775" i="1"/>
  <c r="D775" i="1"/>
  <c r="F775" i="1"/>
  <c r="G775" i="1"/>
  <c r="AC775" i="1"/>
  <c r="AF775" i="1"/>
  <c r="AH775" i="1" s="1"/>
  <c r="C776" i="1"/>
  <c r="D776" i="1"/>
  <c r="F776" i="1"/>
  <c r="G776" i="1"/>
  <c r="AC776" i="1"/>
  <c r="AF776" i="1"/>
  <c r="AH776" i="1" s="1"/>
  <c r="C777" i="1"/>
  <c r="D777" i="1"/>
  <c r="F777" i="1"/>
  <c r="G777" i="1"/>
  <c r="AC777" i="1"/>
  <c r="AF777" i="1"/>
  <c r="AG777" i="1" s="1"/>
  <c r="C778" i="1"/>
  <c r="D778" i="1"/>
  <c r="F778" i="1"/>
  <c r="G778" i="1"/>
  <c r="AC778" i="1"/>
  <c r="AF778" i="1"/>
  <c r="C779" i="1"/>
  <c r="D779" i="1"/>
  <c r="F779" i="1"/>
  <c r="G779" i="1"/>
  <c r="AC779" i="1"/>
  <c r="AI779" i="1" s="1"/>
  <c r="AK779" i="1" s="1"/>
  <c r="AF779" i="1"/>
  <c r="AH779" i="1" s="1"/>
  <c r="C780" i="1"/>
  <c r="D780" i="1"/>
  <c r="F780" i="1"/>
  <c r="G780" i="1"/>
  <c r="AC780" i="1"/>
  <c r="AF780" i="1"/>
  <c r="AG780" i="1" s="1"/>
  <c r="C781" i="1"/>
  <c r="D781" i="1"/>
  <c r="F781" i="1"/>
  <c r="G781" i="1"/>
  <c r="AC781" i="1"/>
  <c r="AF781" i="1"/>
  <c r="AH781" i="1" s="1"/>
  <c r="C782" i="1"/>
  <c r="D782" i="1"/>
  <c r="F782" i="1"/>
  <c r="G782" i="1"/>
  <c r="AC782" i="1"/>
  <c r="AF782" i="1"/>
  <c r="AH782" i="1" s="1"/>
  <c r="C783" i="1"/>
  <c r="D783" i="1"/>
  <c r="F783" i="1"/>
  <c r="G783" i="1"/>
  <c r="AC783" i="1"/>
  <c r="AF783" i="1"/>
  <c r="AG783" i="1" s="1"/>
  <c r="C784" i="1"/>
  <c r="D784" i="1"/>
  <c r="F784" i="1"/>
  <c r="G784" i="1"/>
  <c r="AC784" i="1"/>
  <c r="AF784" i="1"/>
  <c r="C785" i="1"/>
  <c r="D785" i="1"/>
  <c r="F785" i="1"/>
  <c r="G785" i="1"/>
  <c r="AC785" i="1"/>
  <c r="AF785" i="1"/>
  <c r="AG785" i="1" s="1"/>
  <c r="C786" i="1"/>
  <c r="D786" i="1"/>
  <c r="F786" i="1"/>
  <c r="G786" i="1"/>
  <c r="AC786" i="1"/>
  <c r="AF786" i="1"/>
  <c r="AG786" i="1" s="1"/>
  <c r="C787" i="1"/>
  <c r="D787" i="1"/>
  <c r="F787" i="1"/>
  <c r="G787" i="1"/>
  <c r="AC787" i="1"/>
  <c r="AF787" i="1"/>
  <c r="AH787" i="1" s="1"/>
  <c r="C788" i="1"/>
  <c r="D788" i="1"/>
  <c r="F788" i="1"/>
  <c r="G788" i="1"/>
  <c r="AC788" i="1"/>
  <c r="AF788" i="1"/>
  <c r="AH788" i="1" s="1"/>
  <c r="C789" i="1"/>
  <c r="D789" i="1"/>
  <c r="F789" i="1"/>
  <c r="G789" i="1"/>
  <c r="AC789" i="1"/>
  <c r="AF789" i="1"/>
  <c r="AH789" i="1" s="1"/>
  <c r="C790" i="1"/>
  <c r="D790" i="1"/>
  <c r="F790" i="1"/>
  <c r="G790" i="1"/>
  <c r="AC790" i="1"/>
  <c r="AF790" i="1"/>
  <c r="C791" i="1"/>
  <c r="D791" i="1"/>
  <c r="F791" i="1"/>
  <c r="G791" i="1"/>
  <c r="AC791" i="1"/>
  <c r="AF791" i="1"/>
  <c r="AG791" i="1" s="1"/>
  <c r="C792" i="1"/>
  <c r="D792" i="1"/>
  <c r="F792" i="1"/>
  <c r="G792" i="1"/>
  <c r="AC792" i="1"/>
  <c r="AF792" i="1"/>
  <c r="C793" i="1"/>
  <c r="D793" i="1"/>
  <c r="F793" i="1"/>
  <c r="G793" i="1"/>
  <c r="AC793" i="1"/>
  <c r="AF793" i="1"/>
  <c r="AG793" i="1" s="1"/>
  <c r="C794" i="1"/>
  <c r="D794" i="1"/>
  <c r="F794" i="1"/>
  <c r="G794" i="1"/>
  <c r="AC794" i="1"/>
  <c r="AF794" i="1"/>
  <c r="AH794" i="1" s="1"/>
  <c r="C795" i="1"/>
  <c r="D795" i="1"/>
  <c r="F795" i="1"/>
  <c r="G795" i="1"/>
  <c r="AC795" i="1"/>
  <c r="AF795" i="1"/>
  <c r="AG795" i="1" s="1"/>
  <c r="C796" i="1"/>
  <c r="D796" i="1"/>
  <c r="F796" i="1"/>
  <c r="G796" i="1"/>
  <c r="AC796" i="1"/>
  <c r="AF796" i="1"/>
  <c r="AH796" i="1" s="1"/>
  <c r="C797" i="1"/>
  <c r="D797" i="1"/>
  <c r="F797" i="1"/>
  <c r="G797" i="1"/>
  <c r="AC797" i="1"/>
  <c r="AF797" i="1"/>
  <c r="AG797" i="1" s="1"/>
  <c r="C798" i="1"/>
  <c r="D798" i="1"/>
  <c r="F798" i="1"/>
  <c r="G798" i="1"/>
  <c r="AC798" i="1"/>
  <c r="AF798" i="1"/>
  <c r="AH798" i="1" s="1"/>
  <c r="C799" i="1"/>
  <c r="D799" i="1"/>
  <c r="F799" i="1"/>
  <c r="G799" i="1"/>
  <c r="AC799" i="1"/>
  <c r="AF799" i="1"/>
  <c r="AG799" i="1" s="1"/>
  <c r="C800" i="1"/>
  <c r="D800" i="1"/>
  <c r="F800" i="1"/>
  <c r="G800" i="1"/>
  <c r="AC800" i="1"/>
  <c r="AF800" i="1"/>
  <c r="AG800" i="1" s="1"/>
  <c r="C801" i="1"/>
  <c r="D801" i="1"/>
  <c r="F801" i="1"/>
  <c r="G801" i="1"/>
  <c r="AC801" i="1"/>
  <c r="AF801" i="1"/>
  <c r="AG801" i="1" s="1"/>
  <c r="C802" i="1"/>
  <c r="D802" i="1"/>
  <c r="F802" i="1"/>
  <c r="G802" i="1"/>
  <c r="AC802" i="1"/>
  <c r="AF802" i="1"/>
  <c r="AH802" i="1" s="1"/>
  <c r="C803" i="1"/>
  <c r="D803" i="1"/>
  <c r="F803" i="1"/>
  <c r="G803" i="1"/>
  <c r="AC803" i="1"/>
  <c r="AF803" i="1"/>
  <c r="AG803" i="1" s="1"/>
  <c r="C804" i="1"/>
  <c r="D804" i="1"/>
  <c r="F804" i="1"/>
  <c r="G804" i="1"/>
  <c r="AC804" i="1"/>
  <c r="AF804" i="1"/>
  <c r="AH804" i="1" s="1"/>
  <c r="C805" i="1"/>
  <c r="D805" i="1"/>
  <c r="F805" i="1"/>
  <c r="G805" i="1"/>
  <c r="AC805" i="1"/>
  <c r="AF805" i="1"/>
  <c r="AG805" i="1" s="1"/>
  <c r="C806" i="1"/>
  <c r="D806" i="1"/>
  <c r="F806" i="1"/>
  <c r="G806" i="1"/>
  <c r="AC806" i="1"/>
  <c r="AF806" i="1"/>
  <c r="AH806" i="1" s="1"/>
  <c r="C807" i="1"/>
  <c r="D807" i="1"/>
  <c r="F807" i="1"/>
  <c r="G807" i="1"/>
  <c r="AC807" i="1"/>
  <c r="AF807" i="1"/>
  <c r="AG807" i="1" s="1"/>
  <c r="C808" i="1"/>
  <c r="D808" i="1"/>
  <c r="F808" i="1"/>
  <c r="G808" i="1"/>
  <c r="AC808" i="1"/>
  <c r="AF808" i="1"/>
  <c r="AH808" i="1" s="1"/>
  <c r="C809" i="1"/>
  <c r="D809" i="1"/>
  <c r="F809" i="1"/>
  <c r="G809" i="1"/>
  <c r="AC809" i="1"/>
  <c r="AF809" i="1"/>
  <c r="AH809" i="1" s="1"/>
  <c r="C810" i="1"/>
  <c r="D810" i="1"/>
  <c r="F810" i="1"/>
  <c r="G810" i="1"/>
  <c r="AC810" i="1"/>
  <c r="AF810" i="1"/>
  <c r="AH810" i="1" s="1"/>
  <c r="C811" i="1"/>
  <c r="D811" i="1"/>
  <c r="F811" i="1"/>
  <c r="G811" i="1"/>
  <c r="AC811" i="1"/>
  <c r="AF811" i="1"/>
  <c r="AH811" i="1" s="1"/>
  <c r="C812" i="1"/>
  <c r="D812" i="1"/>
  <c r="F812" i="1"/>
  <c r="G812" i="1"/>
  <c r="AC812" i="1"/>
  <c r="AF812" i="1"/>
  <c r="AH812" i="1" s="1"/>
  <c r="C813" i="1"/>
  <c r="D813" i="1"/>
  <c r="F813" i="1"/>
  <c r="G813" i="1"/>
  <c r="AC813" i="1"/>
  <c r="AF813" i="1"/>
  <c r="AH813" i="1" s="1"/>
  <c r="C814" i="1"/>
  <c r="D814" i="1"/>
  <c r="F814" i="1"/>
  <c r="G814" i="1"/>
  <c r="AC814" i="1"/>
  <c r="AF814" i="1"/>
  <c r="AG814" i="1" s="1"/>
  <c r="C815" i="1"/>
  <c r="D815" i="1"/>
  <c r="F815" i="1"/>
  <c r="G815" i="1"/>
  <c r="AC815" i="1"/>
  <c r="AF815" i="1"/>
  <c r="AH815" i="1" s="1"/>
  <c r="C816" i="1"/>
  <c r="D816" i="1"/>
  <c r="F816" i="1"/>
  <c r="G816" i="1"/>
  <c r="AC816" i="1"/>
  <c r="AF816" i="1"/>
  <c r="AH816" i="1" s="1"/>
  <c r="C817" i="1"/>
  <c r="D817" i="1"/>
  <c r="F817" i="1"/>
  <c r="G817" i="1"/>
  <c r="AC817" i="1"/>
  <c r="AF817" i="1"/>
  <c r="AG817" i="1" s="1"/>
  <c r="C818" i="1"/>
  <c r="D818" i="1"/>
  <c r="F818" i="1"/>
  <c r="G818" i="1"/>
  <c r="AC818" i="1"/>
  <c r="AF818" i="1"/>
  <c r="AH818" i="1" s="1"/>
  <c r="C819" i="1"/>
  <c r="D819" i="1"/>
  <c r="F819" i="1"/>
  <c r="G819" i="1"/>
  <c r="AC819" i="1"/>
  <c r="AF819" i="1"/>
  <c r="AH819" i="1" s="1"/>
  <c r="C820" i="1"/>
  <c r="D820" i="1"/>
  <c r="F820" i="1"/>
  <c r="G820" i="1"/>
  <c r="AC820" i="1"/>
  <c r="AF820" i="1"/>
  <c r="AG820" i="1" s="1"/>
  <c r="C821" i="1"/>
  <c r="D821" i="1"/>
  <c r="F821" i="1"/>
  <c r="G821" i="1"/>
  <c r="AC821" i="1"/>
  <c r="AF821" i="1"/>
  <c r="C822" i="1"/>
  <c r="D822" i="1"/>
  <c r="F822" i="1"/>
  <c r="G822" i="1"/>
  <c r="AC822" i="1"/>
  <c r="AF822" i="1"/>
  <c r="AG822" i="1" s="1"/>
  <c r="C823" i="1"/>
  <c r="D823" i="1"/>
  <c r="F823" i="1"/>
  <c r="G823" i="1"/>
  <c r="AC823" i="1"/>
  <c r="AF823" i="1"/>
  <c r="AH823" i="1" s="1"/>
  <c r="C824" i="1"/>
  <c r="D824" i="1"/>
  <c r="F824" i="1"/>
  <c r="G824" i="1"/>
  <c r="AC824" i="1"/>
  <c r="AI824" i="1" s="1"/>
  <c r="AK824" i="1" s="1"/>
  <c r="AF824" i="1"/>
  <c r="AG824" i="1" s="1"/>
  <c r="C825" i="1"/>
  <c r="D825" i="1"/>
  <c r="F825" i="1"/>
  <c r="G825" i="1"/>
  <c r="AC825" i="1"/>
  <c r="AF825" i="1"/>
  <c r="AG825" i="1" s="1"/>
  <c r="C826" i="1"/>
  <c r="D826" i="1"/>
  <c r="F826" i="1"/>
  <c r="G826" i="1"/>
  <c r="AC826" i="1"/>
  <c r="AF826" i="1"/>
  <c r="C827" i="1"/>
  <c r="D827" i="1"/>
  <c r="F827" i="1"/>
  <c r="G827" i="1"/>
  <c r="AC827" i="1"/>
  <c r="AI827" i="1" s="1"/>
  <c r="AK827" i="1" s="1"/>
  <c r="AF827" i="1"/>
  <c r="AG827" i="1" s="1"/>
  <c r="C828" i="1"/>
  <c r="D828" i="1"/>
  <c r="F828" i="1"/>
  <c r="G828" i="1"/>
  <c r="AC828" i="1"/>
  <c r="AI828" i="1" s="1"/>
  <c r="AK828" i="1" s="1"/>
  <c r="AF828" i="1"/>
  <c r="AG828" i="1" s="1"/>
  <c r="C829" i="1"/>
  <c r="D829" i="1"/>
  <c r="F829" i="1"/>
  <c r="G829" i="1"/>
  <c r="AC829" i="1"/>
  <c r="AF829" i="1"/>
  <c r="C830" i="1"/>
  <c r="D830" i="1"/>
  <c r="F830" i="1"/>
  <c r="G830" i="1"/>
  <c r="AC830" i="1"/>
  <c r="AF830" i="1"/>
  <c r="AG830" i="1" s="1"/>
  <c r="C831" i="1"/>
  <c r="D831" i="1"/>
  <c r="F831" i="1"/>
  <c r="G831" i="1"/>
  <c r="AC831" i="1"/>
  <c r="AF831" i="1"/>
  <c r="AG831" i="1" s="1"/>
  <c r="C832" i="1"/>
  <c r="D832" i="1"/>
  <c r="F832" i="1"/>
  <c r="G832" i="1"/>
  <c r="AC832" i="1"/>
  <c r="AF832" i="1"/>
  <c r="C833" i="1"/>
  <c r="D833" i="1"/>
  <c r="F833" i="1"/>
  <c r="G833" i="1"/>
  <c r="AC833" i="1"/>
  <c r="AF833" i="1"/>
  <c r="AH833" i="1" s="1"/>
  <c r="C834" i="1"/>
  <c r="D834" i="1"/>
  <c r="F834" i="1"/>
  <c r="G834" i="1"/>
  <c r="AC834" i="1"/>
  <c r="AF834" i="1"/>
  <c r="C835" i="1"/>
  <c r="D835" i="1"/>
  <c r="F835" i="1"/>
  <c r="G835" i="1"/>
  <c r="AC835" i="1"/>
  <c r="AF835" i="1"/>
  <c r="C836" i="1"/>
  <c r="D836" i="1"/>
  <c r="F836" i="1"/>
  <c r="G836" i="1"/>
  <c r="AC836" i="1"/>
  <c r="AF836" i="1"/>
  <c r="AH836" i="1" s="1"/>
  <c r="C837" i="1"/>
  <c r="D837" i="1"/>
  <c r="F837" i="1"/>
  <c r="G837" i="1"/>
  <c r="AC837" i="1"/>
  <c r="AF837" i="1"/>
  <c r="AH837" i="1" s="1"/>
  <c r="C838" i="1"/>
  <c r="D838" i="1"/>
  <c r="F838" i="1"/>
  <c r="G838" i="1"/>
  <c r="AC838" i="1"/>
  <c r="AF838" i="1"/>
  <c r="AG838" i="1" s="1"/>
  <c r="C839" i="1"/>
  <c r="D839" i="1"/>
  <c r="F839" i="1"/>
  <c r="G839" i="1"/>
  <c r="AC839" i="1"/>
  <c r="AF839" i="1"/>
  <c r="AG839" i="1" s="1"/>
  <c r="C840" i="1"/>
  <c r="D840" i="1"/>
  <c r="F840" i="1"/>
  <c r="G840" i="1"/>
  <c r="AC840" i="1"/>
  <c r="AF840" i="1"/>
  <c r="AH840" i="1" s="1"/>
  <c r="C841" i="1"/>
  <c r="D841" i="1"/>
  <c r="F841" i="1"/>
  <c r="G841" i="1"/>
  <c r="AC841" i="1"/>
  <c r="AF841" i="1"/>
  <c r="AG841" i="1" s="1"/>
  <c r="C842" i="1"/>
  <c r="D842" i="1"/>
  <c r="F842" i="1"/>
  <c r="G842" i="1"/>
  <c r="AC842" i="1"/>
  <c r="AF842" i="1"/>
  <c r="AG842" i="1" s="1"/>
  <c r="C843" i="1"/>
  <c r="D843" i="1"/>
  <c r="F843" i="1"/>
  <c r="G843" i="1"/>
  <c r="AC843" i="1"/>
  <c r="AF843" i="1"/>
  <c r="AG843" i="1" s="1"/>
  <c r="C844" i="1"/>
  <c r="D844" i="1"/>
  <c r="F844" i="1"/>
  <c r="G844" i="1"/>
  <c r="AC844" i="1"/>
  <c r="AF844" i="1"/>
  <c r="AG844" i="1" s="1"/>
  <c r="C845" i="1"/>
  <c r="D845" i="1"/>
  <c r="F845" i="1"/>
  <c r="G845" i="1"/>
  <c r="AC845" i="1"/>
  <c r="AF845" i="1"/>
  <c r="AH845" i="1" s="1"/>
  <c r="C846" i="1"/>
  <c r="D846" i="1"/>
  <c r="F846" i="1"/>
  <c r="G846" i="1"/>
  <c r="AC846" i="1"/>
  <c r="AF846" i="1"/>
  <c r="AH846" i="1" s="1"/>
  <c r="C847" i="1"/>
  <c r="D847" i="1"/>
  <c r="F847" i="1"/>
  <c r="G847" i="1"/>
  <c r="AC847" i="1"/>
  <c r="AF847" i="1"/>
  <c r="AG847" i="1" s="1"/>
  <c r="C848" i="1"/>
  <c r="D848" i="1"/>
  <c r="F848" i="1"/>
  <c r="G848" i="1"/>
  <c r="AC848" i="1"/>
  <c r="AF848" i="1"/>
  <c r="AG848" i="1" s="1"/>
  <c r="C849" i="1"/>
  <c r="D849" i="1"/>
  <c r="F849" i="1"/>
  <c r="G849" i="1"/>
  <c r="AC849" i="1"/>
  <c r="AI849" i="1" s="1"/>
  <c r="AK849" i="1" s="1"/>
  <c r="AF849" i="1"/>
  <c r="AG849" i="1" s="1"/>
  <c r="C850" i="1"/>
  <c r="D850" i="1"/>
  <c r="F850" i="1"/>
  <c r="G850" i="1"/>
  <c r="AC850" i="1"/>
  <c r="AF850" i="1"/>
  <c r="AH850" i="1" s="1"/>
  <c r="C851" i="1"/>
  <c r="D851" i="1"/>
  <c r="F851" i="1"/>
  <c r="G851" i="1"/>
  <c r="AC851" i="1"/>
  <c r="AF851" i="1"/>
  <c r="AG851" i="1" s="1"/>
  <c r="C852" i="1"/>
  <c r="D852" i="1"/>
  <c r="F852" i="1"/>
  <c r="G852" i="1"/>
  <c r="AC852" i="1"/>
  <c r="AF852" i="1"/>
  <c r="C853" i="1"/>
  <c r="D853" i="1"/>
  <c r="F853" i="1"/>
  <c r="G853" i="1"/>
  <c r="AC853" i="1"/>
  <c r="AF853" i="1"/>
  <c r="C854" i="1"/>
  <c r="D854" i="1"/>
  <c r="F854" i="1"/>
  <c r="G854" i="1"/>
  <c r="AC854" i="1"/>
  <c r="AF854" i="1"/>
  <c r="C855" i="1"/>
  <c r="D855" i="1"/>
  <c r="F855" i="1"/>
  <c r="G855" i="1"/>
  <c r="AC855" i="1"/>
  <c r="AF855" i="1"/>
  <c r="AH855" i="1" s="1"/>
  <c r="C856" i="1"/>
  <c r="D856" i="1"/>
  <c r="F856" i="1"/>
  <c r="G856" i="1"/>
  <c r="AC856" i="1"/>
  <c r="AF856" i="1"/>
  <c r="AG856" i="1" s="1"/>
  <c r="C857" i="1"/>
  <c r="D857" i="1"/>
  <c r="F857" i="1"/>
  <c r="G857" i="1"/>
  <c r="AC857" i="1"/>
  <c r="AF857" i="1"/>
  <c r="C858" i="1"/>
  <c r="D858" i="1"/>
  <c r="F858" i="1"/>
  <c r="G858" i="1"/>
  <c r="AC858" i="1"/>
  <c r="AF858" i="1"/>
  <c r="AH858" i="1" s="1"/>
  <c r="C859" i="1"/>
  <c r="D859" i="1"/>
  <c r="F859" i="1"/>
  <c r="G859" i="1"/>
  <c r="AC859" i="1"/>
  <c r="AF859" i="1"/>
  <c r="AH859" i="1" s="1"/>
  <c r="C860" i="1"/>
  <c r="D860" i="1"/>
  <c r="F860" i="1"/>
  <c r="G860" i="1"/>
  <c r="AC860" i="1"/>
  <c r="AF860" i="1"/>
  <c r="AH860" i="1" s="1"/>
  <c r="C861" i="1"/>
  <c r="D861" i="1"/>
  <c r="F861" i="1"/>
  <c r="G861" i="1"/>
  <c r="AC861" i="1"/>
  <c r="AF861" i="1"/>
  <c r="AH861" i="1" s="1"/>
  <c r="C862" i="1"/>
  <c r="D862" i="1"/>
  <c r="F862" i="1"/>
  <c r="G862" i="1"/>
  <c r="AC862" i="1"/>
  <c r="AF862" i="1"/>
  <c r="AH862" i="1" s="1"/>
  <c r="C863" i="1"/>
  <c r="D863" i="1"/>
  <c r="F863" i="1"/>
  <c r="G863" i="1"/>
  <c r="AC863" i="1"/>
  <c r="AF863" i="1"/>
  <c r="C864" i="1"/>
  <c r="D864" i="1"/>
  <c r="F864" i="1"/>
  <c r="G864" i="1"/>
  <c r="AC864" i="1"/>
  <c r="AF864" i="1"/>
  <c r="AG864" i="1" s="1"/>
  <c r="C865" i="1"/>
  <c r="D865" i="1"/>
  <c r="F865" i="1"/>
  <c r="G865" i="1"/>
  <c r="AC865" i="1"/>
  <c r="AF865" i="1"/>
  <c r="C866" i="1"/>
  <c r="D866" i="1"/>
  <c r="F866" i="1"/>
  <c r="G866" i="1"/>
  <c r="AC866" i="1"/>
  <c r="AF866" i="1"/>
  <c r="AG866" i="1" s="1"/>
  <c r="C867" i="1"/>
  <c r="D867" i="1"/>
  <c r="F867" i="1"/>
  <c r="G867" i="1"/>
  <c r="AC867" i="1"/>
  <c r="AF867" i="1"/>
  <c r="AG867" i="1" s="1"/>
  <c r="C868" i="1"/>
  <c r="D868" i="1"/>
  <c r="F868" i="1"/>
  <c r="G868" i="1"/>
  <c r="AC868" i="1"/>
  <c r="AF868" i="1"/>
  <c r="C869" i="1"/>
  <c r="D869" i="1"/>
  <c r="F869" i="1"/>
  <c r="G869" i="1"/>
  <c r="AC869" i="1"/>
  <c r="AF869" i="1"/>
  <c r="C870" i="1"/>
  <c r="D870" i="1"/>
  <c r="F870" i="1"/>
  <c r="G870" i="1"/>
  <c r="AC870" i="1"/>
  <c r="AF870" i="1"/>
  <c r="AH870" i="1" s="1"/>
  <c r="C871" i="1"/>
  <c r="D871" i="1"/>
  <c r="F871" i="1"/>
  <c r="G871" i="1"/>
  <c r="AC871" i="1"/>
  <c r="AI871" i="1" s="1"/>
  <c r="AK871" i="1" s="1"/>
  <c r="AF871" i="1"/>
  <c r="AH871" i="1" s="1"/>
  <c r="C872" i="1"/>
  <c r="D872" i="1"/>
  <c r="F872" i="1"/>
  <c r="G872" i="1"/>
  <c r="AC872" i="1"/>
  <c r="AF872" i="1"/>
  <c r="AH872" i="1" s="1"/>
  <c r="C873" i="1"/>
  <c r="D873" i="1"/>
  <c r="F873" i="1"/>
  <c r="G873" i="1"/>
  <c r="AC873" i="1"/>
  <c r="AF873" i="1"/>
  <c r="C874" i="1"/>
  <c r="D874" i="1"/>
  <c r="F874" i="1"/>
  <c r="G874" i="1"/>
  <c r="AC874" i="1"/>
  <c r="AF874" i="1"/>
  <c r="C875" i="1"/>
  <c r="D875" i="1"/>
  <c r="F875" i="1"/>
  <c r="G875" i="1"/>
  <c r="AC875" i="1"/>
  <c r="AF875" i="1"/>
  <c r="AG875" i="1" s="1"/>
  <c r="C876" i="1"/>
  <c r="D876" i="1"/>
  <c r="F876" i="1"/>
  <c r="G876" i="1"/>
  <c r="AC876" i="1"/>
  <c r="AF876" i="1"/>
  <c r="C877" i="1"/>
  <c r="D877" i="1"/>
  <c r="F877" i="1"/>
  <c r="G877" i="1"/>
  <c r="AC877" i="1"/>
  <c r="AF877" i="1"/>
  <c r="AG877" i="1" s="1"/>
  <c r="C878" i="1"/>
  <c r="D878" i="1"/>
  <c r="F878" i="1"/>
  <c r="G878" i="1"/>
  <c r="AC878" i="1"/>
  <c r="AF878" i="1"/>
  <c r="AH878" i="1" s="1"/>
  <c r="C879" i="1"/>
  <c r="D879" i="1"/>
  <c r="F879" i="1"/>
  <c r="G879" i="1"/>
  <c r="AC879" i="1"/>
  <c r="AF879" i="1"/>
  <c r="C880" i="1"/>
  <c r="D880" i="1"/>
  <c r="F880" i="1"/>
  <c r="G880" i="1"/>
  <c r="AC880" i="1"/>
  <c r="AF880" i="1"/>
  <c r="C881" i="1"/>
  <c r="D881" i="1"/>
  <c r="F881" i="1"/>
  <c r="G881" i="1"/>
  <c r="AC881" i="1"/>
  <c r="AF881" i="1"/>
  <c r="AG881" i="1" s="1"/>
  <c r="C882" i="1"/>
  <c r="D882" i="1"/>
  <c r="F882" i="1"/>
  <c r="G882" i="1"/>
  <c r="AC882" i="1"/>
  <c r="AF882" i="1"/>
  <c r="C883" i="1"/>
  <c r="D883" i="1"/>
  <c r="F883" i="1"/>
  <c r="G883" i="1"/>
  <c r="AC883" i="1"/>
  <c r="AF883" i="1"/>
  <c r="AH883" i="1" s="1"/>
  <c r="C884" i="1"/>
  <c r="D884" i="1"/>
  <c r="F884" i="1"/>
  <c r="G884" i="1"/>
  <c r="AC884" i="1"/>
  <c r="AF884" i="1"/>
  <c r="AG884" i="1" s="1"/>
  <c r="C885" i="1"/>
  <c r="D885" i="1"/>
  <c r="F885" i="1"/>
  <c r="G885" i="1"/>
  <c r="AC885" i="1"/>
  <c r="AF885" i="1"/>
  <c r="C886" i="1"/>
  <c r="D886" i="1"/>
  <c r="F886" i="1"/>
  <c r="G886" i="1"/>
  <c r="AC886" i="1"/>
  <c r="AF886" i="1"/>
  <c r="C887" i="1"/>
  <c r="D887" i="1"/>
  <c r="F887" i="1"/>
  <c r="G887" i="1"/>
  <c r="AC887" i="1"/>
  <c r="AF887" i="1"/>
  <c r="AH887" i="1" s="1"/>
  <c r="C888" i="1"/>
  <c r="D888" i="1"/>
  <c r="F888" i="1"/>
  <c r="G888" i="1"/>
  <c r="AC888" i="1"/>
  <c r="AF888" i="1"/>
  <c r="AH888" i="1" s="1"/>
  <c r="C889" i="1"/>
  <c r="D889" i="1"/>
  <c r="F889" i="1"/>
  <c r="G889" i="1"/>
  <c r="AC889" i="1"/>
  <c r="AF889" i="1"/>
  <c r="AH889" i="1" s="1"/>
  <c r="C890" i="1"/>
  <c r="D890" i="1"/>
  <c r="F890" i="1"/>
  <c r="G890" i="1"/>
  <c r="AC890" i="1"/>
  <c r="AF890" i="1"/>
  <c r="C891" i="1"/>
  <c r="D891" i="1"/>
  <c r="F891" i="1"/>
  <c r="G891" i="1"/>
  <c r="AC891" i="1"/>
  <c r="AF891" i="1"/>
  <c r="C892" i="1"/>
  <c r="D892" i="1"/>
  <c r="F892" i="1"/>
  <c r="G892" i="1"/>
  <c r="AC892" i="1"/>
  <c r="AF892" i="1"/>
  <c r="AH892" i="1" s="1"/>
  <c r="C893" i="1"/>
  <c r="D893" i="1"/>
  <c r="F893" i="1"/>
  <c r="G893" i="1"/>
  <c r="AC893" i="1"/>
  <c r="AI893" i="1" s="1"/>
  <c r="AK893" i="1" s="1"/>
  <c r="AF893" i="1"/>
  <c r="C894" i="1"/>
  <c r="D894" i="1"/>
  <c r="F894" i="1"/>
  <c r="G894" i="1"/>
  <c r="AC894" i="1"/>
  <c r="AF894" i="1"/>
  <c r="AH894" i="1" s="1"/>
  <c r="C895" i="1"/>
  <c r="D895" i="1"/>
  <c r="F895" i="1"/>
  <c r="G895" i="1"/>
  <c r="AC895" i="1"/>
  <c r="AF895" i="1"/>
  <c r="AG895" i="1" s="1"/>
  <c r="C896" i="1"/>
  <c r="D896" i="1"/>
  <c r="F896" i="1"/>
  <c r="G896" i="1"/>
  <c r="AC896" i="1"/>
  <c r="AF896" i="1"/>
  <c r="C897" i="1"/>
  <c r="D897" i="1"/>
  <c r="F897" i="1"/>
  <c r="G897" i="1"/>
  <c r="AC897" i="1"/>
  <c r="AF897" i="1"/>
  <c r="C898" i="1"/>
  <c r="D898" i="1"/>
  <c r="F898" i="1"/>
  <c r="G898" i="1"/>
  <c r="AC898" i="1"/>
  <c r="AF898" i="1"/>
  <c r="AH898" i="1" s="1"/>
  <c r="C899" i="1"/>
  <c r="D899" i="1"/>
  <c r="F899" i="1"/>
  <c r="G899" i="1"/>
  <c r="AC899" i="1"/>
  <c r="AF899" i="1"/>
  <c r="AH899" i="1" s="1"/>
  <c r="C900" i="1"/>
  <c r="D900" i="1"/>
  <c r="F900" i="1"/>
  <c r="G900" i="1"/>
  <c r="AC900" i="1"/>
  <c r="AF900" i="1"/>
  <c r="AH900" i="1" s="1"/>
  <c r="C901" i="1"/>
  <c r="D901" i="1"/>
  <c r="F901" i="1"/>
  <c r="G901" i="1"/>
  <c r="AC901" i="1"/>
  <c r="AF901" i="1"/>
  <c r="C902" i="1"/>
  <c r="D902" i="1"/>
  <c r="F902" i="1"/>
  <c r="G902" i="1"/>
  <c r="AC902" i="1"/>
  <c r="AF902" i="1"/>
  <c r="AG902" i="1" s="1"/>
  <c r="C903" i="1"/>
  <c r="D903" i="1"/>
  <c r="F903" i="1"/>
  <c r="G903" i="1"/>
  <c r="AC903" i="1"/>
  <c r="AF903" i="1"/>
  <c r="AG903" i="1" s="1"/>
  <c r="C904" i="1"/>
  <c r="D904" i="1"/>
  <c r="F904" i="1"/>
  <c r="G904" i="1"/>
  <c r="AC904" i="1"/>
  <c r="AF904" i="1"/>
  <c r="C905" i="1"/>
  <c r="D905" i="1"/>
  <c r="F905" i="1"/>
  <c r="G905" i="1"/>
  <c r="AC905" i="1"/>
  <c r="AF905" i="1"/>
  <c r="AH905" i="1" s="1"/>
  <c r="C906" i="1"/>
  <c r="D906" i="1"/>
  <c r="F906" i="1"/>
  <c r="G906" i="1"/>
  <c r="AC906" i="1"/>
  <c r="AF906" i="1"/>
  <c r="AH906" i="1" s="1"/>
  <c r="C907" i="1"/>
  <c r="D907" i="1"/>
  <c r="F907" i="1"/>
  <c r="G907" i="1"/>
  <c r="AC907" i="1"/>
  <c r="AF907" i="1"/>
  <c r="C908" i="1"/>
  <c r="D908" i="1"/>
  <c r="F908" i="1"/>
  <c r="G908" i="1"/>
  <c r="AC908" i="1"/>
  <c r="AF908" i="1"/>
  <c r="AH908" i="1" s="1"/>
  <c r="C909" i="1"/>
  <c r="D909" i="1"/>
  <c r="F909" i="1"/>
  <c r="G909" i="1"/>
  <c r="AC909" i="1"/>
  <c r="AF909" i="1"/>
  <c r="AH909" i="1" s="1"/>
  <c r="C910" i="1"/>
  <c r="D910" i="1"/>
  <c r="F910" i="1"/>
  <c r="G910" i="1"/>
  <c r="AC910" i="1"/>
  <c r="AF910" i="1"/>
  <c r="AH910" i="1" s="1"/>
  <c r="C911" i="1"/>
  <c r="D911" i="1"/>
  <c r="F911" i="1"/>
  <c r="G911" i="1"/>
  <c r="AC911" i="1"/>
  <c r="AF911" i="1"/>
  <c r="AG911" i="1" s="1"/>
  <c r="C912" i="1"/>
  <c r="D912" i="1"/>
  <c r="F912" i="1"/>
  <c r="G912" i="1"/>
  <c r="AC912" i="1"/>
  <c r="AF912" i="1"/>
  <c r="C913" i="1"/>
  <c r="D913" i="1"/>
  <c r="F913" i="1"/>
  <c r="G913" i="1"/>
  <c r="AC913" i="1"/>
  <c r="AF913" i="1"/>
  <c r="C914" i="1"/>
  <c r="D914" i="1"/>
  <c r="F914" i="1"/>
  <c r="G914" i="1"/>
  <c r="AC914" i="1"/>
  <c r="AF914" i="1"/>
  <c r="AH914" i="1" s="1"/>
  <c r="C915" i="1"/>
  <c r="D915" i="1"/>
  <c r="F915" i="1"/>
  <c r="G915" i="1"/>
  <c r="AC915" i="1"/>
  <c r="AI915" i="1" s="1"/>
  <c r="AK915" i="1" s="1"/>
  <c r="AF915" i="1"/>
  <c r="AG915" i="1" s="1"/>
  <c r="C916" i="1"/>
  <c r="D916" i="1"/>
  <c r="F916" i="1"/>
  <c r="G916" i="1"/>
  <c r="AC916" i="1"/>
  <c r="AF916" i="1"/>
  <c r="AH916" i="1" s="1"/>
  <c r="C917" i="1"/>
  <c r="D917" i="1"/>
  <c r="F917" i="1"/>
  <c r="G917" i="1"/>
  <c r="AC917" i="1"/>
  <c r="AF917" i="1"/>
  <c r="AG917" i="1" s="1"/>
  <c r="C918" i="1"/>
  <c r="D918" i="1"/>
  <c r="F918" i="1"/>
  <c r="G918" i="1"/>
  <c r="AC918" i="1"/>
  <c r="AF918" i="1"/>
  <c r="AH918" i="1" s="1"/>
  <c r="C919" i="1"/>
  <c r="D919" i="1"/>
  <c r="F919" i="1"/>
  <c r="G919" i="1"/>
  <c r="AC919" i="1"/>
  <c r="AF919" i="1"/>
  <c r="C920" i="1"/>
  <c r="D920" i="1"/>
  <c r="F920" i="1"/>
  <c r="G920" i="1"/>
  <c r="AC920" i="1"/>
  <c r="AF920" i="1"/>
  <c r="C921" i="1"/>
  <c r="D921" i="1"/>
  <c r="F921" i="1"/>
  <c r="G921" i="1"/>
  <c r="AC921" i="1"/>
  <c r="AF921" i="1"/>
  <c r="AG921" i="1" s="1"/>
  <c r="C922" i="1"/>
  <c r="D922" i="1"/>
  <c r="F922" i="1"/>
  <c r="G922" i="1"/>
  <c r="AC922" i="1"/>
  <c r="AF922" i="1"/>
  <c r="AH922" i="1" s="1"/>
  <c r="C923" i="1"/>
  <c r="D923" i="1"/>
  <c r="F923" i="1"/>
  <c r="G923" i="1"/>
  <c r="AC923" i="1"/>
  <c r="AF923" i="1"/>
  <c r="AG923" i="1" s="1"/>
  <c r="C924" i="1"/>
  <c r="D924" i="1"/>
  <c r="F924" i="1"/>
  <c r="G924" i="1"/>
  <c r="AC924" i="1"/>
  <c r="AF924" i="1"/>
  <c r="AH924" i="1" s="1"/>
  <c r="C925" i="1"/>
  <c r="D925" i="1"/>
  <c r="F925" i="1"/>
  <c r="G925" i="1"/>
  <c r="AC925" i="1"/>
  <c r="AF925" i="1"/>
  <c r="AG925" i="1" s="1"/>
  <c r="C926" i="1"/>
  <c r="D926" i="1"/>
  <c r="F926" i="1"/>
  <c r="G926" i="1"/>
  <c r="AC926" i="1"/>
  <c r="AF926" i="1"/>
  <c r="AH926" i="1" s="1"/>
  <c r="C927" i="1"/>
  <c r="D927" i="1"/>
  <c r="F927" i="1"/>
  <c r="G927" i="1"/>
  <c r="AC927" i="1"/>
  <c r="AF927" i="1"/>
  <c r="AH927" i="1" s="1"/>
  <c r="C928" i="1"/>
  <c r="D928" i="1"/>
  <c r="F928" i="1"/>
  <c r="G928" i="1"/>
  <c r="AC928" i="1"/>
  <c r="AF928" i="1"/>
  <c r="AH928" i="1" s="1"/>
  <c r="C929" i="1"/>
  <c r="D929" i="1"/>
  <c r="F929" i="1"/>
  <c r="G929" i="1"/>
  <c r="AC929" i="1"/>
  <c r="AF929" i="1"/>
  <c r="AH929" i="1" s="1"/>
  <c r="C930" i="1"/>
  <c r="D930" i="1"/>
  <c r="F930" i="1"/>
  <c r="G930" i="1"/>
  <c r="AC930" i="1"/>
  <c r="AF930" i="1"/>
  <c r="AG930" i="1" s="1"/>
  <c r="C931" i="1"/>
  <c r="D931" i="1"/>
  <c r="F931" i="1"/>
  <c r="G931" i="1"/>
  <c r="AC931" i="1"/>
  <c r="AF931" i="1"/>
  <c r="AH931" i="1" s="1"/>
  <c r="C932" i="1"/>
  <c r="D932" i="1"/>
  <c r="F932" i="1"/>
  <c r="G932" i="1"/>
  <c r="AC932" i="1"/>
  <c r="AF932" i="1"/>
  <c r="AG932" i="1" s="1"/>
  <c r="C933" i="1"/>
  <c r="D933" i="1"/>
  <c r="F933" i="1"/>
  <c r="G933" i="1"/>
  <c r="AC933" i="1"/>
  <c r="AF933" i="1"/>
  <c r="AG933" i="1" s="1"/>
  <c r="C934" i="1"/>
  <c r="D934" i="1"/>
  <c r="F934" i="1"/>
  <c r="G934" i="1"/>
  <c r="AC934" i="1"/>
  <c r="AF934" i="1"/>
  <c r="C935" i="1"/>
  <c r="D935" i="1"/>
  <c r="F935" i="1"/>
  <c r="G935" i="1"/>
  <c r="AC935" i="1"/>
  <c r="AF935" i="1"/>
  <c r="AH935" i="1" s="1"/>
  <c r="C936" i="1"/>
  <c r="D936" i="1"/>
  <c r="F936" i="1"/>
  <c r="G936" i="1"/>
  <c r="AC936" i="1"/>
  <c r="AF936" i="1"/>
  <c r="AG936" i="1" s="1"/>
  <c r="C937" i="1"/>
  <c r="D937" i="1"/>
  <c r="F937" i="1"/>
  <c r="G937" i="1"/>
  <c r="AC937" i="1"/>
  <c r="AI937" i="1" s="1"/>
  <c r="AK937" i="1" s="1"/>
  <c r="AF937" i="1"/>
  <c r="AG937" i="1" s="1"/>
  <c r="C938" i="1"/>
  <c r="D938" i="1"/>
  <c r="F938" i="1"/>
  <c r="G938" i="1"/>
  <c r="AC938" i="1"/>
  <c r="AF938" i="1"/>
  <c r="AH938" i="1" s="1"/>
  <c r="C939" i="1"/>
  <c r="D939" i="1"/>
  <c r="F939" i="1"/>
  <c r="G939" i="1"/>
  <c r="AC939" i="1"/>
  <c r="AF939" i="1"/>
  <c r="AH939" i="1" s="1"/>
  <c r="C940" i="1"/>
  <c r="D940" i="1"/>
  <c r="F940" i="1"/>
  <c r="G940" i="1"/>
  <c r="AC940" i="1"/>
  <c r="AF940" i="1"/>
  <c r="AG940" i="1" s="1"/>
  <c r="C941" i="1"/>
  <c r="D941" i="1"/>
  <c r="F941" i="1"/>
  <c r="G941" i="1"/>
  <c r="AC941" i="1"/>
  <c r="AF941" i="1"/>
  <c r="AG941" i="1" s="1"/>
  <c r="C942" i="1"/>
  <c r="D942" i="1"/>
  <c r="F942" i="1"/>
  <c r="G942" i="1"/>
  <c r="AC942" i="1"/>
  <c r="AF942" i="1"/>
  <c r="C943" i="1"/>
  <c r="D943" i="1"/>
  <c r="F943" i="1"/>
  <c r="G943" i="1"/>
  <c r="AC943" i="1"/>
  <c r="AF943" i="1"/>
  <c r="AG943" i="1" s="1"/>
  <c r="C944" i="1"/>
  <c r="D944" i="1"/>
  <c r="F944" i="1"/>
  <c r="G944" i="1"/>
  <c r="AC944" i="1"/>
  <c r="AF944" i="1"/>
  <c r="AH944" i="1" s="1"/>
  <c r="C945" i="1"/>
  <c r="D945" i="1"/>
  <c r="F945" i="1"/>
  <c r="G945" i="1"/>
  <c r="AC945" i="1"/>
  <c r="AF945" i="1"/>
  <c r="AH945" i="1" s="1"/>
  <c r="C946" i="1"/>
  <c r="D946" i="1"/>
  <c r="F946" i="1"/>
  <c r="G946" i="1"/>
  <c r="AC946" i="1"/>
  <c r="AF946" i="1"/>
  <c r="C947" i="1"/>
  <c r="D947" i="1"/>
  <c r="F947" i="1"/>
  <c r="G947" i="1"/>
  <c r="AC947" i="1"/>
  <c r="AF947" i="1"/>
  <c r="AG947" i="1" s="1"/>
  <c r="C948" i="1"/>
  <c r="D948" i="1"/>
  <c r="F948" i="1"/>
  <c r="G948" i="1"/>
  <c r="AC948" i="1"/>
  <c r="AF948" i="1"/>
  <c r="AH948" i="1" s="1"/>
  <c r="C949" i="1"/>
  <c r="D949" i="1"/>
  <c r="F949" i="1"/>
  <c r="G949" i="1"/>
  <c r="AC949" i="1"/>
  <c r="AF949" i="1"/>
  <c r="AH949" i="1" s="1"/>
  <c r="C950" i="1"/>
  <c r="D950" i="1"/>
  <c r="F950" i="1"/>
  <c r="G950" i="1"/>
  <c r="AC950" i="1"/>
  <c r="AF950" i="1"/>
  <c r="AG950" i="1" s="1"/>
  <c r="C951" i="1"/>
  <c r="D951" i="1"/>
  <c r="F951" i="1"/>
  <c r="G951" i="1"/>
  <c r="AC951" i="1"/>
  <c r="AF951" i="1"/>
  <c r="AG951" i="1" s="1"/>
  <c r="C952" i="1"/>
  <c r="D952" i="1"/>
  <c r="F952" i="1"/>
  <c r="G952" i="1"/>
  <c r="AC952" i="1"/>
  <c r="AF952" i="1"/>
  <c r="AH952" i="1" s="1"/>
  <c r="C953" i="1"/>
  <c r="D953" i="1"/>
  <c r="F953" i="1"/>
  <c r="G953" i="1"/>
  <c r="AC953" i="1"/>
  <c r="AF953" i="1"/>
  <c r="C954" i="1"/>
  <c r="D954" i="1"/>
  <c r="F954" i="1"/>
  <c r="G954" i="1"/>
  <c r="AC954" i="1"/>
  <c r="AF954" i="1"/>
  <c r="AG954" i="1" s="1"/>
  <c r="C955" i="1"/>
  <c r="D955" i="1"/>
  <c r="F955" i="1"/>
  <c r="G955" i="1"/>
  <c r="AC955" i="1"/>
  <c r="AF955" i="1"/>
  <c r="AH955" i="1" s="1"/>
  <c r="C956" i="1"/>
  <c r="D956" i="1"/>
  <c r="F956" i="1"/>
  <c r="G956" i="1"/>
  <c r="AC956" i="1"/>
  <c r="AF956" i="1"/>
  <c r="AH956" i="1" s="1"/>
  <c r="C957" i="1"/>
  <c r="D957" i="1"/>
  <c r="F957" i="1"/>
  <c r="G957" i="1"/>
  <c r="AC957" i="1"/>
  <c r="AF957" i="1"/>
  <c r="C958" i="1"/>
  <c r="D958" i="1"/>
  <c r="F958" i="1"/>
  <c r="G958" i="1"/>
  <c r="AC958" i="1"/>
  <c r="AF958" i="1"/>
  <c r="AH958" i="1" s="1"/>
  <c r="C959" i="1"/>
  <c r="D959" i="1"/>
  <c r="F959" i="1"/>
  <c r="G959" i="1"/>
  <c r="AC959" i="1"/>
  <c r="AI959" i="1" s="1"/>
  <c r="AK959" i="1" s="1"/>
  <c r="AF959" i="1"/>
  <c r="C960" i="1"/>
  <c r="D960" i="1"/>
  <c r="F960" i="1"/>
  <c r="G960" i="1"/>
  <c r="AC960" i="1"/>
  <c r="AF960" i="1"/>
  <c r="AH960" i="1" s="1"/>
  <c r="C961" i="1"/>
  <c r="D961" i="1"/>
  <c r="F961" i="1"/>
  <c r="G961" i="1"/>
  <c r="AC961" i="1"/>
  <c r="AF961" i="1"/>
  <c r="AG961" i="1" s="1"/>
  <c r="C962" i="1"/>
  <c r="D962" i="1"/>
  <c r="F962" i="1"/>
  <c r="G962" i="1"/>
  <c r="AC962" i="1"/>
  <c r="AF962" i="1"/>
  <c r="C963" i="1"/>
  <c r="D963" i="1"/>
  <c r="F963" i="1"/>
  <c r="G963" i="1"/>
  <c r="AC963" i="1"/>
  <c r="AF963" i="1"/>
  <c r="AG963" i="1" s="1"/>
  <c r="C964" i="1"/>
  <c r="D964" i="1"/>
  <c r="F964" i="1"/>
  <c r="G964" i="1"/>
  <c r="AC964" i="1"/>
  <c r="AF964" i="1"/>
  <c r="AH964" i="1" s="1"/>
  <c r="C965" i="1"/>
  <c r="D965" i="1"/>
  <c r="F965" i="1"/>
  <c r="G965" i="1"/>
  <c r="AC965" i="1"/>
  <c r="AF965" i="1"/>
  <c r="AH965" i="1" s="1"/>
  <c r="C966" i="1"/>
  <c r="D966" i="1"/>
  <c r="F966" i="1"/>
  <c r="G966" i="1"/>
  <c r="AC966" i="1"/>
  <c r="AF966" i="1"/>
  <c r="AH966" i="1" s="1"/>
  <c r="C967" i="1"/>
  <c r="D967" i="1"/>
  <c r="F967" i="1"/>
  <c r="G967" i="1"/>
  <c r="AC967" i="1"/>
  <c r="AF967" i="1"/>
  <c r="C968" i="1"/>
  <c r="D968" i="1"/>
  <c r="F968" i="1"/>
  <c r="G968" i="1"/>
  <c r="AC968" i="1"/>
  <c r="AF968" i="1"/>
  <c r="AG968" i="1" s="1"/>
  <c r="C969" i="1"/>
  <c r="D969" i="1"/>
  <c r="F969" i="1"/>
  <c r="G969" i="1"/>
  <c r="AC969" i="1"/>
  <c r="AF969" i="1"/>
  <c r="AG969" i="1" s="1"/>
  <c r="C970" i="1"/>
  <c r="D970" i="1"/>
  <c r="F970" i="1"/>
  <c r="G970" i="1"/>
  <c r="AC970" i="1"/>
  <c r="AF970" i="1"/>
  <c r="C971" i="1"/>
  <c r="D971" i="1"/>
  <c r="F971" i="1"/>
  <c r="G971" i="1"/>
  <c r="AC971" i="1"/>
  <c r="AF971" i="1"/>
  <c r="AH971" i="1" s="1"/>
  <c r="C972" i="1"/>
  <c r="D972" i="1"/>
  <c r="F972" i="1"/>
  <c r="G972" i="1"/>
  <c r="AC972" i="1"/>
  <c r="AF972" i="1"/>
  <c r="C973" i="1"/>
  <c r="D973" i="1"/>
  <c r="F973" i="1"/>
  <c r="G973" i="1"/>
  <c r="AC973" i="1"/>
  <c r="AF973" i="1"/>
  <c r="C974" i="1"/>
  <c r="D974" i="1"/>
  <c r="F974" i="1"/>
  <c r="G974" i="1"/>
  <c r="AC974" i="1"/>
  <c r="AF974" i="1"/>
  <c r="C975" i="1"/>
  <c r="D975" i="1"/>
  <c r="F975" i="1"/>
  <c r="G975" i="1"/>
  <c r="AC975" i="1"/>
  <c r="AF975" i="1"/>
  <c r="AG975" i="1" s="1"/>
  <c r="C976" i="1"/>
  <c r="D976" i="1"/>
  <c r="F976" i="1"/>
  <c r="G976" i="1"/>
  <c r="AC976" i="1"/>
  <c r="AF976" i="1"/>
  <c r="AG976" i="1" s="1"/>
  <c r="C977" i="1"/>
  <c r="D977" i="1"/>
  <c r="F977" i="1"/>
  <c r="G977" i="1"/>
  <c r="AC977" i="1"/>
  <c r="AF977" i="1"/>
  <c r="AG977" i="1" s="1"/>
  <c r="C978" i="1"/>
  <c r="D978" i="1"/>
  <c r="F978" i="1"/>
  <c r="G978" i="1"/>
  <c r="AC978" i="1"/>
  <c r="AF978" i="1"/>
  <c r="AG978" i="1" s="1"/>
  <c r="C979" i="1"/>
  <c r="D979" i="1"/>
  <c r="F979" i="1"/>
  <c r="G979" i="1"/>
  <c r="AC979" i="1"/>
  <c r="AF979" i="1"/>
  <c r="AH979" i="1" s="1"/>
  <c r="C980" i="1"/>
  <c r="D980" i="1"/>
  <c r="F980" i="1"/>
  <c r="G980" i="1"/>
  <c r="AC980" i="1"/>
  <c r="AF980" i="1"/>
  <c r="AG980" i="1" s="1"/>
  <c r="C981" i="1"/>
  <c r="D981" i="1"/>
  <c r="F981" i="1"/>
  <c r="G981" i="1"/>
  <c r="AC981" i="1"/>
  <c r="AI981" i="1" s="1"/>
  <c r="AK981" i="1" s="1"/>
  <c r="AF981" i="1"/>
  <c r="AG981" i="1" s="1"/>
  <c r="C982" i="1"/>
  <c r="D982" i="1"/>
  <c r="F982" i="1"/>
  <c r="G982" i="1"/>
  <c r="AC982" i="1"/>
  <c r="AF982" i="1"/>
  <c r="AH982" i="1" s="1"/>
  <c r="C983" i="1"/>
  <c r="D983" i="1"/>
  <c r="F983" i="1"/>
  <c r="G983" i="1"/>
  <c r="AC983" i="1"/>
  <c r="AF983" i="1"/>
  <c r="AG983" i="1" s="1"/>
  <c r="C984" i="1"/>
  <c r="D984" i="1"/>
  <c r="F984" i="1"/>
  <c r="G984" i="1"/>
  <c r="AC984" i="1"/>
  <c r="AF984" i="1"/>
  <c r="C985" i="1"/>
  <c r="D985" i="1"/>
  <c r="F985" i="1"/>
  <c r="G985" i="1"/>
  <c r="AC985" i="1"/>
  <c r="AF985" i="1"/>
  <c r="AG985" i="1" s="1"/>
  <c r="C986" i="1"/>
  <c r="D986" i="1"/>
  <c r="F986" i="1"/>
  <c r="G986" i="1"/>
  <c r="AC986" i="1"/>
  <c r="AF986" i="1"/>
  <c r="AH986" i="1" s="1"/>
  <c r="C987" i="1"/>
  <c r="D987" i="1"/>
  <c r="F987" i="1"/>
  <c r="G987" i="1"/>
  <c r="AC987" i="1"/>
  <c r="AF987" i="1"/>
  <c r="AG987" i="1" s="1"/>
  <c r="C988" i="1"/>
  <c r="D988" i="1"/>
  <c r="F988" i="1"/>
  <c r="G988" i="1"/>
  <c r="AC988" i="1"/>
  <c r="AF988" i="1"/>
  <c r="AG988" i="1" s="1"/>
  <c r="C989" i="1"/>
  <c r="D989" i="1"/>
  <c r="F989" i="1"/>
  <c r="G989" i="1"/>
  <c r="AC989" i="1"/>
  <c r="AF989" i="1"/>
  <c r="AH989" i="1" s="1"/>
  <c r="C990" i="1"/>
  <c r="D990" i="1"/>
  <c r="F990" i="1"/>
  <c r="G990" i="1"/>
  <c r="AC990" i="1"/>
  <c r="AF990" i="1"/>
  <c r="AH990" i="1" s="1"/>
  <c r="C991" i="1"/>
  <c r="D991" i="1"/>
  <c r="F991" i="1"/>
  <c r="G991" i="1"/>
  <c r="AC991" i="1"/>
  <c r="AF991" i="1"/>
  <c r="AH991" i="1" s="1"/>
  <c r="C992" i="1"/>
  <c r="D992" i="1"/>
  <c r="F992" i="1"/>
  <c r="G992" i="1"/>
  <c r="AC992" i="1"/>
  <c r="AF992" i="1"/>
  <c r="AG992" i="1" s="1"/>
  <c r="C993" i="1"/>
  <c r="D993" i="1"/>
  <c r="F993" i="1"/>
  <c r="G993" i="1"/>
  <c r="AC993" i="1"/>
  <c r="AF993" i="1"/>
  <c r="C994" i="1"/>
  <c r="D994" i="1"/>
  <c r="F994" i="1"/>
  <c r="G994" i="1"/>
  <c r="AC994" i="1"/>
  <c r="AF994" i="1"/>
  <c r="AH994" i="1" s="1"/>
  <c r="C995" i="1"/>
  <c r="D995" i="1"/>
  <c r="F995" i="1"/>
  <c r="G995" i="1"/>
  <c r="AC995" i="1"/>
  <c r="AF995" i="1"/>
  <c r="AH995" i="1" s="1"/>
  <c r="C996" i="1"/>
  <c r="D996" i="1"/>
  <c r="F996" i="1"/>
  <c r="G996" i="1"/>
  <c r="AC996" i="1"/>
  <c r="AF996" i="1"/>
  <c r="AG996" i="1" s="1"/>
  <c r="C997" i="1"/>
  <c r="D997" i="1"/>
  <c r="F997" i="1"/>
  <c r="G997" i="1"/>
  <c r="AC997" i="1"/>
  <c r="AF997" i="1"/>
  <c r="AH997" i="1" s="1"/>
  <c r="C998" i="1"/>
  <c r="D998" i="1"/>
  <c r="F998" i="1"/>
  <c r="G998" i="1"/>
  <c r="AC998" i="1"/>
  <c r="AF998" i="1"/>
  <c r="AH998" i="1" s="1"/>
  <c r="C999" i="1"/>
  <c r="D999" i="1"/>
  <c r="F999" i="1"/>
  <c r="G999" i="1"/>
  <c r="AC999" i="1"/>
  <c r="AF999" i="1"/>
  <c r="AH999" i="1" s="1"/>
  <c r="C1000" i="1"/>
  <c r="D1000" i="1"/>
  <c r="F1000" i="1"/>
  <c r="G1000" i="1"/>
  <c r="AC1000" i="1"/>
  <c r="AI1000" i="1" s="1"/>
  <c r="AK1000" i="1" s="1"/>
  <c r="AF1000" i="1"/>
  <c r="C1001" i="1"/>
  <c r="D1001" i="1"/>
  <c r="F1001" i="1"/>
  <c r="G1001" i="1"/>
  <c r="AC1001" i="1"/>
  <c r="AF1001" i="1"/>
  <c r="AG1001" i="1" s="1"/>
  <c r="C1002" i="1"/>
  <c r="D1002" i="1"/>
  <c r="F1002" i="1"/>
  <c r="G1002" i="1"/>
  <c r="AC1002" i="1"/>
  <c r="AF1002" i="1"/>
  <c r="AG1002" i="1" s="1"/>
  <c r="C1003" i="1"/>
  <c r="D1003" i="1"/>
  <c r="F1003" i="1"/>
  <c r="G1003" i="1"/>
  <c r="AC1003" i="1"/>
  <c r="AI1003" i="1" s="1"/>
  <c r="AK1003" i="1" s="1"/>
  <c r="AF1003" i="1"/>
  <c r="C1004" i="1"/>
  <c r="D1004" i="1"/>
  <c r="F1004" i="1"/>
  <c r="G1004" i="1"/>
  <c r="AC1004" i="1"/>
  <c r="AF1004" i="1"/>
  <c r="AG1004" i="1" s="1"/>
  <c r="C1005" i="1"/>
  <c r="D1005" i="1"/>
  <c r="F1005" i="1"/>
  <c r="G1005" i="1"/>
  <c r="AC1005" i="1"/>
  <c r="AF1005" i="1"/>
  <c r="AG1005" i="1" s="1"/>
  <c r="C1006" i="1"/>
  <c r="D1006" i="1"/>
  <c r="F1006" i="1"/>
  <c r="G1006" i="1"/>
  <c r="AC1006" i="1"/>
  <c r="AF1006" i="1"/>
  <c r="AH1006" i="1" s="1"/>
  <c r="C1007" i="1"/>
  <c r="D1007" i="1"/>
  <c r="F1007" i="1"/>
  <c r="G1007" i="1"/>
  <c r="AC1007" i="1"/>
  <c r="AF1007" i="1"/>
  <c r="AH1007" i="1" s="1"/>
  <c r="C1008" i="1"/>
  <c r="D1008" i="1"/>
  <c r="F1008" i="1"/>
  <c r="G1008" i="1"/>
  <c r="AC1008" i="1"/>
  <c r="AF1008" i="1"/>
  <c r="AH1008" i="1" s="1"/>
  <c r="C1009" i="1"/>
  <c r="D1009" i="1"/>
  <c r="F1009" i="1"/>
  <c r="G1009" i="1"/>
  <c r="AC1009" i="1"/>
  <c r="AF1009" i="1"/>
  <c r="AH1009" i="1" s="1"/>
  <c r="C1010" i="1"/>
  <c r="D1010" i="1"/>
  <c r="F1010" i="1"/>
  <c r="G1010" i="1"/>
  <c r="AC1010" i="1"/>
  <c r="AF1010" i="1"/>
  <c r="C1011" i="1"/>
  <c r="D1011" i="1"/>
  <c r="F1011" i="1"/>
  <c r="G1011" i="1"/>
  <c r="AC1011" i="1"/>
  <c r="AF1011" i="1"/>
  <c r="C1012" i="1"/>
  <c r="D1012" i="1"/>
  <c r="F1012" i="1"/>
  <c r="G1012" i="1"/>
  <c r="AC1012" i="1"/>
  <c r="AF1012" i="1"/>
  <c r="AH1012" i="1" s="1"/>
  <c r="C1013" i="1"/>
  <c r="D1013" i="1"/>
  <c r="F1013" i="1"/>
  <c r="G1013" i="1"/>
  <c r="AC1013" i="1"/>
  <c r="AF1013" i="1"/>
  <c r="AG1013" i="1" s="1"/>
  <c r="C1014" i="1"/>
  <c r="D1014" i="1"/>
  <c r="F1014" i="1"/>
  <c r="G1014" i="1"/>
  <c r="AC1014" i="1"/>
  <c r="AF1014" i="1"/>
  <c r="AG1014" i="1" s="1"/>
  <c r="C1015" i="1"/>
  <c r="D1015" i="1"/>
  <c r="F1015" i="1"/>
  <c r="G1015" i="1"/>
  <c r="AC1015" i="1"/>
  <c r="AF1015" i="1"/>
  <c r="AH1015" i="1" s="1"/>
  <c r="C1016" i="1"/>
  <c r="D1016" i="1"/>
  <c r="F1016" i="1"/>
  <c r="G1016" i="1"/>
  <c r="AC1016" i="1"/>
  <c r="AF1016" i="1"/>
  <c r="AG1016" i="1" s="1"/>
  <c r="C1017" i="1"/>
  <c r="D1017" i="1"/>
  <c r="F1017" i="1"/>
  <c r="G1017" i="1"/>
  <c r="AC1017" i="1"/>
  <c r="AF1017" i="1"/>
  <c r="AG1017" i="1" s="1"/>
  <c r="C1018" i="1"/>
  <c r="D1018" i="1"/>
  <c r="F1018" i="1"/>
  <c r="G1018" i="1"/>
  <c r="AC1018" i="1"/>
  <c r="AF1018" i="1"/>
  <c r="AH1018" i="1" s="1"/>
  <c r="C1019" i="1"/>
  <c r="D1019" i="1"/>
  <c r="F1019" i="1"/>
  <c r="G1019" i="1"/>
  <c r="AC1019" i="1"/>
  <c r="AF1019" i="1"/>
  <c r="C1020" i="1"/>
  <c r="D1020" i="1"/>
  <c r="F1020" i="1"/>
  <c r="G1020" i="1"/>
  <c r="AC1020" i="1"/>
  <c r="AF1020" i="1"/>
  <c r="AH1020" i="1" s="1"/>
  <c r="C1021" i="1"/>
  <c r="D1021" i="1"/>
  <c r="F1021" i="1"/>
  <c r="G1021" i="1"/>
  <c r="AC1021" i="1"/>
  <c r="AI1021" i="1" s="1"/>
  <c r="AK1021" i="1" s="1"/>
  <c r="AF1021" i="1"/>
  <c r="AG1021" i="1" s="1"/>
  <c r="C1022" i="1"/>
  <c r="D1022" i="1"/>
  <c r="F1022" i="1"/>
  <c r="G1022" i="1"/>
  <c r="AC1022" i="1"/>
  <c r="AI1022" i="1" s="1"/>
  <c r="AK1022" i="1" s="1"/>
  <c r="AF1022" i="1"/>
  <c r="AH1022" i="1" s="1"/>
  <c r="C1023" i="1"/>
  <c r="D1023" i="1"/>
  <c r="F1023" i="1"/>
  <c r="G1023" i="1"/>
  <c r="AC1023" i="1"/>
  <c r="AI1023" i="1" s="1"/>
  <c r="AK1023" i="1" s="1"/>
  <c r="AF1023" i="1"/>
  <c r="AH1023" i="1" s="1"/>
  <c r="C1024" i="1"/>
  <c r="D1024" i="1"/>
  <c r="F1024" i="1"/>
  <c r="G1024" i="1"/>
  <c r="AC1024" i="1"/>
  <c r="AF1024" i="1"/>
  <c r="AH1024" i="1" s="1"/>
  <c r="C1025" i="1"/>
  <c r="D1025" i="1"/>
  <c r="F1025" i="1"/>
  <c r="G1025" i="1"/>
  <c r="AC1025" i="1"/>
  <c r="AF1025" i="1"/>
  <c r="C1026" i="1"/>
  <c r="D1026" i="1"/>
  <c r="F1026" i="1"/>
  <c r="G1026" i="1"/>
  <c r="AC1026" i="1"/>
  <c r="AF1026" i="1"/>
  <c r="AH1026" i="1" s="1"/>
  <c r="C1027" i="1"/>
  <c r="D1027" i="1"/>
  <c r="F1027" i="1"/>
  <c r="G1027" i="1"/>
  <c r="AC1027" i="1"/>
  <c r="AF1027" i="1"/>
  <c r="AG1027" i="1" s="1"/>
  <c r="C1028" i="1"/>
  <c r="D1028" i="1"/>
  <c r="F1028" i="1"/>
  <c r="G1028" i="1"/>
  <c r="AC1028" i="1"/>
  <c r="AF1028" i="1"/>
  <c r="AH1028" i="1" s="1"/>
  <c r="C1029" i="1"/>
  <c r="D1029" i="1"/>
  <c r="F1029" i="1"/>
  <c r="G1029" i="1"/>
  <c r="AC1029" i="1"/>
  <c r="AF1029" i="1"/>
  <c r="AG1029" i="1" s="1"/>
  <c r="C1030" i="1"/>
  <c r="D1030" i="1"/>
  <c r="F1030" i="1"/>
  <c r="G1030" i="1"/>
  <c r="AC1030" i="1"/>
  <c r="AF1030" i="1"/>
  <c r="AH1030" i="1" s="1"/>
  <c r="C1031" i="1"/>
  <c r="D1031" i="1"/>
  <c r="F1031" i="1"/>
  <c r="G1031" i="1"/>
  <c r="AC1031" i="1"/>
  <c r="AF1031" i="1"/>
  <c r="AG1031" i="1" s="1"/>
  <c r="C1032" i="1"/>
  <c r="D1032" i="1"/>
  <c r="F1032" i="1"/>
  <c r="G1032" i="1"/>
  <c r="AC1032" i="1"/>
  <c r="AF1032" i="1"/>
  <c r="C1033" i="1"/>
  <c r="D1033" i="1"/>
  <c r="F1033" i="1"/>
  <c r="G1033" i="1"/>
  <c r="AC1033" i="1"/>
  <c r="AF1033" i="1"/>
  <c r="AG1033" i="1" s="1"/>
  <c r="C1034" i="1"/>
  <c r="D1034" i="1"/>
  <c r="F1034" i="1"/>
  <c r="G1034" i="1"/>
  <c r="AC1034" i="1"/>
  <c r="AF1034" i="1"/>
  <c r="AH1034" i="1" s="1"/>
  <c r="C1035" i="1"/>
  <c r="D1035" i="1"/>
  <c r="F1035" i="1"/>
  <c r="G1035" i="1"/>
  <c r="AC1035" i="1"/>
  <c r="AF1035" i="1"/>
  <c r="AG1035" i="1" s="1"/>
  <c r="C1036" i="1"/>
  <c r="D1036" i="1"/>
  <c r="F1036" i="1"/>
  <c r="G1036" i="1"/>
  <c r="AC1036" i="1"/>
  <c r="AF1036" i="1"/>
  <c r="C1037" i="1"/>
  <c r="D1037" i="1"/>
  <c r="F1037" i="1"/>
  <c r="G1037" i="1"/>
  <c r="AC1037" i="1"/>
  <c r="AF1037" i="1"/>
  <c r="AH1037" i="1" s="1"/>
  <c r="C1038" i="1"/>
  <c r="D1038" i="1"/>
  <c r="F1038" i="1"/>
  <c r="G1038" i="1"/>
  <c r="AC1038" i="1"/>
  <c r="AF1038" i="1"/>
  <c r="AG1038" i="1" s="1"/>
  <c r="C1039" i="1"/>
  <c r="D1039" i="1"/>
  <c r="F1039" i="1"/>
  <c r="G1039" i="1"/>
  <c r="AC1039" i="1"/>
  <c r="AF1039" i="1"/>
  <c r="AH1039" i="1" s="1"/>
  <c r="C1040" i="1"/>
  <c r="D1040" i="1"/>
  <c r="F1040" i="1"/>
  <c r="G1040" i="1"/>
  <c r="AC1040" i="1"/>
  <c r="AF1040" i="1"/>
  <c r="AH1040" i="1" s="1"/>
  <c r="C1041" i="1"/>
  <c r="D1041" i="1"/>
  <c r="F1041" i="1"/>
  <c r="G1041" i="1"/>
  <c r="AC1041" i="1"/>
  <c r="AF1041" i="1"/>
  <c r="AG1041" i="1" s="1"/>
  <c r="C1042" i="1"/>
  <c r="D1042" i="1"/>
  <c r="F1042" i="1"/>
  <c r="G1042" i="1"/>
  <c r="AC1042" i="1"/>
  <c r="AF1042" i="1"/>
  <c r="AG1042" i="1" s="1"/>
  <c r="C1043" i="1"/>
  <c r="D1043" i="1"/>
  <c r="F1043" i="1"/>
  <c r="G1043" i="1"/>
  <c r="AC1043" i="1"/>
  <c r="AI1043" i="1" s="1"/>
  <c r="AK1043" i="1" s="1"/>
  <c r="AF1043" i="1"/>
  <c r="C1044" i="1"/>
  <c r="D1044" i="1"/>
  <c r="F1044" i="1"/>
  <c r="G1044" i="1"/>
  <c r="AC1044" i="1"/>
  <c r="AF1044" i="1"/>
  <c r="AG1044" i="1" s="1"/>
  <c r="C1045" i="1"/>
  <c r="D1045" i="1"/>
  <c r="F1045" i="1"/>
  <c r="G1045" i="1"/>
  <c r="AC1045" i="1"/>
  <c r="AF1045" i="1"/>
  <c r="AG1045" i="1" s="1"/>
  <c r="C1046" i="1"/>
  <c r="D1046" i="1"/>
  <c r="F1046" i="1"/>
  <c r="G1046" i="1"/>
  <c r="AC1046" i="1"/>
  <c r="AF1046" i="1"/>
  <c r="AH1046" i="1" s="1"/>
  <c r="C1047" i="1"/>
  <c r="D1047" i="1"/>
  <c r="F1047" i="1"/>
  <c r="G1047" i="1"/>
  <c r="AC1047" i="1"/>
  <c r="AF1047" i="1"/>
  <c r="C1048" i="1"/>
  <c r="D1048" i="1"/>
  <c r="F1048" i="1"/>
  <c r="G1048" i="1"/>
  <c r="AC1048" i="1"/>
  <c r="AF1048" i="1"/>
  <c r="AG1048" i="1" s="1"/>
  <c r="C1049" i="1"/>
  <c r="D1049" i="1"/>
  <c r="F1049" i="1"/>
  <c r="G1049" i="1"/>
  <c r="AC1049" i="1"/>
  <c r="AF1049" i="1"/>
  <c r="AG1049" i="1" s="1"/>
  <c r="C1050" i="1"/>
  <c r="D1050" i="1"/>
  <c r="F1050" i="1"/>
  <c r="G1050" i="1"/>
  <c r="AC1050" i="1"/>
  <c r="AF1050" i="1"/>
  <c r="AG1050" i="1" s="1"/>
  <c r="C1051" i="1"/>
  <c r="D1051" i="1"/>
  <c r="F1051" i="1"/>
  <c r="G1051" i="1"/>
  <c r="AC1051" i="1"/>
  <c r="AF1051" i="1"/>
  <c r="AG1051" i="1" s="1"/>
  <c r="C1052" i="1"/>
  <c r="D1052" i="1"/>
  <c r="F1052" i="1"/>
  <c r="G1052" i="1"/>
  <c r="AC1052" i="1"/>
  <c r="AF1052" i="1"/>
  <c r="AG1052" i="1" s="1"/>
  <c r="C1053" i="1"/>
  <c r="D1053" i="1"/>
  <c r="F1053" i="1"/>
  <c r="G1053" i="1"/>
  <c r="AC1053" i="1"/>
  <c r="AF1053" i="1"/>
  <c r="C1054" i="1"/>
  <c r="D1054" i="1"/>
  <c r="F1054" i="1"/>
  <c r="G1054" i="1"/>
  <c r="AC1054" i="1"/>
  <c r="AF1054" i="1"/>
  <c r="C1055" i="1"/>
  <c r="D1055" i="1"/>
  <c r="F1055" i="1"/>
  <c r="G1055" i="1"/>
  <c r="AC1055" i="1"/>
  <c r="AF1055" i="1"/>
  <c r="AG1055" i="1" s="1"/>
  <c r="C1056" i="1"/>
  <c r="D1056" i="1"/>
  <c r="F1056" i="1"/>
  <c r="G1056" i="1"/>
  <c r="AC1056" i="1"/>
  <c r="AF1056" i="1"/>
  <c r="AH1056" i="1" s="1"/>
  <c r="C1057" i="1"/>
  <c r="D1057" i="1"/>
  <c r="F1057" i="1"/>
  <c r="G1057" i="1"/>
  <c r="AC1057" i="1"/>
  <c r="AF1057" i="1"/>
  <c r="AG1057" i="1" s="1"/>
  <c r="C1058" i="1"/>
  <c r="D1058" i="1"/>
  <c r="F1058" i="1"/>
  <c r="G1058" i="1"/>
  <c r="AC1058" i="1"/>
  <c r="AF1058" i="1"/>
  <c r="AH1058" i="1" s="1"/>
  <c r="C1059" i="1"/>
  <c r="D1059" i="1"/>
  <c r="F1059" i="1"/>
  <c r="G1059" i="1"/>
  <c r="AC1059" i="1"/>
  <c r="AF1059" i="1"/>
  <c r="AG1059" i="1" s="1"/>
  <c r="C1060" i="1"/>
  <c r="D1060" i="1"/>
  <c r="F1060" i="1"/>
  <c r="G1060" i="1"/>
  <c r="AC1060" i="1"/>
  <c r="AF1060" i="1"/>
  <c r="AG1060" i="1" s="1"/>
  <c r="C1061" i="1"/>
  <c r="D1061" i="1"/>
  <c r="F1061" i="1"/>
  <c r="G1061" i="1"/>
  <c r="AC1061" i="1"/>
  <c r="AF1061" i="1"/>
  <c r="AH1061" i="1" s="1"/>
  <c r="C1062" i="1"/>
  <c r="D1062" i="1"/>
  <c r="F1062" i="1"/>
  <c r="G1062" i="1"/>
  <c r="AC1062" i="1"/>
  <c r="AF1062" i="1"/>
  <c r="AH1062" i="1" s="1"/>
  <c r="C1063" i="1"/>
  <c r="D1063" i="1"/>
  <c r="F1063" i="1"/>
  <c r="G1063" i="1"/>
  <c r="AC1063" i="1"/>
  <c r="AF1063" i="1"/>
  <c r="AG1063" i="1" s="1"/>
  <c r="C1064" i="1"/>
  <c r="D1064" i="1"/>
  <c r="F1064" i="1"/>
  <c r="G1064" i="1"/>
  <c r="AC1064" i="1"/>
  <c r="AF1064" i="1"/>
  <c r="AH1064" i="1" s="1"/>
  <c r="C1065" i="1"/>
  <c r="D1065" i="1"/>
  <c r="F1065" i="1"/>
  <c r="G1065" i="1"/>
  <c r="AC1065" i="1"/>
  <c r="AI1065" i="1" s="1"/>
  <c r="AK1065" i="1" s="1"/>
  <c r="AF1065" i="1"/>
  <c r="C1066" i="1"/>
  <c r="D1066" i="1"/>
  <c r="F1066" i="1"/>
  <c r="G1066" i="1"/>
  <c r="AC1066" i="1"/>
  <c r="AF1066" i="1"/>
  <c r="AH1066" i="1" s="1"/>
  <c r="C1067" i="1"/>
  <c r="D1067" i="1"/>
  <c r="F1067" i="1"/>
  <c r="G1067" i="1"/>
  <c r="AC1067" i="1"/>
  <c r="AF1067" i="1"/>
  <c r="AG1067" i="1" s="1"/>
  <c r="C1068" i="1"/>
  <c r="D1068" i="1"/>
  <c r="F1068" i="1"/>
  <c r="G1068" i="1"/>
  <c r="AC1068" i="1"/>
  <c r="AF1068" i="1"/>
  <c r="C1069" i="1"/>
  <c r="D1069" i="1"/>
  <c r="F1069" i="1"/>
  <c r="G1069" i="1"/>
  <c r="AC1069" i="1"/>
  <c r="AF1069" i="1"/>
  <c r="AG1069" i="1" s="1"/>
  <c r="C1070" i="1"/>
  <c r="D1070" i="1"/>
  <c r="F1070" i="1"/>
  <c r="G1070" i="1"/>
  <c r="AC1070" i="1"/>
  <c r="AF1070" i="1"/>
  <c r="AH1070" i="1" s="1"/>
  <c r="C1071" i="1"/>
  <c r="D1071" i="1"/>
  <c r="F1071" i="1"/>
  <c r="G1071" i="1"/>
  <c r="AC1071" i="1"/>
  <c r="AF1071" i="1"/>
  <c r="AH1071" i="1" s="1"/>
  <c r="C1072" i="1"/>
  <c r="D1072" i="1"/>
  <c r="F1072" i="1"/>
  <c r="G1072" i="1"/>
  <c r="AC1072" i="1"/>
  <c r="AF1072" i="1"/>
  <c r="AH1072" i="1" s="1"/>
  <c r="C1073" i="1"/>
  <c r="D1073" i="1"/>
  <c r="F1073" i="1"/>
  <c r="G1073" i="1"/>
  <c r="AC1073" i="1"/>
  <c r="AF1073" i="1"/>
  <c r="AG1073" i="1" s="1"/>
  <c r="C1074" i="1"/>
  <c r="D1074" i="1"/>
  <c r="F1074" i="1"/>
  <c r="G1074" i="1"/>
  <c r="AC1074" i="1"/>
  <c r="AF1074" i="1"/>
  <c r="AG1074" i="1" s="1"/>
  <c r="C1075" i="1"/>
  <c r="D1075" i="1"/>
  <c r="F1075" i="1"/>
  <c r="G1075" i="1"/>
  <c r="AC1075" i="1"/>
  <c r="AF1075" i="1"/>
  <c r="C1076" i="1"/>
  <c r="D1076" i="1"/>
  <c r="F1076" i="1"/>
  <c r="G1076" i="1"/>
  <c r="AC1076" i="1"/>
  <c r="AF1076" i="1"/>
  <c r="AH1076" i="1" s="1"/>
  <c r="C1077" i="1"/>
  <c r="D1077" i="1"/>
  <c r="F1077" i="1"/>
  <c r="G1077" i="1"/>
  <c r="AC1077" i="1"/>
  <c r="AF1077" i="1"/>
  <c r="AH1077" i="1" s="1"/>
  <c r="C1078" i="1"/>
  <c r="D1078" i="1"/>
  <c r="F1078" i="1"/>
  <c r="G1078" i="1"/>
  <c r="AC1078" i="1"/>
  <c r="AF1078" i="1"/>
  <c r="AG1078" i="1" s="1"/>
  <c r="C1079" i="1"/>
  <c r="D1079" i="1"/>
  <c r="F1079" i="1"/>
  <c r="G1079" i="1"/>
  <c r="AC1079" i="1"/>
  <c r="AF1079" i="1"/>
  <c r="C1080" i="1"/>
  <c r="D1080" i="1"/>
  <c r="F1080" i="1"/>
  <c r="G1080" i="1"/>
  <c r="AC1080" i="1"/>
  <c r="AF1080" i="1"/>
  <c r="AH1080" i="1" s="1"/>
  <c r="C1081" i="1"/>
  <c r="D1081" i="1"/>
  <c r="F1081" i="1"/>
  <c r="G1081" i="1"/>
  <c r="AC1081" i="1"/>
  <c r="AF1081" i="1"/>
  <c r="AG1081" i="1" s="1"/>
  <c r="C1082" i="1"/>
  <c r="D1082" i="1"/>
  <c r="F1082" i="1"/>
  <c r="G1082" i="1"/>
  <c r="AC1082" i="1"/>
  <c r="AF1082" i="1"/>
  <c r="AH1082" i="1" s="1"/>
  <c r="C1083" i="1"/>
  <c r="D1083" i="1"/>
  <c r="F1083" i="1"/>
  <c r="G1083" i="1"/>
  <c r="AC1083" i="1"/>
  <c r="AF1083" i="1"/>
  <c r="C1084" i="1"/>
  <c r="D1084" i="1"/>
  <c r="F1084" i="1"/>
  <c r="G1084" i="1"/>
  <c r="AC1084" i="1"/>
  <c r="AF1084" i="1"/>
  <c r="AG1084" i="1" s="1"/>
  <c r="C1085" i="1"/>
  <c r="D1085" i="1"/>
  <c r="F1085" i="1"/>
  <c r="G1085" i="1"/>
  <c r="AC1085" i="1"/>
  <c r="AF1085" i="1"/>
  <c r="AG1085" i="1" s="1"/>
  <c r="C1086" i="1"/>
  <c r="D1086" i="1"/>
  <c r="F1086" i="1"/>
  <c r="G1086" i="1"/>
  <c r="AC1086" i="1"/>
  <c r="AF1086" i="1"/>
  <c r="C1087" i="1"/>
  <c r="D1087" i="1"/>
  <c r="F1087" i="1"/>
  <c r="G1087" i="1"/>
  <c r="AC1087" i="1"/>
  <c r="AI1087" i="1" s="1"/>
  <c r="AK1087" i="1" s="1"/>
  <c r="AF1087" i="1"/>
  <c r="AG1087" i="1" s="1"/>
  <c r="C1088" i="1"/>
  <c r="D1088" i="1"/>
  <c r="F1088" i="1"/>
  <c r="G1088" i="1"/>
  <c r="AC1088" i="1"/>
  <c r="AF1088" i="1"/>
  <c r="AH1088" i="1" s="1"/>
  <c r="C1089" i="1"/>
  <c r="D1089" i="1"/>
  <c r="F1089" i="1"/>
  <c r="G1089" i="1"/>
  <c r="AC1089" i="1"/>
  <c r="AF1089" i="1"/>
  <c r="AH1089" i="1" s="1"/>
  <c r="C1090" i="1"/>
  <c r="D1090" i="1"/>
  <c r="F1090" i="1"/>
  <c r="G1090" i="1"/>
  <c r="AC1090" i="1"/>
  <c r="AF1090" i="1"/>
  <c r="C1091" i="1"/>
  <c r="D1091" i="1"/>
  <c r="F1091" i="1"/>
  <c r="G1091" i="1"/>
  <c r="AC1091" i="1"/>
  <c r="AF1091" i="1"/>
  <c r="AG1091" i="1" s="1"/>
  <c r="C1092" i="1"/>
  <c r="D1092" i="1"/>
  <c r="F1092" i="1"/>
  <c r="G1092" i="1"/>
  <c r="AC1092" i="1"/>
  <c r="AF1092" i="1"/>
  <c r="AG1092" i="1" s="1"/>
  <c r="C1093" i="1"/>
  <c r="D1093" i="1"/>
  <c r="F1093" i="1"/>
  <c r="G1093" i="1"/>
  <c r="AC1093" i="1"/>
  <c r="AF1093" i="1"/>
  <c r="AG1093" i="1" s="1"/>
  <c r="C1094" i="1"/>
  <c r="D1094" i="1"/>
  <c r="F1094" i="1"/>
  <c r="G1094" i="1"/>
  <c r="AC1094" i="1"/>
  <c r="AF1094" i="1"/>
  <c r="AG1094" i="1" s="1"/>
  <c r="C1095" i="1"/>
  <c r="D1095" i="1"/>
  <c r="F1095" i="1"/>
  <c r="G1095" i="1"/>
  <c r="AC1095" i="1"/>
  <c r="AF1095" i="1"/>
  <c r="AH1095" i="1" s="1"/>
  <c r="C1096" i="1"/>
  <c r="D1096" i="1"/>
  <c r="F1096" i="1"/>
  <c r="G1096" i="1"/>
  <c r="AC1096" i="1"/>
  <c r="AF1096" i="1"/>
  <c r="AH1096" i="1" s="1"/>
  <c r="C1097" i="1"/>
  <c r="D1097" i="1"/>
  <c r="F1097" i="1"/>
  <c r="G1097" i="1"/>
  <c r="AC1097" i="1"/>
  <c r="AF1097" i="1"/>
  <c r="AG1097" i="1" s="1"/>
  <c r="C1098" i="1"/>
  <c r="D1098" i="1"/>
  <c r="F1098" i="1"/>
  <c r="G1098" i="1"/>
  <c r="AC1098" i="1"/>
  <c r="AF1098" i="1"/>
  <c r="C1099" i="1"/>
  <c r="D1099" i="1"/>
  <c r="F1099" i="1"/>
  <c r="G1099" i="1"/>
  <c r="AC1099" i="1"/>
  <c r="AF1099" i="1"/>
  <c r="AG1099" i="1" s="1"/>
  <c r="C1100" i="1"/>
  <c r="D1100" i="1"/>
  <c r="F1100" i="1"/>
  <c r="G1100" i="1"/>
  <c r="AC1100" i="1"/>
  <c r="AF1100" i="1"/>
  <c r="AG1100" i="1" s="1"/>
  <c r="C1101" i="1"/>
  <c r="D1101" i="1"/>
  <c r="F1101" i="1"/>
  <c r="G1101" i="1"/>
  <c r="AC1101" i="1"/>
  <c r="AF1101" i="1"/>
  <c r="C1102" i="1"/>
  <c r="D1102" i="1"/>
  <c r="F1102" i="1"/>
  <c r="G1102" i="1"/>
  <c r="AC1102" i="1"/>
  <c r="AF1102" i="1"/>
  <c r="AH1102" i="1" s="1"/>
  <c r="C1103" i="1"/>
  <c r="D1103" i="1"/>
  <c r="F1103" i="1"/>
  <c r="G1103" i="1"/>
  <c r="AC1103" i="1"/>
  <c r="AF1103" i="1"/>
  <c r="AG1103" i="1" s="1"/>
  <c r="C1104" i="1"/>
  <c r="D1104" i="1"/>
  <c r="F1104" i="1"/>
  <c r="G1104" i="1"/>
  <c r="AC1104" i="1"/>
  <c r="AF1104" i="1"/>
  <c r="AH1104" i="1" s="1"/>
  <c r="C1105" i="1"/>
  <c r="D1105" i="1"/>
  <c r="F1105" i="1"/>
  <c r="G1105" i="1"/>
  <c r="AC1105" i="1"/>
  <c r="AF1105" i="1"/>
  <c r="AH1105" i="1" s="1"/>
  <c r="C1106" i="1"/>
  <c r="D1106" i="1"/>
  <c r="F1106" i="1"/>
  <c r="G1106" i="1"/>
  <c r="AC1106" i="1"/>
  <c r="AF1106" i="1"/>
  <c r="AG1106" i="1" s="1"/>
  <c r="C1107" i="1"/>
  <c r="D1107" i="1"/>
  <c r="F1107" i="1"/>
  <c r="G1107" i="1"/>
  <c r="AC1107" i="1"/>
  <c r="AF1107" i="1"/>
  <c r="C1108" i="1"/>
  <c r="D1108" i="1"/>
  <c r="F1108" i="1"/>
  <c r="G1108" i="1"/>
  <c r="AC1108" i="1"/>
  <c r="AF1108" i="1"/>
  <c r="C1109" i="1"/>
  <c r="D1109" i="1"/>
  <c r="F1109" i="1"/>
  <c r="G1109" i="1"/>
  <c r="AC1109" i="1"/>
  <c r="AI1109" i="1" s="1"/>
  <c r="AK1109" i="1" s="1"/>
  <c r="AF1109" i="1"/>
  <c r="AG1109" i="1" s="1"/>
  <c r="C1110" i="1"/>
  <c r="D1110" i="1"/>
  <c r="F1110" i="1"/>
  <c r="G1110" i="1"/>
  <c r="AC1110" i="1"/>
  <c r="AF1110" i="1"/>
  <c r="AG1110" i="1" s="1"/>
  <c r="C1111" i="1"/>
  <c r="D1111" i="1"/>
  <c r="F1111" i="1"/>
  <c r="G1111" i="1"/>
  <c r="AC1111" i="1"/>
  <c r="AF1111" i="1"/>
  <c r="C1112" i="1"/>
  <c r="D1112" i="1"/>
  <c r="F1112" i="1"/>
  <c r="G1112" i="1"/>
  <c r="AC1112" i="1"/>
  <c r="AF1112" i="1"/>
  <c r="AH1112" i="1" s="1"/>
  <c r="C1113" i="1"/>
  <c r="D1113" i="1"/>
  <c r="F1113" i="1"/>
  <c r="G1113" i="1"/>
  <c r="AC1113" i="1"/>
  <c r="AF1113" i="1"/>
  <c r="AH1113" i="1" s="1"/>
  <c r="C1114" i="1"/>
  <c r="D1114" i="1"/>
  <c r="F1114" i="1"/>
  <c r="G1114" i="1"/>
  <c r="AC1114" i="1"/>
  <c r="AF1114" i="1"/>
  <c r="C1115" i="1"/>
  <c r="D1115" i="1"/>
  <c r="F1115" i="1"/>
  <c r="G1115" i="1"/>
  <c r="AC1115" i="1"/>
  <c r="AF1115" i="1"/>
  <c r="AH1115" i="1" s="1"/>
  <c r="C1116" i="1"/>
  <c r="D1116" i="1"/>
  <c r="F1116" i="1"/>
  <c r="G1116" i="1"/>
  <c r="AC1116" i="1"/>
  <c r="AF1116" i="1"/>
  <c r="AH1116" i="1" s="1"/>
  <c r="C1117" i="1"/>
  <c r="D1117" i="1"/>
  <c r="F1117" i="1"/>
  <c r="G1117" i="1"/>
  <c r="AC1117" i="1"/>
  <c r="AF1117" i="1"/>
  <c r="AG1117" i="1" s="1"/>
  <c r="C1118" i="1"/>
  <c r="D1118" i="1"/>
  <c r="F1118" i="1"/>
  <c r="G1118" i="1"/>
  <c r="AC1118" i="1"/>
  <c r="AF1118" i="1"/>
  <c r="AH1118" i="1" s="1"/>
  <c r="C1119" i="1"/>
  <c r="D1119" i="1"/>
  <c r="F1119" i="1"/>
  <c r="G1119" i="1"/>
  <c r="AC1119" i="1"/>
  <c r="AF1119" i="1"/>
  <c r="AG1119" i="1" s="1"/>
  <c r="C1120" i="1"/>
  <c r="D1120" i="1"/>
  <c r="F1120" i="1"/>
  <c r="G1120" i="1"/>
  <c r="AC1120" i="1"/>
  <c r="AF1120" i="1"/>
  <c r="AH1120" i="1" s="1"/>
  <c r="C1121" i="1"/>
  <c r="D1121" i="1"/>
  <c r="F1121" i="1"/>
  <c r="G1121" i="1"/>
  <c r="AC1121" i="1"/>
  <c r="AF1121" i="1"/>
  <c r="AH1121" i="1" s="1"/>
  <c r="C1122" i="1"/>
  <c r="D1122" i="1"/>
  <c r="F1122" i="1"/>
  <c r="G1122" i="1"/>
  <c r="AC1122" i="1"/>
  <c r="AF1122" i="1"/>
  <c r="AH1122" i="1" s="1"/>
  <c r="C1123" i="1"/>
  <c r="D1123" i="1"/>
  <c r="F1123" i="1"/>
  <c r="G1123" i="1"/>
  <c r="AC1123" i="1"/>
  <c r="AF1123" i="1"/>
  <c r="C1124" i="1"/>
  <c r="D1124" i="1"/>
  <c r="F1124" i="1"/>
  <c r="G1124" i="1"/>
  <c r="AC1124" i="1"/>
  <c r="AF1124" i="1"/>
  <c r="C1125" i="1"/>
  <c r="D1125" i="1"/>
  <c r="F1125" i="1"/>
  <c r="G1125" i="1"/>
  <c r="AC1125" i="1"/>
  <c r="AF1125" i="1"/>
  <c r="AG1125" i="1" s="1"/>
  <c r="C1126" i="1"/>
  <c r="D1126" i="1"/>
  <c r="F1126" i="1"/>
  <c r="G1126" i="1"/>
  <c r="AC1126" i="1"/>
  <c r="AF1126" i="1"/>
  <c r="AH1126" i="1" s="1"/>
  <c r="C1127" i="1"/>
  <c r="D1127" i="1"/>
  <c r="F1127" i="1"/>
  <c r="G1127" i="1"/>
  <c r="AC1127" i="1"/>
  <c r="AF1127" i="1"/>
  <c r="AH1127" i="1" s="1"/>
  <c r="C1128" i="1"/>
  <c r="D1128" i="1"/>
  <c r="F1128" i="1"/>
  <c r="G1128" i="1"/>
  <c r="AC1128" i="1"/>
  <c r="AF1128" i="1"/>
  <c r="AG1128" i="1" s="1"/>
  <c r="C1129" i="1"/>
  <c r="D1129" i="1"/>
  <c r="F1129" i="1"/>
  <c r="G1129" i="1"/>
  <c r="AC1129" i="1"/>
  <c r="AF1129" i="1"/>
  <c r="AH1129" i="1" s="1"/>
  <c r="C1130" i="1"/>
  <c r="D1130" i="1"/>
  <c r="F1130" i="1"/>
  <c r="G1130" i="1"/>
  <c r="AC1130" i="1"/>
  <c r="AF1130" i="1"/>
  <c r="AH1130" i="1" s="1"/>
  <c r="C1131" i="1"/>
  <c r="D1131" i="1"/>
  <c r="F1131" i="1"/>
  <c r="G1131" i="1"/>
  <c r="AC1131" i="1"/>
  <c r="AI1131" i="1" s="1"/>
  <c r="AK1131" i="1" s="1"/>
  <c r="AF1131" i="1"/>
  <c r="AH1131" i="1" s="1"/>
  <c r="C1132" i="1"/>
  <c r="D1132" i="1"/>
  <c r="F1132" i="1"/>
  <c r="G1132" i="1"/>
  <c r="AC1132" i="1"/>
  <c r="AF1132" i="1"/>
  <c r="AH1132" i="1" s="1"/>
  <c r="C1133" i="1"/>
  <c r="D1133" i="1"/>
  <c r="F1133" i="1"/>
  <c r="G1133" i="1"/>
  <c r="AC1133" i="1"/>
  <c r="AI1133" i="1" s="1"/>
  <c r="AK1133" i="1" s="1"/>
  <c r="AF1133" i="1"/>
  <c r="AG1133" i="1" s="1"/>
  <c r="C1134" i="1"/>
  <c r="D1134" i="1"/>
  <c r="F1134" i="1"/>
  <c r="G1134" i="1"/>
  <c r="AC1134" i="1"/>
  <c r="AF1134" i="1"/>
  <c r="AH1134" i="1" s="1"/>
  <c r="C1135" i="1"/>
  <c r="D1135" i="1"/>
  <c r="F1135" i="1"/>
  <c r="G1135" i="1"/>
  <c r="AC1135" i="1"/>
  <c r="AI1135" i="1" s="1"/>
  <c r="AK1135" i="1" s="1"/>
  <c r="AF1135" i="1"/>
  <c r="AH1135" i="1" s="1"/>
  <c r="C1136" i="1"/>
  <c r="D1136" i="1"/>
  <c r="F1136" i="1"/>
  <c r="G1136" i="1"/>
  <c r="AC1136" i="1"/>
  <c r="AF1136" i="1"/>
  <c r="AH1136" i="1" s="1"/>
  <c r="C1137" i="1"/>
  <c r="D1137" i="1"/>
  <c r="F1137" i="1"/>
  <c r="G1137" i="1"/>
  <c r="AC1137" i="1"/>
  <c r="AI1137" i="1" s="1"/>
  <c r="AK1137" i="1" s="1"/>
  <c r="AF1137" i="1"/>
  <c r="AG1137" i="1" s="1"/>
  <c r="C1138" i="1"/>
  <c r="D1138" i="1"/>
  <c r="F1138" i="1"/>
  <c r="G1138" i="1"/>
  <c r="AC1138" i="1"/>
  <c r="AF1138" i="1"/>
  <c r="C1139" i="1"/>
  <c r="D1139" i="1"/>
  <c r="F1139" i="1"/>
  <c r="G1139" i="1"/>
  <c r="AC1139" i="1"/>
  <c r="AF1139" i="1"/>
  <c r="AG1139" i="1" s="1"/>
  <c r="C1140" i="1"/>
  <c r="D1140" i="1"/>
  <c r="F1140" i="1"/>
  <c r="G1140" i="1"/>
  <c r="AC1140" i="1"/>
  <c r="AF1140" i="1"/>
  <c r="AH1140" i="1" s="1"/>
  <c r="C1141" i="1"/>
  <c r="D1141" i="1"/>
  <c r="F1141" i="1"/>
  <c r="G1141" i="1"/>
  <c r="AC1141" i="1"/>
  <c r="AF1141" i="1"/>
  <c r="AG1141" i="1" s="1"/>
  <c r="C1142" i="1"/>
  <c r="D1142" i="1"/>
  <c r="F1142" i="1"/>
  <c r="G1142" i="1"/>
  <c r="AC1142" i="1"/>
  <c r="AF1142" i="1"/>
  <c r="C1143" i="1"/>
  <c r="D1143" i="1"/>
  <c r="F1143" i="1"/>
  <c r="G1143" i="1"/>
  <c r="AC1143" i="1"/>
  <c r="AF1143" i="1"/>
  <c r="AG1143" i="1" s="1"/>
  <c r="C1144" i="1"/>
  <c r="D1144" i="1"/>
  <c r="F1144" i="1"/>
  <c r="G1144" i="1"/>
  <c r="AC1144" i="1"/>
  <c r="AF1144" i="1"/>
  <c r="AH1144" i="1" s="1"/>
  <c r="C1145" i="1"/>
  <c r="D1145" i="1"/>
  <c r="F1145" i="1"/>
  <c r="G1145" i="1"/>
  <c r="AC1145" i="1"/>
  <c r="AF1145" i="1"/>
  <c r="AH1145" i="1" s="1"/>
  <c r="C1146" i="1"/>
  <c r="D1146" i="1"/>
  <c r="F1146" i="1"/>
  <c r="G1146" i="1"/>
  <c r="AC1146" i="1"/>
  <c r="AF1146" i="1"/>
  <c r="AH1146" i="1" s="1"/>
  <c r="C1147" i="1"/>
  <c r="D1147" i="1"/>
  <c r="F1147" i="1"/>
  <c r="G1147" i="1"/>
  <c r="AC1147" i="1"/>
  <c r="AF1147" i="1"/>
  <c r="AG1147" i="1" s="1"/>
  <c r="C1148" i="1"/>
  <c r="D1148" i="1"/>
  <c r="F1148" i="1"/>
  <c r="G1148" i="1"/>
  <c r="AC1148" i="1"/>
  <c r="AF1148" i="1"/>
  <c r="AG1148" i="1" s="1"/>
  <c r="C1149" i="1"/>
  <c r="D1149" i="1"/>
  <c r="F1149" i="1"/>
  <c r="G1149" i="1"/>
  <c r="AC1149" i="1"/>
  <c r="AF1149" i="1"/>
  <c r="AG1149" i="1" s="1"/>
  <c r="C1150" i="1"/>
  <c r="D1150" i="1"/>
  <c r="F1150" i="1"/>
  <c r="G1150" i="1"/>
  <c r="AC1150" i="1"/>
  <c r="AF1150" i="1"/>
  <c r="AG1150" i="1" s="1"/>
  <c r="C1151" i="1"/>
  <c r="D1151" i="1"/>
  <c r="F1151" i="1"/>
  <c r="G1151" i="1"/>
  <c r="AC1151" i="1"/>
  <c r="AI1151" i="1" s="1"/>
  <c r="AK1151" i="1" s="1"/>
  <c r="AF1151" i="1"/>
  <c r="C1152" i="1"/>
  <c r="D1152" i="1"/>
  <c r="F1152" i="1"/>
  <c r="G1152" i="1"/>
  <c r="AC1152" i="1"/>
  <c r="AF1152" i="1"/>
  <c r="AH1152" i="1" s="1"/>
  <c r="C1153" i="1"/>
  <c r="D1153" i="1"/>
  <c r="F1153" i="1"/>
  <c r="G1153" i="1"/>
  <c r="AC1153" i="1"/>
  <c r="AF1153" i="1"/>
  <c r="C1154" i="1"/>
  <c r="D1154" i="1"/>
  <c r="F1154" i="1"/>
  <c r="G1154" i="1"/>
  <c r="AC1154" i="1"/>
  <c r="AF1154" i="1"/>
  <c r="AG1154" i="1" s="1"/>
  <c r="C1155" i="1"/>
  <c r="D1155" i="1"/>
  <c r="F1155" i="1"/>
  <c r="G1155" i="1"/>
  <c r="AC1155" i="1"/>
  <c r="AI1155" i="1" s="1"/>
  <c r="AK1155" i="1" s="1"/>
  <c r="AF1155" i="1"/>
  <c r="AG1155" i="1" s="1"/>
  <c r="C1156" i="1"/>
  <c r="D1156" i="1"/>
  <c r="F1156" i="1"/>
  <c r="G1156" i="1"/>
  <c r="AC1156" i="1"/>
  <c r="AF1156" i="1"/>
  <c r="AG1156" i="1" s="1"/>
  <c r="C1157" i="1"/>
  <c r="D1157" i="1"/>
  <c r="F1157" i="1"/>
  <c r="G1157" i="1"/>
  <c r="AC1157" i="1"/>
  <c r="AI1157" i="1" s="1"/>
  <c r="AK1157" i="1" s="1"/>
  <c r="AF1157" i="1"/>
  <c r="AH1157" i="1" s="1"/>
  <c r="C1158" i="1"/>
  <c r="D1158" i="1"/>
  <c r="F1158" i="1"/>
  <c r="G1158" i="1"/>
  <c r="AC1158" i="1"/>
  <c r="AF1158" i="1"/>
  <c r="AH1158" i="1" s="1"/>
  <c r="C1159" i="1"/>
  <c r="D1159" i="1"/>
  <c r="F1159" i="1"/>
  <c r="G1159" i="1"/>
  <c r="AC1159" i="1"/>
  <c r="AI1159" i="1" s="1"/>
  <c r="AK1159" i="1" s="1"/>
  <c r="AF1159" i="1"/>
  <c r="AH1159" i="1" s="1"/>
  <c r="C1160" i="1"/>
  <c r="D1160" i="1"/>
  <c r="F1160" i="1"/>
  <c r="G1160" i="1"/>
  <c r="AC1160" i="1"/>
  <c r="AF1160" i="1"/>
  <c r="AH1160" i="1" s="1"/>
  <c r="C1161" i="1"/>
  <c r="D1161" i="1"/>
  <c r="F1161" i="1"/>
  <c r="G1161" i="1"/>
  <c r="AC1161" i="1"/>
  <c r="AF1161" i="1"/>
  <c r="AH1161" i="1" s="1"/>
  <c r="C1162" i="1"/>
  <c r="D1162" i="1"/>
  <c r="F1162" i="1"/>
  <c r="G1162" i="1"/>
  <c r="AC1162" i="1"/>
  <c r="AF1162" i="1"/>
  <c r="AH1162" i="1" s="1"/>
  <c r="C1163" i="1"/>
  <c r="D1163" i="1"/>
  <c r="F1163" i="1"/>
  <c r="G1163" i="1"/>
  <c r="AC1163" i="1"/>
  <c r="AF1163" i="1"/>
  <c r="C1164" i="1"/>
  <c r="D1164" i="1"/>
  <c r="F1164" i="1"/>
  <c r="G1164" i="1"/>
  <c r="AC1164" i="1"/>
  <c r="AF1164" i="1"/>
  <c r="AH1164" i="1" s="1"/>
  <c r="C1165" i="1"/>
  <c r="D1165" i="1"/>
  <c r="F1165" i="1"/>
  <c r="G1165" i="1"/>
  <c r="AC1165" i="1"/>
  <c r="AF1165" i="1"/>
  <c r="C1166" i="1"/>
  <c r="D1166" i="1"/>
  <c r="F1166" i="1"/>
  <c r="G1166" i="1"/>
  <c r="AC1166" i="1"/>
  <c r="AF1166" i="1"/>
  <c r="AG1166" i="1" s="1"/>
  <c r="C1167" i="1"/>
  <c r="D1167" i="1"/>
  <c r="F1167" i="1"/>
  <c r="G1167" i="1"/>
  <c r="AC1167" i="1"/>
  <c r="AF1167" i="1"/>
  <c r="C1168" i="1"/>
  <c r="D1168" i="1"/>
  <c r="F1168" i="1"/>
  <c r="G1168" i="1"/>
  <c r="AC1168" i="1"/>
  <c r="AF1168" i="1"/>
  <c r="AG1168" i="1" s="1"/>
  <c r="C1169" i="1"/>
  <c r="D1169" i="1"/>
  <c r="F1169" i="1"/>
  <c r="G1169" i="1"/>
  <c r="AC1169" i="1"/>
  <c r="AF1169" i="1"/>
  <c r="AG1169" i="1" s="1"/>
  <c r="C1170" i="1"/>
  <c r="D1170" i="1"/>
  <c r="F1170" i="1"/>
  <c r="G1170" i="1"/>
  <c r="AC1170" i="1"/>
  <c r="AF1170" i="1"/>
  <c r="AH1170" i="1" s="1"/>
  <c r="C1171" i="1"/>
  <c r="D1171" i="1"/>
  <c r="F1171" i="1"/>
  <c r="G1171" i="1"/>
  <c r="AC1171" i="1"/>
  <c r="AF1171" i="1"/>
  <c r="AH1171" i="1" s="1"/>
  <c r="C1172" i="1"/>
  <c r="D1172" i="1"/>
  <c r="F1172" i="1"/>
  <c r="G1172" i="1"/>
  <c r="AC1172" i="1"/>
  <c r="AF1172" i="1"/>
  <c r="AH1172" i="1" s="1"/>
  <c r="C1173" i="1"/>
  <c r="D1173" i="1"/>
  <c r="F1173" i="1"/>
  <c r="G1173" i="1"/>
  <c r="AC1173" i="1"/>
  <c r="AF1173" i="1"/>
  <c r="AG1173" i="1" s="1"/>
  <c r="C1174" i="1"/>
  <c r="D1174" i="1"/>
  <c r="F1174" i="1"/>
  <c r="G1174" i="1"/>
  <c r="AC1174" i="1"/>
  <c r="AF1174" i="1"/>
  <c r="C1175" i="1"/>
  <c r="D1175" i="1"/>
  <c r="F1175" i="1"/>
  <c r="G1175" i="1"/>
  <c r="AC1175" i="1"/>
  <c r="AI1175" i="1" s="1"/>
  <c r="AK1175" i="1" s="1"/>
  <c r="AF1175" i="1"/>
  <c r="AG1175" i="1" s="1"/>
  <c r="C1176" i="1"/>
  <c r="D1176" i="1"/>
  <c r="F1176" i="1"/>
  <c r="G1176" i="1"/>
  <c r="AC1176" i="1"/>
  <c r="AI1176" i="1" s="1"/>
  <c r="AK1176" i="1" s="1"/>
  <c r="AF1176" i="1"/>
  <c r="AG1176" i="1" s="1"/>
  <c r="C1177" i="1"/>
  <c r="D1177" i="1"/>
  <c r="F1177" i="1"/>
  <c r="G1177" i="1"/>
  <c r="AC1177" i="1"/>
  <c r="AF1177" i="1"/>
  <c r="AH1177" i="1" s="1"/>
  <c r="C1178" i="1"/>
  <c r="D1178" i="1"/>
  <c r="F1178" i="1"/>
  <c r="G1178" i="1"/>
  <c r="AC1178" i="1"/>
  <c r="AF1178" i="1"/>
  <c r="AG1178" i="1" s="1"/>
  <c r="C1179" i="1"/>
  <c r="D1179" i="1"/>
  <c r="F1179" i="1"/>
  <c r="G1179" i="1"/>
  <c r="AC1179" i="1"/>
  <c r="AF1179" i="1"/>
  <c r="AH1179" i="1" s="1"/>
  <c r="C1180" i="1"/>
  <c r="D1180" i="1"/>
  <c r="F1180" i="1"/>
  <c r="G1180" i="1"/>
  <c r="AC1180" i="1"/>
  <c r="AF1180" i="1"/>
  <c r="AH1180" i="1" s="1"/>
  <c r="C1181" i="1"/>
  <c r="D1181" i="1"/>
  <c r="F1181" i="1"/>
  <c r="G1181" i="1"/>
  <c r="AC1181" i="1"/>
  <c r="AF1181" i="1"/>
  <c r="AG1181" i="1" s="1"/>
  <c r="C1182" i="1"/>
  <c r="D1182" i="1"/>
  <c r="F1182" i="1"/>
  <c r="G1182" i="1"/>
  <c r="AC1182" i="1"/>
  <c r="AF1182" i="1"/>
  <c r="AG1182" i="1" s="1"/>
  <c r="C1183" i="1"/>
  <c r="D1183" i="1"/>
  <c r="F1183" i="1"/>
  <c r="G1183" i="1"/>
  <c r="AC1183" i="1"/>
  <c r="AF1183" i="1"/>
  <c r="C1184" i="1"/>
  <c r="D1184" i="1"/>
  <c r="F1184" i="1"/>
  <c r="G1184" i="1"/>
  <c r="AC1184" i="1"/>
  <c r="AF1184" i="1"/>
  <c r="C1185" i="1"/>
  <c r="D1185" i="1"/>
  <c r="F1185" i="1"/>
  <c r="G1185" i="1"/>
  <c r="AC1185" i="1"/>
  <c r="AF1185" i="1"/>
  <c r="C1186" i="1"/>
  <c r="D1186" i="1"/>
  <c r="F1186" i="1"/>
  <c r="G1186" i="1"/>
  <c r="AC1186" i="1"/>
  <c r="AF1186" i="1"/>
  <c r="AH1186" i="1" s="1"/>
  <c r="C1187" i="1"/>
  <c r="D1187" i="1"/>
  <c r="F1187" i="1"/>
  <c r="G1187" i="1"/>
  <c r="AC1187" i="1"/>
  <c r="AF1187" i="1"/>
  <c r="AH1187" i="1" s="1"/>
  <c r="C1188" i="1"/>
  <c r="D1188" i="1"/>
  <c r="F1188" i="1"/>
  <c r="G1188" i="1"/>
  <c r="AC1188" i="1"/>
  <c r="AF1188" i="1"/>
  <c r="AG1188" i="1" s="1"/>
  <c r="C1189" i="1"/>
  <c r="D1189" i="1"/>
  <c r="F1189" i="1"/>
  <c r="G1189" i="1"/>
  <c r="AC1189" i="1"/>
  <c r="AF1189" i="1"/>
  <c r="AH1189" i="1" s="1"/>
  <c r="C1190" i="1"/>
  <c r="D1190" i="1"/>
  <c r="F1190" i="1"/>
  <c r="G1190" i="1"/>
  <c r="AC1190" i="1"/>
  <c r="AF1190" i="1"/>
  <c r="AH1190" i="1" s="1"/>
  <c r="C1191" i="1"/>
  <c r="D1191" i="1"/>
  <c r="F1191" i="1"/>
  <c r="G1191" i="1"/>
  <c r="AC1191" i="1"/>
  <c r="AF1191" i="1"/>
  <c r="C1192" i="1"/>
  <c r="D1192" i="1"/>
  <c r="F1192" i="1"/>
  <c r="G1192" i="1"/>
  <c r="AC1192" i="1"/>
  <c r="AF1192" i="1"/>
  <c r="AG1192" i="1" s="1"/>
  <c r="C1193" i="1"/>
  <c r="D1193" i="1"/>
  <c r="F1193" i="1"/>
  <c r="G1193" i="1"/>
  <c r="AC1193" i="1"/>
  <c r="AF1193" i="1"/>
  <c r="C1194" i="1"/>
  <c r="D1194" i="1"/>
  <c r="F1194" i="1"/>
  <c r="G1194" i="1"/>
  <c r="AC1194" i="1"/>
  <c r="AF1194" i="1"/>
  <c r="AG1194" i="1" s="1"/>
  <c r="C1195" i="1"/>
  <c r="D1195" i="1"/>
  <c r="F1195" i="1"/>
  <c r="G1195" i="1"/>
  <c r="AC1195" i="1"/>
  <c r="AI1195" i="1" s="1"/>
  <c r="AK1195" i="1" s="1"/>
  <c r="AF1195" i="1"/>
  <c r="AG1195" i="1" s="1"/>
  <c r="C1196" i="1"/>
  <c r="D1196" i="1"/>
  <c r="F1196" i="1"/>
  <c r="G1196" i="1"/>
  <c r="AC1196" i="1"/>
  <c r="AF1196" i="1"/>
  <c r="AG1196" i="1" s="1"/>
  <c r="C1197" i="1"/>
  <c r="D1197" i="1"/>
  <c r="F1197" i="1"/>
  <c r="G1197" i="1"/>
  <c r="AC1197" i="1"/>
  <c r="AI1197" i="1" s="1"/>
  <c r="AK1197" i="1" s="1"/>
  <c r="AF1197" i="1"/>
  <c r="C1198" i="1"/>
  <c r="D1198" i="1"/>
  <c r="F1198" i="1"/>
  <c r="G1198" i="1"/>
  <c r="AC1198" i="1"/>
  <c r="AI1198" i="1" s="1"/>
  <c r="AK1198" i="1" s="1"/>
  <c r="AF1198" i="1"/>
  <c r="AG1198" i="1" s="1"/>
  <c r="C1199" i="1"/>
  <c r="D1199" i="1"/>
  <c r="F1199" i="1"/>
  <c r="G1199" i="1"/>
  <c r="AC1199" i="1"/>
  <c r="AF1199" i="1"/>
  <c r="AG1199" i="1" s="1"/>
  <c r="C1200" i="1"/>
  <c r="D1200" i="1"/>
  <c r="F1200" i="1"/>
  <c r="G1200" i="1"/>
  <c r="AC1200" i="1"/>
  <c r="AF1200" i="1"/>
  <c r="AG1200" i="1" s="1"/>
  <c r="C1201" i="1"/>
  <c r="D1201" i="1"/>
  <c r="F1201" i="1"/>
  <c r="G1201" i="1"/>
  <c r="AC1201" i="1"/>
  <c r="AF1201" i="1"/>
  <c r="AG1201" i="1" s="1"/>
  <c r="C1202" i="1"/>
  <c r="D1202" i="1"/>
  <c r="F1202" i="1"/>
  <c r="G1202" i="1"/>
  <c r="AC1202" i="1"/>
  <c r="AF1202" i="1"/>
  <c r="C1203" i="1"/>
  <c r="D1203" i="1"/>
  <c r="F1203" i="1"/>
  <c r="G1203" i="1"/>
  <c r="AC1203" i="1"/>
  <c r="AF1203" i="1"/>
  <c r="AG1203" i="1" s="1"/>
  <c r="C1204" i="1"/>
  <c r="D1204" i="1"/>
  <c r="F1204" i="1"/>
  <c r="G1204" i="1"/>
  <c r="AC1204" i="1"/>
  <c r="AF1204" i="1"/>
  <c r="C1205" i="1"/>
  <c r="D1205" i="1"/>
  <c r="F1205" i="1"/>
  <c r="G1205" i="1"/>
  <c r="AC1205" i="1"/>
  <c r="AF1205" i="1"/>
  <c r="AG1205" i="1" s="1"/>
  <c r="C1206" i="1"/>
  <c r="D1206" i="1"/>
  <c r="F1206" i="1"/>
  <c r="G1206" i="1"/>
  <c r="AC1206" i="1"/>
  <c r="AF1206" i="1"/>
  <c r="AG1206" i="1" s="1"/>
  <c r="C1207" i="1"/>
  <c r="D1207" i="1"/>
  <c r="F1207" i="1"/>
  <c r="G1207" i="1"/>
  <c r="AC1207" i="1"/>
  <c r="AF1207" i="1"/>
  <c r="AG1207" i="1" s="1"/>
  <c r="C1208" i="1"/>
  <c r="D1208" i="1"/>
  <c r="F1208" i="1"/>
  <c r="G1208" i="1"/>
  <c r="AC1208" i="1"/>
  <c r="AF1208" i="1"/>
  <c r="AH1208" i="1" s="1"/>
  <c r="C1209" i="1"/>
  <c r="D1209" i="1"/>
  <c r="F1209" i="1"/>
  <c r="G1209" i="1"/>
  <c r="AC1209" i="1"/>
  <c r="AI1209" i="1" s="1"/>
  <c r="AK1209" i="1" s="1"/>
  <c r="AF1209" i="1"/>
  <c r="AG1209" i="1" s="1"/>
  <c r="C1210" i="1"/>
  <c r="D1210" i="1"/>
  <c r="F1210" i="1"/>
  <c r="G1210" i="1"/>
  <c r="AC1210" i="1"/>
  <c r="AF1210" i="1"/>
  <c r="AG1210" i="1" s="1"/>
  <c r="C1211" i="1"/>
  <c r="D1211" i="1"/>
  <c r="F1211" i="1"/>
  <c r="G1211" i="1"/>
  <c r="AC1211" i="1"/>
  <c r="AF1211" i="1"/>
  <c r="AG1211" i="1" s="1"/>
  <c r="C1212" i="1"/>
  <c r="D1212" i="1"/>
  <c r="F1212" i="1"/>
  <c r="G1212" i="1"/>
  <c r="AC1212" i="1"/>
  <c r="AF1212" i="1"/>
  <c r="C1213" i="1"/>
  <c r="D1213" i="1"/>
  <c r="F1213" i="1"/>
  <c r="G1213" i="1"/>
  <c r="AC1213" i="1"/>
  <c r="AF1213" i="1"/>
  <c r="AG1213" i="1" s="1"/>
  <c r="C1214" i="1"/>
  <c r="D1214" i="1"/>
  <c r="F1214" i="1"/>
  <c r="G1214" i="1"/>
  <c r="AC1214" i="1"/>
  <c r="AF1214" i="1"/>
  <c r="AH1214" i="1" s="1"/>
  <c r="C1215" i="1"/>
  <c r="D1215" i="1"/>
  <c r="F1215" i="1"/>
  <c r="G1215" i="1"/>
  <c r="AC1215" i="1"/>
  <c r="AF1215" i="1"/>
  <c r="C1216" i="1"/>
  <c r="D1216" i="1"/>
  <c r="F1216" i="1"/>
  <c r="G1216" i="1"/>
  <c r="AC1216" i="1"/>
  <c r="AF1216" i="1"/>
  <c r="AG1216" i="1" s="1"/>
  <c r="AH1216" i="1"/>
  <c r="C1217" i="1"/>
  <c r="D1217" i="1"/>
  <c r="F1217" i="1"/>
  <c r="G1217" i="1"/>
  <c r="AC1217" i="1"/>
  <c r="AF1217" i="1"/>
  <c r="AH1217" i="1" s="1"/>
  <c r="C1218" i="1"/>
  <c r="D1218" i="1"/>
  <c r="F1218" i="1"/>
  <c r="G1218" i="1"/>
  <c r="AC1218" i="1"/>
  <c r="AF1218" i="1"/>
  <c r="AG1218" i="1" s="1"/>
  <c r="C1219" i="1"/>
  <c r="D1219" i="1"/>
  <c r="F1219" i="1"/>
  <c r="G1219" i="1"/>
  <c r="AC1219" i="1"/>
  <c r="AF1219" i="1"/>
  <c r="AH1219" i="1" s="1"/>
  <c r="C1220" i="1"/>
  <c r="D1220" i="1"/>
  <c r="F1220" i="1"/>
  <c r="G1220" i="1"/>
  <c r="AC1220" i="1"/>
  <c r="AI1220" i="1" s="1"/>
  <c r="AK1220" i="1" s="1"/>
  <c r="AF1220" i="1"/>
  <c r="AG1220" i="1" s="1"/>
  <c r="C1221" i="1"/>
  <c r="D1221" i="1"/>
  <c r="F1221" i="1"/>
  <c r="G1221" i="1"/>
  <c r="AC1221" i="1"/>
  <c r="AF1221" i="1"/>
  <c r="AH1221" i="1" s="1"/>
  <c r="C1222" i="1"/>
  <c r="D1222" i="1"/>
  <c r="F1222" i="1"/>
  <c r="G1222" i="1"/>
  <c r="AC1222" i="1"/>
  <c r="AF1222" i="1"/>
  <c r="AH1222" i="1" s="1"/>
  <c r="C1223" i="1"/>
  <c r="D1223" i="1"/>
  <c r="F1223" i="1"/>
  <c r="G1223" i="1"/>
  <c r="AC1223" i="1"/>
  <c r="AF1223" i="1"/>
  <c r="AG1223" i="1" s="1"/>
  <c r="C1224" i="1"/>
  <c r="D1224" i="1"/>
  <c r="F1224" i="1"/>
  <c r="G1224" i="1"/>
  <c r="AC1224" i="1"/>
  <c r="AF1224" i="1"/>
  <c r="AG1224" i="1" s="1"/>
  <c r="C1225" i="1"/>
  <c r="D1225" i="1"/>
  <c r="F1225" i="1"/>
  <c r="G1225" i="1"/>
  <c r="AC1225" i="1"/>
  <c r="AF1225" i="1"/>
  <c r="AG1225" i="1" s="1"/>
  <c r="C1226" i="1"/>
  <c r="D1226" i="1"/>
  <c r="F1226" i="1"/>
  <c r="G1226" i="1"/>
  <c r="AC1226" i="1"/>
  <c r="AF1226" i="1"/>
  <c r="AH1226" i="1" s="1"/>
  <c r="C1227" i="1"/>
  <c r="D1227" i="1"/>
  <c r="F1227" i="1"/>
  <c r="G1227" i="1"/>
  <c r="AC1227" i="1"/>
  <c r="AF1227" i="1"/>
  <c r="AH1227" i="1" s="1"/>
  <c r="C1228" i="1"/>
  <c r="D1228" i="1"/>
  <c r="F1228" i="1"/>
  <c r="G1228" i="1"/>
  <c r="AC1228" i="1"/>
  <c r="AF1228" i="1"/>
  <c r="AG1228" i="1" s="1"/>
  <c r="C1229" i="1"/>
  <c r="D1229" i="1"/>
  <c r="F1229" i="1"/>
  <c r="G1229" i="1"/>
  <c r="AC1229" i="1"/>
  <c r="AF1229" i="1"/>
  <c r="AG1229" i="1" s="1"/>
  <c r="C1230" i="1"/>
  <c r="D1230" i="1"/>
  <c r="F1230" i="1"/>
  <c r="G1230" i="1"/>
  <c r="AC1230" i="1"/>
  <c r="AF1230" i="1"/>
  <c r="C1231" i="1"/>
  <c r="D1231" i="1"/>
  <c r="F1231" i="1"/>
  <c r="G1231" i="1"/>
  <c r="AC1231" i="1"/>
  <c r="AF1231" i="1"/>
  <c r="AH1231" i="1" s="1"/>
  <c r="C1232" i="1"/>
  <c r="D1232" i="1"/>
  <c r="F1232" i="1"/>
  <c r="G1232" i="1"/>
  <c r="AC1232" i="1"/>
  <c r="AF1232" i="1"/>
  <c r="AG1232" i="1" s="1"/>
  <c r="C1233" i="1"/>
  <c r="D1233" i="1"/>
  <c r="F1233" i="1"/>
  <c r="G1233" i="1"/>
  <c r="AC1233" i="1"/>
  <c r="AF1233" i="1"/>
  <c r="AG1233" i="1" s="1"/>
  <c r="C1234" i="1"/>
  <c r="D1234" i="1"/>
  <c r="F1234" i="1"/>
  <c r="G1234" i="1"/>
  <c r="AC1234" i="1"/>
  <c r="AF1234" i="1"/>
  <c r="C1235" i="1"/>
  <c r="D1235" i="1"/>
  <c r="F1235" i="1"/>
  <c r="G1235" i="1"/>
  <c r="AC1235" i="1"/>
  <c r="AF1235" i="1"/>
  <c r="AH1235" i="1" s="1"/>
  <c r="C1236" i="1"/>
  <c r="D1236" i="1"/>
  <c r="F1236" i="1"/>
  <c r="G1236" i="1"/>
  <c r="AC1236" i="1"/>
  <c r="AF1236" i="1"/>
  <c r="AG1236" i="1" s="1"/>
  <c r="C1237" i="1"/>
  <c r="D1237" i="1"/>
  <c r="F1237" i="1"/>
  <c r="G1237" i="1"/>
  <c r="AC1237" i="1"/>
  <c r="AF1237" i="1"/>
  <c r="C1238" i="1"/>
  <c r="D1238" i="1"/>
  <c r="F1238" i="1"/>
  <c r="G1238" i="1"/>
  <c r="AC1238" i="1"/>
  <c r="AF1238" i="1"/>
  <c r="AG1238" i="1" s="1"/>
  <c r="C1239" i="1"/>
  <c r="D1239" i="1"/>
  <c r="F1239" i="1"/>
  <c r="G1239" i="1"/>
  <c r="AC1239" i="1"/>
  <c r="AF1239" i="1"/>
  <c r="AG1239" i="1" s="1"/>
  <c r="C1240" i="1"/>
  <c r="D1240" i="1"/>
  <c r="F1240" i="1"/>
  <c r="G1240" i="1"/>
  <c r="AC1240" i="1"/>
  <c r="AF1240" i="1"/>
  <c r="AG1240" i="1" s="1"/>
  <c r="C1241" i="1"/>
  <c r="D1241" i="1"/>
  <c r="F1241" i="1"/>
  <c r="G1241" i="1"/>
  <c r="AC1241" i="1"/>
  <c r="AF1241" i="1"/>
  <c r="AH1241" i="1" s="1"/>
  <c r="C1242" i="1"/>
  <c r="D1242" i="1"/>
  <c r="F1242" i="1"/>
  <c r="G1242" i="1"/>
  <c r="AC1242" i="1"/>
  <c r="AI1242" i="1" s="1"/>
  <c r="AK1242" i="1" s="1"/>
  <c r="AF1242" i="1"/>
  <c r="C1243" i="1"/>
  <c r="D1243" i="1"/>
  <c r="F1243" i="1"/>
  <c r="G1243" i="1"/>
  <c r="AC1243" i="1"/>
  <c r="AF1243" i="1"/>
  <c r="AG1243" i="1" s="1"/>
  <c r="C1244" i="1"/>
  <c r="D1244" i="1"/>
  <c r="F1244" i="1"/>
  <c r="G1244" i="1"/>
  <c r="AC1244" i="1"/>
  <c r="AF1244" i="1"/>
  <c r="AH1244" i="1" s="1"/>
  <c r="C1245" i="1"/>
  <c r="D1245" i="1"/>
  <c r="F1245" i="1"/>
  <c r="G1245" i="1"/>
  <c r="AC1245" i="1"/>
  <c r="AF1245" i="1"/>
  <c r="AG1245" i="1" s="1"/>
  <c r="C1246" i="1"/>
  <c r="D1246" i="1"/>
  <c r="F1246" i="1"/>
  <c r="G1246" i="1"/>
  <c r="AC1246" i="1"/>
  <c r="AF1246" i="1"/>
  <c r="C1247" i="1"/>
  <c r="D1247" i="1"/>
  <c r="F1247" i="1"/>
  <c r="G1247" i="1"/>
  <c r="AC1247" i="1"/>
  <c r="AF1247" i="1"/>
  <c r="AG1247" i="1" s="1"/>
  <c r="C1248" i="1"/>
  <c r="D1248" i="1"/>
  <c r="F1248" i="1"/>
  <c r="G1248" i="1"/>
  <c r="AC1248" i="1"/>
  <c r="AF1248" i="1"/>
  <c r="AG1248" i="1" s="1"/>
  <c r="C1249" i="1"/>
  <c r="D1249" i="1"/>
  <c r="F1249" i="1"/>
  <c r="G1249" i="1"/>
  <c r="AC1249" i="1"/>
  <c r="AF1249" i="1"/>
  <c r="AG1249" i="1" s="1"/>
  <c r="C1250" i="1"/>
  <c r="D1250" i="1"/>
  <c r="F1250" i="1"/>
  <c r="G1250" i="1"/>
  <c r="AC1250" i="1"/>
  <c r="AF1250" i="1"/>
  <c r="AH1250" i="1" s="1"/>
  <c r="C1251" i="1"/>
  <c r="D1251" i="1"/>
  <c r="F1251" i="1"/>
  <c r="G1251" i="1"/>
  <c r="AC1251" i="1"/>
  <c r="AF1251" i="1"/>
  <c r="AH1251" i="1" s="1"/>
  <c r="C1252" i="1"/>
  <c r="D1252" i="1"/>
  <c r="F1252" i="1"/>
  <c r="G1252" i="1"/>
  <c r="AC1252" i="1"/>
  <c r="AF1252" i="1"/>
  <c r="AG1252" i="1" s="1"/>
  <c r="C1253" i="1"/>
  <c r="D1253" i="1"/>
  <c r="F1253" i="1"/>
  <c r="G1253" i="1"/>
  <c r="AC1253" i="1"/>
  <c r="AF1253" i="1"/>
  <c r="AH1253" i="1" s="1"/>
  <c r="C1254" i="1"/>
  <c r="D1254" i="1"/>
  <c r="F1254" i="1"/>
  <c r="G1254" i="1"/>
  <c r="AC1254" i="1"/>
  <c r="AF1254" i="1"/>
  <c r="C1255" i="1"/>
  <c r="D1255" i="1"/>
  <c r="F1255" i="1"/>
  <c r="G1255" i="1"/>
  <c r="AC1255" i="1"/>
  <c r="AF1255" i="1"/>
  <c r="AG1255" i="1" s="1"/>
  <c r="C1256" i="1"/>
  <c r="D1256" i="1"/>
  <c r="F1256" i="1"/>
  <c r="G1256" i="1"/>
  <c r="AC1256" i="1"/>
  <c r="AF1256" i="1"/>
  <c r="C1257" i="1"/>
  <c r="D1257" i="1"/>
  <c r="F1257" i="1"/>
  <c r="G1257" i="1"/>
  <c r="AC1257" i="1"/>
  <c r="AF1257" i="1"/>
  <c r="AG1257" i="1" s="1"/>
  <c r="C1258" i="1"/>
  <c r="D1258" i="1"/>
  <c r="F1258" i="1"/>
  <c r="G1258" i="1"/>
  <c r="AC1258" i="1"/>
  <c r="AF1258" i="1"/>
  <c r="AH1258" i="1" s="1"/>
  <c r="C1259" i="1"/>
  <c r="D1259" i="1"/>
  <c r="F1259" i="1"/>
  <c r="G1259" i="1"/>
  <c r="AC1259" i="1"/>
  <c r="AF1259" i="1"/>
  <c r="AH1259" i="1" s="1"/>
  <c r="C1260" i="1"/>
  <c r="D1260" i="1"/>
  <c r="F1260" i="1"/>
  <c r="G1260" i="1"/>
  <c r="AC1260" i="1"/>
  <c r="AF1260" i="1"/>
  <c r="AH1260" i="1" s="1"/>
  <c r="C1261" i="1"/>
  <c r="D1261" i="1"/>
  <c r="F1261" i="1"/>
  <c r="G1261" i="1"/>
  <c r="AC1261" i="1"/>
  <c r="AF1261" i="1"/>
  <c r="C1262" i="1"/>
  <c r="D1262" i="1"/>
  <c r="F1262" i="1"/>
  <c r="G1262" i="1"/>
  <c r="AC1262" i="1"/>
  <c r="AF1262" i="1"/>
  <c r="AH1262" i="1" s="1"/>
  <c r="C1263" i="1"/>
  <c r="D1263" i="1"/>
  <c r="F1263" i="1"/>
  <c r="G1263" i="1"/>
  <c r="AC1263" i="1"/>
  <c r="AI1263" i="1" s="1"/>
  <c r="AK1263" i="1" s="1"/>
  <c r="AF1263" i="1"/>
  <c r="AG1263" i="1" s="1"/>
  <c r="C1264" i="1"/>
  <c r="D1264" i="1"/>
  <c r="F1264" i="1"/>
  <c r="G1264" i="1"/>
  <c r="AC1264" i="1"/>
  <c r="AI1264" i="1" s="1"/>
  <c r="AK1264" i="1" s="1"/>
  <c r="AF1264" i="1"/>
  <c r="AH1264" i="1" s="1"/>
  <c r="C1265" i="1"/>
  <c r="D1265" i="1"/>
  <c r="F1265" i="1"/>
  <c r="G1265" i="1"/>
  <c r="AC1265" i="1"/>
  <c r="AF1265" i="1"/>
  <c r="AG1265" i="1" s="1"/>
  <c r="C1266" i="1"/>
  <c r="D1266" i="1"/>
  <c r="F1266" i="1"/>
  <c r="G1266" i="1"/>
  <c r="AC1266" i="1"/>
  <c r="AF1266" i="1"/>
  <c r="AG1266" i="1" s="1"/>
  <c r="C1267" i="1"/>
  <c r="D1267" i="1"/>
  <c r="F1267" i="1"/>
  <c r="G1267" i="1"/>
  <c r="AC1267" i="1"/>
  <c r="AF1267" i="1"/>
  <c r="C1268" i="1"/>
  <c r="D1268" i="1"/>
  <c r="F1268" i="1"/>
  <c r="G1268" i="1"/>
  <c r="AC1268" i="1"/>
  <c r="AF1268" i="1"/>
  <c r="AG1268" i="1" s="1"/>
  <c r="C1269" i="1"/>
  <c r="D1269" i="1"/>
  <c r="F1269" i="1"/>
  <c r="G1269" i="1"/>
  <c r="AC1269" i="1"/>
  <c r="AF1269" i="1"/>
  <c r="C1270" i="1"/>
  <c r="D1270" i="1"/>
  <c r="F1270" i="1"/>
  <c r="G1270" i="1"/>
  <c r="AC1270" i="1"/>
  <c r="AF1270" i="1"/>
  <c r="AH1270" i="1" s="1"/>
  <c r="C1271" i="1"/>
  <c r="D1271" i="1"/>
  <c r="F1271" i="1"/>
  <c r="G1271" i="1"/>
  <c r="AC1271" i="1"/>
  <c r="AF1271" i="1"/>
  <c r="AG1271" i="1" s="1"/>
  <c r="C1272" i="1"/>
  <c r="D1272" i="1"/>
  <c r="F1272" i="1"/>
  <c r="G1272" i="1"/>
  <c r="AC1272" i="1"/>
  <c r="AF1272" i="1"/>
  <c r="AH1272" i="1" s="1"/>
  <c r="C1273" i="1"/>
  <c r="D1273" i="1"/>
  <c r="F1273" i="1"/>
  <c r="G1273" i="1"/>
  <c r="AC1273" i="1"/>
  <c r="AF1273" i="1"/>
  <c r="AH1273" i="1" s="1"/>
  <c r="C1274" i="1"/>
  <c r="D1274" i="1"/>
  <c r="F1274" i="1"/>
  <c r="G1274" i="1"/>
  <c r="AC1274" i="1"/>
  <c r="AF1274" i="1"/>
  <c r="AH1274" i="1" s="1"/>
  <c r="C1275" i="1"/>
  <c r="D1275" i="1"/>
  <c r="F1275" i="1"/>
  <c r="G1275" i="1"/>
  <c r="AC1275" i="1"/>
  <c r="AF1275" i="1"/>
  <c r="AH1275" i="1" s="1"/>
  <c r="C1276" i="1"/>
  <c r="D1276" i="1"/>
  <c r="F1276" i="1"/>
  <c r="G1276" i="1"/>
  <c r="AC1276" i="1"/>
  <c r="AF1276" i="1"/>
  <c r="AG1276" i="1" s="1"/>
  <c r="C1277" i="1"/>
  <c r="D1277" i="1"/>
  <c r="F1277" i="1"/>
  <c r="G1277" i="1"/>
  <c r="AC1277" i="1"/>
  <c r="AF1277" i="1"/>
  <c r="AH1277" i="1" s="1"/>
  <c r="C1278" i="1"/>
  <c r="D1278" i="1"/>
  <c r="F1278" i="1"/>
  <c r="G1278" i="1"/>
  <c r="AC1278" i="1"/>
  <c r="AF1278" i="1"/>
  <c r="AG1278" i="1" s="1"/>
  <c r="C1279" i="1"/>
  <c r="D1279" i="1"/>
  <c r="F1279" i="1"/>
  <c r="G1279" i="1"/>
  <c r="AC1279" i="1"/>
  <c r="AF1279" i="1"/>
  <c r="AG1279" i="1" s="1"/>
  <c r="C1280" i="1"/>
  <c r="D1280" i="1"/>
  <c r="F1280" i="1"/>
  <c r="G1280" i="1"/>
  <c r="AC1280" i="1"/>
  <c r="AF1280" i="1"/>
  <c r="C1281" i="1"/>
  <c r="D1281" i="1"/>
  <c r="F1281" i="1"/>
  <c r="G1281" i="1"/>
  <c r="AC1281" i="1"/>
  <c r="AF1281" i="1"/>
  <c r="AG1281" i="1" s="1"/>
  <c r="C1282" i="1"/>
  <c r="D1282" i="1"/>
  <c r="F1282" i="1"/>
  <c r="G1282" i="1"/>
  <c r="AC1282" i="1"/>
  <c r="AF1282" i="1"/>
  <c r="AG1282" i="1" s="1"/>
  <c r="C1283" i="1"/>
  <c r="D1283" i="1"/>
  <c r="F1283" i="1"/>
  <c r="G1283" i="1"/>
  <c r="AC1283" i="1"/>
  <c r="AF1283" i="1"/>
  <c r="AH1283" i="1" s="1"/>
  <c r="C1284" i="1"/>
  <c r="D1284" i="1"/>
  <c r="F1284" i="1"/>
  <c r="G1284" i="1"/>
  <c r="AC1284" i="1"/>
  <c r="AI1284" i="1" s="1"/>
  <c r="AK1284" i="1" s="1"/>
  <c r="AF1284" i="1"/>
  <c r="AG1284" i="1" s="1"/>
  <c r="C1285" i="1"/>
  <c r="D1285" i="1"/>
  <c r="F1285" i="1"/>
  <c r="G1285" i="1"/>
  <c r="AC1285" i="1"/>
  <c r="AI1285" i="1" s="1"/>
  <c r="AK1285" i="1" s="1"/>
  <c r="AF1285" i="1"/>
  <c r="C1286" i="1"/>
  <c r="D1286" i="1"/>
  <c r="F1286" i="1"/>
  <c r="G1286" i="1"/>
  <c r="AC1286" i="1"/>
  <c r="AF1286" i="1"/>
  <c r="AG1286" i="1" s="1"/>
  <c r="C1287" i="1"/>
  <c r="D1287" i="1"/>
  <c r="F1287" i="1"/>
  <c r="G1287" i="1"/>
  <c r="AC1287" i="1"/>
  <c r="AF1287" i="1"/>
  <c r="AG1287" i="1" s="1"/>
  <c r="C1288" i="1"/>
  <c r="D1288" i="1"/>
  <c r="F1288" i="1"/>
  <c r="G1288" i="1"/>
  <c r="AC1288" i="1"/>
  <c r="AF1288" i="1"/>
  <c r="AG1288" i="1" s="1"/>
  <c r="C1289" i="1"/>
  <c r="D1289" i="1"/>
  <c r="F1289" i="1"/>
  <c r="G1289" i="1"/>
  <c r="AC1289" i="1"/>
  <c r="AF1289" i="1"/>
  <c r="AG1289" i="1" s="1"/>
  <c r="C1290" i="1"/>
  <c r="D1290" i="1"/>
  <c r="F1290" i="1"/>
  <c r="G1290" i="1"/>
  <c r="AC1290" i="1"/>
  <c r="AF1290" i="1"/>
  <c r="AG1290" i="1" s="1"/>
  <c r="C1291" i="1"/>
  <c r="D1291" i="1"/>
  <c r="F1291" i="1"/>
  <c r="G1291" i="1"/>
  <c r="AC1291" i="1"/>
  <c r="AI1291" i="1" s="1"/>
  <c r="AK1291" i="1" s="1"/>
  <c r="AF1291" i="1"/>
  <c r="AH1291" i="1" s="1"/>
  <c r="C1292" i="1"/>
  <c r="D1292" i="1"/>
  <c r="F1292" i="1"/>
  <c r="G1292" i="1"/>
  <c r="AC1292" i="1"/>
  <c r="AF1292" i="1"/>
  <c r="AG1292" i="1" s="1"/>
  <c r="C1293" i="1"/>
  <c r="D1293" i="1"/>
  <c r="F1293" i="1"/>
  <c r="G1293" i="1"/>
  <c r="AC1293" i="1"/>
  <c r="AF1293" i="1"/>
  <c r="AG1293" i="1" s="1"/>
  <c r="C1294" i="1"/>
  <c r="D1294" i="1"/>
  <c r="F1294" i="1"/>
  <c r="G1294" i="1"/>
  <c r="AC1294" i="1"/>
  <c r="AF1294" i="1"/>
  <c r="AG1294" i="1" s="1"/>
  <c r="C1295" i="1"/>
  <c r="D1295" i="1"/>
  <c r="F1295" i="1"/>
  <c r="G1295" i="1"/>
  <c r="AC1295" i="1"/>
  <c r="AF1295" i="1"/>
  <c r="C1296" i="1"/>
  <c r="D1296" i="1"/>
  <c r="F1296" i="1"/>
  <c r="G1296" i="1"/>
  <c r="AC1296" i="1"/>
  <c r="AF1296" i="1"/>
  <c r="AH1296" i="1" s="1"/>
  <c r="C1297" i="1"/>
  <c r="D1297" i="1"/>
  <c r="F1297" i="1"/>
  <c r="G1297" i="1"/>
  <c r="AC1297" i="1"/>
  <c r="AF1297" i="1"/>
  <c r="AG1297" i="1" s="1"/>
  <c r="C1298" i="1"/>
  <c r="D1298" i="1"/>
  <c r="F1298" i="1"/>
  <c r="G1298" i="1"/>
  <c r="AC1298" i="1"/>
  <c r="AF1298" i="1"/>
  <c r="AG1298" i="1" s="1"/>
  <c r="C1299" i="1"/>
  <c r="D1299" i="1"/>
  <c r="F1299" i="1"/>
  <c r="G1299" i="1"/>
  <c r="AC1299" i="1"/>
  <c r="AF1299" i="1"/>
  <c r="C1300" i="1"/>
  <c r="D1300" i="1"/>
  <c r="F1300" i="1"/>
  <c r="G1300" i="1"/>
  <c r="AC1300" i="1"/>
  <c r="AF1300" i="1"/>
  <c r="C1301" i="1"/>
  <c r="D1301" i="1"/>
  <c r="F1301" i="1"/>
  <c r="G1301" i="1"/>
  <c r="AC1301" i="1"/>
  <c r="AF1301" i="1"/>
  <c r="AG1301" i="1" s="1"/>
  <c r="C1302" i="1"/>
  <c r="D1302" i="1"/>
  <c r="F1302" i="1"/>
  <c r="G1302" i="1"/>
  <c r="AC1302" i="1"/>
  <c r="AF1302" i="1"/>
  <c r="AG1302" i="1" s="1"/>
  <c r="C1303" i="1"/>
  <c r="D1303" i="1"/>
  <c r="F1303" i="1"/>
  <c r="G1303" i="1"/>
  <c r="AC1303" i="1"/>
  <c r="AF1303" i="1"/>
  <c r="AH1303" i="1" s="1"/>
  <c r="C1304" i="1"/>
  <c r="D1304" i="1"/>
  <c r="F1304" i="1"/>
  <c r="G1304" i="1"/>
  <c r="AC1304" i="1"/>
  <c r="AF1304" i="1"/>
  <c r="AG1304" i="1" s="1"/>
  <c r="C1305" i="1"/>
  <c r="D1305" i="1"/>
  <c r="F1305" i="1"/>
  <c r="G1305" i="1"/>
  <c r="AC1305" i="1"/>
  <c r="AF1305" i="1"/>
  <c r="AH1305" i="1" s="1"/>
  <c r="C1306" i="1"/>
  <c r="D1306" i="1"/>
  <c r="F1306" i="1"/>
  <c r="G1306" i="1"/>
  <c r="AC1306" i="1"/>
  <c r="AF1306" i="1"/>
  <c r="AG1306" i="1" s="1"/>
  <c r="C1307" i="1"/>
  <c r="D1307" i="1"/>
  <c r="F1307" i="1"/>
  <c r="G1307" i="1"/>
  <c r="AC1307" i="1"/>
  <c r="AI1307" i="1" s="1"/>
  <c r="AK1307" i="1" s="1"/>
  <c r="AF1307" i="1"/>
  <c r="C1308" i="1"/>
  <c r="D1308" i="1"/>
  <c r="F1308" i="1"/>
  <c r="G1308" i="1"/>
  <c r="AC1308" i="1"/>
  <c r="AF1308" i="1"/>
  <c r="AH1308" i="1" s="1"/>
  <c r="C1309" i="1"/>
  <c r="D1309" i="1"/>
  <c r="F1309" i="1"/>
  <c r="G1309" i="1"/>
  <c r="AC1309" i="1"/>
  <c r="AF1309" i="1"/>
  <c r="AH1309" i="1" s="1"/>
  <c r="C1310" i="1"/>
  <c r="D1310" i="1"/>
  <c r="F1310" i="1"/>
  <c r="G1310" i="1"/>
  <c r="AC1310" i="1"/>
  <c r="AF1310" i="1"/>
  <c r="AG1310" i="1" s="1"/>
  <c r="C1311" i="1"/>
  <c r="D1311" i="1"/>
  <c r="F1311" i="1"/>
  <c r="G1311" i="1"/>
  <c r="AC1311" i="1"/>
  <c r="AF1311" i="1"/>
  <c r="AG1311" i="1" s="1"/>
  <c r="C1312" i="1"/>
  <c r="D1312" i="1"/>
  <c r="F1312" i="1"/>
  <c r="G1312" i="1"/>
  <c r="AC1312" i="1"/>
  <c r="AF1312" i="1"/>
  <c r="AH1312" i="1" s="1"/>
  <c r="C1313" i="1"/>
  <c r="D1313" i="1"/>
  <c r="F1313" i="1"/>
  <c r="G1313" i="1"/>
  <c r="AC1313" i="1"/>
  <c r="AF1313" i="1"/>
  <c r="C1314" i="1"/>
  <c r="D1314" i="1"/>
  <c r="F1314" i="1"/>
  <c r="G1314" i="1"/>
  <c r="AC1314" i="1"/>
  <c r="AF1314" i="1"/>
  <c r="C1315" i="1"/>
  <c r="D1315" i="1"/>
  <c r="F1315" i="1"/>
  <c r="G1315" i="1"/>
  <c r="AC1315" i="1"/>
  <c r="AF1315" i="1"/>
  <c r="C1316" i="1"/>
  <c r="D1316" i="1"/>
  <c r="F1316" i="1"/>
  <c r="G1316" i="1"/>
  <c r="AC1316" i="1"/>
  <c r="AF1316" i="1"/>
  <c r="AH1316" i="1" s="1"/>
  <c r="C1317" i="1"/>
  <c r="D1317" i="1"/>
  <c r="F1317" i="1"/>
  <c r="G1317" i="1"/>
  <c r="AC1317" i="1"/>
  <c r="AF1317" i="1"/>
  <c r="C1318" i="1"/>
  <c r="D1318" i="1"/>
  <c r="F1318" i="1"/>
  <c r="G1318" i="1"/>
  <c r="AC1318" i="1"/>
  <c r="AF1318" i="1"/>
  <c r="AH1318" i="1" s="1"/>
  <c r="C1319" i="1"/>
  <c r="D1319" i="1"/>
  <c r="F1319" i="1"/>
  <c r="G1319" i="1"/>
  <c r="AC1319" i="1"/>
  <c r="AF1319" i="1"/>
  <c r="AG1319" i="1" s="1"/>
  <c r="C1320" i="1"/>
  <c r="D1320" i="1"/>
  <c r="F1320" i="1"/>
  <c r="G1320" i="1"/>
  <c r="AC1320" i="1"/>
  <c r="AF1320" i="1"/>
  <c r="AH1320" i="1" s="1"/>
  <c r="C1321" i="1"/>
  <c r="D1321" i="1"/>
  <c r="F1321" i="1"/>
  <c r="G1321" i="1"/>
  <c r="AC1321" i="1"/>
  <c r="AF1321" i="1"/>
  <c r="AG1321" i="1" s="1"/>
  <c r="C1322" i="1"/>
  <c r="D1322" i="1"/>
  <c r="F1322" i="1"/>
  <c r="G1322" i="1"/>
  <c r="AC1322" i="1"/>
  <c r="AF1322" i="1"/>
  <c r="AG1322" i="1" s="1"/>
  <c r="C1323" i="1"/>
  <c r="D1323" i="1"/>
  <c r="F1323" i="1"/>
  <c r="G1323" i="1"/>
  <c r="AC1323" i="1"/>
  <c r="AF1323" i="1"/>
  <c r="AG1323" i="1" s="1"/>
  <c r="C1324" i="1"/>
  <c r="D1324" i="1"/>
  <c r="F1324" i="1"/>
  <c r="G1324" i="1"/>
  <c r="AC1324" i="1"/>
  <c r="AF1324" i="1"/>
  <c r="AG1324" i="1" s="1"/>
  <c r="C1325" i="1"/>
  <c r="D1325" i="1"/>
  <c r="F1325" i="1"/>
  <c r="G1325" i="1"/>
  <c r="AC1325" i="1"/>
  <c r="AF1325" i="1"/>
  <c r="AG1325" i="1" s="1"/>
  <c r="C1326" i="1"/>
  <c r="D1326" i="1"/>
  <c r="F1326" i="1"/>
  <c r="G1326" i="1"/>
  <c r="AC1326" i="1"/>
  <c r="AF1326" i="1"/>
  <c r="C1327" i="1"/>
  <c r="D1327" i="1"/>
  <c r="F1327" i="1"/>
  <c r="G1327" i="1"/>
  <c r="AC1327" i="1"/>
  <c r="AF1327" i="1"/>
  <c r="C1328" i="1"/>
  <c r="D1328" i="1"/>
  <c r="F1328" i="1"/>
  <c r="G1328" i="1"/>
  <c r="AC1328" i="1"/>
  <c r="AF1328" i="1"/>
  <c r="C1329" i="1"/>
  <c r="D1329" i="1"/>
  <c r="F1329" i="1"/>
  <c r="G1329" i="1"/>
  <c r="AC1329" i="1"/>
  <c r="AF1329" i="1"/>
  <c r="AH1329" i="1" s="1"/>
  <c r="C1330" i="1"/>
  <c r="D1330" i="1"/>
  <c r="F1330" i="1"/>
  <c r="G1330" i="1"/>
  <c r="AC1330" i="1"/>
  <c r="AF1330" i="1"/>
  <c r="AG1330" i="1" s="1"/>
  <c r="C1331" i="1"/>
  <c r="D1331" i="1"/>
  <c r="F1331" i="1"/>
  <c r="G1331" i="1"/>
  <c r="AC1331" i="1"/>
  <c r="AI1331" i="1" s="1"/>
  <c r="AK1331" i="1" s="1"/>
  <c r="AF1331" i="1"/>
  <c r="AG1331" i="1" s="1"/>
  <c r="C1332" i="1"/>
  <c r="D1332" i="1"/>
  <c r="F1332" i="1"/>
  <c r="G1332" i="1"/>
  <c r="AC1332" i="1"/>
  <c r="AF1332" i="1"/>
  <c r="AG1332" i="1" s="1"/>
  <c r="C1333" i="1"/>
  <c r="D1333" i="1"/>
  <c r="F1333" i="1"/>
  <c r="G1333" i="1"/>
  <c r="AC1333" i="1"/>
  <c r="AI1333" i="1" s="1"/>
  <c r="AK1333" i="1" s="1"/>
  <c r="AF1333" i="1"/>
  <c r="AG1333" i="1" s="1"/>
  <c r="C1334" i="1"/>
  <c r="D1334" i="1"/>
  <c r="F1334" i="1"/>
  <c r="G1334" i="1"/>
  <c r="AC1334" i="1"/>
  <c r="AF1334" i="1"/>
  <c r="AG1334" i="1" s="1"/>
  <c r="C1335" i="1"/>
  <c r="D1335" i="1"/>
  <c r="F1335" i="1"/>
  <c r="G1335" i="1"/>
  <c r="AC1335" i="1"/>
  <c r="AI1335" i="1" s="1"/>
  <c r="AK1335" i="1" s="1"/>
  <c r="AF1335" i="1"/>
  <c r="C1336" i="1"/>
  <c r="D1336" i="1"/>
  <c r="F1336" i="1"/>
  <c r="G1336" i="1"/>
  <c r="AC1336" i="1"/>
  <c r="AF1336" i="1"/>
  <c r="AG1336" i="1" s="1"/>
  <c r="C1337" i="1"/>
  <c r="D1337" i="1"/>
  <c r="F1337" i="1"/>
  <c r="G1337" i="1"/>
  <c r="AC1337" i="1"/>
  <c r="AF1337" i="1"/>
  <c r="AG1337" i="1" s="1"/>
  <c r="R275" i="1"/>
  <c r="AF359" i="1"/>
  <c r="AG359" i="1" s="1"/>
  <c r="AF358" i="1"/>
  <c r="AG358" i="1" s="1"/>
  <c r="AF357" i="1"/>
  <c r="AG357" i="1" s="1"/>
  <c r="AF356" i="1"/>
  <c r="AH356" i="1" s="1"/>
  <c r="AF355" i="1"/>
  <c r="AH355" i="1" s="1"/>
  <c r="AF354" i="1"/>
  <c r="AF353" i="1"/>
  <c r="AF352" i="1"/>
  <c r="AH352" i="1" s="1"/>
  <c r="AF351" i="1"/>
  <c r="AH351" i="1" s="1"/>
  <c r="AF350" i="1"/>
  <c r="AH350" i="1" s="1"/>
  <c r="AF349" i="1"/>
  <c r="AG349" i="1" s="1"/>
  <c r="AF348" i="1"/>
  <c r="AG348" i="1" s="1"/>
  <c r="AF347" i="1"/>
  <c r="AF346" i="1"/>
  <c r="AH346" i="1" s="1"/>
  <c r="AF345" i="1"/>
  <c r="AF344" i="1"/>
  <c r="AH344" i="1" s="1"/>
  <c r="AF343" i="1"/>
  <c r="AH343" i="1" s="1"/>
  <c r="AF342" i="1"/>
  <c r="AG342" i="1"/>
  <c r="AF341" i="1"/>
  <c r="AH341" i="1" s="1"/>
  <c r="AF340" i="1"/>
  <c r="AG340" i="1" s="1"/>
  <c r="AF339" i="1"/>
  <c r="AH339" i="1" s="1"/>
  <c r="AF338" i="1"/>
  <c r="AF337" i="1"/>
  <c r="AH337" i="1" s="1"/>
  <c r="AF336" i="1"/>
  <c r="AH336" i="1" s="1"/>
  <c r="AF335" i="1"/>
  <c r="AG335" i="1" s="1"/>
  <c r="AF334" i="1"/>
  <c r="AG334" i="1" s="1"/>
  <c r="AF333" i="1"/>
  <c r="AF332" i="1"/>
  <c r="AF331" i="1"/>
  <c r="AG331" i="1" s="1"/>
  <c r="AF330" i="1"/>
  <c r="AF329" i="1"/>
  <c r="AF328" i="1"/>
  <c r="AH328" i="1" s="1"/>
  <c r="AF327" i="1"/>
  <c r="AH327" i="1" s="1"/>
  <c r="AF326" i="1"/>
  <c r="AG326" i="1" s="1"/>
  <c r="AF325" i="1"/>
  <c r="AG325" i="1" s="1"/>
  <c r="AF324" i="1"/>
  <c r="AH324" i="1" s="1"/>
  <c r="AF323" i="1"/>
  <c r="AH323" i="1" s="1"/>
  <c r="AF322" i="1"/>
  <c r="AH322" i="1" s="1"/>
  <c r="AF321" i="1"/>
  <c r="AH321" i="1" s="1"/>
  <c r="AF318" i="1"/>
  <c r="AF315" i="1"/>
  <c r="AH315" i="1" s="1"/>
  <c r="AF314" i="1"/>
  <c r="AG314" i="1" s="1"/>
  <c r="AF313" i="1"/>
  <c r="AH313" i="1" s="1"/>
  <c r="AF312" i="1"/>
  <c r="AG312" i="1" s="1"/>
  <c r="AF310" i="1"/>
  <c r="AG310" i="1" s="1"/>
  <c r="AF308" i="1"/>
  <c r="AG308" i="1" s="1"/>
  <c r="AF306" i="1"/>
  <c r="AH306" i="1" s="1"/>
  <c r="AF305" i="1"/>
  <c r="AH305" i="1" s="1"/>
  <c r="AF304" i="1"/>
  <c r="AF303" i="1"/>
  <c r="AF302" i="1"/>
  <c r="AH302" i="1" s="1"/>
  <c r="AF301" i="1"/>
  <c r="AH301" i="1" s="1"/>
  <c r="AF300" i="1"/>
  <c r="AF299" i="1"/>
  <c r="AH299" i="1" s="1"/>
  <c r="AF298" i="1"/>
  <c r="AH298" i="1" s="1"/>
  <c r="AF297" i="1"/>
  <c r="AH297" i="1" s="1"/>
  <c r="AF296" i="1"/>
  <c r="AH296" i="1" s="1"/>
  <c r="AF295" i="1"/>
  <c r="AG295" i="1" s="1"/>
  <c r="AF294" i="1"/>
  <c r="AG294" i="1" s="1"/>
  <c r="AF293" i="1"/>
  <c r="AG293" i="1" s="1"/>
  <c r="AF292" i="1"/>
  <c r="AG292" i="1" s="1"/>
  <c r="AF291" i="1"/>
  <c r="AF290" i="1"/>
  <c r="AG290" i="1" s="1"/>
  <c r="AF289" i="1"/>
  <c r="AF288" i="1"/>
  <c r="AG288" i="1" s="1"/>
  <c r="AF287" i="1"/>
  <c r="AG287" i="1" s="1"/>
  <c r="AF286" i="1"/>
  <c r="AF285" i="1"/>
  <c r="AF284" i="1"/>
  <c r="AH284" i="1" s="1"/>
  <c r="AF283" i="1"/>
  <c r="AF282" i="1"/>
  <c r="AG282" i="1" s="1"/>
  <c r="AF281" i="1"/>
  <c r="AF280" i="1"/>
  <c r="AG280" i="1" s="1"/>
  <c r="AF279" i="1"/>
  <c r="AH279" i="1" s="1"/>
  <c r="AF278" i="1"/>
  <c r="AG278" i="1" s="1"/>
  <c r="AF277" i="1"/>
  <c r="AH277" i="1" s="1"/>
  <c r="AF274" i="1"/>
  <c r="AH274" i="1" s="1"/>
  <c r="AF273" i="1"/>
  <c r="AH273" i="1" s="1"/>
  <c r="AF267" i="1"/>
  <c r="AH267" i="1" s="1"/>
  <c r="AF266" i="1"/>
  <c r="AH266" i="1" s="1"/>
  <c r="AF265" i="1"/>
  <c r="AH265" i="1" s="1"/>
  <c r="AF264" i="1"/>
  <c r="AH264" i="1" s="1"/>
  <c r="AF263" i="1"/>
  <c r="AH263" i="1" s="1"/>
  <c r="AF262" i="1"/>
  <c r="AH262" i="1" s="1"/>
  <c r="AF261" i="1"/>
  <c r="AH261" i="1" s="1"/>
  <c r="AF260" i="1"/>
  <c r="AH260" i="1" s="1"/>
  <c r="AF259" i="1"/>
  <c r="AG259" i="1" s="1"/>
  <c r="AF258" i="1"/>
  <c r="AF256" i="1"/>
  <c r="AG256" i="1" s="1"/>
  <c r="AF255" i="1"/>
  <c r="AG255" i="1" s="1"/>
  <c r="AF254" i="1"/>
  <c r="AG254" i="1" s="1"/>
  <c r="AF253" i="1"/>
  <c r="AG253" i="1" s="1"/>
  <c r="AF252" i="1"/>
  <c r="AH252" i="1" s="1"/>
  <c r="AF251" i="1"/>
  <c r="AG251" i="1" s="1"/>
  <c r="AF250" i="1"/>
  <c r="AH250" i="1" s="1"/>
  <c r="AF249" i="1"/>
  <c r="AG249" i="1" s="1"/>
  <c r="AF248" i="1"/>
  <c r="AH248" i="1" s="1"/>
  <c r="AF247" i="1"/>
  <c r="AH247" i="1" s="1"/>
  <c r="AF246" i="1"/>
  <c r="AH246" i="1" s="1"/>
  <c r="AF245" i="1"/>
  <c r="AH245" i="1" s="1"/>
  <c r="AF244" i="1"/>
  <c r="AG244" i="1" s="1"/>
  <c r="AF243" i="1"/>
  <c r="AH243" i="1" s="1"/>
  <c r="AF242" i="1"/>
  <c r="AH242" i="1" s="1"/>
  <c r="AF241" i="1"/>
  <c r="AG241" i="1" s="1"/>
  <c r="AF240" i="1"/>
  <c r="AH240" i="1" s="1"/>
  <c r="AF239" i="1"/>
  <c r="AH239" i="1" s="1"/>
  <c r="AF238" i="1"/>
  <c r="AH238" i="1" s="1"/>
  <c r="AF237" i="1"/>
  <c r="AG237" i="1" s="1"/>
  <c r="AF236" i="1"/>
  <c r="AG236" i="1" s="1"/>
  <c r="AF235" i="1"/>
  <c r="AH235" i="1" s="1"/>
  <c r="AF234" i="1"/>
  <c r="AH234" i="1" s="1"/>
  <c r="AF233" i="1"/>
  <c r="AH233" i="1" s="1"/>
  <c r="AF232" i="1"/>
  <c r="AG232" i="1" s="1"/>
  <c r="AF231" i="1"/>
  <c r="AH231" i="1" s="1"/>
  <c r="AF230" i="1"/>
  <c r="AG230" i="1" s="1"/>
  <c r="AF229" i="1"/>
  <c r="AG229" i="1" s="1"/>
  <c r="AF228" i="1"/>
  <c r="AG228" i="1" s="1"/>
  <c r="AF227" i="1"/>
  <c r="AH227" i="1" s="1"/>
  <c r="AF226" i="1"/>
  <c r="AH226" i="1" s="1"/>
  <c r="AF225" i="1"/>
  <c r="AH225" i="1" s="1"/>
  <c r="AF224" i="1"/>
  <c r="AG224" i="1" s="1"/>
  <c r="AF223" i="1"/>
  <c r="AH223" i="1" s="1"/>
  <c r="AF222" i="1"/>
  <c r="AH222" i="1" s="1"/>
  <c r="AF221" i="1"/>
  <c r="AG221" i="1" s="1"/>
  <c r="AF220" i="1"/>
  <c r="AG220" i="1" s="1"/>
  <c r="AF219" i="1"/>
  <c r="AG219" i="1" s="1"/>
  <c r="AF218" i="1"/>
  <c r="AG218" i="1" s="1"/>
  <c r="AF217" i="1"/>
  <c r="AH217" i="1" s="1"/>
  <c r="AF216" i="1"/>
  <c r="AH216" i="1" s="1"/>
  <c r="AF215" i="1"/>
  <c r="AG215" i="1" s="1"/>
  <c r="AF214" i="1"/>
  <c r="AH214" i="1" s="1"/>
  <c r="AF213" i="1"/>
  <c r="AG213" i="1" s="1"/>
  <c r="AF212" i="1"/>
  <c r="AH212" i="1" s="1"/>
  <c r="AF211" i="1"/>
  <c r="AH211" i="1" s="1"/>
  <c r="AF210" i="1"/>
  <c r="AH210" i="1" s="1"/>
  <c r="AF209" i="1"/>
  <c r="AG209" i="1" s="1"/>
  <c r="AF208" i="1"/>
  <c r="AH208" i="1" s="1"/>
  <c r="AF207" i="1"/>
  <c r="AH207" i="1" s="1"/>
  <c r="AF206" i="1"/>
  <c r="AH206" i="1" s="1"/>
  <c r="AF205" i="1"/>
  <c r="AG205" i="1" s="1"/>
  <c r="AF204" i="1"/>
  <c r="AH204" i="1" s="1"/>
  <c r="AF203" i="1"/>
  <c r="AH203" i="1" s="1"/>
  <c r="AF202" i="1"/>
  <c r="AG202" i="1" s="1"/>
  <c r="AF201" i="1"/>
  <c r="AG201" i="1" s="1"/>
  <c r="AF200" i="1"/>
  <c r="AH200" i="1" s="1"/>
  <c r="AF199" i="1"/>
  <c r="AH199" i="1" s="1"/>
  <c r="AF198" i="1"/>
  <c r="AG198" i="1" s="1"/>
  <c r="AF197" i="1"/>
  <c r="AH197" i="1" s="1"/>
  <c r="AF196" i="1"/>
  <c r="AG196" i="1" s="1"/>
  <c r="AF195" i="1"/>
  <c r="AH195" i="1" s="1"/>
  <c r="AF194" i="1"/>
  <c r="AH194" i="1" s="1"/>
  <c r="AF193" i="1"/>
  <c r="AG193" i="1" s="1"/>
  <c r="AF192" i="1"/>
  <c r="AG192" i="1" s="1"/>
  <c r="AF191" i="1"/>
  <c r="AH191" i="1" s="1"/>
  <c r="AF190" i="1"/>
  <c r="AH190" i="1" s="1"/>
  <c r="AF189" i="1"/>
  <c r="AG189" i="1" s="1"/>
  <c r="AF188" i="1"/>
  <c r="AH188" i="1" s="1"/>
  <c r="AF187" i="1"/>
  <c r="AG187" i="1" s="1"/>
  <c r="AF186" i="1"/>
  <c r="AH186" i="1" s="1"/>
  <c r="AF185" i="1"/>
  <c r="AG185" i="1" s="1"/>
  <c r="AF184" i="1"/>
  <c r="AG184" i="1" s="1"/>
  <c r="AF183" i="1"/>
  <c r="AG183" i="1" s="1"/>
  <c r="AF182" i="1"/>
  <c r="AH182" i="1" s="1"/>
  <c r="AF181" i="1"/>
  <c r="AG181" i="1" s="1"/>
  <c r="AF180" i="1"/>
  <c r="AG180" i="1" s="1"/>
  <c r="AF179" i="1"/>
  <c r="AH179" i="1" s="1"/>
  <c r="AF178" i="1"/>
  <c r="AH178" i="1" s="1"/>
  <c r="AF177" i="1"/>
  <c r="AG177" i="1" s="1"/>
  <c r="AF176" i="1"/>
  <c r="AH176" i="1" s="1"/>
  <c r="AF175" i="1"/>
  <c r="AH175" i="1" s="1"/>
  <c r="AF174" i="1"/>
  <c r="AH174" i="1" s="1"/>
  <c r="AF173" i="1"/>
  <c r="AH173" i="1" s="1"/>
  <c r="AF172" i="1"/>
  <c r="AH172" i="1" s="1"/>
  <c r="AF171" i="1"/>
  <c r="AG171" i="1" s="1"/>
  <c r="AF170" i="1"/>
  <c r="AH170" i="1" s="1"/>
  <c r="AF169" i="1"/>
  <c r="AG169" i="1" s="1"/>
  <c r="AF168" i="1"/>
  <c r="AH168" i="1" s="1"/>
  <c r="AF167" i="1"/>
  <c r="AH167" i="1" s="1"/>
  <c r="AF166" i="1"/>
  <c r="AH166" i="1" s="1"/>
  <c r="AF165" i="1"/>
  <c r="AG165" i="1" s="1"/>
  <c r="AF164" i="1"/>
  <c r="AH164" i="1" s="1"/>
  <c r="AF163" i="1"/>
  <c r="AH163" i="1" s="1"/>
  <c r="AF162" i="1"/>
  <c r="AH162" i="1" s="1"/>
  <c r="AF161" i="1"/>
  <c r="AH161" i="1" s="1"/>
  <c r="AF160" i="1"/>
  <c r="AG160" i="1" s="1"/>
  <c r="AF159" i="1"/>
  <c r="AH159" i="1" s="1"/>
  <c r="AF158" i="1"/>
  <c r="AH158" i="1" s="1"/>
  <c r="AF157" i="1"/>
  <c r="AG157" i="1" s="1"/>
  <c r="AF156" i="1"/>
  <c r="AH156" i="1" s="1"/>
  <c r="AF155" i="1"/>
  <c r="AG155" i="1" s="1"/>
  <c r="AF154" i="1"/>
  <c r="AH154" i="1" s="1"/>
  <c r="AF153" i="1"/>
  <c r="AG153" i="1" s="1"/>
  <c r="AF152" i="1"/>
  <c r="AH152" i="1" s="1"/>
  <c r="AF151" i="1"/>
  <c r="AG151" i="1" s="1"/>
  <c r="AF150" i="1"/>
  <c r="AH150" i="1" s="1"/>
  <c r="AF149" i="1"/>
  <c r="AG149" i="1" s="1"/>
  <c r="AF148" i="1"/>
  <c r="AG148" i="1" s="1"/>
  <c r="AF147" i="1"/>
  <c r="AH147" i="1" s="1"/>
  <c r="AF146" i="1"/>
  <c r="AH146" i="1" s="1"/>
  <c r="AF145" i="1"/>
  <c r="AG145" i="1" s="1"/>
  <c r="AF144" i="1"/>
  <c r="AH144" i="1" s="1"/>
  <c r="AF143" i="1"/>
  <c r="AH143" i="1" s="1"/>
  <c r="AF142" i="1"/>
  <c r="AH142" i="1" s="1"/>
  <c r="AF141" i="1"/>
  <c r="AG141" i="1" s="1"/>
  <c r="AF140" i="1"/>
  <c r="AH140" i="1" s="1"/>
  <c r="AF139" i="1"/>
  <c r="AH139" i="1" s="1"/>
  <c r="AF138" i="1"/>
  <c r="AH138" i="1" s="1"/>
  <c r="AF137" i="1"/>
  <c r="AG137" i="1" s="1"/>
  <c r="AF136" i="1"/>
  <c r="AH136" i="1" s="1"/>
  <c r="AF135" i="1"/>
  <c r="AH135" i="1" s="1"/>
  <c r="AF134" i="1"/>
  <c r="AH134" i="1" s="1"/>
  <c r="AF133" i="1"/>
  <c r="AG133" i="1" s="1"/>
  <c r="AF132" i="1"/>
  <c r="AH132" i="1" s="1"/>
  <c r="AF131" i="1"/>
  <c r="AH131" i="1" s="1"/>
  <c r="AF130" i="1"/>
  <c r="AG130" i="1" s="1"/>
  <c r="AF129" i="1"/>
  <c r="AH129" i="1" s="1"/>
  <c r="AF128" i="1"/>
  <c r="AH128" i="1" s="1"/>
  <c r="AF127" i="1"/>
  <c r="AH127" i="1" s="1"/>
  <c r="AF126" i="1"/>
  <c r="AH126" i="1" s="1"/>
  <c r="AF125" i="1"/>
  <c r="AH125" i="1" s="1"/>
  <c r="AF124" i="1"/>
  <c r="AH124" i="1" s="1"/>
  <c r="AF123" i="1"/>
  <c r="AH123" i="1" s="1"/>
  <c r="AF122" i="1"/>
  <c r="AH122" i="1" s="1"/>
  <c r="AF121" i="1"/>
  <c r="AG121" i="1" s="1"/>
  <c r="AF120" i="1"/>
  <c r="AH120" i="1" s="1"/>
  <c r="AF119" i="1"/>
  <c r="AG119" i="1" s="1"/>
  <c r="AF118" i="1"/>
  <c r="AH118" i="1" s="1"/>
  <c r="AF117" i="1"/>
  <c r="AG117" i="1" s="1"/>
  <c r="AF116" i="1"/>
  <c r="AG116" i="1" s="1"/>
  <c r="AF115" i="1"/>
  <c r="AG115" i="1" s="1"/>
  <c r="AF114" i="1"/>
  <c r="AH114" i="1" s="1"/>
  <c r="AF113" i="1"/>
  <c r="AH113" i="1" s="1"/>
  <c r="AF112" i="1"/>
  <c r="AH112" i="1" s="1"/>
  <c r="AF111" i="1"/>
  <c r="AG111" i="1" s="1"/>
  <c r="AF110" i="1"/>
  <c r="AG110" i="1" s="1"/>
  <c r="AF109" i="1"/>
  <c r="AG109" i="1" s="1"/>
  <c r="AF108" i="1"/>
  <c r="AH108" i="1" s="1"/>
  <c r="AF107" i="1"/>
  <c r="AG107" i="1" s="1"/>
  <c r="AF106" i="1"/>
  <c r="AH106" i="1" s="1"/>
  <c r="AF105" i="1"/>
  <c r="AH105" i="1" s="1"/>
  <c r="AF104" i="1"/>
  <c r="AH104" i="1" s="1"/>
  <c r="AF103" i="1"/>
  <c r="AH103" i="1" s="1"/>
  <c r="AF102" i="1"/>
  <c r="AH102" i="1" s="1"/>
  <c r="AF101" i="1"/>
  <c r="AG101" i="1" s="1"/>
  <c r="AF100" i="1"/>
  <c r="AG100" i="1" s="1"/>
  <c r="AF99" i="1"/>
  <c r="AG99" i="1" s="1"/>
  <c r="AF98" i="1"/>
  <c r="AH98" i="1" s="1"/>
  <c r="AF97" i="1"/>
  <c r="AG97" i="1" s="1"/>
  <c r="AF96" i="1"/>
  <c r="AH96" i="1" s="1"/>
  <c r="AF95" i="1"/>
  <c r="AH95" i="1" s="1"/>
  <c r="AF94" i="1"/>
  <c r="AH94" i="1" s="1"/>
  <c r="AF93" i="1"/>
  <c r="AG93" i="1" s="1"/>
  <c r="AF92" i="1"/>
  <c r="AH92" i="1" s="1"/>
  <c r="AF91" i="1"/>
  <c r="AG91" i="1" s="1"/>
  <c r="AF90" i="1"/>
  <c r="AG90" i="1" s="1"/>
  <c r="AF89" i="1"/>
  <c r="AG89" i="1" s="1"/>
  <c r="AF88" i="1"/>
  <c r="AG88" i="1" s="1"/>
  <c r="AF87" i="1"/>
  <c r="AG87" i="1" s="1"/>
  <c r="AF86" i="1"/>
  <c r="AH86" i="1" s="1"/>
  <c r="AF85" i="1"/>
  <c r="AH85" i="1" s="1"/>
  <c r="AF84" i="1"/>
  <c r="AH84" i="1" s="1"/>
  <c r="AF83" i="1"/>
  <c r="AG83" i="1" s="1"/>
  <c r="AF82" i="1"/>
  <c r="AH82" i="1" s="1"/>
  <c r="AF81" i="1"/>
  <c r="AH81" i="1" s="1"/>
  <c r="AF80" i="1"/>
  <c r="AH80" i="1" s="1"/>
  <c r="AF79" i="1"/>
  <c r="AG79" i="1" s="1"/>
  <c r="AF78" i="1"/>
  <c r="AH78" i="1" s="1"/>
  <c r="AF77" i="1"/>
  <c r="AG77" i="1" s="1"/>
  <c r="AF76" i="1"/>
  <c r="AH76" i="1" s="1"/>
  <c r="AF75" i="1"/>
  <c r="AH75" i="1" s="1"/>
  <c r="AF74" i="1"/>
  <c r="AH74" i="1" s="1"/>
  <c r="AF73" i="1"/>
  <c r="AH73" i="1" s="1"/>
  <c r="AF72" i="1"/>
  <c r="AH72" i="1" s="1"/>
  <c r="AF71" i="1"/>
  <c r="AG71" i="1" s="1"/>
  <c r="AF70" i="1"/>
  <c r="AH70" i="1" s="1"/>
  <c r="AF69" i="1"/>
  <c r="AG69" i="1" s="1"/>
  <c r="AF68" i="1"/>
  <c r="AH68" i="1" s="1"/>
  <c r="AF67" i="1"/>
  <c r="AH67" i="1" s="1"/>
  <c r="AF66" i="1"/>
  <c r="AH66" i="1" s="1"/>
  <c r="AF65" i="1"/>
  <c r="AG65" i="1" s="1"/>
  <c r="AF64" i="1"/>
  <c r="AG64" i="1" s="1"/>
  <c r="AF63" i="1"/>
  <c r="AH63" i="1" s="1"/>
  <c r="AF62" i="1"/>
  <c r="AH62" i="1" s="1"/>
  <c r="AF61" i="1"/>
  <c r="AG61" i="1" s="1"/>
  <c r="AF60" i="1"/>
  <c r="AH60" i="1" s="1"/>
  <c r="AF59" i="1"/>
  <c r="AH59" i="1" s="1"/>
  <c r="AF58" i="1"/>
  <c r="AH58" i="1" s="1"/>
  <c r="AF57" i="1"/>
  <c r="AH57" i="1" s="1"/>
  <c r="AF56" i="1"/>
  <c r="AH56" i="1" s="1"/>
  <c r="AF55" i="1"/>
  <c r="AG55" i="1" s="1"/>
  <c r="AF54" i="1"/>
  <c r="AH54" i="1" s="1"/>
  <c r="AF53" i="1"/>
  <c r="AG53" i="1" s="1"/>
  <c r="AF52" i="1"/>
  <c r="AH52" i="1" s="1"/>
  <c r="AF51" i="1"/>
  <c r="AH51" i="1" s="1"/>
  <c r="AF50" i="1"/>
  <c r="AH50" i="1" s="1"/>
  <c r="AF49" i="1"/>
  <c r="AG49" i="1" s="1"/>
  <c r="AF48" i="1"/>
  <c r="AH48" i="1" s="1"/>
  <c r="AF47" i="1"/>
  <c r="AH47" i="1" s="1"/>
  <c r="AF46" i="1"/>
  <c r="AH46" i="1" s="1"/>
  <c r="AF45" i="1"/>
  <c r="AG45" i="1" s="1"/>
  <c r="AF44" i="1"/>
  <c r="AH44" i="1" s="1"/>
  <c r="AF43" i="1"/>
  <c r="AH43" i="1" s="1"/>
  <c r="AF42" i="1"/>
  <c r="AH42" i="1" s="1"/>
  <c r="AF41" i="1"/>
  <c r="AH41" i="1" s="1"/>
  <c r="AF40" i="1"/>
  <c r="AH40" i="1" s="1"/>
  <c r="AF39" i="1"/>
  <c r="AH39" i="1" s="1"/>
  <c r="AF38" i="1"/>
  <c r="AH38" i="1" s="1"/>
  <c r="AF37" i="1"/>
  <c r="AG37" i="1" s="1"/>
  <c r="AF36" i="1"/>
  <c r="AH36" i="1" s="1"/>
  <c r="AF35" i="1"/>
  <c r="AH35" i="1" s="1"/>
  <c r="AF34" i="1"/>
  <c r="AH34" i="1" s="1"/>
  <c r="AF33" i="1"/>
  <c r="AG33" i="1" s="1"/>
  <c r="AF32" i="1"/>
  <c r="AH32" i="1" s="1"/>
  <c r="AF31" i="1"/>
  <c r="AH31" i="1" s="1"/>
  <c r="AF30" i="1"/>
  <c r="AH30" i="1" s="1"/>
  <c r="AF29" i="1"/>
  <c r="AG29" i="1" s="1"/>
  <c r="AF28" i="1"/>
  <c r="AH28" i="1" s="1"/>
  <c r="AF27" i="1"/>
  <c r="AH27" i="1" s="1"/>
  <c r="AF26" i="1"/>
  <c r="AG26" i="1" s="1"/>
  <c r="AF25" i="1"/>
  <c r="AG25" i="1" s="1"/>
  <c r="AF24" i="1"/>
  <c r="AH24" i="1" s="1"/>
  <c r="AF23" i="1"/>
  <c r="AH23" i="1" s="1"/>
  <c r="AF22" i="1"/>
  <c r="AH22" i="1" s="1"/>
  <c r="AF21" i="1"/>
  <c r="AG21" i="1" s="1"/>
  <c r="AF20" i="1"/>
  <c r="AG20" i="1" s="1"/>
  <c r="AF19" i="1"/>
  <c r="AH19" i="1" s="1"/>
  <c r="AF18" i="1"/>
  <c r="AH18" i="1" s="1"/>
  <c r="AF17" i="1"/>
  <c r="AG17" i="1" s="1"/>
  <c r="AF16" i="1"/>
  <c r="AH16" i="1" s="1"/>
  <c r="AF15" i="1"/>
  <c r="AH15" i="1" s="1"/>
  <c r="AF14" i="1"/>
  <c r="AH14" i="1" s="1"/>
  <c r="AF13" i="1"/>
  <c r="AG13" i="1" s="1"/>
  <c r="AF12" i="1"/>
  <c r="AH12" i="1" s="1"/>
  <c r="AF11" i="1"/>
  <c r="AH11" i="1" s="1"/>
  <c r="AF10" i="1"/>
  <c r="AH10" i="1" s="1"/>
  <c r="AF9" i="1"/>
  <c r="AG9" i="1" s="1"/>
  <c r="AF8" i="1"/>
  <c r="AH8" i="1" s="1"/>
  <c r="AF7" i="1"/>
  <c r="AH7" i="1" s="1"/>
  <c r="AF6" i="1"/>
  <c r="AH6" i="1" s="1"/>
  <c r="AF5" i="1"/>
  <c r="AH5" i="1" s="1"/>
  <c r="AF307" i="1"/>
  <c r="AG307" i="1" s="1"/>
  <c r="AF309" i="1"/>
  <c r="AG309" i="1" s="1"/>
  <c r="AH309" i="1"/>
  <c r="AF311" i="1"/>
  <c r="AG311" i="1" s="1"/>
  <c r="AF316" i="1"/>
  <c r="AG316" i="1" s="1"/>
  <c r="AF317" i="1"/>
  <c r="AH317" i="1" s="1"/>
  <c r="AF319" i="1"/>
  <c r="AG319" i="1" s="1"/>
  <c r="AF320" i="1"/>
  <c r="AH320" i="1" s="1"/>
  <c r="AF269" i="1"/>
  <c r="AG269" i="1" s="1"/>
  <c r="AF270" i="1"/>
  <c r="AH270" i="1" s="1"/>
  <c r="AF271" i="1"/>
  <c r="AG271" i="1" s="1"/>
  <c r="AF272" i="1"/>
  <c r="AG272" i="1" s="1"/>
  <c r="AH510" i="1"/>
  <c r="AH416" i="1"/>
  <c r="AG392" i="1"/>
  <c r="AH1210" i="1"/>
  <c r="AG478" i="1"/>
  <c r="AH454" i="1"/>
  <c r="AG414" i="1"/>
  <c r="AH414" i="1"/>
  <c r="AH519" i="1"/>
  <c r="AH515" i="1"/>
  <c r="AG388" i="1"/>
  <c r="AH388" i="1"/>
  <c r="AG380" i="1"/>
  <c r="AG498" i="1"/>
  <c r="AG466" i="1"/>
  <c r="AG394" i="1"/>
  <c r="AH36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321" i="1"/>
  <c r="G321" i="1"/>
  <c r="F322" i="1"/>
  <c r="G322" i="1"/>
  <c r="F323" i="1"/>
  <c r="G323" i="1"/>
  <c r="F324" i="1"/>
  <c r="G324" i="1"/>
  <c r="F325" i="1"/>
  <c r="G325" i="1"/>
  <c r="F326" i="1"/>
  <c r="G326" i="1"/>
  <c r="F327" i="1"/>
  <c r="G327" i="1"/>
  <c r="F328" i="1"/>
  <c r="G328" i="1"/>
  <c r="F329" i="1"/>
  <c r="G329" i="1"/>
  <c r="F330" i="1"/>
  <c r="G330" i="1"/>
  <c r="F331" i="1"/>
  <c r="G331" i="1"/>
  <c r="F332" i="1"/>
  <c r="G332" i="1"/>
  <c r="F333" i="1"/>
  <c r="G333" i="1"/>
  <c r="F334" i="1"/>
  <c r="G334" i="1"/>
  <c r="F335" i="1"/>
  <c r="G335" i="1"/>
  <c r="F336" i="1"/>
  <c r="G336" i="1"/>
  <c r="F337" i="1"/>
  <c r="G337" i="1"/>
  <c r="F338" i="1"/>
  <c r="G338" i="1"/>
  <c r="F339" i="1"/>
  <c r="G339" i="1"/>
  <c r="F340" i="1"/>
  <c r="G340" i="1"/>
  <c r="F341" i="1"/>
  <c r="G341" i="1"/>
  <c r="F342" i="1"/>
  <c r="G342" i="1"/>
  <c r="F343" i="1"/>
  <c r="G343" i="1"/>
  <c r="F344" i="1"/>
  <c r="G344" i="1"/>
  <c r="F345" i="1"/>
  <c r="G345" i="1"/>
  <c r="F346" i="1"/>
  <c r="G346" i="1"/>
  <c r="F347" i="1"/>
  <c r="G347" i="1"/>
  <c r="F348" i="1"/>
  <c r="G348" i="1"/>
  <c r="F349" i="1"/>
  <c r="G349" i="1"/>
  <c r="F350" i="1"/>
  <c r="G350" i="1"/>
  <c r="F351" i="1"/>
  <c r="G351" i="1"/>
  <c r="F352" i="1"/>
  <c r="G352" i="1"/>
  <c r="F353" i="1"/>
  <c r="G353" i="1"/>
  <c r="F354" i="1"/>
  <c r="G354" i="1"/>
  <c r="F355" i="1"/>
  <c r="G355" i="1"/>
  <c r="F356" i="1"/>
  <c r="G356" i="1"/>
  <c r="F357" i="1"/>
  <c r="G357" i="1"/>
  <c r="F358" i="1"/>
  <c r="G358" i="1"/>
  <c r="F359" i="1"/>
  <c r="G359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F275" i="1"/>
  <c r="G275" i="1"/>
  <c r="F276" i="1"/>
  <c r="G276" i="1"/>
  <c r="F277" i="1"/>
  <c r="G277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G278" i="1"/>
  <c r="F278" i="1"/>
  <c r="C257" i="1"/>
  <c r="D257" i="1"/>
  <c r="C258" i="1"/>
  <c r="D258" i="1"/>
  <c r="C259" i="1"/>
  <c r="D259" i="1"/>
  <c r="C260" i="1"/>
  <c r="D260" i="1"/>
  <c r="C261" i="1"/>
  <c r="D261" i="1"/>
  <c r="C262" i="1"/>
  <c r="D262" i="1"/>
  <c r="C263" i="1"/>
  <c r="D263" i="1"/>
  <c r="C264" i="1"/>
  <c r="D264" i="1"/>
  <c r="C265" i="1"/>
  <c r="D265" i="1"/>
  <c r="C266" i="1"/>
  <c r="D266" i="1"/>
  <c r="C267" i="1"/>
  <c r="D267" i="1"/>
  <c r="C268" i="1"/>
  <c r="D268" i="1"/>
  <c r="C269" i="1"/>
  <c r="D269" i="1"/>
  <c r="C270" i="1"/>
  <c r="D270" i="1"/>
  <c r="C271" i="1"/>
  <c r="D271" i="1"/>
  <c r="C272" i="1"/>
  <c r="D272" i="1"/>
  <c r="C273" i="1"/>
  <c r="D273" i="1"/>
  <c r="C274" i="1"/>
  <c r="D274" i="1"/>
  <c r="C275" i="1"/>
  <c r="D275" i="1"/>
  <c r="C276" i="1"/>
  <c r="D276" i="1"/>
  <c r="C277" i="1"/>
  <c r="D277" i="1"/>
  <c r="C279" i="1"/>
  <c r="D279" i="1"/>
  <c r="C280" i="1"/>
  <c r="D280" i="1"/>
  <c r="C281" i="1"/>
  <c r="D281" i="1"/>
  <c r="C282" i="1"/>
  <c r="D282" i="1"/>
  <c r="C283" i="1"/>
  <c r="D283" i="1"/>
  <c r="C284" i="1"/>
  <c r="D284" i="1"/>
  <c r="C285" i="1"/>
  <c r="D285" i="1"/>
  <c r="C286" i="1"/>
  <c r="D286" i="1"/>
  <c r="C287" i="1"/>
  <c r="D287" i="1"/>
  <c r="C288" i="1"/>
  <c r="D288" i="1"/>
  <c r="C289" i="1"/>
  <c r="D289" i="1"/>
  <c r="C290" i="1"/>
  <c r="D290" i="1"/>
  <c r="C291" i="1"/>
  <c r="D291" i="1"/>
  <c r="C292" i="1"/>
  <c r="D292" i="1"/>
  <c r="C293" i="1"/>
  <c r="D293" i="1"/>
  <c r="C294" i="1"/>
  <c r="D294" i="1"/>
  <c r="C295" i="1"/>
  <c r="D295" i="1"/>
  <c r="C296" i="1"/>
  <c r="D296" i="1"/>
  <c r="C297" i="1"/>
  <c r="D297" i="1"/>
  <c r="C298" i="1"/>
  <c r="D298" i="1"/>
  <c r="C299" i="1"/>
  <c r="D299" i="1"/>
  <c r="C300" i="1"/>
  <c r="D300" i="1"/>
  <c r="C301" i="1"/>
  <c r="D301" i="1"/>
  <c r="C302" i="1"/>
  <c r="D302" i="1"/>
  <c r="C303" i="1"/>
  <c r="D303" i="1"/>
  <c r="C304" i="1"/>
  <c r="D304" i="1"/>
  <c r="C305" i="1"/>
  <c r="D305" i="1"/>
  <c r="C306" i="1"/>
  <c r="D306" i="1"/>
  <c r="C307" i="1"/>
  <c r="D307" i="1"/>
  <c r="C308" i="1"/>
  <c r="D308" i="1"/>
  <c r="C309" i="1"/>
  <c r="D309" i="1"/>
  <c r="C310" i="1"/>
  <c r="D310" i="1"/>
  <c r="C311" i="1"/>
  <c r="D311" i="1"/>
  <c r="C312" i="1"/>
  <c r="D312" i="1"/>
  <c r="C313" i="1"/>
  <c r="D313" i="1"/>
  <c r="C314" i="1"/>
  <c r="D314" i="1"/>
  <c r="C315" i="1"/>
  <c r="D315" i="1"/>
  <c r="C316" i="1"/>
  <c r="D316" i="1"/>
  <c r="C317" i="1"/>
  <c r="D317" i="1"/>
  <c r="C318" i="1"/>
  <c r="D318" i="1"/>
  <c r="C319" i="1"/>
  <c r="D319" i="1"/>
  <c r="C320" i="1"/>
  <c r="D320" i="1"/>
  <c r="C321" i="1"/>
  <c r="D321" i="1"/>
  <c r="C322" i="1"/>
  <c r="D322" i="1"/>
  <c r="C323" i="1"/>
  <c r="D323" i="1"/>
  <c r="C324" i="1"/>
  <c r="D324" i="1"/>
  <c r="C325" i="1"/>
  <c r="D325" i="1"/>
  <c r="C326" i="1"/>
  <c r="D326" i="1"/>
  <c r="C327" i="1"/>
  <c r="D327" i="1"/>
  <c r="C328" i="1"/>
  <c r="D328" i="1"/>
  <c r="C329" i="1"/>
  <c r="D329" i="1"/>
  <c r="C330" i="1"/>
  <c r="D330" i="1"/>
  <c r="C331" i="1"/>
  <c r="D331" i="1"/>
  <c r="C332" i="1"/>
  <c r="D332" i="1"/>
  <c r="C333" i="1"/>
  <c r="D333" i="1"/>
  <c r="C334" i="1"/>
  <c r="D334" i="1"/>
  <c r="C335" i="1"/>
  <c r="D335" i="1"/>
  <c r="C336" i="1"/>
  <c r="D336" i="1"/>
  <c r="C337" i="1"/>
  <c r="D337" i="1"/>
  <c r="C338" i="1"/>
  <c r="D338" i="1"/>
  <c r="C339" i="1"/>
  <c r="D339" i="1"/>
  <c r="C340" i="1"/>
  <c r="D340" i="1"/>
  <c r="C341" i="1"/>
  <c r="D341" i="1"/>
  <c r="C342" i="1"/>
  <c r="D342" i="1"/>
  <c r="C343" i="1"/>
  <c r="D343" i="1"/>
  <c r="C344" i="1"/>
  <c r="D344" i="1"/>
  <c r="C345" i="1"/>
  <c r="D345" i="1"/>
  <c r="C346" i="1"/>
  <c r="D346" i="1"/>
  <c r="C347" i="1"/>
  <c r="D347" i="1"/>
  <c r="C348" i="1"/>
  <c r="D348" i="1"/>
  <c r="C349" i="1"/>
  <c r="D349" i="1"/>
  <c r="C350" i="1"/>
  <c r="D350" i="1"/>
  <c r="C351" i="1"/>
  <c r="D351" i="1"/>
  <c r="C352" i="1"/>
  <c r="D352" i="1"/>
  <c r="C353" i="1"/>
  <c r="D353" i="1"/>
  <c r="C354" i="1"/>
  <c r="D354" i="1"/>
  <c r="C355" i="1"/>
  <c r="D355" i="1"/>
  <c r="C356" i="1"/>
  <c r="D356" i="1"/>
  <c r="C357" i="1"/>
  <c r="D357" i="1"/>
  <c r="C358" i="1"/>
  <c r="D358" i="1"/>
  <c r="C359" i="1"/>
  <c r="D359" i="1"/>
  <c r="D278" i="1"/>
  <c r="C278" i="1"/>
  <c r="AD5" i="1"/>
  <c r="AE5" i="1"/>
  <c r="AD6" i="1"/>
  <c r="AE6" i="1"/>
  <c r="AD7" i="1"/>
  <c r="AE7" i="1"/>
  <c r="AD8" i="1"/>
  <c r="AE8" i="1"/>
  <c r="AD9" i="1"/>
  <c r="AE9" i="1"/>
  <c r="AD10" i="1"/>
  <c r="AE10" i="1"/>
  <c r="AD11" i="1"/>
  <c r="AE11" i="1"/>
  <c r="AD12" i="1"/>
  <c r="AE12" i="1"/>
  <c r="AD13" i="1"/>
  <c r="AE13" i="1"/>
  <c r="AD14" i="1"/>
  <c r="AE14" i="1"/>
  <c r="AD15" i="1"/>
  <c r="AE15" i="1"/>
  <c r="AD16" i="1"/>
  <c r="AE16" i="1"/>
  <c r="AD17" i="1"/>
  <c r="AE17" i="1"/>
  <c r="AD18" i="1"/>
  <c r="AE18" i="1"/>
  <c r="AD19" i="1"/>
  <c r="AE19" i="1"/>
  <c r="AD20" i="1"/>
  <c r="AE20" i="1"/>
  <c r="AD21" i="1"/>
  <c r="AE21" i="1"/>
  <c r="AD22" i="1"/>
  <c r="AE22" i="1"/>
  <c r="AD23" i="1"/>
  <c r="AE23" i="1"/>
  <c r="AD24" i="1"/>
  <c r="AE24" i="1"/>
  <c r="AD25" i="1"/>
  <c r="AE25" i="1"/>
  <c r="AD26" i="1"/>
  <c r="AE26" i="1"/>
  <c r="AD27" i="1"/>
  <c r="AE27" i="1"/>
  <c r="AD28" i="1"/>
  <c r="AE28" i="1"/>
  <c r="AD29" i="1"/>
  <c r="AE29" i="1"/>
  <c r="AD30" i="1"/>
  <c r="AE30" i="1"/>
  <c r="AD31" i="1"/>
  <c r="AE31" i="1"/>
  <c r="AD32" i="1"/>
  <c r="AE32" i="1"/>
  <c r="AD33" i="1"/>
  <c r="AE33" i="1"/>
  <c r="AD34" i="1"/>
  <c r="AE34" i="1"/>
  <c r="AD35" i="1"/>
  <c r="AE35" i="1"/>
  <c r="AD36" i="1"/>
  <c r="AE36" i="1"/>
  <c r="AD37" i="1"/>
  <c r="AE37" i="1"/>
  <c r="AD38" i="1"/>
  <c r="AE38" i="1"/>
  <c r="AD39" i="1"/>
  <c r="AE39" i="1"/>
  <c r="AD40" i="1"/>
  <c r="AE40" i="1"/>
  <c r="AD41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8" i="1"/>
  <c r="AC259" i="1"/>
  <c r="AC260" i="1"/>
  <c r="AC261" i="1"/>
  <c r="AC262" i="1"/>
  <c r="AC263" i="1"/>
  <c r="AC264" i="1"/>
  <c r="AC265" i="1"/>
  <c r="AC266" i="1"/>
  <c r="AC267" i="1"/>
  <c r="AC268" i="1"/>
  <c r="V173" i="1"/>
  <c r="R258" i="1"/>
  <c r="Z144" i="1"/>
  <c r="R210" i="1"/>
  <c r="N347" i="1"/>
  <c r="N348" i="1"/>
  <c r="N349" i="1"/>
  <c r="N350" i="1"/>
  <c r="N351" i="1"/>
  <c r="N352" i="1"/>
  <c r="N353" i="1"/>
  <c r="N354" i="1"/>
  <c r="N355" i="1"/>
  <c r="N356" i="1"/>
  <c r="N357" i="1"/>
  <c r="N5" i="1"/>
  <c r="R5" i="1"/>
  <c r="V5" i="1"/>
  <c r="Z5" i="1"/>
  <c r="V6" i="1"/>
  <c r="N6" i="1"/>
  <c r="R6" i="1"/>
  <c r="Z6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7" i="1"/>
  <c r="AH420" i="1"/>
  <c r="AH406" i="1"/>
  <c r="AH455" i="1"/>
  <c r="AI454" i="1"/>
  <c r="AK454" i="1" s="1"/>
  <c r="AI370" i="1"/>
  <c r="AK370" i="1" s="1"/>
  <c r="AI430" i="1"/>
  <c r="AK430" i="1" s="1"/>
  <c r="AI334" i="1"/>
  <c r="AK334" i="1" s="1"/>
  <c r="AI452" i="1"/>
  <c r="AK452" i="1" s="1"/>
  <c r="AI372" i="1"/>
  <c r="AK372" i="1" s="1"/>
  <c r="AI367" i="1"/>
  <c r="AK367" i="1" s="1"/>
  <c r="AI356" i="1"/>
  <c r="AK356" i="1" s="1"/>
  <c r="AI335" i="1"/>
  <c r="AK335" i="1" s="1"/>
  <c r="AI319" i="1"/>
  <c r="AK319" i="1" s="1"/>
  <c r="AI292" i="1"/>
  <c r="AK292" i="1" s="1"/>
  <c r="AI394" i="1"/>
  <c r="AK394" i="1" s="1"/>
  <c r="AI466" i="1"/>
  <c r="AK466" i="1" s="1"/>
  <c r="AI378" i="1"/>
  <c r="AK378" i="1" s="1"/>
  <c r="AI467" i="1"/>
  <c r="AK467" i="1" s="1"/>
  <c r="AI459" i="1"/>
  <c r="AK459" i="1" s="1"/>
  <c r="AI451" i="1"/>
  <c r="AK451" i="1" s="1"/>
  <c r="AI416" i="1"/>
  <c r="AK416" i="1" s="1"/>
  <c r="AI400" i="1"/>
  <c r="AK400" i="1" s="1"/>
  <c r="AI387" i="1"/>
  <c r="AK387" i="1" s="1"/>
  <c r="AI371" i="1"/>
  <c r="AK371" i="1" s="1"/>
  <c r="AI363" i="1"/>
  <c r="AK363" i="1" s="1"/>
  <c r="AI336" i="1"/>
  <c r="AK336" i="1" s="1"/>
  <c r="AI328" i="1"/>
  <c r="AK328" i="1" s="1"/>
  <c r="AI320" i="1"/>
  <c r="AK320" i="1" s="1"/>
  <c r="AI312" i="1"/>
  <c r="AK312" i="1" s="1"/>
  <c r="AI299" i="1"/>
  <c r="AK299" i="1" s="1"/>
  <c r="AI291" i="1"/>
  <c r="AK291" i="1" s="1"/>
  <c r="AI283" i="1"/>
  <c r="AK283" i="1" s="1"/>
  <c r="AI415" i="1"/>
  <c r="AK415" i="1" s="1"/>
  <c r="AI276" i="1"/>
  <c r="AK276" i="1" s="1"/>
  <c r="AH436" i="1"/>
  <c r="AH370" i="1"/>
  <c r="AH442" i="1"/>
  <c r="AH366" i="1"/>
  <c r="AH502" i="1"/>
  <c r="AG1152" i="1"/>
  <c r="AH1276" i="1"/>
  <c r="AG1316" i="1"/>
  <c r="AG361" i="1"/>
  <c r="AH1182" i="1"/>
  <c r="AH1298" i="1"/>
  <c r="AH1192" i="1"/>
  <c r="AH799" i="1"/>
  <c r="AH401" i="1"/>
  <c r="AG401" i="1"/>
  <c r="AG393" i="1"/>
  <c r="AH841" i="1"/>
  <c r="AG995" i="1"/>
  <c r="AG834" i="1"/>
  <c r="AH834" i="1"/>
  <c r="AG1215" i="1"/>
  <c r="AH1215" i="1"/>
  <c r="AH625" i="1"/>
  <c r="AG569" i="1"/>
  <c r="AH569" i="1"/>
  <c r="AH405" i="1"/>
  <c r="AG405" i="1"/>
  <c r="AG397" i="1"/>
  <c r="AG589" i="1"/>
  <c r="AG493" i="1"/>
  <c r="AH493" i="1"/>
  <c r="AG588" i="1"/>
  <c r="AH407" i="1"/>
  <c r="AG1172" i="1"/>
  <c r="AH537" i="1"/>
  <c r="AG537" i="1"/>
  <c r="AH475" i="1"/>
  <c r="AG475" i="1"/>
  <c r="AG460" i="1"/>
  <c r="AG1204" i="1"/>
  <c r="AH1204" i="1"/>
  <c r="AG572" i="1"/>
  <c r="AG1003" i="1"/>
  <c r="AH1003" i="1"/>
  <c r="AG423" i="1"/>
  <c r="AH423" i="1"/>
  <c r="AG840" i="1"/>
  <c r="AG577" i="1"/>
  <c r="AH577" i="1"/>
  <c r="AG1151" i="1"/>
  <c r="AH1151" i="1"/>
  <c r="AH520" i="1"/>
  <c r="AG457" i="1"/>
  <c r="AG1071" i="1"/>
  <c r="AG558" i="1"/>
  <c r="AH558" i="1"/>
  <c r="AG449" i="1"/>
  <c r="AH427" i="1"/>
  <c r="AH415" i="1"/>
  <c r="AG279" i="1"/>
  <c r="AG1115" i="1"/>
  <c r="AH1051" i="1"/>
  <c r="AH342" i="1"/>
  <c r="AH1297" i="1"/>
  <c r="AH1225" i="1"/>
  <c r="AG1193" i="1"/>
  <c r="AH1193" i="1"/>
  <c r="AG1145" i="1"/>
  <c r="AG339" i="1"/>
  <c r="AG355" i="1"/>
  <c r="AH1141" i="1"/>
  <c r="AG1116" i="1"/>
  <c r="AG1066" i="1"/>
  <c r="AG1062" i="1"/>
  <c r="AH1050" i="1"/>
  <c r="AG1253" i="1"/>
  <c r="AG1185" i="1"/>
  <c r="AH1185" i="1"/>
  <c r="AG812" i="1"/>
  <c r="AH529" i="1"/>
  <c r="AH421" i="1"/>
  <c r="AG421" i="1"/>
  <c r="AH981" i="1"/>
  <c r="AG973" i="1"/>
  <c r="AH973" i="1"/>
  <c r="AH961" i="1"/>
  <c r="AG959" i="1"/>
  <c r="AH959" i="1"/>
  <c r="AH951" i="1"/>
  <c r="AG939" i="1"/>
  <c r="AG929" i="1"/>
  <c r="AG907" i="1"/>
  <c r="AH907" i="1"/>
  <c r="AG899" i="1"/>
  <c r="AH895" i="1"/>
  <c r="AG893" i="1"/>
  <c r="AH893" i="1"/>
  <c r="AG885" i="1"/>
  <c r="AH885" i="1"/>
  <c r="AG873" i="1"/>
  <c r="AH873" i="1"/>
  <c r="AG871" i="1"/>
  <c r="AG863" i="1"/>
  <c r="AH863" i="1"/>
  <c r="AG1040" i="1"/>
  <c r="AH1031" i="1"/>
  <c r="AG1020" i="1"/>
  <c r="AH1017" i="1"/>
  <c r="AH1013" i="1"/>
  <c r="AH984" i="1"/>
  <c r="AG984" i="1"/>
  <c r="AH972" i="1"/>
  <c r="AG972" i="1"/>
  <c r="AH970" i="1"/>
  <c r="AG970" i="1"/>
  <c r="AH968" i="1"/>
  <c r="AG964" i="1"/>
  <c r="AH962" i="1"/>
  <c r="AG962" i="1"/>
  <c r="AG952" i="1"/>
  <c r="AH940" i="1"/>
  <c r="AG926" i="1"/>
  <c r="AG918" i="1"/>
  <c r="AG910" i="1"/>
  <c r="AG906" i="1"/>
  <c r="AH904" i="1"/>
  <c r="AG904" i="1"/>
  <c r="AH896" i="1"/>
  <c r="AG896" i="1"/>
  <c r="AH884" i="1"/>
  <c r="AH882" i="1"/>
  <c r="AG882" i="1"/>
  <c r="AH874" i="1"/>
  <c r="AG874" i="1"/>
  <c r="AH866" i="1"/>
  <c r="AH864" i="1"/>
  <c r="AH852" i="1"/>
  <c r="AG852" i="1"/>
  <c r="AG764" i="1"/>
  <c r="AH764" i="1"/>
  <c r="AG756" i="1"/>
  <c r="AH756" i="1"/>
  <c r="AH736" i="1"/>
  <c r="AH734" i="1"/>
  <c r="AG730" i="1"/>
  <c r="AG722" i="1"/>
  <c r="AH722" i="1"/>
  <c r="AG720" i="1"/>
  <c r="AH720" i="1"/>
  <c r="AG698" i="1"/>
  <c r="AH698" i="1"/>
  <c r="AG690" i="1"/>
  <c r="AH690" i="1"/>
  <c r="AG686" i="1"/>
  <c r="AH678" i="1"/>
  <c r="AH668" i="1"/>
  <c r="AH664" i="1"/>
  <c r="AG658" i="1"/>
  <c r="AH658" i="1"/>
  <c r="AG642" i="1"/>
  <c r="AG636" i="1"/>
  <c r="AH636" i="1"/>
  <c r="AG632" i="1"/>
  <c r="AH632" i="1"/>
  <c r="AG630" i="1"/>
  <c r="AH630" i="1"/>
  <c r="AG591" i="1"/>
  <c r="AH591" i="1"/>
  <c r="AG532" i="1"/>
  <c r="AH532" i="1"/>
  <c r="AG624" i="1"/>
  <c r="AH769" i="1"/>
  <c r="AG769" i="1"/>
  <c r="AH763" i="1"/>
  <c r="AH755" i="1"/>
  <c r="AH753" i="1"/>
  <c r="AG753" i="1"/>
  <c r="AH745" i="1"/>
  <c r="AG745" i="1"/>
  <c r="AH731" i="1"/>
  <c r="AG731" i="1"/>
  <c r="AH719" i="1"/>
  <c r="AG719" i="1"/>
  <c r="AG711" i="1"/>
  <c r="AH707" i="1"/>
  <c r="AH697" i="1"/>
  <c r="AH687" i="1"/>
  <c r="AG687" i="1"/>
  <c r="AH669" i="1"/>
  <c r="AG669" i="1"/>
  <c r="AH665" i="1"/>
  <c r="AG665" i="1"/>
  <c r="AH647" i="1"/>
  <c r="AG647" i="1"/>
  <c r="AH643" i="1"/>
  <c r="AG643" i="1"/>
  <c r="AH635" i="1"/>
  <c r="AH631" i="1"/>
  <c r="AH524" i="1"/>
  <c r="AG524" i="1"/>
  <c r="AG512" i="1"/>
  <c r="AH512" i="1"/>
  <c r="AH429" i="1"/>
  <c r="AG429" i="1"/>
  <c r="AG399" i="1"/>
  <c r="AG383" i="1"/>
  <c r="AH383" i="1"/>
  <c r="AG375" i="1"/>
  <c r="AH375" i="1"/>
  <c r="AG614" i="1"/>
  <c r="AG570" i="1"/>
  <c r="AH547" i="1"/>
  <c r="AG547" i="1"/>
  <c r="AH544" i="1"/>
  <c r="AH531" i="1"/>
  <c r="AG531" i="1"/>
  <c r="AH551" i="1"/>
  <c r="AH499" i="1"/>
  <c r="AH445" i="1"/>
  <c r="AG445" i="1"/>
  <c r="AG693" i="1" l="1"/>
  <c r="AH1045" i="1"/>
  <c r="AH704" i="1"/>
  <c r="AG1221" i="1"/>
  <c r="AH1049" i="1"/>
  <c r="AG408" i="1"/>
  <c r="AH1133" i="1"/>
  <c r="AH715" i="1"/>
  <c r="AH803" i="1"/>
  <c r="AG364" i="1"/>
  <c r="AH612" i="1"/>
  <c r="AI464" i="1"/>
  <c r="AK464" i="1" s="1"/>
  <c r="AG1157" i="1"/>
  <c r="AG836" i="1"/>
  <c r="AH1206" i="1"/>
  <c r="AH587" i="1"/>
  <c r="AG994" i="1"/>
  <c r="AH983" i="1"/>
  <c r="AH737" i="1"/>
  <c r="AH534" i="1"/>
  <c r="AH785" i="1"/>
  <c r="AH1304" i="1"/>
  <c r="AH527" i="1"/>
  <c r="AH1263" i="1"/>
  <c r="AI351" i="1"/>
  <c r="AK351" i="1" s="1"/>
  <c r="AG578" i="1"/>
  <c r="AG483" i="1"/>
  <c r="AG663" i="1"/>
  <c r="AG928" i="1"/>
  <c r="AH915" i="1"/>
  <c r="AH476" i="1"/>
  <c r="AG598" i="1"/>
  <c r="AG674" i="1"/>
  <c r="AH1033" i="1"/>
  <c r="AG543" i="1"/>
  <c r="AH1257" i="1"/>
  <c r="AH780" i="1"/>
  <c r="AG610" i="1"/>
  <c r="AG860" i="1"/>
  <c r="AH917" i="1"/>
  <c r="AG580" i="1"/>
  <c r="AG1113" i="1"/>
  <c r="AG360" i="1"/>
  <c r="AH349" i="1"/>
  <c r="AI1332" i="1"/>
  <c r="AK1332" i="1" s="1"/>
  <c r="AG775" i="1"/>
  <c r="AH1178" i="1"/>
  <c r="AI1244" i="1"/>
  <c r="AK1244" i="1" s="1"/>
  <c r="AG726" i="1"/>
  <c r="AH554" i="1"/>
  <c r="AG1026" i="1"/>
  <c r="AH358" i="1"/>
  <c r="AH825" i="1"/>
  <c r="AH453" i="1"/>
  <c r="AG682" i="1"/>
  <c r="AH849" i="1"/>
  <c r="AG315" i="1"/>
  <c r="AG818" i="1"/>
  <c r="AH1218" i="1"/>
  <c r="AI610" i="1"/>
  <c r="AK610" i="1" s="1"/>
  <c r="AH1224" i="1"/>
  <c r="AH937" i="1"/>
  <c r="AG1250" i="1"/>
  <c r="AI1196" i="1"/>
  <c r="AK1196" i="1" s="1"/>
  <c r="AG948" i="1"/>
  <c r="AH1243" i="1"/>
  <c r="AG862" i="1"/>
  <c r="AH814" i="1"/>
  <c r="AG576" i="1"/>
  <c r="AH950" i="1"/>
  <c r="AH851" i="1"/>
  <c r="AG816" i="1"/>
  <c r="AG600" i="1"/>
  <c r="AH1137" i="1"/>
  <c r="AH290" i="1"/>
  <c r="AG1231" i="1"/>
  <c r="AG266" i="1"/>
  <c r="AG796" i="1"/>
  <c r="AI800" i="1"/>
  <c r="AK800" i="1" s="1"/>
  <c r="AI606" i="1"/>
  <c r="AK606" i="1" s="1"/>
  <c r="AI584" i="1"/>
  <c r="AK584" i="1" s="1"/>
  <c r="AG659" i="1"/>
  <c r="AH703" i="1"/>
  <c r="AH751" i="1"/>
  <c r="AH623" i="1"/>
  <c r="AG670" i="1"/>
  <c r="AG1018" i="1"/>
  <c r="AH1044" i="1"/>
  <c r="AG1121" i="1"/>
  <c r="AG264" i="1"/>
  <c r="AH795" i="1"/>
  <c r="AG299" i="1"/>
  <c r="AH605" i="1"/>
  <c r="AI1202" i="1"/>
  <c r="AK1202" i="1" s="1"/>
  <c r="AG568" i="1"/>
  <c r="AH634" i="1"/>
  <c r="AG561" i="1"/>
  <c r="AG539" i="1"/>
  <c r="AG872" i="1"/>
  <c r="AH1143" i="1"/>
  <c r="AH546" i="1"/>
  <c r="AH1252" i="1"/>
  <c r="AG590" i="1"/>
  <c r="AG681" i="1"/>
  <c r="AG729" i="1"/>
  <c r="AG692" i="1"/>
  <c r="AG740" i="1"/>
  <c r="AH513" i="1"/>
  <c r="AG1219" i="1"/>
  <c r="AG487" i="1"/>
  <c r="AH744" i="1"/>
  <c r="AH518" i="1"/>
  <c r="AG298" i="1"/>
  <c r="AG637" i="1"/>
  <c r="AG685" i="1"/>
  <c r="AG608" i="1"/>
  <c r="AG648" i="1"/>
  <c r="AG696" i="1"/>
  <c r="AG1161" i="1"/>
  <c r="AG265" i="1"/>
  <c r="AH311" i="1"/>
  <c r="AH542" i="1"/>
  <c r="AG1095" i="1"/>
  <c r="AH1198" i="1"/>
  <c r="AH1084" i="1"/>
  <c r="AG444" i="1"/>
  <c r="AG579" i="1"/>
  <c r="AG652" i="1"/>
  <c r="AH452" i="1"/>
  <c r="AG550" i="1"/>
  <c r="AG418" i="1"/>
  <c r="AH667" i="1"/>
  <c r="AG619" i="1"/>
  <c r="AH831" i="1"/>
  <c r="AH275" i="1"/>
  <c r="AG773" i="1"/>
  <c r="AG626" i="1"/>
  <c r="AH641" i="1"/>
  <c r="AH733" i="1"/>
  <c r="AH656" i="1"/>
  <c r="AH700" i="1"/>
  <c r="AG758" i="1"/>
  <c r="AH1201" i="1"/>
  <c r="AG823" i="1"/>
  <c r="AG689" i="1"/>
  <c r="AH583" i="1"/>
  <c r="AH762" i="1"/>
  <c r="AG508" i="1"/>
  <c r="AH1294" i="1"/>
  <c r="AG1009" i="1"/>
  <c r="AG557" i="1"/>
  <c r="AG597" i="1"/>
  <c r="AH482" i="1"/>
  <c r="AG1077" i="1"/>
  <c r="AH395" i="1"/>
  <c r="AH1323" i="1"/>
  <c r="AG725" i="1"/>
  <c r="AG645" i="1"/>
  <c r="AH714" i="1"/>
  <c r="AG908" i="1"/>
  <c r="AG491" i="1"/>
  <c r="AH1073" i="1"/>
  <c r="AG270" i="1"/>
  <c r="AG747" i="1"/>
  <c r="AI1104" i="1"/>
  <c r="AK1104" i="1" s="1"/>
  <c r="AI1038" i="1"/>
  <c r="AK1038" i="1" s="1"/>
  <c r="AI525" i="1"/>
  <c r="AK525" i="1" s="1"/>
  <c r="AH1081" i="1"/>
  <c r="AI296" i="1"/>
  <c r="AK296" i="1" s="1"/>
  <c r="AG465" i="1"/>
  <c r="AG594" i="1"/>
  <c r="AH828" i="1"/>
  <c r="AH1281" i="1"/>
  <c r="AG277" i="1"/>
  <c r="AH766" i="1"/>
  <c r="AH1117" i="1"/>
  <c r="AG553" i="1"/>
  <c r="AG422" i="1"/>
  <c r="AH1332" i="1"/>
  <c r="AH615" i="1"/>
  <c r="AH718" i="1"/>
  <c r="AH791" i="1"/>
  <c r="AG320" i="1"/>
  <c r="AG1162" i="1"/>
  <c r="AG584" i="1"/>
  <c r="AH1331" i="1"/>
  <c r="AI1306" i="1"/>
  <c r="AK1306" i="1" s="1"/>
  <c r="AI1113" i="1"/>
  <c r="AK1113" i="1" s="1"/>
  <c r="AI1091" i="1"/>
  <c r="AK1091" i="1" s="1"/>
  <c r="AI1069" i="1"/>
  <c r="AK1069" i="1" s="1"/>
  <c r="AI1047" i="1"/>
  <c r="AK1047" i="1" s="1"/>
  <c r="AI1025" i="1"/>
  <c r="AK1025" i="1" s="1"/>
  <c r="AH426" i="1"/>
  <c r="AI458" i="1"/>
  <c r="AK458" i="1" s="1"/>
  <c r="AI443" i="1"/>
  <c r="AK443" i="1" s="1"/>
  <c r="AI414" i="1"/>
  <c r="AK414" i="1" s="1"/>
  <c r="AI399" i="1"/>
  <c r="AK399" i="1" s="1"/>
  <c r="AI392" i="1"/>
  <c r="AK392" i="1" s="1"/>
  <c r="AI362" i="1"/>
  <c r="AK362" i="1" s="1"/>
  <c r="AI355" i="1"/>
  <c r="AK355" i="1" s="1"/>
  <c r="AI304" i="1"/>
  <c r="AK304" i="1" s="1"/>
  <c r="AI776" i="1"/>
  <c r="AK776" i="1" s="1"/>
  <c r="AI523" i="1"/>
  <c r="AK523" i="1" s="1"/>
  <c r="AI384" i="1"/>
  <c r="AK384" i="1" s="1"/>
  <c r="AH827" i="1"/>
  <c r="AI754" i="1"/>
  <c r="AK754" i="1" s="1"/>
  <c r="AI732" i="1"/>
  <c r="AK732" i="1" s="1"/>
  <c r="AI710" i="1"/>
  <c r="AK710" i="1" s="1"/>
  <c r="AI688" i="1"/>
  <c r="AK688" i="1" s="1"/>
  <c r="AI666" i="1"/>
  <c r="AK666" i="1" s="1"/>
  <c r="AI644" i="1"/>
  <c r="AK644" i="1" s="1"/>
  <c r="AI622" i="1"/>
  <c r="AK622" i="1" s="1"/>
  <c r="AI530" i="1"/>
  <c r="AK530" i="1" s="1"/>
  <c r="AI508" i="1"/>
  <c r="AK508" i="1" s="1"/>
  <c r="AI435" i="1"/>
  <c r="AK435" i="1" s="1"/>
  <c r="AI420" i="1"/>
  <c r="AK420" i="1" s="1"/>
  <c r="AI347" i="1"/>
  <c r="AK347" i="1" s="1"/>
  <c r="AI303" i="1"/>
  <c r="AK303" i="1" s="1"/>
  <c r="AI340" i="1"/>
  <c r="AK340" i="1" s="1"/>
  <c r="AH1021" i="1"/>
  <c r="AH528" i="1"/>
  <c r="AG878" i="1"/>
  <c r="AG1024" i="1"/>
  <c r="AG1189" i="1"/>
  <c r="AH312" i="1"/>
  <c r="AH1286" i="1"/>
  <c r="AH506" i="1"/>
  <c r="AH1287" i="1"/>
  <c r="AI1262" i="1"/>
  <c r="AK1262" i="1" s="1"/>
  <c r="AI1240" i="1"/>
  <c r="AK1240" i="1" s="1"/>
  <c r="AI1218" i="1"/>
  <c r="AK1218" i="1" s="1"/>
  <c r="AI783" i="1"/>
  <c r="AK783" i="1" s="1"/>
  <c r="AI611" i="1"/>
  <c r="AK611" i="1" s="1"/>
  <c r="AI600" i="1"/>
  <c r="AK600" i="1" s="1"/>
  <c r="AI578" i="1"/>
  <c r="AK578" i="1" s="1"/>
  <c r="AI567" i="1"/>
  <c r="AK567" i="1" s="1"/>
  <c r="AI556" i="1"/>
  <c r="AK556" i="1" s="1"/>
  <c r="AI545" i="1"/>
  <c r="AK545" i="1" s="1"/>
  <c r="AH564" i="1"/>
  <c r="AH1109" i="1"/>
  <c r="AH540" i="1"/>
  <c r="AH838" i="1"/>
  <c r="AH1087" i="1"/>
  <c r="AI1174" i="1"/>
  <c r="AK1174" i="1" s="1"/>
  <c r="AI585" i="1"/>
  <c r="AK585" i="1" s="1"/>
  <c r="AI563" i="1"/>
  <c r="AK563" i="1" s="1"/>
  <c r="AH377" i="1"/>
  <c r="AI590" i="1"/>
  <c r="AK590" i="1" s="1"/>
  <c r="AI491" i="1"/>
  <c r="AK491" i="1" s="1"/>
  <c r="AI1152" i="1"/>
  <c r="AK1152" i="1" s="1"/>
  <c r="AI1130" i="1"/>
  <c r="AK1130" i="1" s="1"/>
  <c r="AH575" i="1"/>
  <c r="AG1034" i="1"/>
  <c r="AH1110" i="1"/>
  <c r="AG1214" i="1"/>
  <c r="AI1108" i="1"/>
  <c r="AK1108" i="1" s="1"/>
  <c r="AI1086" i="1"/>
  <c r="AK1086" i="1" s="1"/>
  <c r="AI1064" i="1"/>
  <c r="AK1064" i="1" s="1"/>
  <c r="AI1042" i="1"/>
  <c r="AK1042" i="1" s="1"/>
  <c r="AI1020" i="1"/>
  <c r="AK1020" i="1" s="1"/>
  <c r="AI998" i="1"/>
  <c r="AK998" i="1" s="1"/>
  <c r="AI976" i="1"/>
  <c r="AK976" i="1" s="1"/>
  <c r="AI954" i="1"/>
  <c r="AK954" i="1" s="1"/>
  <c r="AI932" i="1"/>
  <c r="AK932" i="1" s="1"/>
  <c r="AI910" i="1"/>
  <c r="AK910" i="1" s="1"/>
  <c r="AI888" i="1"/>
  <c r="AK888" i="1" s="1"/>
  <c r="AI866" i="1"/>
  <c r="AK866" i="1" s="1"/>
  <c r="AI844" i="1"/>
  <c r="AK844" i="1" s="1"/>
  <c r="AH396" i="1"/>
  <c r="AG571" i="1"/>
  <c r="AH657" i="1"/>
  <c r="AG900" i="1"/>
  <c r="AH1091" i="1"/>
  <c r="AH593" i="1"/>
  <c r="AH1228" i="1"/>
  <c r="AH288" i="1"/>
  <c r="AG1122" i="1"/>
  <c r="AI822" i="1"/>
  <c r="AK822" i="1" s="1"/>
  <c r="AH484" i="1"/>
  <c r="AG276" i="1"/>
  <c r="AI440" i="1"/>
  <c r="AK440" i="1" s="1"/>
  <c r="AI432" i="1"/>
  <c r="AK432" i="1" s="1"/>
  <c r="AI388" i="1"/>
  <c r="AK388" i="1" s="1"/>
  <c r="AI352" i="1"/>
  <c r="AK352" i="1" s="1"/>
  <c r="AH560" i="1"/>
  <c r="AH911" i="1"/>
  <c r="AG604" i="1"/>
  <c r="AG845" i="1"/>
  <c r="AI1304" i="1"/>
  <c r="AK1304" i="1" s="1"/>
  <c r="AI778" i="1"/>
  <c r="AK778" i="1" s="1"/>
  <c r="AG1309" i="1"/>
  <c r="AG837" i="1"/>
  <c r="AH1211" i="1"/>
  <c r="AH562" i="1"/>
  <c r="AH495" i="1"/>
  <c r="AH573" i="1"/>
  <c r="AI1311" i="1"/>
  <c r="AK1311" i="1" s="1"/>
  <c r="AI1001" i="1"/>
  <c r="AK1001" i="1" s="1"/>
  <c r="AI756" i="1"/>
  <c r="AK756" i="1" s="1"/>
  <c r="AI734" i="1"/>
  <c r="AK734" i="1" s="1"/>
  <c r="AI712" i="1"/>
  <c r="AK712" i="1" s="1"/>
  <c r="AI690" i="1"/>
  <c r="AK690" i="1" s="1"/>
  <c r="AI668" i="1"/>
  <c r="AK668" i="1" s="1"/>
  <c r="AI646" i="1"/>
  <c r="AK646" i="1" s="1"/>
  <c r="AI624" i="1"/>
  <c r="AK624" i="1" s="1"/>
  <c r="AI468" i="1"/>
  <c r="AK468" i="1" s="1"/>
  <c r="AG586" i="1"/>
  <c r="AH595" i="1"/>
  <c r="AH359" i="1"/>
  <c r="AG1127" i="1"/>
  <c r="AI825" i="1"/>
  <c r="AK825" i="1" s="1"/>
  <c r="AI602" i="1"/>
  <c r="AK602" i="1" s="1"/>
  <c r="AI580" i="1"/>
  <c r="AK580" i="1" s="1"/>
  <c r="AI558" i="1"/>
  <c r="AK558" i="1" s="1"/>
  <c r="AI536" i="1"/>
  <c r="AK536" i="1" s="1"/>
  <c r="AI1300" i="1"/>
  <c r="AK1300" i="1" s="1"/>
  <c r="AH308" i="1"/>
  <c r="AG1177" i="1"/>
  <c r="AH1055" i="1"/>
  <c r="AH473" i="1"/>
  <c r="AI1289" i="1"/>
  <c r="AK1289" i="1" s="1"/>
  <c r="AI763" i="1"/>
  <c r="AK763" i="1" s="1"/>
  <c r="AI741" i="1"/>
  <c r="AK741" i="1" s="1"/>
  <c r="AI719" i="1"/>
  <c r="AK719" i="1" s="1"/>
  <c r="AI697" i="1"/>
  <c r="AK697" i="1" s="1"/>
  <c r="AI675" i="1"/>
  <c r="AK675" i="1" s="1"/>
  <c r="AI653" i="1"/>
  <c r="AK653" i="1" s="1"/>
  <c r="AI631" i="1"/>
  <c r="AK631" i="1" s="1"/>
  <c r="AI1282" i="1"/>
  <c r="AK1282" i="1" s="1"/>
  <c r="AH363" i="1"/>
  <c r="AG990" i="1"/>
  <c r="AH549" i="1"/>
  <c r="AH365" i="1"/>
  <c r="AG322" i="1"/>
  <c r="AH390" i="1"/>
  <c r="AI1260" i="1"/>
  <c r="AK1260" i="1" s="1"/>
  <c r="AI1238" i="1"/>
  <c r="AK1238" i="1" s="1"/>
  <c r="AH839" i="1"/>
  <c r="AI1194" i="1"/>
  <c r="AK1194" i="1" s="1"/>
  <c r="AG806" i="1"/>
  <c r="AH933" i="1"/>
  <c r="AG1080" i="1"/>
  <c r="AH435" i="1"/>
  <c r="AH398" i="1"/>
  <c r="AI1267" i="1"/>
  <c r="AK1267" i="1" s="1"/>
  <c r="AG1112" i="1"/>
  <c r="AG448" i="1"/>
  <c r="AG378" i="1"/>
  <c r="AG424" i="1"/>
  <c r="AI1245" i="1"/>
  <c r="AK1245" i="1" s="1"/>
  <c r="AI1223" i="1"/>
  <c r="AK1223" i="1" s="1"/>
  <c r="AI1216" i="1"/>
  <c r="AK1216" i="1" s="1"/>
  <c r="AG922" i="1"/>
  <c r="AH633" i="1"/>
  <c r="AH830" i="1"/>
  <c r="AG356" i="1"/>
  <c r="AH516" i="1"/>
  <c r="AG386" i="1"/>
  <c r="AG440" i="1"/>
  <c r="AI1201" i="1"/>
  <c r="AK1201" i="1" s="1"/>
  <c r="AI1179" i="1"/>
  <c r="AK1179" i="1" s="1"/>
  <c r="AI1150" i="1"/>
  <c r="AK1150" i="1" s="1"/>
  <c r="AH1097" i="1"/>
  <c r="AH1060" i="1"/>
  <c r="AG1217" i="1"/>
  <c r="AG809" i="1"/>
  <c r="AH456" i="1"/>
  <c r="AI1328" i="1"/>
  <c r="AK1328" i="1" s="1"/>
  <c r="AH1306" i="1"/>
  <c r="AI1252" i="1"/>
  <c r="AK1252" i="1" s="1"/>
  <c r="AI1106" i="1"/>
  <c r="AK1106" i="1" s="1"/>
  <c r="AI1084" i="1"/>
  <c r="AK1084" i="1" s="1"/>
  <c r="AI1062" i="1"/>
  <c r="AK1062" i="1" s="1"/>
  <c r="AI1040" i="1"/>
  <c r="AK1040" i="1" s="1"/>
  <c r="AI494" i="1"/>
  <c r="AK494" i="1" s="1"/>
  <c r="AG688" i="1"/>
  <c r="AG870" i="1"/>
  <c r="AG914" i="1"/>
  <c r="AH903" i="1"/>
  <c r="AH1293" i="1"/>
  <c r="AG323" i="1"/>
  <c r="AI1322" i="1"/>
  <c r="AK1322" i="1" s="1"/>
  <c r="AI1173" i="1"/>
  <c r="AK1173" i="1" s="1"/>
  <c r="AG1023" i="1"/>
  <c r="AI1016" i="1"/>
  <c r="AK1016" i="1" s="1"/>
  <c r="AH523" i="1"/>
  <c r="AI1278" i="1"/>
  <c r="AK1278" i="1" s="1"/>
  <c r="AI1107" i="1"/>
  <c r="AK1107" i="1" s="1"/>
  <c r="AH786" i="1"/>
  <c r="AI515" i="1"/>
  <c r="AK515" i="1" s="1"/>
  <c r="AI442" i="1"/>
  <c r="AK442" i="1" s="1"/>
  <c r="AI398" i="1"/>
  <c r="AK398" i="1" s="1"/>
  <c r="AI376" i="1"/>
  <c r="AK376" i="1" s="1"/>
  <c r="AI354" i="1"/>
  <c r="AK354" i="1" s="1"/>
  <c r="AI339" i="1"/>
  <c r="AK339" i="1" s="1"/>
  <c r="AI332" i="1"/>
  <c r="AK332" i="1" s="1"/>
  <c r="AI288" i="1"/>
  <c r="AK288" i="1" s="1"/>
  <c r="AG721" i="1"/>
  <c r="AH662" i="1"/>
  <c r="AG346" i="1"/>
  <c r="AG965" i="1"/>
  <c r="AG351" i="1"/>
  <c r="AH325" i="1"/>
  <c r="AI1019" i="1"/>
  <c r="AK1019" i="1" s="1"/>
  <c r="AG859" i="1"/>
  <c r="AH387" i="1"/>
  <c r="AG1022" i="1"/>
  <c r="AG381" i="1"/>
  <c r="AH464" i="1"/>
  <c r="AI1303" i="1"/>
  <c r="AK1303" i="1" s="1"/>
  <c r="AI1256" i="1"/>
  <c r="AK1256" i="1" s="1"/>
  <c r="AI818" i="1"/>
  <c r="AK818" i="1" s="1"/>
  <c r="AI331" i="1"/>
  <c r="AK331" i="1" s="1"/>
  <c r="AI272" i="1"/>
  <c r="AK272" i="1" s="1"/>
  <c r="AG723" i="1"/>
  <c r="AH521" i="1"/>
  <c r="AH969" i="1"/>
  <c r="AG273" i="1"/>
  <c r="AG1275" i="1"/>
  <c r="AH374" i="1"/>
  <c r="AG695" i="1"/>
  <c r="AG666" i="1"/>
  <c r="AH585" i="1"/>
  <c r="AH1288" i="1"/>
  <c r="AH382" i="1"/>
  <c r="AH280" i="1"/>
  <c r="AI1172" i="1"/>
  <c r="AK1172" i="1" s="1"/>
  <c r="AH1004" i="1"/>
  <c r="AG997" i="1"/>
  <c r="AI979" i="1"/>
  <c r="AK979" i="1" s="1"/>
  <c r="AI957" i="1"/>
  <c r="AK957" i="1" s="1"/>
  <c r="AI935" i="1"/>
  <c r="AK935" i="1" s="1"/>
  <c r="AI913" i="1"/>
  <c r="AK913" i="1" s="1"/>
  <c r="AI891" i="1"/>
  <c r="AK891" i="1" s="1"/>
  <c r="AI869" i="1"/>
  <c r="AK869" i="1" s="1"/>
  <c r="AI847" i="1"/>
  <c r="AK847" i="1" s="1"/>
  <c r="AG761" i="1"/>
  <c r="AG732" i="1"/>
  <c r="AH772" i="1"/>
  <c r="AH932" i="1"/>
  <c r="AH980" i="1"/>
  <c r="AG1030" i="1"/>
  <c r="AH975" i="1"/>
  <c r="AG1129" i="1"/>
  <c r="AH1175" i="1"/>
  <c r="AG274" i="1"/>
  <c r="AG413" i="1"/>
  <c r="AG485" i="1"/>
  <c r="AG490" i="1"/>
  <c r="AI1128" i="1"/>
  <c r="AK1128" i="1" s="1"/>
  <c r="AI997" i="1"/>
  <c r="AK997" i="1" s="1"/>
  <c r="AI975" i="1"/>
  <c r="AK975" i="1" s="1"/>
  <c r="AI953" i="1"/>
  <c r="AK953" i="1" s="1"/>
  <c r="AI931" i="1"/>
  <c r="AK931" i="1" s="1"/>
  <c r="AI909" i="1"/>
  <c r="AK909" i="1" s="1"/>
  <c r="AI887" i="1"/>
  <c r="AK887" i="1" s="1"/>
  <c r="AI865" i="1"/>
  <c r="AK865" i="1" s="1"/>
  <c r="AI843" i="1"/>
  <c r="AK843" i="1" s="1"/>
  <c r="AI344" i="1"/>
  <c r="AK344" i="1" s="1"/>
  <c r="AI821" i="1"/>
  <c r="AK821" i="1" s="1"/>
  <c r="AG673" i="1"/>
  <c r="AG699" i="1"/>
  <c r="AH844" i="1"/>
  <c r="AG892" i="1"/>
  <c r="AH936" i="1"/>
  <c r="AH877" i="1"/>
  <c r="AH925" i="1"/>
  <c r="AG979" i="1"/>
  <c r="AG1076" i="1"/>
  <c r="AG991" i="1"/>
  <c r="AG344" i="1"/>
  <c r="AG447" i="1"/>
  <c r="AG469" i="1"/>
  <c r="AI1266" i="1"/>
  <c r="AK1266" i="1" s="1"/>
  <c r="AG1131" i="1"/>
  <c r="AI1124" i="1"/>
  <c r="AK1124" i="1" s="1"/>
  <c r="AI1018" i="1"/>
  <c r="AK1018" i="1" s="1"/>
  <c r="AI982" i="1"/>
  <c r="AK982" i="1" s="1"/>
  <c r="AI960" i="1"/>
  <c r="AK960" i="1" s="1"/>
  <c r="AI938" i="1"/>
  <c r="AK938" i="1" s="1"/>
  <c r="AI916" i="1"/>
  <c r="AK916" i="1" s="1"/>
  <c r="AI894" i="1"/>
  <c r="AK894" i="1" s="1"/>
  <c r="AI872" i="1"/>
  <c r="AK872" i="1" s="1"/>
  <c r="AI803" i="1"/>
  <c r="AK803" i="1" s="1"/>
  <c r="AI461" i="1"/>
  <c r="AK461" i="1" s="1"/>
  <c r="AI395" i="1"/>
  <c r="AK395" i="1" s="1"/>
  <c r="AI307" i="1"/>
  <c r="AK307" i="1" s="1"/>
  <c r="AG622" i="1"/>
  <c r="AG701" i="1"/>
  <c r="AG1260" i="1"/>
  <c r="AH675" i="1"/>
  <c r="AG324" i="1"/>
  <c r="AH1284" i="1"/>
  <c r="AI1327" i="1"/>
  <c r="AK1327" i="1" s="1"/>
  <c r="AI1280" i="1"/>
  <c r="AK1280" i="1" s="1"/>
  <c r="AI1160" i="1"/>
  <c r="AK1160" i="1" s="1"/>
  <c r="AI576" i="1"/>
  <c r="AK576" i="1" s="1"/>
  <c r="AI554" i="1"/>
  <c r="AK554" i="1" s="1"/>
  <c r="AI446" i="1"/>
  <c r="AK446" i="1" s="1"/>
  <c r="AI431" i="1"/>
  <c r="AK431" i="1" s="1"/>
  <c r="AI424" i="1"/>
  <c r="AK424" i="1" s="1"/>
  <c r="AG503" i="1"/>
  <c r="AI1273" i="1"/>
  <c r="AK1273" i="1" s="1"/>
  <c r="AH765" i="1"/>
  <c r="AH437" i="1"/>
  <c r="AG367" i="1"/>
  <c r="AG603" i="1"/>
  <c r="AG651" i="1"/>
  <c r="AG677" i="1"/>
  <c r="AG767" i="1"/>
  <c r="AG646" i="1"/>
  <c r="AG676" i="1"/>
  <c r="AH708" i="1"/>
  <c r="AG811" i="1"/>
  <c r="AG935" i="1"/>
  <c r="AH1128" i="1"/>
  <c r="AG489" i="1"/>
  <c r="AH443" i="1"/>
  <c r="AH1154" i="1"/>
  <c r="AG417" i="1"/>
  <c r="AH621" i="1"/>
  <c r="AG1120" i="1"/>
  <c r="AH793" i="1"/>
  <c r="AH438" i="1"/>
  <c r="AG1320" i="1"/>
  <c r="AI996" i="1"/>
  <c r="AK996" i="1" s="1"/>
  <c r="AI974" i="1"/>
  <c r="AK974" i="1" s="1"/>
  <c r="AI952" i="1"/>
  <c r="AK952" i="1" s="1"/>
  <c r="AI930" i="1"/>
  <c r="AK930" i="1" s="1"/>
  <c r="AI908" i="1"/>
  <c r="AK908" i="1" s="1"/>
  <c r="AI886" i="1"/>
  <c r="AK886" i="1" s="1"/>
  <c r="AI864" i="1"/>
  <c r="AK864" i="1" s="1"/>
  <c r="AI842" i="1"/>
  <c r="AK842" i="1" s="1"/>
  <c r="AI759" i="1"/>
  <c r="AK759" i="1" s="1"/>
  <c r="AH1074" i="1"/>
  <c r="AG888" i="1"/>
  <c r="AI1302" i="1"/>
  <c r="AK1302" i="1" s="1"/>
  <c r="AI1036" i="1"/>
  <c r="AK1036" i="1" s="1"/>
  <c r="AI591" i="1"/>
  <c r="AK591" i="1" s="1"/>
  <c r="AH706" i="1"/>
  <c r="AH848" i="1"/>
  <c r="AH881" i="1"/>
  <c r="AH1052" i="1"/>
  <c r="AG385" i="1"/>
  <c r="AI1014" i="1"/>
  <c r="AK1014" i="1" s="1"/>
  <c r="AI989" i="1"/>
  <c r="AK989" i="1" s="1"/>
  <c r="AI774" i="1"/>
  <c r="AK774" i="1" s="1"/>
  <c r="AI752" i="1"/>
  <c r="AK752" i="1" s="1"/>
  <c r="AI730" i="1"/>
  <c r="AK730" i="1" s="1"/>
  <c r="AI664" i="1"/>
  <c r="AK664" i="1" s="1"/>
  <c r="AI642" i="1"/>
  <c r="AK642" i="1" s="1"/>
  <c r="AG998" i="1"/>
  <c r="AG372" i="1"/>
  <c r="AH611" i="1"/>
  <c r="AH742" i="1"/>
  <c r="AH843" i="1"/>
  <c r="AH1147" i="1"/>
  <c r="AH801" i="1"/>
  <c r="AH368" i="1"/>
  <c r="AI1305" i="1"/>
  <c r="AK1305" i="1" s="1"/>
  <c r="AI1258" i="1"/>
  <c r="AK1258" i="1" s="1"/>
  <c r="AH1203" i="1"/>
  <c r="AI1156" i="1"/>
  <c r="AK1156" i="1" s="1"/>
  <c r="AI1072" i="1"/>
  <c r="AK1072" i="1" s="1"/>
  <c r="AI1050" i="1"/>
  <c r="AK1050" i="1" s="1"/>
  <c r="AG999" i="1"/>
  <c r="AI820" i="1"/>
  <c r="AK820" i="1" s="1"/>
  <c r="AI605" i="1"/>
  <c r="AK605" i="1" s="1"/>
  <c r="AI583" i="1"/>
  <c r="AK583" i="1" s="1"/>
  <c r="AI561" i="1"/>
  <c r="AK561" i="1" s="1"/>
  <c r="AI269" i="1"/>
  <c r="AK269" i="1" s="1"/>
  <c r="AH976" i="1"/>
  <c r="AH1092" i="1"/>
  <c r="AI1058" i="1"/>
  <c r="AK1058" i="1" s="1"/>
  <c r="AG644" i="1"/>
  <c r="AG808" i="1"/>
  <c r="AI686" i="1"/>
  <c r="AK686" i="1" s="1"/>
  <c r="AG653" i="1"/>
  <c r="AG679" i="1"/>
  <c r="AH739" i="1"/>
  <c r="AG710" i="1"/>
  <c r="AH902" i="1"/>
  <c r="AH1169" i="1"/>
  <c r="AG1158" i="1"/>
  <c r="AH987" i="1"/>
  <c r="AH1240" i="1"/>
  <c r="AH824" i="1"/>
  <c r="AG1318" i="1"/>
  <c r="AI1265" i="1"/>
  <c r="AK1265" i="1" s="1"/>
  <c r="AI755" i="1"/>
  <c r="AK755" i="1" s="1"/>
  <c r="AI733" i="1"/>
  <c r="AK733" i="1" s="1"/>
  <c r="AI711" i="1"/>
  <c r="AK711" i="1" s="1"/>
  <c r="AI689" i="1"/>
  <c r="AK689" i="1" s="1"/>
  <c r="AI667" i="1"/>
  <c r="AK667" i="1" s="1"/>
  <c r="AI645" i="1"/>
  <c r="AK645" i="1" s="1"/>
  <c r="AI623" i="1"/>
  <c r="AK623" i="1" s="1"/>
  <c r="AI708" i="1"/>
  <c r="AK708" i="1" s="1"/>
  <c r="AI1221" i="1"/>
  <c r="AK1221" i="1" s="1"/>
  <c r="AI1068" i="1"/>
  <c r="AK1068" i="1" s="1"/>
  <c r="AI1046" i="1"/>
  <c r="AK1046" i="1" s="1"/>
  <c r="AI1006" i="1"/>
  <c r="AK1006" i="1" s="1"/>
  <c r="AI535" i="1"/>
  <c r="AK535" i="1" s="1"/>
  <c r="AH921" i="1"/>
  <c r="AG741" i="1"/>
  <c r="AG607" i="1"/>
  <c r="AH847" i="1"/>
  <c r="AH1200" i="1"/>
  <c r="AH430" i="1"/>
  <c r="AG1303" i="1"/>
  <c r="AH1271" i="1"/>
  <c r="AH412" i="1"/>
  <c r="AI1319" i="1"/>
  <c r="AK1319" i="1" s="1"/>
  <c r="AI1170" i="1"/>
  <c r="AK1170" i="1" s="1"/>
  <c r="AI798" i="1"/>
  <c r="AK798" i="1" s="1"/>
  <c r="AI1226" i="1"/>
  <c r="AK1226" i="1" s="1"/>
  <c r="AH712" i="1"/>
  <c r="AG404" i="1"/>
  <c r="AG655" i="1"/>
  <c r="AH684" i="1"/>
  <c r="AH954" i="1"/>
  <c r="AH1063" i="1"/>
  <c r="AH629" i="1"/>
  <c r="AH709" i="1"/>
  <c r="AG743" i="1"/>
  <c r="AH654" i="1"/>
  <c r="AH752" i="1"/>
  <c r="AG958" i="1"/>
  <c r="AH1001" i="1"/>
  <c r="AH943" i="1"/>
  <c r="AH1173" i="1"/>
  <c r="AG441" i="1"/>
  <c r="AG341" i="1"/>
  <c r="AG533" i="1"/>
  <c r="AH514" i="1"/>
  <c r="AH400" i="1"/>
  <c r="AI1326" i="1"/>
  <c r="AK1326" i="1" s="1"/>
  <c r="AI1217" i="1"/>
  <c r="AK1217" i="1" s="1"/>
  <c r="AI1199" i="1"/>
  <c r="AK1199" i="1" s="1"/>
  <c r="AI1148" i="1"/>
  <c r="AK1148" i="1" s="1"/>
  <c r="AI1075" i="1"/>
  <c r="AK1075" i="1" s="1"/>
  <c r="AG855" i="1"/>
  <c r="AG640" i="1"/>
  <c r="AG1208" i="1"/>
  <c r="AI1324" i="1"/>
  <c r="AK1324" i="1" s="1"/>
  <c r="AI1248" i="1"/>
  <c r="AK1248" i="1" s="1"/>
  <c r="AG1264" i="1"/>
  <c r="AH750" i="1"/>
  <c r="AH391" i="1"/>
  <c r="AG541" i="1"/>
  <c r="AG565" i="1"/>
  <c r="AG1008" i="1"/>
  <c r="AH947" i="1"/>
  <c r="AH1249" i="1"/>
  <c r="AG411" i="1"/>
  <c r="AG373" i="1"/>
  <c r="AH1176" i="1"/>
  <c r="AG428" i="1"/>
  <c r="AH307" i="1"/>
  <c r="AI1177" i="1"/>
  <c r="AK1177" i="1" s="1"/>
  <c r="AI1126" i="1"/>
  <c r="AK1126" i="1" s="1"/>
  <c r="AH281" i="1"/>
  <c r="AG281" i="1"/>
  <c r="AG352" i="1"/>
  <c r="AH1335" i="1"/>
  <c r="AG1335" i="1"/>
  <c r="AG1317" i="1"/>
  <c r="AH1317" i="1"/>
  <c r="AH1299" i="1"/>
  <c r="AG1299" i="1"/>
  <c r="AG1212" i="1"/>
  <c r="AH1212" i="1"/>
  <c r="AH1313" i="1"/>
  <c r="AG1313" i="1"/>
  <c r="AH1295" i="1"/>
  <c r="AG1295" i="1"/>
  <c r="AG354" i="1"/>
  <c r="AH354" i="1"/>
  <c r="AH735" i="1"/>
  <c r="AG735" i="1"/>
  <c r="AG724" i="1"/>
  <c r="AH724" i="1"/>
  <c r="AH713" i="1"/>
  <c r="AG713" i="1"/>
  <c r="AH691" i="1"/>
  <c r="AG691" i="1"/>
  <c r="AG931" i="1"/>
  <c r="AG353" i="1"/>
  <c r="AH353" i="1"/>
  <c r="AH757" i="1"/>
  <c r="AG757" i="1"/>
  <c r="AG887" i="1"/>
  <c r="AH335" i="1"/>
  <c r="AH1324" i="1"/>
  <c r="AH319" i="1"/>
  <c r="AH286" i="1"/>
  <c r="AG286" i="1"/>
  <c r="AH1327" i="1"/>
  <c r="AG1327" i="1"/>
  <c r="AH957" i="1"/>
  <c r="AG957" i="1"/>
  <c r="AH946" i="1"/>
  <c r="AG946" i="1"/>
  <c r="AH913" i="1"/>
  <c r="AG913" i="1"/>
  <c r="AG891" i="1"/>
  <c r="AH891" i="1"/>
  <c r="AH880" i="1"/>
  <c r="AG880" i="1"/>
  <c r="AG869" i="1"/>
  <c r="AH869" i="1"/>
  <c r="AH425" i="1"/>
  <c r="AG425" i="1"/>
  <c r="AG1025" i="1"/>
  <c r="AH1025" i="1"/>
  <c r="AG832" i="1"/>
  <c r="AH832" i="1"/>
  <c r="AG821" i="1"/>
  <c r="AH821" i="1"/>
  <c r="AH778" i="1"/>
  <c r="AG778" i="1"/>
  <c r="AG450" i="1"/>
  <c r="AH450" i="1"/>
  <c r="AH433" i="1"/>
  <c r="AG433" i="1"/>
  <c r="AH768" i="1"/>
  <c r="AG1058" i="1"/>
  <c r="AI1120" i="1"/>
  <c r="AK1120" i="1" s="1"/>
  <c r="AH1065" i="1"/>
  <c r="AG1065" i="1"/>
  <c r="AG1054" i="1"/>
  <c r="AH1054" i="1"/>
  <c r="AG1043" i="1"/>
  <c r="AH1043" i="1"/>
  <c r="AH1014" i="1"/>
  <c r="AG1007" i="1"/>
  <c r="AH1000" i="1"/>
  <c r="AG1000" i="1"/>
  <c r="AG993" i="1"/>
  <c r="AH993" i="1"/>
  <c r="AG702" i="1"/>
  <c r="AI1127" i="1"/>
  <c r="AK1127" i="1" s="1"/>
  <c r="AI1054" i="1"/>
  <c r="AK1054" i="1" s="1"/>
  <c r="AH1032" i="1"/>
  <c r="AG1032" i="1"/>
  <c r="AI993" i="1"/>
  <c r="AK993" i="1" s="1"/>
  <c r="AH792" i="1"/>
  <c r="AG792" i="1"/>
  <c r="AH471" i="1"/>
  <c r="AG471" i="1"/>
  <c r="AG1011" i="1"/>
  <c r="AH1011" i="1"/>
  <c r="AH920" i="1"/>
  <c r="AG920" i="1"/>
  <c r="AH876" i="1"/>
  <c r="AG876" i="1"/>
  <c r="AH854" i="1"/>
  <c r="AG854" i="1"/>
  <c r="AG617" i="1"/>
  <c r="AH617" i="1"/>
  <c r="AG1134" i="1"/>
  <c r="AH1123" i="1"/>
  <c r="AG1123" i="1"/>
  <c r="AI1105" i="1"/>
  <c r="AK1105" i="1" s="1"/>
  <c r="AH1083" i="1"/>
  <c r="AG1083" i="1"/>
  <c r="AG1039" i="1"/>
  <c r="AI1032" i="1"/>
  <c r="AK1032" i="1" s="1"/>
  <c r="AI839" i="1"/>
  <c r="AK839" i="1" s="1"/>
  <c r="AG492" i="1"/>
  <c r="AH492" i="1"/>
  <c r="AG1328" i="1"/>
  <c r="AH1328" i="1"/>
  <c r="AH1310" i="1"/>
  <c r="AG779" i="1"/>
  <c r="AG1047" i="1"/>
  <c r="AH1047" i="1"/>
  <c r="AH953" i="1"/>
  <c r="AG953" i="1"/>
  <c r="AG942" i="1"/>
  <c r="AH942" i="1"/>
  <c r="AG865" i="1"/>
  <c r="AH865" i="1"/>
  <c r="AG446" i="1"/>
  <c r="AH446" i="1"/>
  <c r="AH930" i="1"/>
  <c r="AH1101" i="1"/>
  <c r="AG1101" i="1"/>
  <c r="AI1083" i="1"/>
  <c r="AK1083" i="1" s="1"/>
  <c r="AI1061" i="1"/>
  <c r="AK1061" i="1" s="1"/>
  <c r="AH1010" i="1"/>
  <c r="AG1010" i="1"/>
  <c r="AG462" i="1"/>
  <c r="AH462" i="1"/>
  <c r="AH338" i="1"/>
  <c r="AG338" i="1"/>
  <c r="AG1090" i="1"/>
  <c r="AH1090" i="1"/>
  <c r="AG1079" i="1"/>
  <c r="AH1079" i="1"/>
  <c r="AI1039" i="1"/>
  <c r="AK1039" i="1" s="1"/>
  <c r="AH974" i="1"/>
  <c r="AG974" i="1"/>
  <c r="AG919" i="1"/>
  <c r="AH919" i="1"/>
  <c r="AG897" i="1"/>
  <c r="AH897" i="1"/>
  <c r="AG886" i="1"/>
  <c r="AH886" i="1"/>
  <c r="AG853" i="1"/>
  <c r="AH853" i="1"/>
  <c r="AH680" i="1"/>
  <c r="AH1245" i="1"/>
  <c r="AG1108" i="1"/>
  <c r="AH1108" i="1"/>
  <c r="AI1017" i="1"/>
  <c r="AK1017" i="1" s="1"/>
  <c r="AG1274" i="1"/>
  <c r="AH1246" i="1"/>
  <c r="AG1246" i="1"/>
  <c r="AG1184" i="1"/>
  <c r="AH1184" i="1"/>
  <c r="AG1144" i="1"/>
  <c r="AH1086" i="1"/>
  <c r="AG1086" i="1"/>
  <c r="AG1053" i="1"/>
  <c r="AH1053" i="1"/>
  <c r="AH509" i="1"/>
  <c r="AG509" i="1"/>
  <c r="AG1234" i="1"/>
  <c r="AH1234" i="1"/>
  <c r="AG1183" i="1"/>
  <c r="AH1183" i="1"/>
  <c r="AG535" i="1"/>
  <c r="AH535" i="1"/>
  <c r="AG504" i="1"/>
  <c r="AH504" i="1"/>
  <c r="AG898" i="1"/>
  <c r="AH1029" i="1"/>
  <c r="AG909" i="1"/>
  <c r="AG1277" i="1"/>
  <c r="AH1307" i="1"/>
  <c r="AG1307" i="1"/>
  <c r="AI1213" i="1"/>
  <c r="AK1213" i="1" s="1"/>
  <c r="AG461" i="1"/>
  <c r="AH461" i="1"/>
  <c r="AH746" i="1"/>
  <c r="AG986" i="1"/>
  <c r="AH1314" i="1"/>
  <c r="AG1314" i="1"/>
  <c r="AI1191" i="1"/>
  <c r="AK1191" i="1" s="1"/>
  <c r="AH1256" i="1"/>
  <c r="AG1256" i="1"/>
  <c r="AH790" i="1"/>
  <c r="AG790" i="1"/>
  <c r="AH618" i="1"/>
  <c r="AG618" i="1"/>
  <c r="AH369" i="1"/>
  <c r="AG369" i="1"/>
  <c r="AG1130" i="1"/>
  <c r="AI1296" i="1"/>
  <c r="AK1296" i="1" s="1"/>
  <c r="AH1267" i="1"/>
  <c r="AG1267" i="1"/>
  <c r="AH304" i="1"/>
  <c r="AG304" i="1"/>
  <c r="AI1257" i="1"/>
  <c r="AK1257" i="1" s="1"/>
  <c r="AH1069" i="1"/>
  <c r="AH875" i="1"/>
  <c r="AH330" i="1"/>
  <c r="AG330" i="1"/>
  <c r="AG1165" i="1"/>
  <c r="AH1165" i="1"/>
  <c r="AI1235" i="1"/>
  <c r="AK1235" i="1" s="1"/>
  <c r="AI807" i="1"/>
  <c r="AK807" i="1" s="1"/>
  <c r="AG403" i="1"/>
  <c r="AI522" i="1"/>
  <c r="AK522" i="1" s="1"/>
  <c r="AI427" i="1"/>
  <c r="AK427" i="1" s="1"/>
  <c r="AI397" i="1"/>
  <c r="AK397" i="1" s="1"/>
  <c r="AI383" i="1"/>
  <c r="AK383" i="1" s="1"/>
  <c r="AI353" i="1"/>
  <c r="AK353" i="1" s="1"/>
  <c r="AI317" i="1"/>
  <c r="AK317" i="1" s="1"/>
  <c r="AI971" i="1"/>
  <c r="AK971" i="1" s="1"/>
  <c r="AI949" i="1"/>
  <c r="AK949" i="1" s="1"/>
  <c r="AI927" i="1"/>
  <c r="AK927" i="1" s="1"/>
  <c r="AI905" i="1"/>
  <c r="AK905" i="1" s="1"/>
  <c r="AI883" i="1"/>
  <c r="AK883" i="1" s="1"/>
  <c r="AI861" i="1"/>
  <c r="AK861" i="1" s="1"/>
  <c r="AI850" i="1"/>
  <c r="AK850" i="1" s="1"/>
  <c r="AI596" i="1"/>
  <c r="AK596" i="1" s="1"/>
  <c r="AI538" i="1"/>
  <c r="AK538" i="1" s="1"/>
  <c r="AI796" i="1"/>
  <c r="AK796" i="1" s="1"/>
  <c r="AI775" i="1"/>
  <c r="AK775" i="1" s="1"/>
  <c r="AI753" i="1"/>
  <c r="AK753" i="1" s="1"/>
  <c r="AI731" i="1"/>
  <c r="AK731" i="1" s="1"/>
  <c r="AI709" i="1"/>
  <c r="AK709" i="1" s="1"/>
  <c r="AI687" i="1"/>
  <c r="AK687" i="1" s="1"/>
  <c r="AI665" i="1"/>
  <c r="AK665" i="1" s="1"/>
  <c r="AI643" i="1"/>
  <c r="AK643" i="1" s="1"/>
  <c r="AI603" i="1"/>
  <c r="AK603" i="1" s="1"/>
  <c r="AH592" i="1"/>
  <c r="AI574" i="1"/>
  <c r="AK574" i="1" s="1"/>
  <c r="AI552" i="1"/>
  <c r="AK552" i="1" s="1"/>
  <c r="AI1281" i="1"/>
  <c r="AK1281" i="1" s="1"/>
  <c r="AI1234" i="1"/>
  <c r="AK1234" i="1" s="1"/>
  <c r="AI1169" i="1"/>
  <c r="AK1169" i="1" s="1"/>
  <c r="AI1057" i="1"/>
  <c r="AK1057" i="1" s="1"/>
  <c r="AI978" i="1"/>
  <c r="AK978" i="1" s="1"/>
  <c r="AI967" i="1"/>
  <c r="AK967" i="1" s="1"/>
  <c r="AI956" i="1"/>
  <c r="AK956" i="1" s="1"/>
  <c r="AI945" i="1"/>
  <c r="AK945" i="1" s="1"/>
  <c r="AI934" i="1"/>
  <c r="AK934" i="1" s="1"/>
  <c r="AI923" i="1"/>
  <c r="AK923" i="1" s="1"/>
  <c r="AI912" i="1"/>
  <c r="AK912" i="1" s="1"/>
  <c r="AI901" i="1"/>
  <c r="AK901" i="1" s="1"/>
  <c r="AI890" i="1"/>
  <c r="AK890" i="1" s="1"/>
  <c r="AI879" i="1"/>
  <c r="AK879" i="1" s="1"/>
  <c r="AI868" i="1"/>
  <c r="AK868" i="1" s="1"/>
  <c r="AI857" i="1"/>
  <c r="AK857" i="1" s="1"/>
  <c r="AI846" i="1"/>
  <c r="AK846" i="1" s="1"/>
  <c r="AI621" i="1"/>
  <c r="AK621" i="1" s="1"/>
  <c r="AG432" i="1"/>
  <c r="AI462" i="1"/>
  <c r="AK462" i="1" s="1"/>
  <c r="AI411" i="1"/>
  <c r="AK411" i="1" s="1"/>
  <c r="AI374" i="1"/>
  <c r="AK374" i="1" s="1"/>
  <c r="AI308" i="1"/>
  <c r="AK308" i="1" s="1"/>
  <c r="AI542" i="1"/>
  <c r="AK542" i="1" s="1"/>
  <c r="AG966" i="1"/>
  <c r="AH977" i="1"/>
  <c r="AH536" i="1"/>
  <c r="AH292" i="1"/>
  <c r="AI1241" i="1"/>
  <c r="AK1241" i="1" s="1"/>
  <c r="AI1230" i="1"/>
  <c r="AK1230" i="1" s="1"/>
  <c r="AI1212" i="1"/>
  <c r="AK1212" i="1" s="1"/>
  <c r="AI1147" i="1"/>
  <c r="AK1147" i="1" s="1"/>
  <c r="AI1093" i="1"/>
  <c r="AK1093" i="1" s="1"/>
  <c r="AI1082" i="1"/>
  <c r="AK1082" i="1" s="1"/>
  <c r="AI1053" i="1"/>
  <c r="AK1053" i="1" s="1"/>
  <c r="AI799" i="1"/>
  <c r="AK799" i="1" s="1"/>
  <c r="AI599" i="1"/>
  <c r="AK599" i="1" s="1"/>
  <c r="AI541" i="1"/>
  <c r="AK541" i="1" s="1"/>
  <c r="AI520" i="1"/>
  <c r="AK520" i="1" s="1"/>
  <c r="AI469" i="1"/>
  <c r="AK469" i="1" s="1"/>
  <c r="AI447" i="1"/>
  <c r="AK447" i="1" s="1"/>
  <c r="AI410" i="1"/>
  <c r="AK410" i="1" s="1"/>
  <c r="AI403" i="1"/>
  <c r="AK403" i="1" s="1"/>
  <c r="AI381" i="1"/>
  <c r="AK381" i="1" s="1"/>
  <c r="AI366" i="1"/>
  <c r="AK366" i="1" s="1"/>
  <c r="AI315" i="1"/>
  <c r="AK315" i="1" s="1"/>
  <c r="AI475" i="1"/>
  <c r="AK475" i="1" s="1"/>
  <c r="AG1226" i="1"/>
  <c r="AI1219" i="1"/>
  <c r="AK1219" i="1" s="1"/>
  <c r="AI1190" i="1"/>
  <c r="AK1190" i="1" s="1"/>
  <c r="AI1129" i="1"/>
  <c r="AK1129" i="1" s="1"/>
  <c r="AI1111" i="1"/>
  <c r="AK1111" i="1" s="1"/>
  <c r="AH1078" i="1"/>
  <c r="AI992" i="1"/>
  <c r="AK992" i="1" s="1"/>
  <c r="AG802" i="1"/>
  <c r="AI767" i="1"/>
  <c r="AK767" i="1" s="1"/>
  <c r="AI577" i="1"/>
  <c r="AK577" i="1" s="1"/>
  <c r="AI555" i="1"/>
  <c r="AK555" i="1" s="1"/>
  <c r="AG477" i="1"/>
  <c r="AI519" i="1"/>
  <c r="AK519" i="1" s="1"/>
  <c r="AI482" i="1"/>
  <c r="AK482" i="1" s="1"/>
  <c r="AI592" i="1"/>
  <c r="AK592" i="1" s="1"/>
  <c r="AG1056" i="1"/>
  <c r="AH1067" i="1"/>
  <c r="AH419" i="1"/>
  <c r="AG788" i="1"/>
  <c r="AI1309" i="1"/>
  <c r="AK1309" i="1" s="1"/>
  <c r="AI1259" i="1"/>
  <c r="AK1259" i="1" s="1"/>
  <c r="AH1027" i="1"/>
  <c r="AH1181" i="1"/>
  <c r="AH1330" i="1"/>
  <c r="AI1237" i="1"/>
  <c r="AK1237" i="1" s="1"/>
  <c r="AI1208" i="1"/>
  <c r="AK1208" i="1" s="1"/>
  <c r="AI1154" i="1"/>
  <c r="AK1154" i="1" s="1"/>
  <c r="AI1089" i="1"/>
  <c r="AK1089" i="1" s="1"/>
  <c r="AI1071" i="1"/>
  <c r="AK1071" i="1" s="1"/>
  <c r="AI1060" i="1"/>
  <c r="AK1060" i="1" s="1"/>
  <c r="AI1049" i="1"/>
  <c r="AK1049" i="1" s="1"/>
  <c r="AI999" i="1"/>
  <c r="AK999" i="1" s="1"/>
  <c r="AH988" i="1"/>
  <c r="AI970" i="1"/>
  <c r="AK970" i="1" s="1"/>
  <c r="AI948" i="1"/>
  <c r="AK948" i="1" s="1"/>
  <c r="AI926" i="1"/>
  <c r="AK926" i="1" s="1"/>
  <c r="AI904" i="1"/>
  <c r="AK904" i="1" s="1"/>
  <c r="AI882" i="1"/>
  <c r="AK882" i="1" s="1"/>
  <c r="AI860" i="1"/>
  <c r="AK860" i="1" s="1"/>
  <c r="AG781" i="1"/>
  <c r="AI613" i="1"/>
  <c r="AK613" i="1" s="1"/>
  <c r="AH602" i="1"/>
  <c r="AG494" i="1"/>
  <c r="AI1215" i="1"/>
  <c r="AK1215" i="1" s="1"/>
  <c r="AI1168" i="1"/>
  <c r="AK1168" i="1" s="1"/>
  <c r="AI1132" i="1"/>
  <c r="AK1132" i="1" s="1"/>
  <c r="AI1085" i="1"/>
  <c r="AK1085" i="1" s="1"/>
  <c r="AI1067" i="1"/>
  <c r="AK1067" i="1" s="1"/>
  <c r="AI1045" i="1"/>
  <c r="AK1045" i="1" s="1"/>
  <c r="AI977" i="1"/>
  <c r="AK977" i="1" s="1"/>
  <c r="AI955" i="1"/>
  <c r="AK955" i="1" s="1"/>
  <c r="AI933" i="1"/>
  <c r="AK933" i="1" s="1"/>
  <c r="AI911" i="1"/>
  <c r="AK911" i="1" s="1"/>
  <c r="AI889" i="1"/>
  <c r="AK889" i="1" s="1"/>
  <c r="AI867" i="1"/>
  <c r="AK867" i="1" s="1"/>
  <c r="AI845" i="1"/>
  <c r="AK845" i="1" s="1"/>
  <c r="AI802" i="1"/>
  <c r="AK802" i="1" s="1"/>
  <c r="AI781" i="1"/>
  <c r="AK781" i="1" s="1"/>
  <c r="AI620" i="1"/>
  <c r="AK620" i="1" s="1"/>
  <c r="AI526" i="1"/>
  <c r="AK526" i="1" s="1"/>
  <c r="AI409" i="1"/>
  <c r="AK409" i="1" s="1"/>
  <c r="AI365" i="1"/>
  <c r="AK365" i="1" s="1"/>
  <c r="AI795" i="1"/>
  <c r="AK795" i="1" s="1"/>
  <c r="AH596" i="1"/>
  <c r="AI1269" i="1"/>
  <c r="AK1269" i="1" s="1"/>
  <c r="AI823" i="1"/>
  <c r="AK823" i="1" s="1"/>
  <c r="AI737" i="1"/>
  <c r="AK737" i="1" s="1"/>
  <c r="AI715" i="1"/>
  <c r="AK715" i="1" s="1"/>
  <c r="AI693" i="1"/>
  <c r="AK693" i="1" s="1"/>
  <c r="AI671" i="1"/>
  <c r="AK671" i="1" s="1"/>
  <c r="AI649" i="1"/>
  <c r="AK649" i="1" s="1"/>
  <c r="AI627" i="1"/>
  <c r="AK627" i="1" s="1"/>
  <c r="AI533" i="1"/>
  <c r="AK533" i="1" s="1"/>
  <c r="AI511" i="1"/>
  <c r="AK511" i="1" s="1"/>
  <c r="AI1330" i="1"/>
  <c r="AK1330" i="1" s="1"/>
  <c r="AG889" i="1"/>
  <c r="AH1289" i="1"/>
  <c r="AI1251" i="1"/>
  <c r="AK1251" i="1" s="1"/>
  <c r="AI1193" i="1"/>
  <c r="AK1193" i="1" s="1"/>
  <c r="AI1103" i="1"/>
  <c r="AK1103" i="1" s="1"/>
  <c r="AI1009" i="1"/>
  <c r="AK1009" i="1" s="1"/>
  <c r="AI995" i="1"/>
  <c r="AK995" i="1" s="1"/>
  <c r="AG582" i="1"/>
  <c r="AG944" i="1"/>
  <c r="AG321" i="1"/>
  <c r="AG1308" i="1"/>
  <c r="AI1287" i="1"/>
  <c r="AK1287" i="1" s="1"/>
  <c r="AG1171" i="1"/>
  <c r="AI1146" i="1"/>
  <c r="AK1146" i="1" s="1"/>
  <c r="AI1081" i="1"/>
  <c r="AK1081" i="1" s="1"/>
  <c r="AI1063" i="1"/>
  <c r="AK1063" i="1" s="1"/>
  <c r="AI1041" i="1"/>
  <c r="AK1041" i="1" s="1"/>
  <c r="AI973" i="1"/>
  <c r="AK973" i="1" s="1"/>
  <c r="AI951" i="1"/>
  <c r="AK951" i="1" s="1"/>
  <c r="AI929" i="1"/>
  <c r="AK929" i="1" s="1"/>
  <c r="AI907" i="1"/>
  <c r="AK907" i="1" s="1"/>
  <c r="AI885" i="1"/>
  <c r="AK885" i="1" s="1"/>
  <c r="AI863" i="1"/>
  <c r="AK863" i="1" s="1"/>
  <c r="AI841" i="1"/>
  <c r="AK841" i="1" s="1"/>
  <c r="AI777" i="1"/>
  <c r="AK777" i="1" s="1"/>
  <c r="AI598" i="1"/>
  <c r="AK598" i="1" s="1"/>
  <c r="AI1125" i="1"/>
  <c r="AK1125" i="1" s="1"/>
  <c r="AG850" i="1"/>
  <c r="AG949" i="1"/>
  <c r="AI1247" i="1"/>
  <c r="AK1247" i="1" s="1"/>
  <c r="AI1110" i="1"/>
  <c r="AK1110" i="1" s="1"/>
  <c r="AI819" i="1"/>
  <c r="AK819" i="1" s="1"/>
  <c r="AI1323" i="1"/>
  <c r="AK1323" i="1" s="1"/>
  <c r="AI1301" i="1"/>
  <c r="AK1301" i="1" s="1"/>
  <c r="AI784" i="1"/>
  <c r="AK784" i="1" s="1"/>
  <c r="AH1005" i="1"/>
  <c r="AG1305" i="1"/>
  <c r="AH481" i="1"/>
  <c r="AI1308" i="1"/>
  <c r="AK1308" i="1" s="1"/>
  <c r="AI1283" i="1"/>
  <c r="AK1283" i="1" s="1"/>
  <c r="AI1236" i="1"/>
  <c r="AK1236" i="1" s="1"/>
  <c r="AI1171" i="1"/>
  <c r="AK1171" i="1" s="1"/>
  <c r="AI1153" i="1"/>
  <c r="AK1153" i="1" s="1"/>
  <c r="AI1088" i="1"/>
  <c r="AK1088" i="1" s="1"/>
  <c r="AI1059" i="1"/>
  <c r="AK1059" i="1" s="1"/>
  <c r="AG497" i="1"/>
  <c r="AI487" i="1"/>
  <c r="AK487" i="1" s="1"/>
  <c r="AI1225" i="1"/>
  <c r="AK1225" i="1" s="1"/>
  <c r="AI1142" i="1"/>
  <c r="AK1142" i="1" s="1"/>
  <c r="AI1037" i="1"/>
  <c r="AK1037" i="1" s="1"/>
  <c r="AI794" i="1"/>
  <c r="AK794" i="1" s="1"/>
  <c r="AI773" i="1"/>
  <c r="AK773" i="1" s="1"/>
  <c r="AI751" i="1"/>
  <c r="AK751" i="1" s="1"/>
  <c r="AI729" i="1"/>
  <c r="AK729" i="1" s="1"/>
  <c r="AI707" i="1"/>
  <c r="AK707" i="1" s="1"/>
  <c r="AI685" i="1"/>
  <c r="AK685" i="1" s="1"/>
  <c r="AI663" i="1"/>
  <c r="AK663" i="1" s="1"/>
  <c r="AI641" i="1"/>
  <c r="AK641" i="1" s="1"/>
  <c r="AH856" i="1"/>
  <c r="AH1041" i="1"/>
  <c r="AH867" i="1"/>
  <c r="AG955" i="1"/>
  <c r="AG343" i="1"/>
  <c r="AH1085" i="1"/>
  <c r="AH1321" i="1"/>
  <c r="AG1105" i="1"/>
  <c r="AH1236" i="1"/>
  <c r="AH272" i="1"/>
  <c r="AG328" i="1"/>
  <c r="AI1329" i="1"/>
  <c r="AK1329" i="1" s="1"/>
  <c r="AI1279" i="1"/>
  <c r="AK1279" i="1" s="1"/>
  <c r="AI1261" i="1"/>
  <c r="AK1261" i="1" s="1"/>
  <c r="AI1243" i="1"/>
  <c r="AK1243" i="1" s="1"/>
  <c r="AI1214" i="1"/>
  <c r="AK1214" i="1" s="1"/>
  <c r="AH1156" i="1"/>
  <c r="AI1149" i="1"/>
  <c r="AK1149" i="1" s="1"/>
  <c r="AI1066" i="1"/>
  <c r="AK1066" i="1" s="1"/>
  <c r="AI1044" i="1"/>
  <c r="AK1044" i="1" s="1"/>
  <c r="AI1026" i="1"/>
  <c r="AK1026" i="1" s="1"/>
  <c r="AI801" i="1"/>
  <c r="AK801" i="1" s="1"/>
  <c r="AI780" i="1"/>
  <c r="AK780" i="1" s="1"/>
  <c r="AG620" i="1"/>
  <c r="AH1337" i="1"/>
  <c r="AH486" i="1"/>
  <c r="AI1318" i="1"/>
  <c r="AK1318" i="1" s="1"/>
  <c r="AI1192" i="1"/>
  <c r="AK1192" i="1" s="1"/>
  <c r="AI1102" i="1"/>
  <c r="AK1102" i="1" s="1"/>
  <c r="AI1015" i="1"/>
  <c r="AK1015" i="1" s="1"/>
  <c r="AI994" i="1"/>
  <c r="AK994" i="1" s="1"/>
  <c r="AI758" i="1"/>
  <c r="AK758" i="1" s="1"/>
  <c r="AI736" i="1"/>
  <c r="AK736" i="1" s="1"/>
  <c r="AI714" i="1"/>
  <c r="AK714" i="1" s="1"/>
  <c r="AI692" i="1"/>
  <c r="AK692" i="1" s="1"/>
  <c r="AI670" i="1"/>
  <c r="AK670" i="1" s="1"/>
  <c r="AI648" i="1"/>
  <c r="AK648" i="1" s="1"/>
  <c r="AI626" i="1"/>
  <c r="AK626" i="1" s="1"/>
  <c r="AI608" i="1"/>
  <c r="AK608" i="1" s="1"/>
  <c r="AH293" i="1"/>
  <c r="AH517" i="1"/>
  <c r="AG717" i="1"/>
  <c r="AH728" i="1"/>
  <c r="AG927" i="1"/>
  <c r="AH511" i="1"/>
  <c r="AG1088" i="1"/>
  <c r="AI1325" i="1"/>
  <c r="AK1325" i="1" s="1"/>
  <c r="AI1286" i="1"/>
  <c r="AK1286" i="1" s="1"/>
  <c r="AI1239" i="1"/>
  <c r="AK1239" i="1" s="1"/>
  <c r="AI1181" i="1"/>
  <c r="AK1181" i="1" s="1"/>
  <c r="AI1080" i="1"/>
  <c r="AK1080" i="1" s="1"/>
  <c r="AI972" i="1"/>
  <c r="AK972" i="1" s="1"/>
  <c r="AI950" i="1"/>
  <c r="AK950" i="1" s="1"/>
  <c r="AI939" i="1"/>
  <c r="AK939" i="1" s="1"/>
  <c r="AI928" i="1"/>
  <c r="AK928" i="1" s="1"/>
  <c r="AI906" i="1"/>
  <c r="AK906" i="1" s="1"/>
  <c r="AI884" i="1"/>
  <c r="AK884" i="1" s="1"/>
  <c r="AI862" i="1"/>
  <c r="AK862" i="1" s="1"/>
  <c r="AI840" i="1"/>
  <c r="AK840" i="1" s="1"/>
  <c r="AI797" i="1"/>
  <c r="AK797" i="1" s="1"/>
  <c r="AI539" i="1"/>
  <c r="AK539" i="1" s="1"/>
  <c r="AI832" i="1"/>
  <c r="AK832" i="1" s="1"/>
  <c r="AG522" i="1"/>
  <c r="AH522" i="1"/>
  <c r="AG956" i="1"/>
  <c r="AH1223" i="1"/>
  <c r="AG1068" i="1"/>
  <c r="AH1068" i="1"/>
  <c r="AH817" i="1"/>
  <c r="AI810" i="1"/>
  <c r="AK810" i="1" s="1"/>
  <c r="AG567" i="1"/>
  <c r="AH567" i="1"/>
  <c r="AG556" i="1"/>
  <c r="AH556" i="1"/>
  <c r="AG526" i="1"/>
  <c r="AI529" i="1"/>
  <c r="AK529" i="1" s="1"/>
  <c r="AI507" i="1"/>
  <c r="AK507" i="1" s="1"/>
  <c r="AI456" i="1"/>
  <c r="AK456" i="1" s="1"/>
  <c r="AI368" i="1"/>
  <c r="AK368" i="1" s="1"/>
  <c r="AI324" i="1"/>
  <c r="AK324" i="1" s="1"/>
  <c r="AI302" i="1"/>
  <c r="AK302" i="1" s="1"/>
  <c r="AI280" i="1"/>
  <c r="AK280" i="1" s="1"/>
  <c r="AG1237" i="1"/>
  <c r="AH1237" i="1"/>
  <c r="AG1111" i="1"/>
  <c r="AH1111" i="1"/>
  <c r="AI521" i="1"/>
  <c r="AK521" i="1" s="1"/>
  <c r="AI463" i="1"/>
  <c r="AK463" i="1" s="1"/>
  <c r="AI448" i="1"/>
  <c r="AK448" i="1" s="1"/>
  <c r="AI426" i="1"/>
  <c r="AK426" i="1" s="1"/>
  <c r="AI419" i="1"/>
  <c r="AK419" i="1" s="1"/>
  <c r="AI404" i="1"/>
  <c r="AK404" i="1" s="1"/>
  <c r="AI360" i="1"/>
  <c r="AK360" i="1" s="1"/>
  <c r="AG1280" i="1"/>
  <c r="AH1280" i="1"/>
  <c r="AG1262" i="1"/>
  <c r="AI1100" i="1"/>
  <c r="AK1100" i="1" s="1"/>
  <c r="AI853" i="1"/>
  <c r="AK853" i="1" s="1"/>
  <c r="AG1075" i="1"/>
  <c r="AH1075" i="1"/>
  <c r="AH879" i="1"/>
  <c r="AG879" i="1"/>
  <c r="AG1315" i="1"/>
  <c r="AH1315" i="1"/>
  <c r="AG613" i="1"/>
  <c r="AH613" i="1"/>
  <c r="AG410" i="1"/>
  <c r="AH410" i="1"/>
  <c r="AH402" i="1"/>
  <c r="AG402" i="1"/>
  <c r="AG345" i="1"/>
  <c r="AH345" i="1"/>
  <c r="AI1315" i="1"/>
  <c r="AK1315" i="1" s="1"/>
  <c r="AG810" i="1"/>
  <c r="AH347" i="1"/>
  <c r="AG347" i="1"/>
  <c r="AG770" i="1"/>
  <c r="AH770" i="1"/>
  <c r="AH759" i="1"/>
  <c r="AG759" i="1"/>
  <c r="AG748" i="1"/>
  <c r="AH748" i="1"/>
  <c r="AH660" i="1"/>
  <c r="AG660" i="1"/>
  <c r="AH649" i="1"/>
  <c r="AG649" i="1"/>
  <c r="AG638" i="1"/>
  <c r="AH638" i="1"/>
  <c r="AG627" i="1"/>
  <c r="AH627" i="1"/>
  <c r="AG1107" i="1"/>
  <c r="AH1107" i="1"/>
  <c r="AH545" i="1"/>
  <c r="AH1142" i="1"/>
  <c r="AG1142" i="1"/>
  <c r="AI770" i="1"/>
  <c r="AK770" i="1" s="1"/>
  <c r="AI748" i="1"/>
  <c r="AK748" i="1" s="1"/>
  <c r="AI726" i="1"/>
  <c r="AK726" i="1" s="1"/>
  <c r="AI704" i="1"/>
  <c r="AK704" i="1" s="1"/>
  <c r="AI682" i="1"/>
  <c r="AK682" i="1" s="1"/>
  <c r="AI660" i="1"/>
  <c r="AK660" i="1" s="1"/>
  <c r="AI638" i="1"/>
  <c r="AK638" i="1" s="1"/>
  <c r="AG376" i="1"/>
  <c r="AH376" i="1"/>
  <c r="AG945" i="1"/>
  <c r="AG1046" i="1"/>
  <c r="AG1167" i="1"/>
  <c r="AH1167" i="1"/>
  <c r="AG1019" i="1"/>
  <c r="AH1019" i="1"/>
  <c r="AG784" i="1"/>
  <c r="AH784" i="1"/>
  <c r="AG439" i="1"/>
  <c r="AH439" i="1"/>
  <c r="AG967" i="1"/>
  <c r="AH967" i="1"/>
  <c r="AG901" i="1"/>
  <c r="AH901" i="1"/>
  <c r="AH538" i="1"/>
  <c r="AG538" i="1"/>
  <c r="AH574" i="1"/>
  <c r="AG574" i="1"/>
  <c r="AG563" i="1"/>
  <c r="AG1082" i="1"/>
  <c r="AG329" i="1"/>
  <c r="AH329" i="1"/>
  <c r="AI1167" i="1"/>
  <c r="AK1167" i="1" s="1"/>
  <c r="AI678" i="1"/>
  <c r="AK678" i="1" s="1"/>
  <c r="AH1230" i="1"/>
  <c r="AG1230" i="1"/>
  <c r="AG934" i="1"/>
  <c r="AH934" i="1"/>
  <c r="AG890" i="1"/>
  <c r="AH890" i="1"/>
  <c r="AG857" i="1"/>
  <c r="AH857" i="1"/>
  <c r="AI1255" i="1"/>
  <c r="AK1255" i="1" s="1"/>
  <c r="AH1100" i="1"/>
  <c r="AG1163" i="1"/>
  <c r="AH1163" i="1"/>
  <c r="AG787" i="1"/>
  <c r="AG468" i="1"/>
  <c r="AH468" i="1"/>
  <c r="AH303" i="1"/>
  <c r="AG303" i="1"/>
  <c r="AG480" i="1"/>
  <c r="AH480" i="1"/>
  <c r="AG530" i="1"/>
  <c r="AH530" i="1"/>
  <c r="AG552" i="1"/>
  <c r="AH552" i="1"/>
  <c r="AG1326" i="1"/>
  <c r="AH1326" i="1"/>
  <c r="AI1188" i="1"/>
  <c r="AK1188" i="1" s="1"/>
  <c r="AG501" i="1"/>
  <c r="AH501" i="1"/>
  <c r="AH1036" i="1"/>
  <c r="AG1036" i="1"/>
  <c r="AH505" i="1"/>
  <c r="AG505" i="1"/>
  <c r="AH912" i="1"/>
  <c r="AG912" i="1"/>
  <c r="AG1269" i="1"/>
  <c r="AH1269" i="1"/>
  <c r="AH606" i="1"/>
  <c r="AG606" i="1"/>
  <c r="AG846" i="1"/>
  <c r="AH923" i="1"/>
  <c r="AH1149" i="1"/>
  <c r="AH258" i="1"/>
  <c r="AG258" i="1"/>
  <c r="AG285" i="1"/>
  <c r="AH285" i="1"/>
  <c r="AI1029" i="1"/>
  <c r="AK1029" i="1" s="1"/>
  <c r="AH868" i="1"/>
  <c r="AG868" i="1"/>
  <c r="AH599" i="1"/>
  <c r="AG599" i="1"/>
  <c r="AI1118" i="1"/>
  <c r="AK1118" i="1" s="1"/>
  <c r="AH671" i="1"/>
  <c r="AH978" i="1"/>
  <c r="AG1202" i="1"/>
  <c r="AH1202" i="1"/>
  <c r="AH1191" i="1"/>
  <c r="AG1191" i="1"/>
  <c r="AH1301" i="1"/>
  <c r="AH269" i="1"/>
  <c r="AI1337" i="1"/>
  <c r="AK1337" i="1" s="1"/>
  <c r="AH1188" i="1"/>
  <c r="AI1178" i="1"/>
  <c r="AK1178" i="1" s="1"/>
  <c r="AG1146" i="1"/>
  <c r="AH1125" i="1"/>
  <c r="AI1122" i="1"/>
  <c r="AK1122" i="1" s="1"/>
  <c r="AI1097" i="1"/>
  <c r="AK1097" i="1" s="1"/>
  <c r="AI1033" i="1"/>
  <c r="AK1033" i="1" s="1"/>
  <c r="AH1016" i="1"/>
  <c r="AI1013" i="1"/>
  <c r="AK1013" i="1" s="1"/>
  <c r="AI986" i="1"/>
  <c r="AK986" i="1" s="1"/>
  <c r="AI964" i="1"/>
  <c r="AK964" i="1" s="1"/>
  <c r="AI942" i="1"/>
  <c r="AK942" i="1" s="1"/>
  <c r="AI920" i="1"/>
  <c r="AK920" i="1" s="1"/>
  <c r="AI898" i="1"/>
  <c r="AK898" i="1" s="1"/>
  <c r="AI876" i="1"/>
  <c r="AK876" i="1" s="1"/>
  <c r="AI854" i="1"/>
  <c r="AK854" i="1" s="1"/>
  <c r="AI836" i="1"/>
  <c r="AK836" i="1" s="1"/>
  <c r="AH774" i="1"/>
  <c r="AI745" i="1"/>
  <c r="AK745" i="1" s="1"/>
  <c r="AI723" i="1"/>
  <c r="AK723" i="1" s="1"/>
  <c r="AI701" i="1"/>
  <c r="AK701" i="1" s="1"/>
  <c r="AI679" i="1"/>
  <c r="AK679" i="1" s="1"/>
  <c r="AI657" i="1"/>
  <c r="AK657" i="1" s="1"/>
  <c r="AI635" i="1"/>
  <c r="AK635" i="1" s="1"/>
  <c r="AI589" i="1"/>
  <c r="AK589" i="1" s="1"/>
  <c r="AI571" i="1"/>
  <c r="AK571" i="1" s="1"/>
  <c r="AI1312" i="1"/>
  <c r="AK1312" i="1" s="1"/>
  <c r="AI1298" i="1"/>
  <c r="AK1298" i="1" s="1"/>
  <c r="AI1206" i="1"/>
  <c r="AK1206" i="1" s="1"/>
  <c r="AI1139" i="1"/>
  <c r="AK1139" i="1" s="1"/>
  <c r="AI1079" i="1"/>
  <c r="AK1079" i="1" s="1"/>
  <c r="AI814" i="1"/>
  <c r="AK814" i="1" s="1"/>
  <c r="AI804" i="1"/>
  <c r="AK804" i="1" s="1"/>
  <c r="AI617" i="1"/>
  <c r="AK617" i="1" s="1"/>
  <c r="AI549" i="1"/>
  <c r="AK549" i="1" s="1"/>
  <c r="AI361" i="1"/>
  <c r="AK361" i="1" s="1"/>
  <c r="AI514" i="1"/>
  <c r="AK514" i="1" s="1"/>
  <c r="AI489" i="1"/>
  <c r="AK489" i="1" s="1"/>
  <c r="AI441" i="1"/>
  <c r="AK441" i="1" s="1"/>
  <c r="AG305" i="1"/>
  <c r="AI1294" i="1"/>
  <c r="AK1294" i="1" s="1"/>
  <c r="AG1170" i="1"/>
  <c r="AI1163" i="1"/>
  <c r="AK1163" i="1" s="1"/>
  <c r="AI1114" i="1"/>
  <c r="AK1114" i="1" s="1"/>
  <c r="AH1042" i="1"/>
  <c r="AH1002" i="1"/>
  <c r="AH992" i="1"/>
  <c r="AH800" i="1"/>
  <c r="AI787" i="1"/>
  <c r="AK787" i="1" s="1"/>
  <c r="AI316" i="1"/>
  <c r="AK316" i="1" s="1"/>
  <c r="AI528" i="1"/>
  <c r="AK528" i="1" s="1"/>
  <c r="AI323" i="1"/>
  <c r="AK323" i="1" s="1"/>
  <c r="AI301" i="1"/>
  <c r="AK301" i="1" s="1"/>
  <c r="AH548" i="1"/>
  <c r="AH1194" i="1"/>
  <c r="AH316" i="1"/>
  <c r="AG306" i="1"/>
  <c r="AI1297" i="1"/>
  <c r="AK1297" i="1" s="1"/>
  <c r="AI1290" i="1"/>
  <c r="AK1290" i="1" s="1"/>
  <c r="AH1247" i="1"/>
  <c r="AI1205" i="1"/>
  <c r="AK1205" i="1" s="1"/>
  <c r="AG1187" i="1"/>
  <c r="AG1180" i="1"/>
  <c r="AG1159" i="1"/>
  <c r="AI1138" i="1"/>
  <c r="AK1138" i="1" s="1"/>
  <c r="AG1015" i="1"/>
  <c r="AI1002" i="1"/>
  <c r="AK1002" i="1" s="1"/>
  <c r="AI813" i="1"/>
  <c r="AK813" i="1" s="1"/>
  <c r="AI790" i="1"/>
  <c r="AK790" i="1" s="1"/>
  <c r="AI616" i="1"/>
  <c r="AK616" i="1" s="1"/>
  <c r="AI609" i="1"/>
  <c r="AK609" i="1" s="1"/>
  <c r="AI595" i="1"/>
  <c r="AK595" i="1" s="1"/>
  <c r="AI548" i="1"/>
  <c r="AK548" i="1" s="1"/>
  <c r="AH500" i="1"/>
  <c r="AI513" i="1"/>
  <c r="AK513" i="1" s="1"/>
  <c r="AI425" i="1"/>
  <c r="AK425" i="1" s="1"/>
  <c r="AI418" i="1"/>
  <c r="AK418" i="1" s="1"/>
  <c r="AI473" i="1"/>
  <c r="AK473" i="1" s="1"/>
  <c r="AI1233" i="1"/>
  <c r="AK1233" i="1" s="1"/>
  <c r="AI985" i="1"/>
  <c r="AK985" i="1" s="1"/>
  <c r="AI744" i="1"/>
  <c r="AK744" i="1" s="1"/>
  <c r="AI762" i="1"/>
  <c r="AK762" i="1" s="1"/>
  <c r="AI480" i="1"/>
  <c r="AK480" i="1" s="1"/>
  <c r="AI919" i="1"/>
  <c r="AK919" i="1" s="1"/>
  <c r="AH1248" i="1"/>
  <c r="AH259" i="1"/>
  <c r="AH783" i="1"/>
  <c r="AI1229" i="1"/>
  <c r="AK1229" i="1" s="1"/>
  <c r="AI1187" i="1"/>
  <c r="AK1187" i="1" s="1"/>
  <c r="AI1180" i="1"/>
  <c r="AK1180" i="1" s="1"/>
  <c r="AI1166" i="1"/>
  <c r="AK1166" i="1" s="1"/>
  <c r="AI1117" i="1"/>
  <c r="AK1117" i="1" s="1"/>
  <c r="AI1099" i="1"/>
  <c r="AK1099" i="1" s="1"/>
  <c r="AI1035" i="1"/>
  <c r="AK1035" i="1" s="1"/>
  <c r="AI1005" i="1"/>
  <c r="AK1005" i="1" s="1"/>
  <c r="AI806" i="1"/>
  <c r="AK806" i="1" s="1"/>
  <c r="AI566" i="1"/>
  <c r="AK566" i="1" s="1"/>
  <c r="AI527" i="1"/>
  <c r="AK527" i="1" s="1"/>
  <c r="AI278" i="1"/>
  <c r="AK278" i="1" s="1"/>
  <c r="AH1205" i="1"/>
  <c r="AI1268" i="1"/>
  <c r="AK1268" i="1" s="1"/>
  <c r="AI1254" i="1"/>
  <c r="AK1254" i="1" s="1"/>
  <c r="AI1222" i="1"/>
  <c r="AK1222" i="1" s="1"/>
  <c r="AI1134" i="1"/>
  <c r="AK1134" i="1" s="1"/>
  <c r="AI1056" i="1"/>
  <c r="AK1056" i="1" s="1"/>
  <c r="AI1028" i="1"/>
  <c r="AK1028" i="1" s="1"/>
  <c r="AI988" i="1"/>
  <c r="AK988" i="1" s="1"/>
  <c r="AI838" i="1"/>
  <c r="AK838" i="1" s="1"/>
  <c r="AI809" i="1"/>
  <c r="AK809" i="1" s="1"/>
  <c r="AI769" i="1"/>
  <c r="AK769" i="1" s="1"/>
  <c r="AI747" i="1"/>
  <c r="AK747" i="1" s="1"/>
  <c r="AI725" i="1"/>
  <c r="AK725" i="1" s="1"/>
  <c r="AI703" i="1"/>
  <c r="AK703" i="1" s="1"/>
  <c r="AI681" i="1"/>
  <c r="AK681" i="1" s="1"/>
  <c r="AI659" i="1"/>
  <c r="AK659" i="1" s="1"/>
  <c r="AI637" i="1"/>
  <c r="AK637" i="1" s="1"/>
  <c r="AI619" i="1"/>
  <c r="AK619" i="1" s="1"/>
  <c r="AI612" i="1"/>
  <c r="AK612" i="1" s="1"/>
  <c r="AI573" i="1"/>
  <c r="AK573" i="1" s="1"/>
  <c r="AI537" i="1"/>
  <c r="AK537" i="1" s="1"/>
  <c r="AI534" i="1"/>
  <c r="AK534" i="1" s="1"/>
  <c r="AI512" i="1"/>
  <c r="AK512" i="1" s="1"/>
  <c r="AI439" i="1"/>
  <c r="AK439" i="1" s="1"/>
  <c r="AI417" i="1"/>
  <c r="AK417" i="1" s="1"/>
  <c r="AI472" i="1"/>
  <c r="AK472" i="1" s="1"/>
  <c r="AI941" i="1"/>
  <c r="AK941" i="1" s="1"/>
  <c r="AG982" i="1"/>
  <c r="AG1006" i="1"/>
  <c r="AH1325" i="1"/>
  <c r="AG960" i="1"/>
  <c r="AG467" i="1"/>
  <c r="AG905" i="1"/>
  <c r="AH985" i="1"/>
  <c r="AH1333" i="1"/>
  <c r="AH1209" i="1"/>
  <c r="AH1166" i="1"/>
  <c r="AG1222" i="1"/>
  <c r="AI1314" i="1"/>
  <c r="AK1314" i="1" s="1"/>
  <c r="AI1293" i="1"/>
  <c r="AK1293" i="1" s="1"/>
  <c r="AH1282" i="1"/>
  <c r="AI1141" i="1"/>
  <c r="AK1141" i="1" s="1"/>
  <c r="AI1074" i="1"/>
  <c r="AK1074" i="1" s="1"/>
  <c r="AI1008" i="1"/>
  <c r="AK1008" i="1" s="1"/>
  <c r="AI816" i="1"/>
  <c r="AK816" i="1" s="1"/>
  <c r="AH601" i="1"/>
  <c r="AI562" i="1"/>
  <c r="AK562" i="1" s="1"/>
  <c r="AI551" i="1"/>
  <c r="AK551" i="1" s="1"/>
  <c r="AI544" i="1"/>
  <c r="AK544" i="1" s="1"/>
  <c r="AI402" i="1"/>
  <c r="AK402" i="1" s="1"/>
  <c r="AI380" i="1"/>
  <c r="AK380" i="1" s="1"/>
  <c r="AI1321" i="1"/>
  <c r="AK1321" i="1" s="1"/>
  <c r="AI1275" i="1"/>
  <c r="AK1275" i="1" s="1"/>
  <c r="AI1250" i="1"/>
  <c r="AK1250" i="1" s="1"/>
  <c r="AI1232" i="1"/>
  <c r="AK1232" i="1" s="1"/>
  <c r="AI1211" i="1"/>
  <c r="AK1211" i="1" s="1"/>
  <c r="AI1183" i="1"/>
  <c r="AK1183" i="1" s="1"/>
  <c r="AI1162" i="1"/>
  <c r="AK1162" i="1" s="1"/>
  <c r="AI1095" i="1"/>
  <c r="AK1095" i="1" s="1"/>
  <c r="AI1052" i="1"/>
  <c r="AK1052" i="1" s="1"/>
  <c r="AI984" i="1"/>
  <c r="AK984" i="1" s="1"/>
  <c r="AI962" i="1"/>
  <c r="AK962" i="1" s="1"/>
  <c r="AI940" i="1"/>
  <c r="AK940" i="1" s="1"/>
  <c r="AI918" i="1"/>
  <c r="AK918" i="1" s="1"/>
  <c r="AI896" i="1"/>
  <c r="AK896" i="1" s="1"/>
  <c r="AI874" i="1"/>
  <c r="AK874" i="1" s="1"/>
  <c r="AI852" i="1"/>
  <c r="AK852" i="1" s="1"/>
  <c r="AG789" i="1"/>
  <c r="AI786" i="1"/>
  <c r="AK786" i="1" s="1"/>
  <c r="AI765" i="1"/>
  <c r="AK765" i="1" s="1"/>
  <c r="AI743" i="1"/>
  <c r="AK743" i="1" s="1"/>
  <c r="AI721" i="1"/>
  <c r="AK721" i="1" s="1"/>
  <c r="AI699" i="1"/>
  <c r="AK699" i="1" s="1"/>
  <c r="AI677" i="1"/>
  <c r="AK677" i="1" s="1"/>
  <c r="AI655" i="1"/>
  <c r="AK655" i="1" s="1"/>
  <c r="AI633" i="1"/>
  <c r="AK633" i="1" s="1"/>
  <c r="AI587" i="1"/>
  <c r="AK587" i="1" s="1"/>
  <c r="AH496" i="1"/>
  <c r="AH555" i="1"/>
  <c r="AG938" i="1"/>
  <c r="AH434" i="1"/>
  <c r="AH488" i="1"/>
  <c r="AI1204" i="1"/>
  <c r="AK1204" i="1" s="1"/>
  <c r="AI1031" i="1"/>
  <c r="AK1031" i="1" s="1"/>
  <c r="AI1011" i="1"/>
  <c r="AK1011" i="1" s="1"/>
  <c r="AI991" i="1"/>
  <c r="AK991" i="1" s="1"/>
  <c r="AI812" i="1"/>
  <c r="AK812" i="1" s="1"/>
  <c r="AI615" i="1"/>
  <c r="AK615" i="1" s="1"/>
  <c r="AI594" i="1"/>
  <c r="AK594" i="1" s="1"/>
  <c r="AI569" i="1"/>
  <c r="AK569" i="1" s="1"/>
  <c r="AI547" i="1"/>
  <c r="AK547" i="1" s="1"/>
  <c r="AI1276" i="1"/>
  <c r="AK1276" i="1" s="1"/>
  <c r="AI963" i="1"/>
  <c r="AK963" i="1" s="1"/>
  <c r="AI835" i="1"/>
  <c r="AK835" i="1" s="1"/>
  <c r="AI674" i="1"/>
  <c r="AK674" i="1" s="1"/>
  <c r="AH357" i="1"/>
  <c r="AG776" i="1"/>
  <c r="AG1296" i="1"/>
  <c r="AI1317" i="1"/>
  <c r="AK1317" i="1" s="1"/>
  <c r="AI1310" i="1"/>
  <c r="AK1310" i="1" s="1"/>
  <c r="AI1271" i="1"/>
  <c r="AK1271" i="1" s="1"/>
  <c r="AH1207" i="1"/>
  <c r="AI1077" i="1"/>
  <c r="AK1077" i="1" s="1"/>
  <c r="AI1070" i="1"/>
  <c r="AK1070" i="1" s="1"/>
  <c r="AI1048" i="1"/>
  <c r="AK1048" i="1" s="1"/>
  <c r="AI980" i="1"/>
  <c r="AK980" i="1" s="1"/>
  <c r="AI969" i="1"/>
  <c r="AK969" i="1" s="1"/>
  <c r="AI958" i="1"/>
  <c r="AK958" i="1" s="1"/>
  <c r="AI947" i="1"/>
  <c r="AK947" i="1" s="1"/>
  <c r="AI936" i="1"/>
  <c r="AK936" i="1" s="1"/>
  <c r="AI925" i="1"/>
  <c r="AK925" i="1" s="1"/>
  <c r="AI914" i="1"/>
  <c r="AK914" i="1" s="1"/>
  <c r="AI903" i="1"/>
  <c r="AK903" i="1" s="1"/>
  <c r="AI892" i="1"/>
  <c r="AK892" i="1" s="1"/>
  <c r="AI881" i="1"/>
  <c r="AK881" i="1" s="1"/>
  <c r="AI870" i="1"/>
  <c r="AK870" i="1" s="1"/>
  <c r="AI859" i="1"/>
  <c r="AK859" i="1" s="1"/>
  <c r="AI848" i="1"/>
  <c r="AK848" i="1" s="1"/>
  <c r="AI830" i="1"/>
  <c r="AK830" i="1" s="1"/>
  <c r="AH805" i="1"/>
  <c r="AI792" i="1"/>
  <c r="AK792" i="1" s="1"/>
  <c r="AI789" i="1"/>
  <c r="AK789" i="1" s="1"/>
  <c r="AI772" i="1"/>
  <c r="AK772" i="1" s="1"/>
  <c r="AI761" i="1"/>
  <c r="AK761" i="1" s="1"/>
  <c r="AI750" i="1"/>
  <c r="AK750" i="1" s="1"/>
  <c r="AI739" i="1"/>
  <c r="AK739" i="1" s="1"/>
  <c r="AI728" i="1"/>
  <c r="AK728" i="1" s="1"/>
  <c r="AI717" i="1"/>
  <c r="AK717" i="1" s="1"/>
  <c r="AI706" i="1"/>
  <c r="AK706" i="1" s="1"/>
  <c r="AI695" i="1"/>
  <c r="AK695" i="1" s="1"/>
  <c r="AI684" i="1"/>
  <c r="AK684" i="1" s="1"/>
  <c r="AI673" i="1"/>
  <c r="AK673" i="1" s="1"/>
  <c r="AI662" i="1"/>
  <c r="AK662" i="1" s="1"/>
  <c r="AI651" i="1"/>
  <c r="AK651" i="1" s="1"/>
  <c r="AI640" i="1"/>
  <c r="AK640" i="1" s="1"/>
  <c r="AI629" i="1"/>
  <c r="AK629" i="1" s="1"/>
  <c r="AI601" i="1"/>
  <c r="AK601" i="1" s="1"/>
  <c r="AI540" i="1"/>
  <c r="AK540" i="1" s="1"/>
  <c r="AI518" i="1"/>
  <c r="AK518" i="1" s="1"/>
  <c r="AI501" i="1"/>
  <c r="AK501" i="1" s="1"/>
  <c r="AI1336" i="1"/>
  <c r="AK1336" i="1" s="1"/>
  <c r="AI897" i="1"/>
  <c r="AK897" i="1" s="1"/>
  <c r="AI700" i="1"/>
  <c r="AK700" i="1" s="1"/>
  <c r="AI656" i="1"/>
  <c r="AK656" i="1" s="1"/>
  <c r="AI740" i="1"/>
  <c r="AK740" i="1" s="1"/>
  <c r="AI718" i="1"/>
  <c r="AK718" i="1" s="1"/>
  <c r="AI652" i="1"/>
  <c r="AK652" i="1" s="1"/>
  <c r="AH459" i="1"/>
  <c r="AH1035" i="1"/>
  <c r="AG1118" i="1"/>
  <c r="AH348" i="1"/>
  <c r="AG883" i="1"/>
  <c r="AH1229" i="1"/>
  <c r="AH409" i="1"/>
  <c r="AH371" i="1"/>
  <c r="AH287" i="1"/>
  <c r="AG1096" i="1"/>
  <c r="AH963" i="1"/>
  <c r="AG327" i="1"/>
  <c r="AG1241" i="1"/>
  <c r="AH294" i="1"/>
  <c r="AH1103" i="1"/>
  <c r="AG1072" i="1"/>
  <c r="AG804" i="1"/>
  <c r="AH807" i="1"/>
  <c r="AH340" i="1"/>
  <c r="AI1228" i="1"/>
  <c r="AK1228" i="1" s="1"/>
  <c r="AI1186" i="1"/>
  <c r="AK1186" i="1" s="1"/>
  <c r="AI1165" i="1"/>
  <c r="AK1165" i="1" s="1"/>
  <c r="AI1158" i="1"/>
  <c r="AK1158" i="1" s="1"/>
  <c r="AI1144" i="1"/>
  <c r="AK1144" i="1" s="1"/>
  <c r="AI1123" i="1"/>
  <c r="AK1123" i="1" s="1"/>
  <c r="AI1116" i="1"/>
  <c r="AK1116" i="1" s="1"/>
  <c r="AI1098" i="1"/>
  <c r="AK1098" i="1" s="1"/>
  <c r="AI1034" i="1"/>
  <c r="AK1034" i="1" s="1"/>
  <c r="AI1024" i="1"/>
  <c r="AK1024" i="1" s="1"/>
  <c r="AI782" i="1"/>
  <c r="AK782" i="1" s="1"/>
  <c r="AI565" i="1"/>
  <c r="AK565" i="1" s="1"/>
  <c r="AI1121" i="1"/>
  <c r="AK1121" i="1" s="1"/>
  <c r="AI766" i="1"/>
  <c r="AK766" i="1" s="1"/>
  <c r="AI634" i="1"/>
  <c r="AK634" i="1" s="1"/>
  <c r="AI588" i="1"/>
  <c r="AK588" i="1" s="1"/>
  <c r="AI630" i="1"/>
  <c r="AK630" i="1" s="1"/>
  <c r="AI1246" i="1"/>
  <c r="AK1246" i="1" s="1"/>
  <c r="AI1200" i="1"/>
  <c r="AK1200" i="1" s="1"/>
  <c r="AI1055" i="1"/>
  <c r="AK1055" i="1" s="1"/>
  <c r="AI1004" i="1"/>
  <c r="AK1004" i="1" s="1"/>
  <c r="AI987" i="1"/>
  <c r="AK987" i="1" s="1"/>
  <c r="AI965" i="1"/>
  <c r="AK965" i="1" s="1"/>
  <c r="AI943" i="1"/>
  <c r="AK943" i="1" s="1"/>
  <c r="AI921" i="1"/>
  <c r="AK921" i="1" s="1"/>
  <c r="AI899" i="1"/>
  <c r="AK899" i="1" s="1"/>
  <c r="AI877" i="1"/>
  <c r="AK877" i="1" s="1"/>
  <c r="AI855" i="1"/>
  <c r="AK855" i="1" s="1"/>
  <c r="AI837" i="1"/>
  <c r="AK837" i="1" s="1"/>
  <c r="AI826" i="1"/>
  <c r="AK826" i="1" s="1"/>
  <c r="AI808" i="1"/>
  <c r="AK808" i="1" s="1"/>
  <c r="AI768" i="1"/>
  <c r="AK768" i="1" s="1"/>
  <c r="AI746" i="1"/>
  <c r="AK746" i="1" s="1"/>
  <c r="AI724" i="1"/>
  <c r="AK724" i="1" s="1"/>
  <c r="AI702" i="1"/>
  <c r="AK702" i="1" s="1"/>
  <c r="AI680" i="1"/>
  <c r="AK680" i="1" s="1"/>
  <c r="AI658" i="1"/>
  <c r="AK658" i="1" s="1"/>
  <c r="AI636" i="1"/>
  <c r="AK636" i="1" s="1"/>
  <c r="AI618" i="1"/>
  <c r="AK618" i="1" s="1"/>
  <c r="AI572" i="1"/>
  <c r="AK572" i="1" s="1"/>
  <c r="AG1061" i="1"/>
  <c r="AH463" i="1"/>
  <c r="AG301" i="1"/>
  <c r="AG1258" i="1"/>
  <c r="AI1313" i="1"/>
  <c r="AK1313" i="1" s="1"/>
  <c r="AI1299" i="1"/>
  <c r="AK1299" i="1" s="1"/>
  <c r="AI1292" i="1"/>
  <c r="AK1292" i="1" s="1"/>
  <c r="AI1207" i="1"/>
  <c r="AK1207" i="1" s="1"/>
  <c r="AI1189" i="1"/>
  <c r="AK1189" i="1" s="1"/>
  <c r="AI1140" i="1"/>
  <c r="AK1140" i="1" s="1"/>
  <c r="AI1112" i="1"/>
  <c r="AK1112" i="1" s="1"/>
  <c r="AG1037" i="1"/>
  <c r="AI1027" i="1"/>
  <c r="AK1027" i="1" s="1"/>
  <c r="AI815" i="1"/>
  <c r="AK815" i="1" s="1"/>
  <c r="AI805" i="1"/>
  <c r="AK805" i="1" s="1"/>
  <c r="AI579" i="1"/>
  <c r="AK579" i="1" s="1"/>
  <c r="AI550" i="1"/>
  <c r="AK550" i="1" s="1"/>
  <c r="AI543" i="1"/>
  <c r="AK543" i="1" s="1"/>
  <c r="AI500" i="1"/>
  <c r="AK500" i="1" s="1"/>
  <c r="AI1012" i="1"/>
  <c r="AK1012" i="1" s="1"/>
  <c r="AI722" i="1"/>
  <c r="AK722" i="1" s="1"/>
  <c r="AI1272" i="1"/>
  <c r="AK1272" i="1" s="1"/>
  <c r="AI1145" i="1"/>
  <c r="AK1145" i="1" s="1"/>
  <c r="AI1092" i="1"/>
  <c r="AK1092" i="1" s="1"/>
  <c r="AI831" i="1"/>
  <c r="AK831" i="1" s="1"/>
  <c r="AI793" i="1"/>
  <c r="AK793" i="1" s="1"/>
  <c r="AG525" i="1"/>
  <c r="AG379" i="1"/>
  <c r="AG916" i="1"/>
  <c r="AH842" i="1"/>
  <c r="AH331" i="1"/>
  <c r="AG317" i="1"/>
  <c r="AG1104" i="1"/>
  <c r="AG260" i="1"/>
  <c r="AH1266" i="1"/>
  <c r="AI1334" i="1"/>
  <c r="AK1334" i="1" s="1"/>
  <c r="AI1320" i="1"/>
  <c r="AK1320" i="1" s="1"/>
  <c r="AI1274" i="1"/>
  <c r="AK1274" i="1" s="1"/>
  <c r="AI1249" i="1"/>
  <c r="AK1249" i="1" s="1"/>
  <c r="AI1231" i="1"/>
  <c r="AK1231" i="1" s="1"/>
  <c r="AI1210" i="1"/>
  <c r="AK1210" i="1" s="1"/>
  <c r="AI1182" i="1"/>
  <c r="AK1182" i="1" s="1"/>
  <c r="AI1161" i="1"/>
  <c r="AK1161" i="1" s="1"/>
  <c r="AI1119" i="1"/>
  <c r="AK1119" i="1" s="1"/>
  <c r="AI1094" i="1"/>
  <c r="AK1094" i="1" s="1"/>
  <c r="AI1073" i="1"/>
  <c r="AK1073" i="1" s="1"/>
  <c r="AI1051" i="1"/>
  <c r="AK1051" i="1" s="1"/>
  <c r="AI1007" i="1"/>
  <c r="AK1007" i="1" s="1"/>
  <c r="AI983" i="1"/>
  <c r="AK983" i="1" s="1"/>
  <c r="AI961" i="1"/>
  <c r="AK961" i="1" s="1"/>
  <c r="AI917" i="1"/>
  <c r="AK917" i="1" s="1"/>
  <c r="AI895" i="1"/>
  <c r="AK895" i="1" s="1"/>
  <c r="AI873" i="1"/>
  <c r="AK873" i="1" s="1"/>
  <c r="AI851" i="1"/>
  <c r="AK851" i="1" s="1"/>
  <c r="AI833" i="1"/>
  <c r="AK833" i="1" s="1"/>
  <c r="AI785" i="1"/>
  <c r="AK785" i="1" s="1"/>
  <c r="AI764" i="1"/>
  <c r="AK764" i="1" s="1"/>
  <c r="AI742" i="1"/>
  <c r="AK742" i="1" s="1"/>
  <c r="AI720" i="1"/>
  <c r="AK720" i="1" s="1"/>
  <c r="AI698" i="1"/>
  <c r="AK698" i="1" s="1"/>
  <c r="AI676" i="1"/>
  <c r="AK676" i="1" s="1"/>
  <c r="AI654" i="1"/>
  <c r="AK654" i="1" s="1"/>
  <c r="AI632" i="1"/>
  <c r="AK632" i="1" s="1"/>
  <c r="AI586" i="1"/>
  <c r="AK586" i="1" s="1"/>
  <c r="AI524" i="1"/>
  <c r="AK524" i="1" s="1"/>
  <c r="AI696" i="1"/>
  <c r="AK696" i="1" s="1"/>
  <c r="AI268" i="1"/>
  <c r="AK268" i="1" s="1"/>
  <c r="AI1253" i="1"/>
  <c r="AK1253" i="1" s="1"/>
  <c r="AH559" i="1"/>
  <c r="AH1093" i="1"/>
  <c r="AH282" i="1"/>
  <c r="AG1259" i="1"/>
  <c r="AH1139" i="1"/>
  <c r="AI1288" i="1"/>
  <c r="AK1288" i="1" s="1"/>
  <c r="AI1224" i="1"/>
  <c r="AK1224" i="1" s="1"/>
  <c r="AI1136" i="1"/>
  <c r="AK1136" i="1" s="1"/>
  <c r="AI1101" i="1"/>
  <c r="AK1101" i="1" s="1"/>
  <c r="AI1030" i="1"/>
  <c r="AK1030" i="1" s="1"/>
  <c r="AI1010" i="1"/>
  <c r="AK1010" i="1" s="1"/>
  <c r="AI990" i="1"/>
  <c r="AK990" i="1" s="1"/>
  <c r="AI811" i="1"/>
  <c r="AK811" i="1" s="1"/>
  <c r="AI614" i="1"/>
  <c r="AK614" i="1" s="1"/>
  <c r="AI607" i="1"/>
  <c r="AK607" i="1" s="1"/>
  <c r="AI593" i="1"/>
  <c r="AK593" i="1" s="1"/>
  <c r="AI568" i="1"/>
  <c r="AK568" i="1" s="1"/>
  <c r="AI557" i="1"/>
  <c r="AK557" i="1" s="1"/>
  <c r="AI1184" i="1"/>
  <c r="AK1184" i="1" s="1"/>
  <c r="AI1078" i="1"/>
  <c r="AK1078" i="1" s="1"/>
  <c r="AG894" i="1"/>
  <c r="AG813" i="1"/>
  <c r="AH941" i="1"/>
  <c r="AH1265" i="1"/>
  <c r="AG1291" i="1"/>
  <c r="AH609" i="1"/>
  <c r="AH384" i="1"/>
  <c r="AI1316" i="1"/>
  <c r="AK1316" i="1" s="1"/>
  <c r="AI1295" i="1"/>
  <c r="AK1295" i="1" s="1"/>
  <c r="AI1270" i="1"/>
  <c r="AK1270" i="1" s="1"/>
  <c r="AI1203" i="1"/>
  <c r="AK1203" i="1" s="1"/>
  <c r="AI1076" i="1"/>
  <c r="AK1076" i="1" s="1"/>
  <c r="AI968" i="1"/>
  <c r="AK968" i="1" s="1"/>
  <c r="AI946" i="1"/>
  <c r="AK946" i="1" s="1"/>
  <c r="AI924" i="1"/>
  <c r="AK924" i="1" s="1"/>
  <c r="AI902" i="1"/>
  <c r="AK902" i="1" s="1"/>
  <c r="AI880" i="1"/>
  <c r="AK880" i="1" s="1"/>
  <c r="AI858" i="1"/>
  <c r="AK858" i="1" s="1"/>
  <c r="AI829" i="1"/>
  <c r="AK829" i="1" s="1"/>
  <c r="AI788" i="1"/>
  <c r="AK788" i="1" s="1"/>
  <c r="AI771" i="1"/>
  <c r="AK771" i="1" s="1"/>
  <c r="AI760" i="1"/>
  <c r="AK760" i="1" s="1"/>
  <c r="AI749" i="1"/>
  <c r="AK749" i="1" s="1"/>
  <c r="AI738" i="1"/>
  <c r="AK738" i="1" s="1"/>
  <c r="AI727" i="1"/>
  <c r="AK727" i="1" s="1"/>
  <c r="AI716" i="1"/>
  <c r="AK716" i="1" s="1"/>
  <c r="AI705" i="1"/>
  <c r="AK705" i="1" s="1"/>
  <c r="AI694" i="1"/>
  <c r="AK694" i="1" s="1"/>
  <c r="AI683" i="1"/>
  <c r="AK683" i="1" s="1"/>
  <c r="AI672" i="1"/>
  <c r="AK672" i="1" s="1"/>
  <c r="AI661" i="1"/>
  <c r="AK661" i="1" s="1"/>
  <c r="AI650" i="1"/>
  <c r="AK650" i="1" s="1"/>
  <c r="AI639" i="1"/>
  <c r="AK639" i="1" s="1"/>
  <c r="AI628" i="1"/>
  <c r="AK628" i="1" s="1"/>
  <c r="AI575" i="1"/>
  <c r="AK575" i="1" s="1"/>
  <c r="AI546" i="1"/>
  <c r="AK546" i="1" s="1"/>
  <c r="AI289" i="1"/>
  <c r="AK289" i="1" s="1"/>
  <c r="AI281" i="1"/>
  <c r="AK281" i="1" s="1"/>
  <c r="AI1096" i="1"/>
  <c r="AK1096" i="1" s="1"/>
  <c r="AI875" i="1"/>
  <c r="AK875" i="1" s="1"/>
  <c r="AG861" i="1"/>
  <c r="AG616" i="1"/>
  <c r="AG971" i="1"/>
  <c r="AH1099" i="1"/>
  <c r="AG1273" i="1"/>
  <c r="AI1277" i="1"/>
  <c r="AK1277" i="1" s="1"/>
  <c r="AI1227" i="1"/>
  <c r="AK1227" i="1" s="1"/>
  <c r="AI1185" i="1"/>
  <c r="AK1185" i="1" s="1"/>
  <c r="AI1164" i="1"/>
  <c r="AK1164" i="1" s="1"/>
  <c r="AI1143" i="1"/>
  <c r="AK1143" i="1" s="1"/>
  <c r="AG1132" i="1"/>
  <c r="AI1115" i="1"/>
  <c r="AK1115" i="1" s="1"/>
  <c r="AI1090" i="1"/>
  <c r="AK1090" i="1" s="1"/>
  <c r="AG794" i="1"/>
  <c r="AI791" i="1"/>
  <c r="AK791" i="1" s="1"/>
  <c r="AI564" i="1"/>
  <c r="AK564" i="1" s="1"/>
  <c r="AH1059" i="1"/>
  <c r="AG1312" i="1"/>
  <c r="AH332" i="1"/>
  <c r="AG332" i="1"/>
  <c r="AH1319" i="1"/>
  <c r="AG333" i="1"/>
  <c r="AH333" i="1"/>
  <c r="AH1336" i="1"/>
  <c r="AH1220" i="1"/>
  <c r="AH1196" i="1"/>
  <c r="AG1186" i="1"/>
  <c r="AH1094" i="1"/>
  <c r="AG1070" i="1"/>
  <c r="AH1038" i="1"/>
  <c r="AH996" i="1"/>
  <c r="AG989" i="1"/>
  <c r="AH314" i="1"/>
  <c r="AH1302" i="1"/>
  <c r="AG1285" i="1"/>
  <c r="AH1285" i="1"/>
  <c r="AH1278" i="1"/>
  <c r="AG1244" i="1"/>
  <c r="AH1199" i="1"/>
  <c r="AG1138" i="1"/>
  <c r="AH1138" i="1"/>
  <c r="AG296" i="1"/>
  <c r="AG337" i="1"/>
  <c r="AH835" i="1"/>
  <c r="AG835" i="1"/>
  <c r="AH797" i="1"/>
  <c r="AG318" i="1"/>
  <c r="AH318" i="1"/>
  <c r="AG1254" i="1"/>
  <c r="AH1254" i="1"/>
  <c r="AG1124" i="1"/>
  <c r="AH1124" i="1"/>
  <c r="AG1114" i="1"/>
  <c r="AH1114" i="1"/>
  <c r="AG924" i="1"/>
  <c r="AG1064" i="1"/>
  <c r="AG313" i="1"/>
  <c r="AG819" i="1"/>
  <c r="AG263" i="1"/>
  <c r="AG297" i="1"/>
  <c r="AH1168" i="1"/>
  <c r="AH738" i="1"/>
  <c r="AG1012" i="1"/>
  <c r="AG350" i="1"/>
  <c r="AH716" i="1"/>
  <c r="AG1235" i="1"/>
  <c r="AG1251" i="1"/>
  <c r="AG1270" i="1"/>
  <c r="AH1195" i="1"/>
  <c r="AH1239" i="1"/>
  <c r="AH1290" i="1"/>
  <c r="AH283" i="1"/>
  <c r="AG283" i="1"/>
  <c r="AH694" i="1"/>
  <c r="AG858" i="1"/>
  <c r="AG815" i="1"/>
  <c r="AG1126" i="1"/>
  <c r="AH1279" i="1"/>
  <c r="AG261" i="1"/>
  <c r="AG284" i="1"/>
  <c r="AH1311" i="1"/>
  <c r="AG431" i="1"/>
  <c r="AG1329" i="1"/>
  <c r="AH1155" i="1"/>
  <c r="AG1190" i="1"/>
  <c r="AG1272" i="1"/>
  <c r="AH300" i="1"/>
  <c r="AG300" i="1"/>
  <c r="AH1232" i="1"/>
  <c r="AG1164" i="1"/>
  <c r="AG1140" i="1"/>
  <c r="AG1089" i="1"/>
  <c r="AG771" i="1"/>
  <c r="AH672" i="1"/>
  <c r="AH1292" i="1"/>
  <c r="AH1322" i="1"/>
  <c r="AH1233" i="1"/>
  <c r="AG1102" i="1"/>
  <c r="AG1283" i="1"/>
  <c r="AG833" i="1"/>
  <c r="AG302" i="1"/>
  <c r="AH1174" i="1"/>
  <c r="AG1174" i="1"/>
  <c r="AH1106" i="1"/>
  <c r="AG566" i="1"/>
  <c r="AH566" i="1"/>
  <c r="AH650" i="1"/>
  <c r="AH628" i="1"/>
  <c r="AH1213" i="1"/>
  <c r="AH1334" i="1"/>
  <c r="AG1160" i="1"/>
  <c r="AG1136" i="1"/>
  <c r="AG826" i="1"/>
  <c r="AH826" i="1"/>
  <c r="AG1300" i="1"/>
  <c r="AH1300" i="1"/>
  <c r="AG1242" i="1"/>
  <c r="AH1242" i="1"/>
  <c r="AH1048" i="1"/>
  <c r="AG336" i="1"/>
  <c r="AH310" i="1"/>
  <c r="AH289" i="1"/>
  <c r="AG289" i="1"/>
  <c r="AG1197" i="1"/>
  <c r="AH1197" i="1"/>
  <c r="AG1153" i="1"/>
  <c r="AH1153" i="1"/>
  <c r="AH822" i="1"/>
  <c r="AH334" i="1"/>
  <c r="AG1135" i="1"/>
  <c r="AH1148" i="1"/>
  <c r="AH278" i="1"/>
  <c r="AH1238" i="1"/>
  <c r="AH1119" i="1"/>
  <c r="AG782" i="1"/>
  <c r="AG458" i="1"/>
  <c r="AH458" i="1"/>
  <c r="AH760" i="1"/>
  <c r="AH295" i="1"/>
  <c r="AG1098" i="1"/>
  <c r="AH1098" i="1"/>
  <c r="AH829" i="1"/>
  <c r="AG829" i="1"/>
  <c r="AG639" i="1"/>
  <c r="AG661" i="1"/>
  <c r="AG683" i="1"/>
  <c r="AG705" i="1"/>
  <c r="AG727" i="1"/>
  <c r="AG749" i="1"/>
  <c r="AG1028" i="1"/>
  <c r="AH326" i="1"/>
  <c r="AH1057" i="1"/>
  <c r="AG262" i="1"/>
  <c r="AH1150" i="1"/>
  <c r="AH1268" i="1"/>
  <c r="AH271" i="1"/>
  <c r="AH291" i="1"/>
  <c r="AG291" i="1"/>
  <c r="AH1255" i="1"/>
  <c r="AG1261" i="1"/>
  <c r="AH1261" i="1"/>
  <c r="AG754" i="1"/>
  <c r="AG1227" i="1"/>
  <c r="AG1179" i="1"/>
  <c r="AG267" i="1"/>
  <c r="AG451" i="1"/>
  <c r="AI438" i="1"/>
  <c r="AK438" i="1" s="1"/>
  <c r="AI379" i="1"/>
  <c r="AK379" i="1" s="1"/>
  <c r="AI423" i="1"/>
  <c r="AK423" i="1" s="1"/>
  <c r="AI408" i="1"/>
  <c r="AK408" i="1" s="1"/>
  <c r="AI401" i="1"/>
  <c r="AK401" i="1" s="1"/>
  <c r="AI313" i="1"/>
  <c r="AK313" i="1" s="1"/>
  <c r="AI498" i="1"/>
  <c r="AK498" i="1" s="1"/>
  <c r="AI422" i="1"/>
  <c r="AK422" i="1" s="1"/>
  <c r="AI364" i="1"/>
  <c r="AK364" i="1" s="1"/>
  <c r="AI532" i="1"/>
  <c r="AK532" i="1" s="1"/>
  <c r="AI510" i="1"/>
  <c r="AK510" i="1" s="1"/>
  <c r="AI393" i="1"/>
  <c r="AK393" i="1" s="1"/>
  <c r="AI517" i="1"/>
  <c r="AK517" i="1" s="1"/>
  <c r="AI444" i="1"/>
  <c r="AK444" i="1" s="1"/>
  <c r="AI407" i="1"/>
  <c r="AK407" i="1" s="1"/>
  <c r="AI497" i="1"/>
  <c r="AK497" i="1" s="1"/>
  <c r="AI531" i="1"/>
  <c r="AK531" i="1" s="1"/>
  <c r="AI509" i="1"/>
  <c r="AK509" i="1" s="1"/>
  <c r="AI516" i="1"/>
  <c r="AK516" i="1" s="1"/>
  <c r="AH777" i="1"/>
  <c r="AH581" i="1"/>
  <c r="AI471" i="1"/>
  <c r="AK471" i="1" s="1"/>
  <c r="AI966" i="1"/>
  <c r="AK966" i="1" s="1"/>
  <c r="AI944" i="1"/>
  <c r="AK944" i="1" s="1"/>
  <c r="AI922" i="1"/>
  <c r="AK922" i="1" s="1"/>
  <c r="AI900" i="1"/>
  <c r="AK900" i="1" s="1"/>
  <c r="AI878" i="1"/>
  <c r="AK878" i="1" s="1"/>
  <c r="AI856" i="1"/>
  <c r="AK856" i="1" s="1"/>
  <c r="AI493" i="1"/>
  <c r="AK493" i="1" s="1"/>
  <c r="AI478" i="1"/>
  <c r="AK478" i="1" s="1"/>
  <c r="AG798" i="1"/>
  <c r="AI477" i="1"/>
  <c r="AK477" i="1" s="1"/>
  <c r="AI492" i="1"/>
  <c r="AK492" i="1" s="1"/>
  <c r="AI834" i="1"/>
  <c r="AK834" i="1" s="1"/>
  <c r="AH820" i="1"/>
  <c r="AI597" i="1"/>
  <c r="AK597" i="1" s="1"/>
  <c r="AI817" i="1"/>
  <c r="AK817" i="1" s="1"/>
  <c r="AI553" i="1"/>
  <c r="AK553" i="1" s="1"/>
  <c r="AG507" i="1"/>
  <c r="AG479" i="1"/>
  <c r="AI570" i="1"/>
  <c r="AK570" i="1" s="1"/>
  <c r="AI358" i="1"/>
  <c r="AK358" i="1" s="1"/>
  <c r="AI436" i="1"/>
  <c r="AK436" i="1" s="1"/>
  <c r="AI429" i="1"/>
  <c r="AK429" i="1" s="1"/>
  <c r="AI484" i="1"/>
  <c r="AK484" i="1" s="1"/>
  <c r="AI503" i="1"/>
  <c r="AK503" i="1" s="1"/>
  <c r="AI496" i="1"/>
  <c r="AK496" i="1" s="1"/>
  <c r="AI465" i="1"/>
  <c r="AK465" i="1" s="1"/>
  <c r="AI428" i="1"/>
  <c r="AK428" i="1" s="1"/>
  <c r="AI476" i="1"/>
  <c r="AK476" i="1" s="1"/>
  <c r="AI413" i="1"/>
  <c r="AK413" i="1" s="1"/>
  <c r="AI406" i="1"/>
  <c r="AK406" i="1" s="1"/>
  <c r="AI297" i="1"/>
  <c r="AK297" i="1" s="1"/>
  <c r="AI502" i="1"/>
  <c r="AK502" i="1" s="1"/>
  <c r="AI318" i="1"/>
  <c r="AK318" i="1" s="1"/>
  <c r="AI311" i="1"/>
  <c r="AK311" i="1" s="1"/>
  <c r="AI449" i="1"/>
  <c r="AK449" i="1" s="1"/>
  <c r="AI490" i="1"/>
  <c r="AK490" i="1" s="1"/>
  <c r="AH389" i="1"/>
  <c r="AI434" i="1"/>
  <c r="AK434" i="1" s="1"/>
  <c r="AI310" i="1"/>
  <c r="AK310" i="1" s="1"/>
  <c r="AI346" i="1"/>
  <c r="AK346" i="1" s="1"/>
  <c r="AI382" i="1"/>
  <c r="AK382" i="1" s="1"/>
  <c r="AI474" i="1"/>
  <c r="AK474" i="1" s="1"/>
  <c r="AI389" i="1"/>
  <c r="AK389" i="1" s="1"/>
  <c r="AI338" i="1"/>
  <c r="AK338" i="1" s="1"/>
  <c r="AI287" i="1"/>
  <c r="AK287" i="1" s="1"/>
  <c r="AI273" i="1"/>
  <c r="AK273" i="1" s="1"/>
  <c r="AI359" i="1"/>
  <c r="AK359" i="1" s="1"/>
  <c r="AI337" i="1"/>
  <c r="AK337" i="1" s="1"/>
  <c r="AG200" i="1"/>
  <c r="AG73" i="1"/>
  <c r="AG112" i="1"/>
  <c r="AG24" i="1"/>
  <c r="AH149" i="1"/>
  <c r="AG113" i="1"/>
  <c r="AG39" i="1"/>
  <c r="AG127" i="1"/>
  <c r="AH17" i="1"/>
  <c r="AH237" i="1"/>
  <c r="AH165" i="1"/>
  <c r="AG226" i="1"/>
  <c r="AG245" i="1"/>
  <c r="AG47" i="1"/>
  <c r="AH91" i="1"/>
  <c r="AH205" i="1"/>
  <c r="AH256" i="1"/>
  <c r="AG246" i="1"/>
  <c r="AH249" i="1"/>
  <c r="AI295" i="1"/>
  <c r="AK295" i="1" s="1"/>
  <c r="AI373" i="1"/>
  <c r="AK373" i="1" s="1"/>
  <c r="AI309" i="1"/>
  <c r="AK309" i="1" s="1"/>
  <c r="AI495" i="1"/>
  <c r="AK495" i="1" s="1"/>
  <c r="AI450" i="1"/>
  <c r="AK450" i="1" s="1"/>
  <c r="AI330" i="1"/>
  <c r="AK330" i="1" s="1"/>
  <c r="AI457" i="1"/>
  <c r="AK457" i="1" s="1"/>
  <c r="AI504" i="1"/>
  <c r="AK504" i="1" s="1"/>
  <c r="AI386" i="1"/>
  <c r="AK386" i="1" s="1"/>
  <c r="AI322" i="1"/>
  <c r="AK322" i="1" s="1"/>
  <c r="AI294" i="1"/>
  <c r="AK294" i="1" s="1"/>
  <c r="AI483" i="1"/>
  <c r="AK483" i="1" s="1"/>
  <c r="AI329" i="1"/>
  <c r="AK329" i="1" s="1"/>
  <c r="AI470" i="1"/>
  <c r="AK470" i="1" s="1"/>
  <c r="AI357" i="1"/>
  <c r="AK357" i="1" s="1"/>
  <c r="AI350" i="1"/>
  <c r="AK350" i="1" s="1"/>
  <c r="AI343" i="1"/>
  <c r="AK343" i="1" s="1"/>
  <c r="AI314" i="1"/>
  <c r="AK314" i="1" s="1"/>
  <c r="AI286" i="1"/>
  <c r="AK286" i="1" s="1"/>
  <c r="AI279" i="1"/>
  <c r="AK279" i="1" s="1"/>
  <c r="AI455" i="1"/>
  <c r="AK455" i="1" s="1"/>
  <c r="AI421" i="1"/>
  <c r="AK421" i="1" s="1"/>
  <c r="AI385" i="1"/>
  <c r="AK385" i="1" s="1"/>
  <c r="AI349" i="1"/>
  <c r="AK349" i="1" s="1"/>
  <c r="AI342" i="1"/>
  <c r="AK342" i="1" s="1"/>
  <c r="AI321" i="1"/>
  <c r="AK321" i="1" s="1"/>
  <c r="AI300" i="1"/>
  <c r="AK300" i="1" s="1"/>
  <c r="AI293" i="1"/>
  <c r="AK293" i="1" s="1"/>
  <c r="AI377" i="1"/>
  <c r="AK377" i="1" s="1"/>
  <c r="AI271" i="1"/>
  <c r="AK271" i="1" s="1"/>
  <c r="AI488" i="1"/>
  <c r="AK488" i="1" s="1"/>
  <c r="AG158" i="1"/>
  <c r="AI433" i="1"/>
  <c r="AK433" i="1" s="1"/>
  <c r="AI285" i="1"/>
  <c r="AK285" i="1" s="1"/>
  <c r="AI391" i="1"/>
  <c r="AK391" i="1" s="1"/>
  <c r="AI327" i="1"/>
  <c r="AK327" i="1" s="1"/>
  <c r="AI306" i="1"/>
  <c r="AK306" i="1" s="1"/>
  <c r="AI270" i="1"/>
  <c r="AK270" i="1" s="1"/>
  <c r="AI481" i="1"/>
  <c r="AK481" i="1" s="1"/>
  <c r="AI499" i="1"/>
  <c r="AK499" i="1" s="1"/>
  <c r="AI405" i="1"/>
  <c r="AK405" i="1" s="1"/>
  <c r="AI369" i="1"/>
  <c r="AK369" i="1" s="1"/>
  <c r="AI348" i="1"/>
  <c r="AK348" i="1" s="1"/>
  <c r="AI341" i="1"/>
  <c r="AK341" i="1" s="1"/>
  <c r="AI305" i="1"/>
  <c r="AK305" i="1" s="1"/>
  <c r="AI277" i="1"/>
  <c r="AK277" i="1" s="1"/>
  <c r="AI412" i="1"/>
  <c r="AK412" i="1" s="1"/>
  <c r="AI284" i="1"/>
  <c r="AK284" i="1" s="1"/>
  <c r="AH137" i="1"/>
  <c r="AI390" i="1"/>
  <c r="AK390" i="1" s="1"/>
  <c r="AI333" i="1"/>
  <c r="AK333" i="1" s="1"/>
  <c r="AI326" i="1"/>
  <c r="AK326" i="1" s="1"/>
  <c r="AI298" i="1"/>
  <c r="AK298" i="1" s="1"/>
  <c r="AH202" i="1"/>
  <c r="AH183" i="1"/>
  <c r="AI453" i="1"/>
  <c r="AK453" i="1" s="1"/>
  <c r="AI375" i="1"/>
  <c r="AK375" i="1" s="1"/>
  <c r="AI290" i="1"/>
  <c r="AK290" i="1" s="1"/>
  <c r="AI486" i="1"/>
  <c r="AK486" i="1" s="1"/>
  <c r="AI460" i="1"/>
  <c r="AK460" i="1" s="1"/>
  <c r="AI325" i="1"/>
  <c r="AK325" i="1" s="1"/>
  <c r="AH117" i="1"/>
  <c r="AG95" i="1"/>
  <c r="AI445" i="1"/>
  <c r="AK445" i="1" s="1"/>
  <c r="AI396" i="1"/>
  <c r="AK396" i="1" s="1"/>
  <c r="AI275" i="1"/>
  <c r="AK275" i="1" s="1"/>
  <c r="AI479" i="1"/>
  <c r="AK479" i="1" s="1"/>
  <c r="AI282" i="1"/>
  <c r="AK282" i="1" s="1"/>
  <c r="AI437" i="1"/>
  <c r="AK437" i="1" s="1"/>
  <c r="AI345" i="1"/>
  <c r="AK345" i="1" s="1"/>
  <c r="AI274" i="1"/>
  <c r="AK274" i="1" s="1"/>
  <c r="AH151" i="1"/>
  <c r="AH107" i="1"/>
  <c r="AI506" i="1"/>
  <c r="AK506" i="1" s="1"/>
  <c r="AG173" i="1"/>
  <c r="AG129" i="1"/>
  <c r="AG217" i="1"/>
  <c r="AH224" i="1"/>
  <c r="AI505" i="1"/>
  <c r="AK505" i="1" s="1"/>
  <c r="AG27" i="1"/>
  <c r="AG81" i="1"/>
  <c r="AG247" i="1"/>
  <c r="AG78" i="1"/>
  <c r="AG75" i="1"/>
  <c r="AH187" i="1"/>
  <c r="AH228" i="1"/>
  <c r="AH209" i="1"/>
  <c r="AG207" i="1"/>
  <c r="AG166" i="1"/>
  <c r="AG210" i="1"/>
  <c r="AG163" i="1"/>
  <c r="AH119" i="1"/>
  <c r="AG174" i="1"/>
  <c r="AH218" i="1"/>
  <c r="AG32" i="1"/>
  <c r="AG140" i="1"/>
  <c r="AG76" i="1"/>
  <c r="AH232" i="1"/>
  <c r="AG120" i="1"/>
  <c r="AG240" i="1"/>
  <c r="AG208" i="1"/>
  <c r="AG248" i="1"/>
  <c r="AG98" i="1"/>
  <c r="AG10" i="1"/>
  <c r="AH229" i="1"/>
  <c r="AH184" i="1"/>
  <c r="AG128" i="1"/>
  <c r="AG227" i="1"/>
  <c r="AG54" i="1"/>
  <c r="AH198" i="1"/>
  <c r="AG60" i="1"/>
  <c r="AH148" i="1"/>
  <c r="AH192" i="1"/>
  <c r="AG175" i="1"/>
  <c r="AG136" i="1"/>
  <c r="AG154" i="1"/>
  <c r="AG239" i="1"/>
  <c r="AG225" i="1"/>
  <c r="AH244" i="1"/>
  <c r="AG92" i="1"/>
  <c r="AG18" i="1"/>
  <c r="AH100" i="1"/>
  <c r="AG23" i="1"/>
  <c r="AG36" i="1"/>
  <c r="AG14" i="1"/>
  <c r="AH79" i="1"/>
  <c r="AG57" i="1"/>
  <c r="AG22" i="1"/>
  <c r="AH221" i="1"/>
  <c r="AH177" i="1"/>
  <c r="AG38" i="1"/>
  <c r="AG12" i="1"/>
  <c r="AH220" i="1"/>
  <c r="AG170" i="1"/>
  <c r="AH189" i="1"/>
  <c r="AH111" i="1"/>
  <c r="AG147" i="1"/>
  <c r="AG80" i="1"/>
  <c r="AH254" i="1"/>
  <c r="AG188" i="1"/>
  <c r="AG190" i="1"/>
  <c r="AG106" i="1"/>
  <c r="AG233" i="1"/>
  <c r="AH101" i="1"/>
  <c r="AH169" i="1"/>
  <c r="AH83" i="1"/>
  <c r="AG168" i="1"/>
  <c r="AH153" i="1"/>
  <c r="AG59" i="1"/>
  <c r="AG146" i="1"/>
  <c r="AH133" i="1"/>
  <c r="AG82" i="1"/>
  <c r="AG132" i="1"/>
  <c r="AG43" i="1"/>
  <c r="AG58" i="1"/>
  <c r="AG126" i="1"/>
  <c r="AG212" i="1"/>
  <c r="AH21" i="1"/>
  <c r="AH110" i="1"/>
  <c r="AH116" i="1"/>
  <c r="AG94" i="1"/>
  <c r="AG86" i="1"/>
  <c r="AG156" i="1"/>
  <c r="AH215" i="1"/>
  <c r="AG138" i="1"/>
  <c r="AG52" i="1"/>
  <c r="AG108" i="1"/>
  <c r="AG68" i="1"/>
  <c r="AG242" i="1"/>
  <c r="AH77" i="1"/>
  <c r="AH33" i="1"/>
  <c r="AG172" i="1"/>
  <c r="AG42" i="1"/>
  <c r="AG203" i="1"/>
  <c r="AH219" i="1"/>
  <c r="AG161" i="1"/>
  <c r="AG96" i="1"/>
  <c r="AH64" i="1"/>
  <c r="AG223" i="1"/>
  <c r="AG72" i="1"/>
  <c r="AG238" i="1"/>
  <c r="AH20" i="1"/>
  <c r="AG62" i="1"/>
  <c r="AG135" i="1"/>
  <c r="AH88" i="1"/>
  <c r="AH37" i="1"/>
  <c r="AG16" i="1"/>
  <c r="AH26" i="1"/>
  <c r="AG191" i="1"/>
  <c r="AG243" i="1"/>
  <c r="AH97" i="1"/>
  <c r="AH71" i="1"/>
  <c r="AH90" i="1"/>
  <c r="AH171" i="1"/>
  <c r="AG216" i="1"/>
  <c r="AG40" i="1"/>
  <c r="AG152" i="1"/>
  <c r="AH99" i="1"/>
  <c r="AG162" i="1"/>
  <c r="AG114" i="1"/>
  <c r="AG11" i="1"/>
  <c r="AG204" i="1"/>
  <c r="AH109" i="1"/>
  <c r="AG8" i="1"/>
  <c r="AG35" i="1"/>
  <c r="AH89" i="1"/>
  <c r="AG15" i="1"/>
  <c r="AH93" i="1"/>
  <c r="AG164" i="1"/>
  <c r="AH193" i="1"/>
  <c r="AG74" i="1"/>
  <c r="AG118" i="1"/>
  <c r="AG176" i="1"/>
  <c r="AG125" i="1"/>
  <c r="AG186" i="1"/>
  <c r="AH157" i="1"/>
  <c r="AG31" i="1"/>
  <c r="AH53" i="1"/>
  <c r="AH185" i="1"/>
  <c r="AG50" i="1"/>
  <c r="AH160" i="1"/>
  <c r="AH145" i="1"/>
  <c r="AG105" i="1"/>
  <c r="AH65" i="1"/>
  <c r="AG48" i="1"/>
  <c r="AH13" i="1"/>
  <c r="AH181" i="1"/>
  <c r="AG197" i="1"/>
  <c r="AG103" i="1"/>
  <c r="AG6" i="1"/>
  <c r="AG235" i="1"/>
  <c r="AG231" i="1"/>
  <c r="AG123" i="1"/>
  <c r="AG194" i="1"/>
  <c r="AH121" i="1"/>
  <c r="AH69" i="1"/>
  <c r="AG214" i="1"/>
  <c r="AG142" i="1"/>
  <c r="AG178" i="1"/>
  <c r="AG66" i="1"/>
  <c r="AG179" i="1"/>
  <c r="AG67" i="1"/>
  <c r="AH87" i="1"/>
  <c r="AG182" i="1"/>
  <c r="AG131" i="1"/>
  <c r="AG102" i="1"/>
  <c r="AH9" i="1"/>
  <c r="AH45" i="1"/>
  <c r="AG252" i="1"/>
  <c r="AH196" i="1"/>
  <c r="AH141" i="1"/>
  <c r="AH49" i="1"/>
  <c r="AG28" i="1"/>
  <c r="AG144" i="1"/>
  <c r="AG104" i="1"/>
  <c r="AG250" i="1"/>
  <c r="AG84" i="1"/>
  <c r="AH201" i="1"/>
  <c r="AH29" i="1"/>
  <c r="AG44" i="1"/>
  <c r="AG234" i="1"/>
  <c r="AG70" i="1"/>
  <c r="AG143" i="1"/>
  <c r="AH213" i="1"/>
  <c r="AG122" i="1"/>
  <c r="AG7" i="1"/>
  <c r="AH230" i="1"/>
  <c r="AH253" i="1"/>
  <c r="AG195" i="1"/>
  <c r="AG51" i="1"/>
  <c r="AH55" i="1"/>
  <c r="AG159" i="1"/>
  <c r="AG30" i="1"/>
  <c r="AG124" i="1"/>
  <c r="AH115" i="1"/>
  <c r="AG56" i="1"/>
  <c r="AG85" i="1"/>
  <c r="AH130" i="1"/>
  <c r="AH61" i="1"/>
  <c r="AH25" i="1"/>
  <c r="AG211" i="1"/>
  <c r="AH155" i="1"/>
  <c r="AH255" i="1"/>
  <c r="AG134" i="1"/>
  <c r="AG199" i="1"/>
  <c r="AH236" i="1"/>
  <c r="AH241" i="1"/>
  <c r="AG167" i="1"/>
  <c r="AH180" i="1"/>
  <c r="AG34" i="1"/>
  <c r="AG139" i="1"/>
  <c r="AG63" i="1"/>
  <c r="AG222" i="1"/>
  <c r="AG46" i="1"/>
  <c r="AG206" i="1"/>
  <c r="AG19" i="1"/>
  <c r="AG5" i="1"/>
  <c r="AG41" i="1"/>
  <c r="AG150" i="1"/>
  <c r="AH251" i="1"/>
  <c r="F257" i="1"/>
  <c r="AC257" i="1" l="1"/>
  <c r="G257" i="1"/>
  <c r="AF257" i="1"/>
  <c r="AG257" i="1" s="1"/>
  <c r="AH257" i="1" l="1"/>
</calcChain>
</file>

<file path=xl/sharedStrings.xml><?xml version="1.0" encoding="utf-8"?>
<sst xmlns="http://schemas.openxmlformats.org/spreadsheetml/2006/main" count="37" uniqueCount="23">
  <si>
    <t>SERIE</t>
  </si>
  <si>
    <t>CP1  1 
20HRS</t>
  </si>
  <si>
    <t>FATOR DE CONVERSÃO TON/FOR PARA MPA</t>
  </si>
  <si>
    <t>CP1  1 
28 dias</t>
  </si>
  <si>
    <t>CP2
28 dias</t>
  </si>
  <si>
    <t>CP2
20HRS</t>
  </si>
  <si>
    <t>data moldagem</t>
  </si>
  <si>
    <t>horas cp1</t>
  </si>
  <si>
    <t>horas cp2</t>
  </si>
  <si>
    <t>horas cp3</t>
  </si>
  <si>
    <t>hora da ruptura 1</t>
  </si>
  <si>
    <t>hora da ruptura 2</t>
  </si>
  <si>
    <t xml:space="preserve">ruptura de saque </t>
  </si>
  <si>
    <t>ruptura de 28 dias</t>
  </si>
  <si>
    <t>acompanhamento de ruptura  em horas</t>
  </si>
  <si>
    <t xml:space="preserve">ruptura 1
ton/força
</t>
  </si>
  <si>
    <t>hora mais tarde</t>
  </si>
  <si>
    <t>data rup</t>
  </si>
  <si>
    <t>hora</t>
  </si>
  <si>
    <t>aditivo alterdo</t>
  </si>
  <si>
    <t>TRAÇO USADO</t>
  </si>
  <si>
    <t>hora da ruptura USADO SAQUE</t>
  </si>
  <si>
    <t xml:space="preserve">ruptura 2
ton/força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</si>
</sst>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d/m/yy\ h:mm;@"/>
    <numFmt numFmtId="166" formatCode="h:mm;@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14" fontId="0" fillId="8" borderId="2" xfId="0" applyNumberFormat="1" applyFill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166" fontId="0" fillId="9" borderId="1" xfId="0" applyNumberFormat="1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2" fontId="0" fillId="8" borderId="5" xfId="0" applyNumberFormat="1" applyFill="1" applyBorder="1" applyAlignment="1">
      <alignment horizontal="center" vertical="center"/>
    </xf>
    <xf numFmtId="2" fontId="0" fillId="8" borderId="0" xfId="0" applyNumberFormat="1" applyFill="1" applyAlignment="1">
      <alignment horizontal="center" vertical="center"/>
    </xf>
    <xf numFmtId="14" fontId="0" fillId="3" borderId="7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165" fontId="1" fillId="9" borderId="2" xfId="0" applyNumberFormat="1" applyFont="1" applyFill="1" applyBorder="1" applyAlignment="1">
      <alignment vertical="center" wrapText="1"/>
    </xf>
    <xf numFmtId="165" fontId="1" fillId="9" borderId="2" xfId="0" applyNumberFormat="1" applyFont="1" applyFill="1" applyBorder="1" applyAlignment="1">
      <alignment horizontal="center" vertical="center" wrapText="1"/>
    </xf>
    <xf numFmtId="165" fontId="1" fillId="7" borderId="2" xfId="0" applyNumberFormat="1" applyFont="1" applyFill="1" applyBorder="1" applyAlignment="1">
      <alignment vertical="center" wrapText="1"/>
    </xf>
    <xf numFmtId="165" fontId="1" fillId="7" borderId="2" xfId="0" applyNumberFormat="1" applyFont="1" applyFill="1" applyBorder="1" applyAlignment="1">
      <alignment horizontal="center" vertical="center" wrapText="1"/>
    </xf>
    <xf numFmtId="2" fontId="1" fillId="8" borderId="2" xfId="0" applyNumberFormat="1" applyFont="1" applyFill="1" applyBorder="1" applyAlignment="1">
      <alignment vertical="center" wrapText="1"/>
    </xf>
    <xf numFmtId="165" fontId="1" fillId="7" borderId="4" xfId="0" applyNumberFormat="1" applyFont="1" applyFill="1" applyBorder="1" applyAlignment="1">
      <alignment vertical="center" wrapText="1"/>
    </xf>
    <xf numFmtId="0" fontId="1" fillId="8" borderId="13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/>
    </xf>
    <xf numFmtId="165" fontId="1" fillId="9" borderId="4" xfId="0" applyNumberFormat="1" applyFont="1" applyFill="1" applyBorder="1" applyAlignment="1">
      <alignment horizontal="center" vertical="top" wrapText="1"/>
    </xf>
    <xf numFmtId="165" fontId="1" fillId="7" borderId="4" xfId="0" applyNumberFormat="1" applyFont="1" applyFill="1" applyBorder="1" applyAlignment="1">
      <alignment horizontal="center" vertical="top" wrapText="1"/>
    </xf>
    <xf numFmtId="2" fontId="1" fillId="8" borderId="4" xfId="0" applyNumberFormat="1" applyFont="1" applyFill="1" applyBorder="1" applyAlignment="1">
      <alignment horizontal="center" vertical="top" wrapText="1"/>
    </xf>
    <xf numFmtId="0" fontId="0" fillId="0" borderId="3" xfId="0" applyBorder="1" applyAlignment="1">
      <alignment vertical="center"/>
    </xf>
    <xf numFmtId="165" fontId="1" fillId="7" borderId="12" xfId="0" applyNumberFormat="1" applyFont="1" applyFill="1" applyBorder="1" applyAlignment="1">
      <alignment vertical="center" wrapText="1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7" borderId="7" xfId="0" applyNumberFormat="1" applyFill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2" fontId="1" fillId="8" borderId="6" xfId="0" applyNumberFormat="1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theme="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B8C79"/>
        </patternFill>
      </fill>
    </dxf>
    <dxf>
      <font>
        <b/>
        <i val="0"/>
        <color rgb="FF9C0006"/>
      </font>
    </dxf>
  </dxfs>
  <tableStyles count="0" defaultTableStyle="TableStyleMedium2" defaultPivotStyle="PivotStyleLight16"/>
  <colors>
    <mruColors>
      <color rgb="FFFB8C7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orteseng.sharepoint.com/sites/FortanksSite/Documentos%20Compartilhados/00-FORTANKS/00-OBRAS/03-QUALIDADE/01-REL%20DE%20CONCRETAGEM/00%20-%20FICHA%20DE%20MOLDAGEM%20E%20ROMPIMENTO%20DE%20CONCRETO/00%20-%20FICHA%20DE%20MOLDAGEM%20-%20PADR&#195;O.xlsx" TargetMode="External"/><Relationship Id="rId1" Type="http://schemas.openxmlformats.org/officeDocument/2006/relationships/externalLinkPath" Target="https://forteseng.sharepoint.com/sites/FortanksSite/Documentos%20Compartilhados/00-FORTANKS/00-OBRAS/03-QUALIDADE/01-REL%20DE%20CONCRETAGEM/00%20-%20FICHA%20DE%20MOLDAGEM%20E%20ROMPIMENTO%20DE%20CONCRETO/00%20-%20FICHA%20DE%20MOLDAGEM%20-%20PADR&#195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MPI"/>
      <sheetName val="PLAN"/>
      <sheetName val="00"/>
      <sheetName val="Planilha1"/>
      <sheetName val="01 "/>
      <sheetName val="100"/>
      <sheetName val="1"/>
      <sheetName val="2"/>
      <sheetName val="3"/>
      <sheetName val="4"/>
      <sheetName val="5"/>
      <sheetName val="6"/>
      <sheetName val="percentual de concretagem"/>
    </sheetNames>
    <sheetDataSet>
      <sheetData sheetId="0"/>
      <sheetData sheetId="1">
        <row r="3">
          <cell r="A3">
            <v>419</v>
          </cell>
          <cell r="B3">
            <v>30</v>
          </cell>
          <cell r="C3" t="str">
            <v>PN-182/ PN-183 E PN-184  E PN-185 (20%)</v>
          </cell>
          <cell r="D3">
            <v>8</v>
          </cell>
          <cell r="E3">
            <v>40</v>
          </cell>
          <cell r="F3">
            <v>24</v>
          </cell>
          <cell r="G3">
            <v>40</v>
          </cell>
          <cell r="H3">
            <v>0</v>
          </cell>
          <cell r="I3" t="str">
            <v>-</v>
          </cell>
          <cell r="J3" t="str">
            <v>650/650</v>
          </cell>
          <cell r="K3" t="str">
            <v xml:space="preserve">CPIII 40 RS </v>
          </cell>
          <cell r="L3" t="str">
            <v>CP V</v>
          </cell>
          <cell r="M3" t="str">
            <v>SUPER PLASTIFICANTE</v>
          </cell>
          <cell r="N3" t="str">
            <v>ETE - CLAR. SECUNDARIO</v>
          </cell>
          <cell r="O3" t="str">
            <v>FORTANKS</v>
          </cell>
          <cell r="P3">
            <v>512</v>
          </cell>
          <cell r="Q3" t="str">
            <v>Leandro</v>
          </cell>
          <cell r="R3">
            <v>44756</v>
          </cell>
          <cell r="S3">
            <v>0.41319444444444442</v>
          </cell>
          <cell r="T3">
            <v>0.40277777777777773</v>
          </cell>
          <cell r="U3" t="str">
            <v>x</v>
          </cell>
          <cell r="V3">
            <v>0.35416666666666669</v>
          </cell>
          <cell r="W3">
            <v>31.461327000000001</v>
          </cell>
          <cell r="X3">
            <v>31.326720000000002</v>
          </cell>
          <cell r="Y3">
            <v>0.41666666666666669</v>
          </cell>
          <cell r="Z3">
            <v>85.13</v>
          </cell>
          <cell r="AA3">
            <v>82.69</v>
          </cell>
          <cell r="AB3" t="str">
            <v>X</v>
          </cell>
          <cell r="AH3" t="str">
            <v>X</v>
          </cell>
          <cell r="AK3" t="str">
            <v>X</v>
          </cell>
          <cell r="AQ3" t="str">
            <v>X</v>
          </cell>
          <cell r="AW3">
            <v>1</v>
          </cell>
          <cell r="AX3">
            <v>3</v>
          </cell>
          <cell r="AY3">
            <v>2</v>
          </cell>
          <cell r="AZ3">
            <v>4</v>
          </cell>
          <cell r="BB3">
            <v>44757</v>
          </cell>
          <cell r="BG3">
            <v>44756</v>
          </cell>
        </row>
        <row r="4">
          <cell r="A4">
            <v>420</v>
          </cell>
          <cell r="B4">
            <v>31</v>
          </cell>
          <cell r="C4" t="str">
            <v xml:space="preserve"> PN-185 (80%) E PND-142/ PNE-140/ PNI-169 </v>
          </cell>
          <cell r="D4">
            <v>8</v>
          </cell>
          <cell r="E4">
            <v>40</v>
          </cell>
          <cell r="F4">
            <v>24</v>
          </cell>
          <cell r="G4">
            <v>40</v>
          </cell>
          <cell r="H4">
            <v>0</v>
          </cell>
          <cell r="I4" t="str">
            <v>-</v>
          </cell>
          <cell r="J4" t="str">
            <v>650/650</v>
          </cell>
          <cell r="K4" t="str">
            <v xml:space="preserve">CPIII 40 RS </v>
          </cell>
          <cell r="L4" t="str">
            <v>CP V</v>
          </cell>
          <cell r="M4" t="str">
            <v>SUPER PLASTIFICANTE</v>
          </cell>
          <cell r="N4" t="str">
            <v>ETE - CLAR. SECUNDARIO</v>
          </cell>
          <cell r="O4" t="str">
            <v>FORTANKS</v>
          </cell>
          <cell r="P4">
            <v>495</v>
          </cell>
          <cell r="Q4" t="str">
            <v>Leandro</v>
          </cell>
          <cell r="R4">
            <v>44756</v>
          </cell>
          <cell r="S4">
            <v>0.42708333333333331</v>
          </cell>
          <cell r="T4">
            <v>0.4201388888888889</v>
          </cell>
          <cell r="U4" t="str">
            <v>X</v>
          </cell>
          <cell r="V4">
            <v>0.35416666666666669</v>
          </cell>
          <cell r="W4">
            <v>34.729999999999997</v>
          </cell>
          <cell r="X4">
            <v>35.76</v>
          </cell>
          <cell r="Y4">
            <v>0.41666666666666669</v>
          </cell>
          <cell r="Z4">
            <v>78.23</v>
          </cell>
          <cell r="AA4">
            <v>79.489999999999995</v>
          </cell>
          <cell r="AI4" t="str">
            <v>X</v>
          </cell>
          <cell r="AL4" t="str">
            <v>X</v>
          </cell>
          <cell r="AN4" t="str">
            <v>X</v>
          </cell>
          <cell r="AO4" t="str">
            <v>X</v>
          </cell>
          <cell r="AW4">
            <v>4</v>
          </cell>
          <cell r="AX4">
            <v>4</v>
          </cell>
          <cell r="AY4">
            <v>3</v>
          </cell>
          <cell r="AZ4">
            <v>2</v>
          </cell>
          <cell r="BB4">
            <v>44757</v>
          </cell>
          <cell r="BG4">
            <v>44756</v>
          </cell>
        </row>
        <row r="5">
          <cell r="A5" t="str">
            <v>421-A</v>
          </cell>
          <cell r="B5">
            <v>32</v>
          </cell>
          <cell r="C5" t="str">
            <v xml:space="preserve">PORTO SUDESTE - PLACA PEI-1 </v>
          </cell>
          <cell r="D5">
            <v>8</v>
          </cell>
          <cell r="E5">
            <v>40</v>
          </cell>
          <cell r="F5">
            <v>24</v>
          </cell>
          <cell r="G5">
            <v>40</v>
          </cell>
          <cell r="H5">
            <v>0</v>
          </cell>
          <cell r="I5" t="str">
            <v>-</v>
          </cell>
          <cell r="J5" t="str">
            <v>660/660</v>
          </cell>
          <cell r="K5" t="str">
            <v xml:space="preserve">CPIII 40 RS </v>
          </cell>
          <cell r="L5" t="str">
            <v>CP V</v>
          </cell>
          <cell r="M5" t="str">
            <v>SUPER PLASTIFICANTE</v>
          </cell>
          <cell r="N5" t="str">
            <v>TANQUE DE 1000M³ - COTA 92</v>
          </cell>
          <cell r="O5" t="str">
            <v>FORTANKS</v>
          </cell>
          <cell r="P5">
            <v>512</v>
          </cell>
          <cell r="Q5" t="str">
            <v>Leandro</v>
          </cell>
          <cell r="R5">
            <v>44756</v>
          </cell>
          <cell r="S5">
            <v>0.46875</v>
          </cell>
          <cell r="T5">
            <v>0.45874999999999999</v>
          </cell>
          <cell r="U5" t="str">
            <v>X</v>
          </cell>
          <cell r="V5">
            <v>0.35416666666666669</v>
          </cell>
          <cell r="W5">
            <v>36.5</v>
          </cell>
          <cell r="X5">
            <v>35.01</v>
          </cell>
          <cell r="Y5">
            <v>0.41666666666666669</v>
          </cell>
          <cell r="Z5">
            <v>76.36</v>
          </cell>
          <cell r="AA5">
            <v>75.12</v>
          </cell>
          <cell r="AN5" t="str">
            <v>X</v>
          </cell>
          <cell r="AO5" t="str">
            <v>X</v>
          </cell>
          <cell r="AP5" t="str">
            <v>X</v>
          </cell>
          <cell r="AQ5" t="str">
            <v>X</v>
          </cell>
          <cell r="AW5">
            <v>4</v>
          </cell>
          <cell r="AX5">
            <v>4</v>
          </cell>
          <cell r="AY5">
            <v>4</v>
          </cell>
          <cell r="AZ5">
            <v>4</v>
          </cell>
          <cell r="BB5">
            <v>44757</v>
          </cell>
          <cell r="BG5">
            <v>44756</v>
          </cell>
        </row>
        <row r="6">
          <cell r="A6">
            <v>421</v>
          </cell>
          <cell r="B6">
            <v>32</v>
          </cell>
          <cell r="C6" t="str">
            <v xml:space="preserve">169/ PNI-175 </v>
          </cell>
          <cell r="D6">
            <v>8</v>
          </cell>
          <cell r="E6">
            <v>40</v>
          </cell>
          <cell r="F6">
            <v>24</v>
          </cell>
          <cell r="G6">
            <v>40</v>
          </cell>
          <cell r="H6">
            <v>0</v>
          </cell>
          <cell r="I6" t="str">
            <v>-</v>
          </cell>
          <cell r="J6" t="str">
            <v>660/660</v>
          </cell>
          <cell r="K6" t="str">
            <v xml:space="preserve">CPIII 40 RS </v>
          </cell>
          <cell r="L6" t="str">
            <v>CP V</v>
          </cell>
          <cell r="M6" t="str">
            <v>SUPER PLASTIFICANTE</v>
          </cell>
          <cell r="N6" t="str">
            <v>TANQUE DE 1000M³ - COTA 92</v>
          </cell>
          <cell r="O6" t="str">
            <v>FORTANKS</v>
          </cell>
          <cell r="P6">
            <v>512</v>
          </cell>
          <cell r="Q6" t="str">
            <v>Leandro</v>
          </cell>
          <cell r="R6">
            <v>44756</v>
          </cell>
          <cell r="S6">
            <v>0.46875</v>
          </cell>
          <cell r="T6">
            <v>0.45874999999999999</v>
          </cell>
          <cell r="U6" t="str">
            <v>X</v>
          </cell>
          <cell r="V6">
            <v>0.35416666666666669</v>
          </cell>
          <cell r="W6">
            <v>36.5</v>
          </cell>
          <cell r="X6">
            <v>35.01</v>
          </cell>
          <cell r="Y6">
            <v>0.41666666666666669</v>
          </cell>
          <cell r="Z6">
            <v>76.36</v>
          </cell>
          <cell r="AA6">
            <v>75.12</v>
          </cell>
          <cell r="AN6" t="str">
            <v>X</v>
          </cell>
          <cell r="AO6" t="str">
            <v>X</v>
          </cell>
          <cell r="AP6" t="str">
            <v>X</v>
          </cell>
          <cell r="AQ6" t="str">
            <v>X</v>
          </cell>
          <cell r="AW6">
            <v>4</v>
          </cell>
          <cell r="AX6">
            <v>4</v>
          </cell>
          <cell r="AY6">
            <v>4</v>
          </cell>
          <cell r="AZ6">
            <v>4</v>
          </cell>
          <cell r="BB6">
            <v>44757</v>
          </cell>
          <cell r="BG6">
            <v>44756</v>
          </cell>
        </row>
        <row r="7">
          <cell r="A7">
            <v>422</v>
          </cell>
          <cell r="B7">
            <v>33</v>
          </cell>
          <cell r="C7" t="str">
            <v>CANALETAS - PN-182/ PN-183/ PN-184/ PN-185/ PNI-169/ PNI-175</v>
          </cell>
          <cell r="D7">
            <v>6</v>
          </cell>
          <cell r="E7">
            <v>40</v>
          </cell>
          <cell r="F7">
            <v>24</v>
          </cell>
          <cell r="G7">
            <v>40</v>
          </cell>
          <cell r="H7">
            <v>0</v>
          </cell>
          <cell r="I7" t="str">
            <v>-</v>
          </cell>
          <cell r="J7" t="str">
            <v>680/680</v>
          </cell>
          <cell r="K7" t="str">
            <v xml:space="preserve">CPIII 40 RS </v>
          </cell>
          <cell r="L7" t="str">
            <v>CP V</v>
          </cell>
          <cell r="M7" t="str">
            <v>SUPER PLASTIFICANTE</v>
          </cell>
          <cell r="N7" t="str">
            <v>ETE - CLAR. SECUNDARIO</v>
          </cell>
          <cell r="O7" t="str">
            <v>FORTANKS</v>
          </cell>
          <cell r="P7">
            <v>495</v>
          </cell>
          <cell r="Q7" t="str">
            <v>Leandro</v>
          </cell>
          <cell r="R7">
            <v>44756</v>
          </cell>
          <cell r="S7">
            <v>0.64583333333333337</v>
          </cell>
          <cell r="T7">
            <v>0.63583333333333336</v>
          </cell>
          <cell r="U7" t="str">
            <v>X</v>
          </cell>
          <cell r="V7">
            <v>0.35416666666666669</v>
          </cell>
          <cell r="W7">
            <v>24.35163</v>
          </cell>
          <cell r="X7">
            <v>24.474</v>
          </cell>
          <cell r="Y7">
            <v>0.41666666666666669</v>
          </cell>
          <cell r="Z7">
            <v>52.36</v>
          </cell>
          <cell r="AA7">
            <v>57.69</v>
          </cell>
          <cell r="AB7" t="str">
            <v>X</v>
          </cell>
          <cell r="AG7" t="str">
            <v>X</v>
          </cell>
          <cell r="AL7" t="str">
            <v>X</v>
          </cell>
          <cell r="AM7" t="str">
            <v>X</v>
          </cell>
          <cell r="AW7">
            <v>1</v>
          </cell>
          <cell r="AX7">
            <v>2</v>
          </cell>
          <cell r="AY7">
            <v>3</v>
          </cell>
          <cell r="AZ7">
            <v>3</v>
          </cell>
          <cell r="BB7">
            <v>44757</v>
          </cell>
          <cell r="BG7">
            <v>44756</v>
          </cell>
        </row>
        <row r="8">
          <cell r="A8">
            <v>423</v>
          </cell>
          <cell r="B8">
            <v>34</v>
          </cell>
          <cell r="C8" t="str">
            <v>LAJES - LE-12/ LE-16/ PC-01</v>
          </cell>
          <cell r="D8">
            <v>6</v>
          </cell>
          <cell r="E8">
            <v>40</v>
          </cell>
          <cell r="F8" t="str">
            <v>-</v>
          </cell>
          <cell r="G8">
            <v>40</v>
          </cell>
          <cell r="H8">
            <v>0</v>
          </cell>
          <cell r="I8" t="str">
            <v>-</v>
          </cell>
          <cell r="J8" t="str">
            <v>680/680</v>
          </cell>
          <cell r="K8" t="str">
            <v xml:space="preserve">CPIII 40 RS </v>
          </cell>
          <cell r="L8" t="str">
            <v>CP V</v>
          </cell>
          <cell r="M8" t="str">
            <v>SUPER PLASTIFICANTE</v>
          </cell>
          <cell r="N8" t="str">
            <v>TANQUE DE 1000M³ - COTA 92</v>
          </cell>
          <cell r="O8" t="str">
            <v>FORTANKS</v>
          </cell>
          <cell r="P8">
            <v>495</v>
          </cell>
          <cell r="Q8" t="str">
            <v>Leandro</v>
          </cell>
          <cell r="R8">
            <v>44760</v>
          </cell>
          <cell r="S8">
            <v>0.39305555555555555</v>
          </cell>
          <cell r="T8">
            <v>0.38305555555555554</v>
          </cell>
          <cell r="U8" t="str">
            <v>X</v>
          </cell>
          <cell r="V8">
            <v>0.35416666666666669</v>
          </cell>
          <cell r="W8">
            <v>31.3</v>
          </cell>
          <cell r="X8">
            <v>30.4</v>
          </cell>
          <cell r="Y8">
            <v>0.41666666666666669</v>
          </cell>
          <cell r="Z8">
            <v>49.35</v>
          </cell>
          <cell r="AA8">
            <v>52.31</v>
          </cell>
          <cell r="AF8" t="str">
            <v>X</v>
          </cell>
          <cell r="AK8" t="str">
            <v>X</v>
          </cell>
          <cell r="AL8" t="str">
            <v>X</v>
          </cell>
          <cell r="AQ8" t="str">
            <v>X</v>
          </cell>
          <cell r="AW8">
            <v>2</v>
          </cell>
          <cell r="AX8">
            <v>3</v>
          </cell>
          <cell r="AY8">
            <v>3</v>
          </cell>
          <cell r="AZ8">
            <v>4</v>
          </cell>
          <cell r="BB8">
            <v>44761</v>
          </cell>
          <cell r="BG8">
            <v>44760</v>
          </cell>
        </row>
        <row r="9">
          <cell r="A9">
            <v>424</v>
          </cell>
          <cell r="B9">
            <v>35</v>
          </cell>
          <cell r="C9" t="str">
            <v>PN-186/ PN-188/ PN-189 E PN-190(20%)</v>
          </cell>
          <cell r="D9">
            <v>8</v>
          </cell>
          <cell r="E9">
            <v>40</v>
          </cell>
          <cell r="F9">
            <v>24</v>
          </cell>
          <cell r="G9">
            <v>40</v>
          </cell>
          <cell r="H9">
            <v>0</v>
          </cell>
          <cell r="I9" t="str">
            <v>-</v>
          </cell>
          <cell r="J9" t="str">
            <v>650/650</v>
          </cell>
          <cell r="K9" t="str">
            <v xml:space="preserve">CPIII 40 RS </v>
          </cell>
          <cell r="L9" t="str">
            <v>CP V</v>
          </cell>
          <cell r="M9" t="str">
            <v>SUPER PLASTIFICANTE</v>
          </cell>
          <cell r="N9" t="str">
            <v>ETE - CLAR. SECUNDARIO</v>
          </cell>
          <cell r="O9" t="str">
            <v>FORTANKS</v>
          </cell>
          <cell r="P9">
            <v>512</v>
          </cell>
          <cell r="Q9" t="str">
            <v>Leandro</v>
          </cell>
          <cell r="R9">
            <v>44760</v>
          </cell>
          <cell r="S9">
            <v>0.43402777777777773</v>
          </cell>
          <cell r="T9">
            <v>0.42402777777777773</v>
          </cell>
          <cell r="U9" t="str">
            <v>X</v>
          </cell>
          <cell r="V9">
            <v>0.33333333333333331</v>
          </cell>
          <cell r="W9">
            <v>38.28</v>
          </cell>
          <cell r="X9">
            <v>38.74</v>
          </cell>
          <cell r="Y9">
            <v>0.41666666666666669</v>
          </cell>
          <cell r="Z9">
            <v>78.02</v>
          </cell>
          <cell r="AA9">
            <v>79.41</v>
          </cell>
          <cell r="AN9" t="str">
            <v>X</v>
          </cell>
          <cell r="AO9" t="str">
            <v>X</v>
          </cell>
          <cell r="AP9" t="str">
            <v>X</v>
          </cell>
          <cell r="AQ9" t="str">
            <v>X</v>
          </cell>
          <cell r="AW9">
            <v>4</v>
          </cell>
          <cell r="AX9">
            <v>4</v>
          </cell>
          <cell r="AY9">
            <v>4</v>
          </cell>
          <cell r="AZ9">
            <v>4</v>
          </cell>
          <cell r="BB9">
            <v>44761</v>
          </cell>
          <cell r="BG9">
            <v>44760</v>
          </cell>
        </row>
        <row r="10">
          <cell r="A10">
            <v>425</v>
          </cell>
          <cell r="B10">
            <v>36</v>
          </cell>
          <cell r="C10" t="str">
            <v xml:space="preserve">PN-190 (80%) E PN-191/ PN-192/ PNI-181(50%)  </v>
          </cell>
          <cell r="D10">
            <v>8</v>
          </cell>
          <cell r="E10">
            <v>40</v>
          </cell>
          <cell r="F10">
            <v>24</v>
          </cell>
          <cell r="G10">
            <v>40</v>
          </cell>
          <cell r="H10">
            <v>0</v>
          </cell>
          <cell r="I10" t="str">
            <v>-</v>
          </cell>
          <cell r="J10" t="str">
            <v>680/680</v>
          </cell>
          <cell r="K10" t="str">
            <v xml:space="preserve">CPIII 40 RS </v>
          </cell>
          <cell r="L10" t="str">
            <v>CP V</v>
          </cell>
          <cell r="M10" t="str">
            <v>SUPER PLASTIFICANTE</v>
          </cell>
          <cell r="N10" t="str">
            <v>ETE - CLAR. SECUNDARIO</v>
          </cell>
          <cell r="O10" t="str">
            <v>FORTANKS</v>
          </cell>
          <cell r="P10">
            <v>495</v>
          </cell>
          <cell r="Q10" t="str">
            <v>Leandro</v>
          </cell>
          <cell r="R10">
            <v>44760</v>
          </cell>
          <cell r="S10">
            <v>0.47222222222222227</v>
          </cell>
          <cell r="T10">
            <v>0.46222222222222226</v>
          </cell>
          <cell r="U10" t="str">
            <v>X</v>
          </cell>
          <cell r="V10">
            <v>0.3354166666666667</v>
          </cell>
          <cell r="W10">
            <v>31.82</v>
          </cell>
          <cell r="X10">
            <v>31.67</v>
          </cell>
          <cell r="Y10">
            <v>0.41666666666666669</v>
          </cell>
          <cell r="Z10">
            <v>79.95</v>
          </cell>
          <cell r="AA10">
            <v>92.322999999999993</v>
          </cell>
          <cell r="AJ10" t="str">
            <v>X</v>
          </cell>
          <cell r="AK10" t="str">
            <v>X</v>
          </cell>
          <cell r="AP10" t="str">
            <v>X</v>
          </cell>
          <cell r="AQ10" t="str">
            <v>X</v>
          </cell>
          <cell r="AW10">
            <v>3</v>
          </cell>
          <cell r="AX10">
            <v>3</v>
          </cell>
          <cell r="AY10">
            <v>4</v>
          </cell>
          <cell r="AZ10">
            <v>4</v>
          </cell>
          <cell r="BB10">
            <v>44761</v>
          </cell>
          <cell r="BG10">
            <v>44760</v>
          </cell>
        </row>
        <row r="11">
          <cell r="A11">
            <v>426</v>
          </cell>
          <cell r="B11">
            <v>37</v>
          </cell>
          <cell r="C11" t="str">
            <v>PNI-181(50%) / PNI-87/ PNI-187</v>
          </cell>
          <cell r="D11">
            <v>8</v>
          </cell>
          <cell r="E11">
            <v>40</v>
          </cell>
          <cell r="F11">
            <v>24</v>
          </cell>
          <cell r="G11">
            <v>40</v>
          </cell>
          <cell r="H11">
            <v>0</v>
          </cell>
          <cell r="I11" t="str">
            <v>-</v>
          </cell>
          <cell r="J11" t="str">
            <v>680/680</v>
          </cell>
          <cell r="K11" t="str">
            <v xml:space="preserve">CPIII 40 RS </v>
          </cell>
          <cell r="L11" t="str">
            <v>CP V</v>
          </cell>
          <cell r="M11" t="str">
            <v>SUPER PLASTIFICANTE</v>
          </cell>
          <cell r="N11" t="str">
            <v>ETE - CLAR. SECUNDARIO</v>
          </cell>
          <cell r="O11" t="str">
            <v>FORTANKS</v>
          </cell>
          <cell r="P11">
            <v>512</v>
          </cell>
          <cell r="Q11" t="str">
            <v>Leandro</v>
          </cell>
          <cell r="R11">
            <v>44760</v>
          </cell>
          <cell r="S11">
            <v>0.50347222222222221</v>
          </cell>
          <cell r="T11">
            <v>0.4934722222222222</v>
          </cell>
          <cell r="U11" t="str">
            <v>X</v>
          </cell>
          <cell r="V11">
            <v>0.33333333333333331</v>
          </cell>
          <cell r="W11">
            <v>34.19</v>
          </cell>
          <cell r="X11">
            <v>35.340000000000003</v>
          </cell>
          <cell r="Y11">
            <v>0.41666666666666669</v>
          </cell>
          <cell r="Z11">
            <v>92.36</v>
          </cell>
          <cell r="AA11">
            <v>91.34</v>
          </cell>
          <cell r="AI11" t="str">
            <v>X</v>
          </cell>
          <cell r="AN11" t="str">
            <v>X</v>
          </cell>
          <cell r="AO11" t="str">
            <v>X</v>
          </cell>
          <cell r="AT11" t="str">
            <v>X</v>
          </cell>
          <cell r="AW11">
            <v>4</v>
          </cell>
          <cell r="AX11">
            <v>4</v>
          </cell>
          <cell r="AY11">
            <v>5</v>
          </cell>
          <cell r="AZ11">
            <v>2</v>
          </cell>
          <cell r="BB11">
            <v>44761</v>
          </cell>
          <cell r="BG11">
            <v>44760</v>
          </cell>
        </row>
        <row r="12">
          <cell r="A12" t="str">
            <v>426-A</v>
          </cell>
          <cell r="B12">
            <v>37</v>
          </cell>
          <cell r="C12" t="str">
            <v>PEI-17</v>
          </cell>
          <cell r="D12">
            <v>8</v>
          </cell>
          <cell r="E12">
            <v>40</v>
          </cell>
          <cell r="F12">
            <v>24</v>
          </cell>
          <cell r="G12">
            <v>40</v>
          </cell>
          <cell r="H12">
            <v>0</v>
          </cell>
          <cell r="I12" t="str">
            <v>-</v>
          </cell>
          <cell r="J12" t="str">
            <v>680/680</v>
          </cell>
          <cell r="K12" t="str">
            <v xml:space="preserve">CPIII 40 RS </v>
          </cell>
          <cell r="L12" t="str">
            <v>CP V</v>
          </cell>
          <cell r="M12" t="str">
            <v>SUPER PLASTIFICANTE</v>
          </cell>
          <cell r="N12" t="str">
            <v>TANQUE DE 1000M³ - COTA 92</v>
          </cell>
          <cell r="O12" t="str">
            <v>FORTANKS</v>
          </cell>
          <cell r="P12">
            <v>512</v>
          </cell>
          <cell r="Q12" t="str">
            <v>Leandro</v>
          </cell>
          <cell r="R12">
            <v>44760</v>
          </cell>
          <cell r="S12">
            <v>0.50347222222222221</v>
          </cell>
          <cell r="T12">
            <v>0.4934722222222222</v>
          </cell>
          <cell r="U12" t="str">
            <v>X</v>
          </cell>
          <cell r="V12">
            <v>0.33333333333333331</v>
          </cell>
          <cell r="W12">
            <v>34.19</v>
          </cell>
          <cell r="X12">
            <v>35.340000000000003</v>
          </cell>
          <cell r="Y12">
            <v>0.41666666666666669</v>
          </cell>
          <cell r="Z12">
            <v>92.36</v>
          </cell>
          <cell r="AA12">
            <v>91.34</v>
          </cell>
          <cell r="AI12" t="str">
            <v>X</v>
          </cell>
          <cell r="AN12" t="str">
            <v>X</v>
          </cell>
          <cell r="AO12" t="str">
            <v>X</v>
          </cell>
          <cell r="AT12" t="str">
            <v>X</v>
          </cell>
          <cell r="AW12">
            <v>4</v>
          </cell>
          <cell r="AX12">
            <v>4</v>
          </cell>
          <cell r="AY12">
            <v>5</v>
          </cell>
          <cell r="AZ12">
            <v>2</v>
          </cell>
          <cell r="BB12">
            <v>44761</v>
          </cell>
          <cell r="BG12">
            <v>44760</v>
          </cell>
        </row>
        <row r="13">
          <cell r="A13">
            <v>427</v>
          </cell>
          <cell r="B13">
            <v>38</v>
          </cell>
          <cell r="C13" t="str">
            <v>CANALETAS  - PN-186/ PN-188/ PN-189/ PN-190/ PN-191/ PN-192/ PNI-181/ PNI-187</v>
          </cell>
          <cell r="D13">
            <v>8</v>
          </cell>
          <cell r="E13">
            <v>40</v>
          </cell>
          <cell r="F13">
            <v>10</v>
          </cell>
          <cell r="G13">
            <v>40</v>
          </cell>
          <cell r="H13">
            <v>0</v>
          </cell>
          <cell r="I13" t="str">
            <v>-</v>
          </cell>
          <cell r="J13" t="str">
            <v>680/680</v>
          </cell>
          <cell r="K13" t="str">
            <v xml:space="preserve">CPIII 40 RS </v>
          </cell>
          <cell r="L13" t="str">
            <v>CP V</v>
          </cell>
          <cell r="M13" t="str">
            <v>SUPER PLASTIFICANTE</v>
          </cell>
          <cell r="N13" t="str">
            <v>ETE - CLAR. SECUNDARIO</v>
          </cell>
          <cell r="O13" t="str">
            <v>FORTANKS</v>
          </cell>
          <cell r="P13">
            <v>495</v>
          </cell>
          <cell r="Q13" t="str">
            <v>Leandro</v>
          </cell>
          <cell r="R13">
            <v>44760</v>
          </cell>
          <cell r="S13">
            <v>0.66875000000000007</v>
          </cell>
          <cell r="T13">
            <v>0.65875000000000006</v>
          </cell>
          <cell r="U13" t="str">
            <v>X</v>
          </cell>
          <cell r="V13">
            <v>0.33333333333333331</v>
          </cell>
          <cell r="W13">
            <v>15.88</v>
          </cell>
          <cell r="X13">
            <v>14.72</v>
          </cell>
          <cell r="Y13">
            <v>0.41666666666666669</v>
          </cell>
          <cell r="Z13">
            <v>78.23</v>
          </cell>
          <cell r="AA13">
            <v>78.790000000000006</v>
          </cell>
          <cell r="AN13" t="str">
            <v>X</v>
          </cell>
          <cell r="AO13" t="str">
            <v>X</v>
          </cell>
          <cell r="AP13" t="str">
            <v>X</v>
          </cell>
          <cell r="AQ13" t="str">
            <v>X</v>
          </cell>
          <cell r="AW13">
            <v>4</v>
          </cell>
          <cell r="AX13">
            <v>4</v>
          </cell>
          <cell r="AY13">
            <v>4</v>
          </cell>
          <cell r="AZ13">
            <v>4</v>
          </cell>
          <cell r="BB13">
            <v>44761</v>
          </cell>
          <cell r="BG13">
            <v>44760</v>
          </cell>
        </row>
        <row r="14">
          <cell r="A14">
            <v>428</v>
          </cell>
          <cell r="B14">
            <v>39</v>
          </cell>
          <cell r="C14" t="str">
            <v>PN-194 / PN-195 / PN-196 / PN-197 (40%)</v>
          </cell>
          <cell r="D14">
            <v>8.5</v>
          </cell>
          <cell r="E14">
            <v>40</v>
          </cell>
          <cell r="F14">
            <v>24</v>
          </cell>
          <cell r="G14">
            <v>40</v>
          </cell>
          <cell r="H14">
            <v>0</v>
          </cell>
          <cell r="I14" t="str">
            <v>-</v>
          </cell>
          <cell r="J14" t="str">
            <v>670/660</v>
          </cell>
          <cell r="K14" t="str">
            <v xml:space="preserve">CPIII 40 RS </v>
          </cell>
          <cell r="L14" t="str">
            <v>CP V</v>
          </cell>
          <cell r="M14" t="str">
            <v>SUPER PLASTIFICANTE</v>
          </cell>
          <cell r="N14" t="str">
            <v>ETE - CLAR. SECUNDARIO</v>
          </cell>
          <cell r="O14" t="str">
            <v>FORTANKS</v>
          </cell>
          <cell r="P14">
            <v>495</v>
          </cell>
          <cell r="Q14" t="str">
            <v>Leandro</v>
          </cell>
          <cell r="R14">
            <v>44764</v>
          </cell>
          <cell r="S14">
            <v>0.35416666666666669</v>
          </cell>
          <cell r="T14">
            <v>0.34416666666666668</v>
          </cell>
          <cell r="U14" t="str">
            <v>X</v>
          </cell>
          <cell r="V14">
            <v>0.34722222222222227</v>
          </cell>
          <cell r="W14">
            <v>34.630000000000003</v>
          </cell>
          <cell r="X14">
            <v>36.74</v>
          </cell>
          <cell r="Y14">
            <v>0.41666666666666669</v>
          </cell>
          <cell r="Z14">
            <v>78.23</v>
          </cell>
          <cell r="AA14">
            <v>79.489999999999995</v>
          </cell>
          <cell r="AB14" t="str">
            <v>X</v>
          </cell>
          <cell r="AC14" t="str">
            <v>X</v>
          </cell>
          <cell r="AL14" t="str">
            <v>X</v>
          </cell>
          <cell r="AM14" t="str">
            <v>X</v>
          </cell>
          <cell r="AW14">
            <v>1</v>
          </cell>
          <cell r="AX14">
            <v>1</v>
          </cell>
          <cell r="AY14">
            <v>3</v>
          </cell>
          <cell r="AZ14">
            <v>3</v>
          </cell>
          <cell r="BB14">
            <v>44765</v>
          </cell>
          <cell r="BG14">
            <v>44764</v>
          </cell>
        </row>
        <row r="15">
          <cell r="A15">
            <v>429</v>
          </cell>
          <cell r="B15">
            <v>40</v>
          </cell>
          <cell r="C15" t="str">
            <v>PN-197(60%) / PN-199 / PN-200 / PNI-193 (40%)</v>
          </cell>
          <cell r="D15">
            <v>8</v>
          </cell>
          <cell r="E15">
            <v>40</v>
          </cell>
          <cell r="F15">
            <v>24</v>
          </cell>
          <cell r="G15">
            <v>40</v>
          </cell>
          <cell r="H15">
            <v>0</v>
          </cell>
          <cell r="I15" t="str">
            <v>-</v>
          </cell>
          <cell r="J15" t="str">
            <v>670/680</v>
          </cell>
          <cell r="K15" t="str">
            <v xml:space="preserve">CPIII 40 RS </v>
          </cell>
          <cell r="L15" t="str">
            <v>CP V</v>
          </cell>
          <cell r="M15" t="str">
            <v>SUPER PLASTIFICANTE</v>
          </cell>
          <cell r="N15" t="str">
            <v>ETE - CLAR. SECUNDARIO</v>
          </cell>
          <cell r="O15" t="str">
            <v>FORTANKS</v>
          </cell>
          <cell r="P15">
            <v>512</v>
          </cell>
          <cell r="Q15" t="str">
            <v>Leandro</v>
          </cell>
          <cell r="R15">
            <v>44764</v>
          </cell>
          <cell r="S15">
            <v>0.36805555555555558</v>
          </cell>
          <cell r="T15">
            <v>0.35805555555555557</v>
          </cell>
          <cell r="U15" t="str">
            <v>X</v>
          </cell>
          <cell r="V15">
            <v>0.33333333333333331</v>
          </cell>
          <cell r="W15">
            <v>34.86</v>
          </cell>
          <cell r="X15">
            <v>36.31</v>
          </cell>
          <cell r="Y15">
            <v>0.41666666666666669</v>
          </cell>
          <cell r="Z15">
            <v>91.42</v>
          </cell>
          <cell r="AA15">
            <v>92</v>
          </cell>
          <cell r="AJ15" t="str">
            <v>X</v>
          </cell>
          <cell r="AK15" t="str">
            <v>X</v>
          </cell>
          <cell r="AP15" t="str">
            <v>X</v>
          </cell>
          <cell r="AQ15" t="str">
            <v>X</v>
          </cell>
          <cell r="AW15">
            <v>3</v>
          </cell>
          <cell r="AX15">
            <v>3</v>
          </cell>
          <cell r="AY15">
            <v>4</v>
          </cell>
          <cell r="AZ15">
            <v>4</v>
          </cell>
          <cell r="BB15">
            <v>44765</v>
          </cell>
          <cell r="BG15">
            <v>44764</v>
          </cell>
        </row>
        <row r="16">
          <cell r="A16">
            <v>430</v>
          </cell>
          <cell r="B16">
            <v>41</v>
          </cell>
          <cell r="C16" t="str">
            <v>PNI-193(40%) / PNI-198 / PNE-257 / PND-259</v>
          </cell>
          <cell r="D16">
            <v>8.5</v>
          </cell>
          <cell r="E16">
            <v>40</v>
          </cell>
          <cell r="F16">
            <v>24</v>
          </cell>
          <cell r="G16">
            <v>40</v>
          </cell>
          <cell r="H16">
            <v>0</v>
          </cell>
          <cell r="I16" t="str">
            <v>-</v>
          </cell>
          <cell r="J16" t="str">
            <v>660/680</v>
          </cell>
          <cell r="K16" t="str">
            <v xml:space="preserve">CPIII 40 RS </v>
          </cell>
          <cell r="L16" t="str">
            <v>CP V</v>
          </cell>
          <cell r="M16" t="str">
            <v>SUPER PLASTIFICANTE</v>
          </cell>
          <cell r="N16" t="str">
            <v>ETE - CLAR. SECUNDARIO</v>
          </cell>
          <cell r="O16" t="str">
            <v>FORTANKS</v>
          </cell>
          <cell r="P16">
            <v>495</v>
          </cell>
          <cell r="Q16" t="str">
            <v>Leandro</v>
          </cell>
          <cell r="R16">
            <v>44764</v>
          </cell>
          <cell r="S16">
            <v>0.5</v>
          </cell>
          <cell r="T16">
            <v>0.49</v>
          </cell>
          <cell r="U16" t="str">
            <v>X</v>
          </cell>
          <cell r="V16">
            <v>0.35069444444444442</v>
          </cell>
          <cell r="W16">
            <v>36.700000000000003</v>
          </cell>
          <cell r="X16">
            <v>36.18</v>
          </cell>
          <cell r="Y16">
            <v>0.41666666666666669</v>
          </cell>
          <cell r="Z16">
            <v>88.56</v>
          </cell>
          <cell r="AA16">
            <v>90.21</v>
          </cell>
          <cell r="AF16" t="str">
            <v>X</v>
          </cell>
          <cell r="AG16" t="str">
            <v>X</v>
          </cell>
          <cell r="AL16" t="str">
            <v>X</v>
          </cell>
          <cell r="AQ16" t="str">
            <v>X</v>
          </cell>
          <cell r="AW16">
            <v>2</v>
          </cell>
          <cell r="AX16">
            <v>2</v>
          </cell>
          <cell r="AY16">
            <v>3</v>
          </cell>
          <cell r="AZ16">
            <v>4</v>
          </cell>
          <cell r="BB16">
            <v>44765</v>
          </cell>
          <cell r="BG16">
            <v>44764</v>
          </cell>
        </row>
        <row r="17">
          <cell r="A17">
            <v>431</v>
          </cell>
          <cell r="B17">
            <v>43</v>
          </cell>
          <cell r="C17" t="str">
            <v>CANALETAS - PN-194/ PN-195/ PN-196/ PN-197/ PN-199/ PN-200/ PNI-193/ PN-198/ PNE-257/PND-259</v>
          </cell>
          <cell r="D17">
            <v>8</v>
          </cell>
          <cell r="E17">
            <v>40</v>
          </cell>
          <cell r="F17">
            <v>10</v>
          </cell>
          <cell r="G17">
            <v>40</v>
          </cell>
          <cell r="H17">
            <v>0</v>
          </cell>
          <cell r="I17" t="str">
            <v>-</v>
          </cell>
          <cell r="J17" t="str">
            <v>660/680</v>
          </cell>
          <cell r="K17" t="str">
            <v xml:space="preserve">CPIII 40 RS </v>
          </cell>
          <cell r="L17" t="str">
            <v>CP V</v>
          </cell>
          <cell r="M17" t="str">
            <v>SUPER PLASTIFICANTE</v>
          </cell>
          <cell r="N17" t="str">
            <v>ETE - CLAR. SECUNDARIO</v>
          </cell>
          <cell r="O17" t="str">
            <v>FORTANKS</v>
          </cell>
          <cell r="P17">
            <v>495</v>
          </cell>
          <cell r="Q17" t="str">
            <v>Leandro</v>
          </cell>
          <cell r="R17">
            <v>44764</v>
          </cell>
          <cell r="S17">
            <v>0.64583333333333337</v>
          </cell>
          <cell r="T17">
            <v>0.63583333333333336</v>
          </cell>
          <cell r="U17" t="str">
            <v>X</v>
          </cell>
          <cell r="V17">
            <v>0.35416666666666669</v>
          </cell>
          <cell r="W17">
            <v>14.46</v>
          </cell>
          <cell r="Y17">
            <v>0.41666666666666669</v>
          </cell>
          <cell r="Z17">
            <v>78.23</v>
          </cell>
          <cell r="AA17">
            <v>79.58</v>
          </cell>
          <cell r="AB17" t="str">
            <v>X</v>
          </cell>
          <cell r="AL17" t="str">
            <v>X</v>
          </cell>
          <cell r="AM17" t="str">
            <v>X</v>
          </cell>
          <cell r="AW17">
            <v>1</v>
          </cell>
          <cell r="AX17">
            <v>0</v>
          </cell>
          <cell r="AY17">
            <v>3</v>
          </cell>
          <cell r="AZ17">
            <v>3</v>
          </cell>
          <cell r="BB17">
            <v>44765</v>
          </cell>
          <cell r="BG17">
            <v>44764</v>
          </cell>
        </row>
        <row r="18">
          <cell r="A18">
            <v>432</v>
          </cell>
          <cell r="B18">
            <v>42</v>
          </cell>
          <cell r="C18" t="str">
            <v>PEI-17</v>
          </cell>
          <cell r="D18">
            <v>8</v>
          </cell>
          <cell r="E18">
            <v>40</v>
          </cell>
          <cell r="F18">
            <v>24</v>
          </cell>
          <cell r="G18">
            <v>40</v>
          </cell>
          <cell r="H18">
            <v>0</v>
          </cell>
          <cell r="I18" t="str">
            <v>-</v>
          </cell>
          <cell r="J18" t="str">
            <v>660/680</v>
          </cell>
          <cell r="K18" t="str">
            <v xml:space="preserve">CPIII 40 RS </v>
          </cell>
          <cell r="L18" t="str">
            <v>CP V</v>
          </cell>
          <cell r="M18" t="str">
            <v>SUPER PLASTIFICANTE</v>
          </cell>
          <cell r="N18" t="str">
            <v>TANQUE DE 1000M³ - COTA 92</v>
          </cell>
          <cell r="O18" t="str">
            <v>FORTANKS</v>
          </cell>
          <cell r="P18">
            <v>512</v>
          </cell>
          <cell r="Q18" t="str">
            <v>Leandro</v>
          </cell>
          <cell r="R18">
            <v>44764</v>
          </cell>
          <cell r="S18">
            <v>0.45833333333333331</v>
          </cell>
          <cell r="T18">
            <v>0.44833333333333331</v>
          </cell>
          <cell r="U18" t="str">
            <v>X</v>
          </cell>
          <cell r="V18">
            <v>0.34722222222222227</v>
          </cell>
          <cell r="W18">
            <v>38.44</v>
          </cell>
          <cell r="X18">
            <v>38.659999999999997</v>
          </cell>
          <cell r="Y18">
            <v>0.41666666666666669</v>
          </cell>
          <cell r="Z18">
            <v>92.31</v>
          </cell>
          <cell r="AA18">
            <v>89.54</v>
          </cell>
          <cell r="AF18" t="str">
            <v>X</v>
          </cell>
          <cell r="AG18" t="str">
            <v>X</v>
          </cell>
          <cell r="AM18" t="str">
            <v>X</v>
          </cell>
          <cell r="AP18" t="str">
            <v>X</v>
          </cell>
          <cell r="AW18">
            <v>2</v>
          </cell>
          <cell r="AX18">
            <v>2</v>
          </cell>
          <cell r="AY18">
            <v>4</v>
          </cell>
          <cell r="AZ18">
            <v>3</v>
          </cell>
          <cell r="BB18">
            <v>44765</v>
          </cell>
          <cell r="BG18">
            <v>44764</v>
          </cell>
        </row>
        <row r="19">
          <cell r="A19" t="str">
            <v>433-A</v>
          </cell>
          <cell r="B19">
            <v>44</v>
          </cell>
          <cell r="C19" t="str">
            <v>LE-13 / L-14</v>
          </cell>
          <cell r="D19">
            <v>2.5</v>
          </cell>
          <cell r="E19">
            <v>40</v>
          </cell>
          <cell r="F19">
            <v>10</v>
          </cell>
          <cell r="G19">
            <v>40</v>
          </cell>
          <cell r="H19">
            <v>0</v>
          </cell>
          <cell r="I19" t="str">
            <v>-</v>
          </cell>
          <cell r="J19" t="str">
            <v>670/680</v>
          </cell>
          <cell r="K19" t="str">
            <v xml:space="preserve">CPIII 40 RS </v>
          </cell>
          <cell r="L19" t="str">
            <v>CP V</v>
          </cell>
          <cell r="M19" t="str">
            <v>SUPER PLASTIFICANTE</v>
          </cell>
          <cell r="N19" t="str">
            <v>TANQUE DE 1000M³ - COTA 92</v>
          </cell>
          <cell r="O19" t="str">
            <v>FORTANKS</v>
          </cell>
          <cell r="P19">
            <v>512</v>
          </cell>
          <cell r="Q19" t="str">
            <v>Leandro</v>
          </cell>
          <cell r="R19">
            <v>44764</v>
          </cell>
          <cell r="S19">
            <v>0.66666666666666663</v>
          </cell>
          <cell r="T19">
            <v>0.65666666666666662</v>
          </cell>
          <cell r="U19" t="str">
            <v>X</v>
          </cell>
          <cell r="V19">
            <v>0.33333333333333331</v>
          </cell>
          <cell r="W19">
            <v>14</v>
          </cell>
          <cell r="X19">
            <v>14.52</v>
          </cell>
          <cell r="Y19">
            <v>0.41666666666666669</v>
          </cell>
          <cell r="Z19">
            <v>68.319999999999993</v>
          </cell>
          <cell r="AA19">
            <v>70.010000000000005</v>
          </cell>
          <cell r="AF19" t="str">
            <v>X</v>
          </cell>
          <cell r="AG19" t="str">
            <v>X</v>
          </cell>
          <cell r="AL19" t="str">
            <v>X</v>
          </cell>
          <cell r="AM19" t="str">
            <v>X</v>
          </cell>
          <cell r="AW19">
            <v>2</v>
          </cell>
          <cell r="AX19">
            <v>2</v>
          </cell>
          <cell r="AY19">
            <v>3</v>
          </cell>
          <cell r="AZ19">
            <v>3</v>
          </cell>
          <cell r="BB19">
            <v>44765</v>
          </cell>
          <cell r="BG19">
            <v>44764</v>
          </cell>
        </row>
        <row r="20">
          <cell r="A20">
            <v>433</v>
          </cell>
          <cell r="B20">
            <v>45</v>
          </cell>
          <cell r="C20" t="str">
            <v>PN-201 / PN-203 / PN-205</v>
          </cell>
          <cell r="D20">
            <v>7.5</v>
          </cell>
          <cell r="E20">
            <v>40</v>
          </cell>
          <cell r="F20">
            <v>24</v>
          </cell>
          <cell r="G20">
            <v>40</v>
          </cell>
          <cell r="H20">
            <v>0</v>
          </cell>
          <cell r="I20" t="str">
            <v>-</v>
          </cell>
          <cell r="J20" t="str">
            <v>650/650</v>
          </cell>
          <cell r="K20" t="str">
            <v xml:space="preserve">CPIII 40 RS </v>
          </cell>
          <cell r="L20" t="str">
            <v>CP V</v>
          </cell>
          <cell r="M20" t="str">
            <v>SUPER PLASTIFICANTE</v>
          </cell>
          <cell r="N20" t="str">
            <v>ETE - CLAR. SECUNDARIO</v>
          </cell>
          <cell r="O20" t="str">
            <v>FORTANKS</v>
          </cell>
          <cell r="P20">
            <v>495</v>
          </cell>
          <cell r="Q20" t="str">
            <v>Leandro</v>
          </cell>
          <cell r="R20">
            <v>44767</v>
          </cell>
          <cell r="S20">
            <v>0.375</v>
          </cell>
          <cell r="T20">
            <v>0.36499999999999999</v>
          </cell>
          <cell r="U20" t="str">
            <v>X</v>
          </cell>
          <cell r="V20">
            <v>0.34722222222222227</v>
          </cell>
          <cell r="W20">
            <v>32.1</v>
          </cell>
          <cell r="X20">
            <v>29.32</v>
          </cell>
          <cell r="Y20">
            <v>0.41666666666666669</v>
          </cell>
          <cell r="Z20">
            <v>78.209999999999994</v>
          </cell>
          <cell r="AA20">
            <v>76.25</v>
          </cell>
          <cell r="AB20" t="str">
            <v>X</v>
          </cell>
          <cell r="AC20" t="str">
            <v>X</v>
          </cell>
          <cell r="AL20" t="str">
            <v>X</v>
          </cell>
          <cell r="AM20" t="str">
            <v>X</v>
          </cell>
          <cell r="AW20">
            <v>1</v>
          </cell>
          <cell r="AX20">
            <v>1</v>
          </cell>
          <cell r="AY20">
            <v>3</v>
          </cell>
          <cell r="AZ20">
            <v>3</v>
          </cell>
          <cell r="BB20">
            <v>44768</v>
          </cell>
          <cell r="BG20">
            <v>44767</v>
          </cell>
        </row>
        <row r="21">
          <cell r="A21" t="str">
            <v>434-A</v>
          </cell>
          <cell r="B21">
            <v>46</v>
          </cell>
          <cell r="C21" t="str">
            <v>LE-15 / LE-17/LE-01</v>
          </cell>
          <cell r="D21">
            <v>5.5</v>
          </cell>
          <cell r="E21">
            <v>40</v>
          </cell>
          <cell r="F21">
            <v>10</v>
          </cell>
          <cell r="G21">
            <v>40</v>
          </cell>
          <cell r="H21">
            <v>0</v>
          </cell>
          <cell r="I21" t="str">
            <v>-</v>
          </cell>
          <cell r="J21" t="str">
            <v>660/660</v>
          </cell>
          <cell r="K21" t="str">
            <v xml:space="preserve">CPIII 40 RS </v>
          </cell>
          <cell r="L21" t="str">
            <v>CP V</v>
          </cell>
          <cell r="M21" t="str">
            <v>SUPER PLASTIFICANTE</v>
          </cell>
          <cell r="N21" t="str">
            <v>TANQUE DE 1000M³ - COTA 92</v>
          </cell>
          <cell r="O21" t="str">
            <v>FORTANKS</v>
          </cell>
          <cell r="P21">
            <v>512</v>
          </cell>
          <cell r="Q21" t="str">
            <v>Leandro</v>
          </cell>
          <cell r="R21">
            <v>44767</v>
          </cell>
          <cell r="S21">
            <v>0.59027777777777779</v>
          </cell>
          <cell r="T21">
            <v>0.58027777777777778</v>
          </cell>
          <cell r="U21" t="str">
            <v>X</v>
          </cell>
          <cell r="V21">
            <v>3.3541666666666665</v>
          </cell>
          <cell r="W21">
            <v>37.57</v>
          </cell>
          <cell r="X21">
            <v>38.79</v>
          </cell>
          <cell r="Y21">
            <v>0.41666666666666669</v>
          </cell>
          <cell r="Z21">
            <v>82.32</v>
          </cell>
          <cell r="AA21">
            <v>84.69</v>
          </cell>
          <cell r="AF21" t="str">
            <v>X</v>
          </cell>
          <cell r="AK21" t="str">
            <v>X</v>
          </cell>
          <cell r="AL21" t="str">
            <v>X</v>
          </cell>
          <cell r="AM21" t="str">
            <v>X</v>
          </cell>
          <cell r="AW21">
            <v>2</v>
          </cell>
          <cell r="AX21">
            <v>3</v>
          </cell>
          <cell r="AY21">
            <v>3</v>
          </cell>
          <cell r="AZ21">
            <v>3</v>
          </cell>
          <cell r="BB21">
            <v>44768</v>
          </cell>
          <cell r="BG21">
            <v>44767</v>
          </cell>
        </row>
        <row r="22">
          <cell r="A22">
            <v>434</v>
          </cell>
          <cell r="B22">
            <v>46</v>
          </cell>
          <cell r="C22" t="str">
            <v>CANALETAS -PN-201 / PN-203 / PN-205</v>
          </cell>
          <cell r="D22">
            <v>5.5</v>
          </cell>
          <cell r="E22">
            <v>40</v>
          </cell>
          <cell r="F22">
            <v>10</v>
          </cell>
          <cell r="G22">
            <v>40</v>
          </cell>
          <cell r="H22">
            <v>0</v>
          </cell>
          <cell r="I22" t="str">
            <v>-</v>
          </cell>
          <cell r="J22" t="str">
            <v>660/660</v>
          </cell>
          <cell r="K22" t="str">
            <v xml:space="preserve">CPIII 40 RS </v>
          </cell>
          <cell r="L22" t="str">
            <v>CP V</v>
          </cell>
          <cell r="M22" t="str">
            <v>SUPER PLASTIFICANTE</v>
          </cell>
          <cell r="N22" t="str">
            <v>ETE - CLAR. SECUNDARIO</v>
          </cell>
          <cell r="O22" t="str">
            <v>FORTANKS</v>
          </cell>
          <cell r="P22">
            <v>512</v>
          </cell>
          <cell r="Q22" t="str">
            <v>Leandro</v>
          </cell>
          <cell r="R22">
            <v>44767</v>
          </cell>
          <cell r="S22">
            <v>0.59027777777777779</v>
          </cell>
          <cell r="T22">
            <v>0.58027777777777778</v>
          </cell>
          <cell r="U22" t="str">
            <v>X</v>
          </cell>
          <cell r="V22">
            <v>3.3541666666666665</v>
          </cell>
          <cell r="W22">
            <v>37.57</v>
          </cell>
          <cell r="X22">
            <v>38.79</v>
          </cell>
          <cell r="Y22">
            <v>0.41666666666666669</v>
          </cell>
          <cell r="Z22">
            <v>82.32</v>
          </cell>
          <cell r="AA22">
            <v>84.69</v>
          </cell>
          <cell r="AF22" t="str">
            <v>X</v>
          </cell>
          <cell r="AK22" t="str">
            <v>X</v>
          </cell>
          <cell r="AL22" t="str">
            <v>X</v>
          </cell>
          <cell r="AM22" t="str">
            <v>X</v>
          </cell>
          <cell r="AW22">
            <v>2</v>
          </cell>
          <cell r="AX22">
            <v>3</v>
          </cell>
          <cell r="AY22">
            <v>3</v>
          </cell>
          <cell r="AZ22">
            <v>3</v>
          </cell>
          <cell r="BB22">
            <v>44768</v>
          </cell>
          <cell r="BG22">
            <v>44767</v>
          </cell>
        </row>
        <row r="23">
          <cell r="A23">
            <v>435</v>
          </cell>
          <cell r="B23">
            <v>47</v>
          </cell>
          <cell r="C23" t="str">
            <v>PN-206 / PN-207 / PN-209 / PN-210 (30%)</v>
          </cell>
          <cell r="D23">
            <v>8</v>
          </cell>
          <cell r="E23">
            <v>40</v>
          </cell>
          <cell r="F23">
            <v>24</v>
          </cell>
          <cell r="G23">
            <v>40</v>
          </cell>
          <cell r="H23">
            <v>0</v>
          </cell>
          <cell r="I23" t="str">
            <v>-</v>
          </cell>
          <cell r="J23" t="str">
            <v>650/670</v>
          </cell>
          <cell r="K23" t="str">
            <v xml:space="preserve">CPIII 40 RS </v>
          </cell>
          <cell r="L23" t="str">
            <v>CP V</v>
          </cell>
          <cell r="M23" t="str">
            <v>SUPER PLASTIFICANTE</v>
          </cell>
          <cell r="N23" t="str">
            <v>ETE - CLAR. SECUNDARIO</v>
          </cell>
          <cell r="O23" t="str">
            <v>FORTANKS</v>
          </cell>
          <cell r="P23">
            <v>512</v>
          </cell>
          <cell r="Q23" t="str">
            <v>Leandro</v>
          </cell>
          <cell r="R23">
            <v>44770</v>
          </cell>
          <cell r="S23">
            <v>0.375</v>
          </cell>
          <cell r="T23">
            <v>0.36499999999999999</v>
          </cell>
          <cell r="U23" t="str">
            <v>X</v>
          </cell>
          <cell r="V23">
            <v>0.35416666666666669</v>
          </cell>
          <cell r="W23">
            <v>37.57</v>
          </cell>
          <cell r="X23">
            <v>38.79</v>
          </cell>
          <cell r="Y23">
            <v>0.41666666666666669</v>
          </cell>
          <cell r="Z23">
            <v>82.32</v>
          </cell>
          <cell r="AA23">
            <v>84.69</v>
          </cell>
          <cell r="AF23" t="str">
            <v>X</v>
          </cell>
          <cell r="AK23" t="str">
            <v>X</v>
          </cell>
          <cell r="AL23" t="str">
            <v>X</v>
          </cell>
          <cell r="AM23" t="str">
            <v>X</v>
          </cell>
          <cell r="AW23">
            <v>2</v>
          </cell>
          <cell r="AX23">
            <v>3</v>
          </cell>
          <cell r="AY23">
            <v>3</v>
          </cell>
          <cell r="AZ23">
            <v>3</v>
          </cell>
          <cell r="BB23">
            <v>44771</v>
          </cell>
          <cell r="BG23">
            <v>44770</v>
          </cell>
        </row>
        <row r="24">
          <cell r="A24">
            <v>436</v>
          </cell>
          <cell r="B24">
            <v>48</v>
          </cell>
          <cell r="C24" t="str">
            <v>PN-210(60%) / PN-211 / PN-212/ PN-202(60%)</v>
          </cell>
          <cell r="D24">
            <v>8</v>
          </cell>
          <cell r="E24">
            <v>40</v>
          </cell>
          <cell r="F24">
            <v>24</v>
          </cell>
          <cell r="G24">
            <v>40</v>
          </cell>
          <cell r="H24">
            <v>0</v>
          </cell>
          <cell r="I24" t="str">
            <v>-</v>
          </cell>
          <cell r="J24" t="str">
            <v>650/670</v>
          </cell>
          <cell r="K24" t="str">
            <v xml:space="preserve">CPIII 40 RS </v>
          </cell>
          <cell r="L24" t="str">
            <v>CP V</v>
          </cell>
          <cell r="M24" t="str">
            <v>SUPER PLASTIFICANTE</v>
          </cell>
          <cell r="N24" t="str">
            <v>ETE - CLAR. SECUNDARIO</v>
          </cell>
          <cell r="O24" t="str">
            <v>FORTANKS</v>
          </cell>
          <cell r="P24">
            <v>495</v>
          </cell>
          <cell r="Q24" t="str">
            <v>Leandro</v>
          </cell>
          <cell r="R24">
            <v>44770</v>
          </cell>
          <cell r="S24">
            <v>0.3888888888888889</v>
          </cell>
          <cell r="T24">
            <v>0.37888888888888889</v>
          </cell>
          <cell r="U24" t="str">
            <v>X</v>
          </cell>
          <cell r="V24">
            <v>0.34375</v>
          </cell>
          <cell r="W24">
            <v>31.02</v>
          </cell>
          <cell r="X24">
            <v>29.77</v>
          </cell>
          <cell r="Y24">
            <v>0.41666666666666669</v>
          </cell>
          <cell r="Z24">
            <v>80.209999999999994</v>
          </cell>
          <cell r="AA24">
            <v>84.33</v>
          </cell>
          <cell r="AF24" t="str">
            <v>X</v>
          </cell>
          <cell r="AG24" t="str">
            <v>X</v>
          </cell>
          <cell r="AL24" t="str">
            <v>X</v>
          </cell>
          <cell r="AU24" t="str">
            <v>X</v>
          </cell>
          <cell r="AW24">
            <v>2</v>
          </cell>
          <cell r="AX24">
            <v>2</v>
          </cell>
          <cell r="AY24">
            <v>3</v>
          </cell>
          <cell r="AZ24">
            <v>5</v>
          </cell>
          <cell r="BB24">
            <v>44771</v>
          </cell>
          <cell r="BG24">
            <v>44770</v>
          </cell>
        </row>
        <row r="25">
          <cell r="A25">
            <v>437</v>
          </cell>
          <cell r="B25">
            <v>49</v>
          </cell>
          <cell r="C25" t="str">
            <v>PNI-202(40%) / PNI-208 / PN-213 / PNF-49</v>
          </cell>
          <cell r="D25">
            <v>8</v>
          </cell>
          <cell r="E25">
            <v>40</v>
          </cell>
          <cell r="F25">
            <v>24</v>
          </cell>
          <cell r="G25">
            <v>40</v>
          </cell>
          <cell r="H25">
            <v>0</v>
          </cell>
          <cell r="I25" t="str">
            <v>-</v>
          </cell>
          <cell r="J25" t="str">
            <v>650/670</v>
          </cell>
          <cell r="K25" t="str">
            <v xml:space="preserve">CPIII 40 RS </v>
          </cell>
          <cell r="L25" t="str">
            <v>CP V</v>
          </cell>
          <cell r="M25" t="str">
            <v>SUPER PLASTIFICANTE</v>
          </cell>
          <cell r="N25" t="str">
            <v>ETE - CLAR. SECUNDARIO</v>
          </cell>
          <cell r="O25" t="str">
            <v>FORTANKS</v>
          </cell>
          <cell r="P25">
            <v>512</v>
          </cell>
          <cell r="Q25" t="str">
            <v>Leandro</v>
          </cell>
          <cell r="R25">
            <v>44770</v>
          </cell>
          <cell r="S25">
            <v>0.4236111111111111</v>
          </cell>
          <cell r="T25">
            <v>0.4136111111111111</v>
          </cell>
          <cell r="U25" t="str">
            <v>X</v>
          </cell>
          <cell r="V25">
            <v>0.35416666666666669</v>
          </cell>
          <cell r="W25">
            <v>29.16</v>
          </cell>
          <cell r="X25">
            <v>28.56</v>
          </cell>
          <cell r="Y25">
            <v>0.41666666666666669</v>
          </cell>
          <cell r="Z25">
            <v>78.23</v>
          </cell>
          <cell r="AA25">
            <v>79.52</v>
          </cell>
          <cell r="AB25" t="str">
            <v>X</v>
          </cell>
          <cell r="AC25" t="str">
            <v>X</v>
          </cell>
          <cell r="AL25" t="str">
            <v>X</v>
          </cell>
          <cell r="AM25" t="str">
            <v>X</v>
          </cell>
          <cell r="AW25">
            <v>1</v>
          </cell>
          <cell r="AX25">
            <v>1</v>
          </cell>
          <cell r="AY25">
            <v>3</v>
          </cell>
          <cell r="AZ25">
            <v>3</v>
          </cell>
          <cell r="BB25">
            <v>44771</v>
          </cell>
          <cell r="BG25">
            <v>44770</v>
          </cell>
        </row>
        <row r="26">
          <cell r="A26">
            <v>438</v>
          </cell>
          <cell r="B26">
            <v>50</v>
          </cell>
          <cell r="C26" t="str">
            <v>CANALETAS - PN-206 / PN-207/ PN-209/ PN-210/ PN-211/ PN-212/ PNI-202/ PNI-208/ PN-213/PNF-49</v>
          </cell>
          <cell r="D26">
            <v>9</v>
          </cell>
          <cell r="E26">
            <v>40</v>
          </cell>
          <cell r="F26">
            <v>10</v>
          </cell>
          <cell r="G26">
            <v>40</v>
          </cell>
          <cell r="H26">
            <v>0</v>
          </cell>
          <cell r="I26" t="str">
            <v>-</v>
          </cell>
          <cell r="J26" t="str">
            <v>660/680</v>
          </cell>
          <cell r="K26" t="str">
            <v xml:space="preserve">CPIII 40 RS </v>
          </cell>
          <cell r="L26" t="str">
            <v>CP V</v>
          </cell>
          <cell r="M26" t="str">
            <v>SUPER PLASTIFICANTE</v>
          </cell>
          <cell r="N26" t="str">
            <v>ETE - CLAR. SECUNDARIO</v>
          </cell>
          <cell r="O26" t="str">
            <v>FORTANKS</v>
          </cell>
          <cell r="P26">
            <v>495</v>
          </cell>
          <cell r="Q26" t="str">
            <v>Leandro</v>
          </cell>
          <cell r="R26">
            <v>44770</v>
          </cell>
          <cell r="S26">
            <v>0.65972222222222221</v>
          </cell>
          <cell r="T26">
            <v>0.6497222222222222</v>
          </cell>
          <cell r="U26" t="str">
            <v>X</v>
          </cell>
          <cell r="V26">
            <v>0.35416666666666669</v>
          </cell>
          <cell r="W26">
            <v>16.850000000000001</v>
          </cell>
          <cell r="X26">
            <v>17.010000000000002</v>
          </cell>
          <cell r="Y26">
            <v>0.41666666666666669</v>
          </cell>
          <cell r="Z26">
            <v>69.98</v>
          </cell>
          <cell r="AA26">
            <v>65.23</v>
          </cell>
          <cell r="AC26" t="str">
            <v>X</v>
          </cell>
          <cell r="AF26" t="str">
            <v>X</v>
          </cell>
          <cell r="AL26" t="str">
            <v>X</v>
          </cell>
          <cell r="AM26" t="str">
            <v>X</v>
          </cell>
          <cell r="AW26">
            <v>2</v>
          </cell>
          <cell r="AX26">
            <v>1</v>
          </cell>
          <cell r="AY26">
            <v>3</v>
          </cell>
          <cell r="AZ26">
            <v>3</v>
          </cell>
          <cell r="BB26">
            <v>44771</v>
          </cell>
          <cell r="BG26">
            <v>44770</v>
          </cell>
        </row>
        <row r="27">
          <cell r="A27">
            <v>439</v>
          </cell>
          <cell r="B27">
            <v>51</v>
          </cell>
          <cell r="C27" t="str">
            <v>PN-215/ PN-216 / PN-217/ PN-218 (40%)</v>
          </cell>
          <cell r="D27">
            <v>8</v>
          </cell>
          <cell r="E27">
            <v>40</v>
          </cell>
          <cell r="F27">
            <v>24</v>
          </cell>
          <cell r="G27">
            <v>40</v>
          </cell>
          <cell r="H27">
            <v>0</v>
          </cell>
          <cell r="I27" t="str">
            <v>-</v>
          </cell>
          <cell r="J27" t="str">
            <v>650/660</v>
          </cell>
          <cell r="K27" t="str">
            <v xml:space="preserve">CPIII 40 RS </v>
          </cell>
          <cell r="L27" t="str">
            <v>CP V</v>
          </cell>
          <cell r="M27" t="str">
            <v>SUPER PLASTIFICANTE</v>
          </cell>
          <cell r="N27" t="str">
            <v>ETE - CLAR. SECUNDARIO</v>
          </cell>
          <cell r="O27" t="str">
            <v>FORTANKS</v>
          </cell>
          <cell r="P27">
            <v>495</v>
          </cell>
          <cell r="Q27" t="str">
            <v>Leandro</v>
          </cell>
          <cell r="R27">
            <v>44774</v>
          </cell>
          <cell r="S27">
            <v>0.3888888888888889</v>
          </cell>
          <cell r="T27">
            <v>0.37888888888888889</v>
          </cell>
          <cell r="U27" t="str">
            <v>X</v>
          </cell>
          <cell r="V27">
            <v>0.36458333333333331</v>
          </cell>
          <cell r="W27">
            <v>33.32</v>
          </cell>
          <cell r="X27">
            <v>34.01</v>
          </cell>
          <cell r="Y27">
            <v>0.41666666666666669</v>
          </cell>
          <cell r="Z27">
            <v>79.25</v>
          </cell>
          <cell r="AA27">
            <v>80.650000000000006</v>
          </cell>
          <cell r="AB27" t="str">
            <v>X</v>
          </cell>
          <cell r="AG27" t="str">
            <v>X</v>
          </cell>
          <cell r="AL27" t="str">
            <v>X</v>
          </cell>
          <cell r="AM27" t="str">
            <v>X</v>
          </cell>
          <cell r="AW27">
            <v>1</v>
          </cell>
          <cell r="AX27">
            <v>2</v>
          </cell>
          <cell r="AY27">
            <v>3</v>
          </cell>
          <cell r="AZ27">
            <v>3</v>
          </cell>
          <cell r="BB27">
            <v>44775</v>
          </cell>
          <cell r="BG27">
            <v>44774</v>
          </cell>
        </row>
        <row r="28">
          <cell r="A28">
            <v>440</v>
          </cell>
          <cell r="B28">
            <v>52</v>
          </cell>
          <cell r="C28" t="str">
            <v>PN-218(60%) / PN-219/ PN-221/ PN-222(80%)</v>
          </cell>
          <cell r="D28">
            <v>8</v>
          </cell>
          <cell r="E28">
            <v>40</v>
          </cell>
          <cell r="F28">
            <v>24</v>
          </cell>
          <cell r="G28">
            <v>40</v>
          </cell>
          <cell r="H28">
            <v>0</v>
          </cell>
          <cell r="I28" t="str">
            <v>-</v>
          </cell>
          <cell r="J28" t="str">
            <v>660/660</v>
          </cell>
          <cell r="K28" t="str">
            <v xml:space="preserve">CPIII 40 RS </v>
          </cell>
          <cell r="L28" t="str">
            <v>CP V</v>
          </cell>
          <cell r="M28" t="str">
            <v>SUPER PLASTIFICANTE</v>
          </cell>
          <cell r="N28" t="str">
            <v>ETE - CLAR. SECUNDARIO</v>
          </cell>
          <cell r="O28" t="str">
            <v>FORTANKS</v>
          </cell>
          <cell r="P28">
            <v>512</v>
          </cell>
          <cell r="Q28" t="str">
            <v>Leandro</v>
          </cell>
          <cell r="R28">
            <v>44774</v>
          </cell>
          <cell r="S28">
            <v>0.39583333333333331</v>
          </cell>
          <cell r="T28">
            <v>0.38583333333333331</v>
          </cell>
          <cell r="U28" t="str">
            <v>X</v>
          </cell>
          <cell r="V28">
            <v>0.34930555555555554</v>
          </cell>
          <cell r="W28">
            <v>32.72</v>
          </cell>
          <cell r="X28">
            <v>33.659999999999997</v>
          </cell>
          <cell r="Y28">
            <v>0.41666666666666669</v>
          </cell>
          <cell r="Z28">
            <v>80.010000000000005</v>
          </cell>
          <cell r="AA28">
            <v>82.23</v>
          </cell>
          <cell r="AE28" t="str">
            <v>X</v>
          </cell>
          <cell r="AH28" t="str">
            <v>X</v>
          </cell>
          <cell r="AJ28" t="str">
            <v>X</v>
          </cell>
          <cell r="AK28" t="str">
            <v>X</v>
          </cell>
          <cell r="AW28">
            <v>3</v>
          </cell>
          <cell r="AX28">
            <v>3</v>
          </cell>
          <cell r="AY28">
            <v>2</v>
          </cell>
          <cell r="AZ28">
            <v>1</v>
          </cell>
          <cell r="BB28">
            <v>44775</v>
          </cell>
          <cell r="BG28">
            <v>44774</v>
          </cell>
        </row>
        <row r="29">
          <cell r="A29">
            <v>441</v>
          </cell>
          <cell r="B29">
            <v>53</v>
          </cell>
          <cell r="C29" t="str">
            <v>PN-222(20%) / PN-223 / PN-224/ PN-141</v>
          </cell>
          <cell r="D29">
            <v>8</v>
          </cell>
          <cell r="E29">
            <v>40</v>
          </cell>
          <cell r="F29">
            <v>24</v>
          </cell>
          <cell r="G29">
            <v>40</v>
          </cell>
          <cell r="H29">
            <v>0</v>
          </cell>
          <cell r="I29" t="str">
            <v>-</v>
          </cell>
          <cell r="J29" t="str">
            <v>650/650</v>
          </cell>
          <cell r="K29" t="str">
            <v xml:space="preserve">CPIII 40 RS </v>
          </cell>
          <cell r="L29" t="str">
            <v>CP V</v>
          </cell>
          <cell r="M29" t="str">
            <v>SUPER PLASTIFICANTE</v>
          </cell>
          <cell r="N29" t="str">
            <v>ETE - CLAR. SECUNDARIO</v>
          </cell>
          <cell r="O29" t="str">
            <v>FORTANKS</v>
          </cell>
          <cell r="P29">
            <v>495</v>
          </cell>
          <cell r="Q29" t="str">
            <v>Leandro</v>
          </cell>
          <cell r="R29">
            <v>44774</v>
          </cell>
          <cell r="S29">
            <v>0.4236111111111111</v>
          </cell>
          <cell r="T29">
            <v>0.4136111111111111</v>
          </cell>
          <cell r="U29" t="str">
            <v>X</v>
          </cell>
          <cell r="V29">
            <v>0.375</v>
          </cell>
          <cell r="W29">
            <v>26.31</v>
          </cell>
          <cell r="X29">
            <v>27.77</v>
          </cell>
          <cell r="Y29">
            <v>0.41666666666666669</v>
          </cell>
          <cell r="Z29">
            <v>78.23</v>
          </cell>
          <cell r="AA29">
            <v>80.989999999999995</v>
          </cell>
          <cell r="AN29" t="str">
            <v>X</v>
          </cell>
          <cell r="AO29" t="str">
            <v>X</v>
          </cell>
          <cell r="AP29" t="str">
            <v>X</v>
          </cell>
          <cell r="AQ29" t="str">
            <v>X</v>
          </cell>
          <cell r="AW29">
            <v>4</v>
          </cell>
          <cell r="AX29">
            <v>4</v>
          </cell>
          <cell r="AY29">
            <v>4</v>
          </cell>
          <cell r="AZ29">
            <v>4</v>
          </cell>
          <cell r="BB29">
            <v>44775</v>
          </cell>
          <cell r="BG29">
            <v>44774</v>
          </cell>
        </row>
        <row r="30">
          <cell r="A30">
            <v>442</v>
          </cell>
          <cell r="B30">
            <v>54</v>
          </cell>
          <cell r="C30" t="str">
            <v>CANALETAS - PN-215/ PN216/ PN-217/ PN-218/ PN-219/ PN-221/ PN-222/ PN-223/ PN-224</v>
          </cell>
          <cell r="D30">
            <v>8.5</v>
          </cell>
          <cell r="E30">
            <v>40</v>
          </cell>
          <cell r="F30">
            <v>10</v>
          </cell>
          <cell r="G30">
            <v>40</v>
          </cell>
          <cell r="H30">
            <v>0</v>
          </cell>
          <cell r="I30" t="str">
            <v>-</v>
          </cell>
          <cell r="J30" t="str">
            <v>670/670</v>
          </cell>
          <cell r="K30" t="str">
            <v xml:space="preserve">CPIII 40 RS </v>
          </cell>
          <cell r="L30" t="str">
            <v>CP V</v>
          </cell>
          <cell r="M30" t="str">
            <v>SUPER PLASTIFICANTE</v>
          </cell>
          <cell r="N30" t="str">
            <v>ETE - CLAR. SECUNDARIO</v>
          </cell>
          <cell r="O30" t="str">
            <v>FORTANKS</v>
          </cell>
          <cell r="P30">
            <v>512</v>
          </cell>
          <cell r="Q30" t="str">
            <v>Leandro</v>
          </cell>
          <cell r="R30">
            <v>44774</v>
          </cell>
          <cell r="S30">
            <v>0.65972222222222221</v>
          </cell>
          <cell r="T30">
            <v>0.6497222222222222</v>
          </cell>
          <cell r="U30" t="str">
            <v>X</v>
          </cell>
          <cell r="V30">
            <v>0.36458333333333331</v>
          </cell>
          <cell r="W30">
            <v>11.59</v>
          </cell>
          <cell r="Y30">
            <v>0.41666666666666669</v>
          </cell>
          <cell r="Z30">
            <v>79.23</v>
          </cell>
          <cell r="AA30">
            <v>80.25</v>
          </cell>
          <cell r="AF30" t="str">
            <v>X</v>
          </cell>
          <cell r="AL30" t="str">
            <v>X</v>
          </cell>
          <cell r="AM30" t="str">
            <v>X</v>
          </cell>
          <cell r="AW30">
            <v>2</v>
          </cell>
          <cell r="AX30">
            <v>0</v>
          </cell>
          <cell r="AY30">
            <v>3</v>
          </cell>
          <cell r="AZ30">
            <v>3</v>
          </cell>
          <cell r="BB30">
            <v>44775</v>
          </cell>
          <cell r="BG30">
            <v>44774</v>
          </cell>
        </row>
        <row r="31">
          <cell r="A31">
            <v>443</v>
          </cell>
          <cell r="B31">
            <v>55</v>
          </cell>
          <cell r="C31" t="str">
            <v>PN-225 / PN-227/ PN-228 / PN-229 (40%)</v>
          </cell>
          <cell r="D31">
            <v>8</v>
          </cell>
          <cell r="E31">
            <v>40</v>
          </cell>
          <cell r="F31">
            <v>24</v>
          </cell>
          <cell r="G31">
            <v>40</v>
          </cell>
          <cell r="H31">
            <v>0</v>
          </cell>
          <cell r="I31" t="str">
            <v>-</v>
          </cell>
          <cell r="J31" t="str">
            <v>670/670</v>
          </cell>
          <cell r="K31" t="str">
            <v xml:space="preserve">CPIII 40 RS </v>
          </cell>
          <cell r="L31" t="str">
            <v>CP V</v>
          </cell>
          <cell r="M31" t="str">
            <v>SUPER PLASTIFICANTE</v>
          </cell>
          <cell r="N31" t="str">
            <v>ETE - CLAR. SECUNDARIO</v>
          </cell>
          <cell r="O31" t="str">
            <v>FORTANKS</v>
          </cell>
          <cell r="P31">
            <v>512</v>
          </cell>
          <cell r="Q31" t="str">
            <v>Gean</v>
          </cell>
          <cell r="R31">
            <v>44777</v>
          </cell>
          <cell r="S31">
            <v>0.375</v>
          </cell>
          <cell r="T31">
            <v>0.36499999999999999</v>
          </cell>
          <cell r="U31" t="str">
            <v>X</v>
          </cell>
          <cell r="V31">
            <v>0.33333333333333331</v>
          </cell>
          <cell r="W31">
            <v>34.42</v>
          </cell>
          <cell r="X31">
            <v>32.159999999999997</v>
          </cell>
          <cell r="Y31">
            <v>0.41666666666666669</v>
          </cell>
          <cell r="Z31">
            <v>81.03</v>
          </cell>
          <cell r="AA31">
            <v>82.91</v>
          </cell>
          <cell r="AF31" t="str">
            <v>X</v>
          </cell>
          <cell r="AG31" t="str">
            <v>X</v>
          </cell>
          <cell r="AL31" t="str">
            <v>X</v>
          </cell>
          <cell r="AM31" t="str">
            <v>X</v>
          </cell>
          <cell r="AW31">
            <v>2</v>
          </cell>
          <cell r="AX31">
            <v>2</v>
          </cell>
          <cell r="AY31">
            <v>3</v>
          </cell>
          <cell r="AZ31">
            <v>3</v>
          </cell>
          <cell r="BB31">
            <v>44778</v>
          </cell>
          <cell r="BG31">
            <v>44777</v>
          </cell>
        </row>
        <row r="32">
          <cell r="A32">
            <v>444</v>
          </cell>
          <cell r="B32">
            <v>56</v>
          </cell>
          <cell r="C32" t="str">
            <v>PN-229(60%)/ PNI-238/ PNI-220/PNI-214/ PNI-220 (20%)</v>
          </cell>
          <cell r="D32">
            <v>8</v>
          </cell>
          <cell r="E32">
            <v>40</v>
          </cell>
          <cell r="F32">
            <v>24</v>
          </cell>
          <cell r="G32">
            <v>40</v>
          </cell>
          <cell r="H32">
            <v>0</v>
          </cell>
          <cell r="I32" t="str">
            <v>-</v>
          </cell>
          <cell r="J32" t="str">
            <v>670/670</v>
          </cell>
          <cell r="K32" t="str">
            <v xml:space="preserve">CPIII 40 RS </v>
          </cell>
          <cell r="L32" t="str">
            <v>CP V</v>
          </cell>
          <cell r="M32" t="str">
            <v>SUPER PLASTIFICANTE</v>
          </cell>
          <cell r="N32" t="str">
            <v>ETE - CLAR. SECUNDARIO</v>
          </cell>
          <cell r="O32" t="str">
            <v>FORTANKS</v>
          </cell>
          <cell r="P32">
            <v>495</v>
          </cell>
          <cell r="Q32" t="str">
            <v>Gean</v>
          </cell>
          <cell r="R32">
            <v>44777</v>
          </cell>
          <cell r="S32">
            <v>0.40972222222222227</v>
          </cell>
          <cell r="T32">
            <v>0.39972222222222226</v>
          </cell>
          <cell r="U32" t="str">
            <v>X</v>
          </cell>
          <cell r="V32">
            <v>0.33333333333333331</v>
          </cell>
          <cell r="W32">
            <v>30.52</v>
          </cell>
          <cell r="X32">
            <v>32.78</v>
          </cell>
          <cell r="Y32">
            <v>0.41666666666666669</v>
          </cell>
          <cell r="Z32">
            <v>86.39</v>
          </cell>
          <cell r="AA32">
            <v>85.32</v>
          </cell>
          <cell r="AB32" t="str">
            <v>X</v>
          </cell>
          <cell r="AC32" t="str">
            <v>X</v>
          </cell>
          <cell r="AI32" t="str">
            <v>X</v>
          </cell>
          <cell r="AL32" t="str">
            <v>X</v>
          </cell>
          <cell r="AW32">
            <v>1</v>
          </cell>
          <cell r="AX32">
            <v>1</v>
          </cell>
          <cell r="AY32">
            <v>3</v>
          </cell>
          <cell r="AZ32">
            <v>2</v>
          </cell>
          <cell r="BB32">
            <v>44778</v>
          </cell>
          <cell r="BG32">
            <v>44777</v>
          </cell>
        </row>
        <row r="33">
          <cell r="A33">
            <v>445</v>
          </cell>
          <cell r="B33">
            <v>57</v>
          </cell>
          <cell r="C33" t="str">
            <v>PNI-220(80%)/ PNI-226/ PNI-232/ PNF-258</v>
          </cell>
          <cell r="D33">
            <v>7.5</v>
          </cell>
          <cell r="E33">
            <v>40</v>
          </cell>
          <cell r="F33">
            <v>24</v>
          </cell>
          <cell r="G33">
            <v>40</v>
          </cell>
          <cell r="H33">
            <v>0</v>
          </cell>
          <cell r="I33" t="str">
            <v>-</v>
          </cell>
          <cell r="J33" t="str">
            <v>660/660</v>
          </cell>
          <cell r="K33" t="str">
            <v xml:space="preserve">CPIII 40 RS </v>
          </cell>
          <cell r="L33" t="str">
            <v>CP V</v>
          </cell>
          <cell r="M33" t="str">
            <v>SUPER PLASTIFICANTE</v>
          </cell>
          <cell r="N33" t="str">
            <v>ETE - CLAR. SECUNDARIO</v>
          </cell>
          <cell r="O33" t="str">
            <v>FORTANKS</v>
          </cell>
          <cell r="P33">
            <v>512</v>
          </cell>
          <cell r="Q33" t="str">
            <v>Gean</v>
          </cell>
          <cell r="R33">
            <v>44777</v>
          </cell>
          <cell r="S33">
            <v>0.43402777777777773</v>
          </cell>
          <cell r="T33">
            <v>0.42402777777777773</v>
          </cell>
          <cell r="U33" t="str">
            <v>X</v>
          </cell>
          <cell r="V33">
            <v>0.33333333333333331</v>
          </cell>
          <cell r="W33">
            <v>32.42</v>
          </cell>
          <cell r="X33">
            <v>31.02</v>
          </cell>
          <cell r="Y33">
            <v>0.41666666666666669</v>
          </cell>
          <cell r="Z33">
            <v>85.62</v>
          </cell>
          <cell r="AA33">
            <v>87.31</v>
          </cell>
          <cell r="AH33" t="str">
            <v>X</v>
          </cell>
          <cell r="AI33" t="str">
            <v>X</v>
          </cell>
          <cell r="AJ33" t="str">
            <v>X</v>
          </cell>
          <cell r="AK33" t="str">
            <v>X</v>
          </cell>
          <cell r="AW33">
            <v>3</v>
          </cell>
          <cell r="AX33">
            <v>3</v>
          </cell>
          <cell r="AY33">
            <v>2</v>
          </cell>
          <cell r="AZ33">
            <v>2</v>
          </cell>
          <cell r="BB33">
            <v>44778</v>
          </cell>
          <cell r="BG33">
            <v>44777</v>
          </cell>
        </row>
        <row r="34">
          <cell r="A34">
            <v>446</v>
          </cell>
          <cell r="B34">
            <v>58</v>
          </cell>
          <cell r="C34" t="str">
            <v>CANALETAS - PN-225/ PN-227/ PN-228/ PN-229/ PNI-238/ PNI-214/ PNI-220/ PNI-226/ PNI-232</v>
          </cell>
          <cell r="D34">
            <v>8.5</v>
          </cell>
          <cell r="E34">
            <v>40</v>
          </cell>
          <cell r="F34">
            <v>10</v>
          </cell>
          <cell r="G34">
            <v>40</v>
          </cell>
          <cell r="H34">
            <v>0</v>
          </cell>
          <cell r="I34" t="str">
            <v>-</v>
          </cell>
          <cell r="J34" t="str">
            <v>680/680</v>
          </cell>
          <cell r="K34" t="str">
            <v xml:space="preserve">CPIII 40 RS </v>
          </cell>
          <cell r="L34" t="str">
            <v>CP V</v>
          </cell>
          <cell r="M34" t="str">
            <v>SUPER PLASTIFICANTE</v>
          </cell>
          <cell r="N34" t="str">
            <v>ETE - CLAR. SECUNDARIO</v>
          </cell>
          <cell r="O34" t="str">
            <v>FORTANKS</v>
          </cell>
          <cell r="P34">
            <v>512</v>
          </cell>
          <cell r="Q34" t="str">
            <v>Gean</v>
          </cell>
          <cell r="R34">
            <v>44777</v>
          </cell>
          <cell r="S34">
            <v>0.63888888888888895</v>
          </cell>
          <cell r="T34">
            <v>0.62888888888888894</v>
          </cell>
          <cell r="U34" t="str">
            <v>X</v>
          </cell>
          <cell r="V34">
            <v>0.33333333333333331</v>
          </cell>
          <cell r="W34">
            <v>10.050000000000001</v>
          </cell>
          <cell r="X34" t="str">
            <v>-</v>
          </cell>
          <cell r="Y34">
            <v>0.375</v>
          </cell>
          <cell r="Z34">
            <v>82.02</v>
          </cell>
          <cell r="AA34">
            <v>83</v>
          </cell>
          <cell r="AH34" t="str">
            <v>X</v>
          </cell>
          <cell r="AI34" t="str">
            <v>X</v>
          </cell>
          <cell r="AJ34" t="str">
            <v>X</v>
          </cell>
          <cell r="AW34">
            <v>3</v>
          </cell>
          <cell r="AX34">
            <v>0</v>
          </cell>
          <cell r="AY34">
            <v>2</v>
          </cell>
          <cell r="AZ34">
            <v>2</v>
          </cell>
          <cell r="BB34">
            <v>44778</v>
          </cell>
          <cell r="BG34">
            <v>44777</v>
          </cell>
        </row>
        <row r="35">
          <cell r="A35">
            <v>447</v>
          </cell>
          <cell r="B35">
            <v>59</v>
          </cell>
          <cell r="C35" t="str">
            <v>PN-230/ PN-231/ PN-233/ PN-234(50%)</v>
          </cell>
          <cell r="D35">
            <v>8</v>
          </cell>
          <cell r="E35">
            <v>40</v>
          </cell>
          <cell r="F35">
            <v>24</v>
          </cell>
          <cell r="G35">
            <v>40</v>
          </cell>
          <cell r="H35">
            <v>0</v>
          </cell>
          <cell r="I35" t="str">
            <v>-</v>
          </cell>
          <cell r="J35" t="str">
            <v>650/650</v>
          </cell>
          <cell r="K35" t="str">
            <v xml:space="preserve">CPIII 40 RS </v>
          </cell>
          <cell r="L35" t="str">
            <v>CP V</v>
          </cell>
          <cell r="M35" t="str">
            <v>SUPER PLASTIFICANTE</v>
          </cell>
          <cell r="N35" t="str">
            <v>ETE - CLAR. SECUNDARIO</v>
          </cell>
          <cell r="O35" t="str">
            <v>FORTANKS</v>
          </cell>
          <cell r="P35">
            <v>495</v>
          </cell>
          <cell r="Q35" t="str">
            <v>Gean</v>
          </cell>
          <cell r="R35">
            <v>44781</v>
          </cell>
          <cell r="S35">
            <v>0.43055555555555558</v>
          </cell>
          <cell r="T35">
            <v>0.42055555555555557</v>
          </cell>
          <cell r="U35" t="str">
            <v>X</v>
          </cell>
          <cell r="V35">
            <v>0.33333333333333331</v>
          </cell>
          <cell r="W35">
            <v>30.83</v>
          </cell>
          <cell r="X35">
            <v>31.93</v>
          </cell>
          <cell r="Y35">
            <v>0.41666666666666669</v>
          </cell>
          <cell r="Z35">
            <v>78.3</v>
          </cell>
          <cell r="AA35">
            <v>79.209999999999994</v>
          </cell>
          <cell r="AB35" t="str">
            <v>X</v>
          </cell>
          <cell r="AG35" t="str">
            <v>X</v>
          </cell>
          <cell r="AQ35" t="str">
            <v>X</v>
          </cell>
          <cell r="AT35" t="str">
            <v>X</v>
          </cell>
          <cell r="AW35">
            <v>1</v>
          </cell>
          <cell r="AX35">
            <v>2</v>
          </cell>
          <cell r="AY35">
            <v>5</v>
          </cell>
          <cell r="AZ35">
            <v>4</v>
          </cell>
          <cell r="BB35">
            <v>44782</v>
          </cell>
          <cell r="BG35">
            <v>44781</v>
          </cell>
        </row>
        <row r="36">
          <cell r="A36">
            <v>448</v>
          </cell>
          <cell r="B36">
            <v>60</v>
          </cell>
          <cell r="C36" t="str">
            <v>PN-234(50%) / PN-236 / PN-237/ PN-238/ PN-244</v>
          </cell>
          <cell r="D36">
            <v>8</v>
          </cell>
          <cell r="E36">
            <v>40</v>
          </cell>
          <cell r="F36">
            <v>24</v>
          </cell>
          <cell r="G36">
            <v>40</v>
          </cell>
          <cell r="H36">
            <v>0</v>
          </cell>
          <cell r="I36" t="str">
            <v>-</v>
          </cell>
          <cell r="J36" t="str">
            <v>660/660</v>
          </cell>
          <cell r="K36" t="str">
            <v xml:space="preserve">CPIII 40 RS </v>
          </cell>
          <cell r="L36" t="str">
            <v>CP V</v>
          </cell>
          <cell r="M36" t="str">
            <v>SUPER PLASTIFICANTE</v>
          </cell>
          <cell r="N36" t="str">
            <v>ETE - CLAR. SECUNDARIO</v>
          </cell>
          <cell r="O36" t="str">
            <v>FORTANKS</v>
          </cell>
          <cell r="P36">
            <v>512</v>
          </cell>
          <cell r="Q36" t="str">
            <v>Gean</v>
          </cell>
          <cell r="R36">
            <v>44781</v>
          </cell>
          <cell r="S36">
            <v>0.4375</v>
          </cell>
          <cell r="T36">
            <v>0.42749999999999999</v>
          </cell>
          <cell r="U36" t="str">
            <v>X</v>
          </cell>
          <cell r="V36">
            <v>0.34027777777777773</v>
          </cell>
          <cell r="W36">
            <v>29.72</v>
          </cell>
          <cell r="X36">
            <v>31.21</v>
          </cell>
          <cell r="Y36">
            <v>0.41666666666666669</v>
          </cell>
          <cell r="Z36">
            <v>80.319999999999993</v>
          </cell>
          <cell r="AA36">
            <v>81.56</v>
          </cell>
          <cell r="AF36" t="str">
            <v>X</v>
          </cell>
          <cell r="AJ36" t="str">
            <v>X</v>
          </cell>
          <cell r="AK36" t="str">
            <v>X</v>
          </cell>
          <cell r="AP36" t="str">
            <v>X</v>
          </cell>
          <cell r="AU36" t="str">
            <v>X</v>
          </cell>
          <cell r="AW36">
            <v>2</v>
          </cell>
          <cell r="AX36">
            <v>3</v>
          </cell>
          <cell r="AY36">
            <v>4</v>
          </cell>
          <cell r="AZ36">
            <v>5</v>
          </cell>
          <cell r="BB36">
            <v>44782</v>
          </cell>
          <cell r="BG36">
            <v>44781</v>
          </cell>
        </row>
        <row r="37">
          <cell r="A37">
            <v>449</v>
          </cell>
          <cell r="B37">
            <v>61</v>
          </cell>
          <cell r="C37" t="str">
            <v>PNI-250/ PNJ-91 / PNH-90</v>
          </cell>
          <cell r="D37">
            <v>8</v>
          </cell>
          <cell r="E37">
            <v>40</v>
          </cell>
          <cell r="F37">
            <v>24</v>
          </cell>
          <cell r="G37">
            <v>40</v>
          </cell>
          <cell r="H37">
            <v>0</v>
          </cell>
          <cell r="I37" t="str">
            <v>-</v>
          </cell>
          <cell r="J37" t="str">
            <v>680/680</v>
          </cell>
          <cell r="K37" t="str">
            <v xml:space="preserve">CPIII 40 RS </v>
          </cell>
          <cell r="L37" t="str">
            <v>CP V</v>
          </cell>
          <cell r="M37" t="str">
            <v>SUPER PLASTIFICANTE</v>
          </cell>
          <cell r="N37" t="str">
            <v>ETE - CLAR. SECUNDARIO</v>
          </cell>
          <cell r="O37" t="str">
            <v>FORTANKS</v>
          </cell>
          <cell r="P37">
            <v>495</v>
          </cell>
          <cell r="Q37" t="str">
            <v>Gean</v>
          </cell>
          <cell r="R37">
            <v>44781</v>
          </cell>
          <cell r="S37">
            <v>0.46527777777777773</v>
          </cell>
          <cell r="T37">
            <v>0.45527777777777773</v>
          </cell>
          <cell r="U37" t="str">
            <v>X</v>
          </cell>
          <cell r="V37">
            <v>0.34375</v>
          </cell>
          <cell r="W37">
            <v>29.12</v>
          </cell>
          <cell r="X37">
            <v>29.01</v>
          </cell>
          <cell r="Y37">
            <v>0.41666666666666669</v>
          </cell>
          <cell r="Z37">
            <v>91.45</v>
          </cell>
          <cell r="AA37">
            <v>92.46</v>
          </cell>
          <cell r="AE37" t="str">
            <v>X</v>
          </cell>
          <cell r="AG37" t="str">
            <v>X</v>
          </cell>
          <cell r="AJ37" t="str">
            <v>X</v>
          </cell>
          <cell r="AP37" t="str">
            <v>X</v>
          </cell>
          <cell r="AW37">
            <v>3</v>
          </cell>
          <cell r="AX37">
            <v>2</v>
          </cell>
          <cell r="AY37">
            <v>4</v>
          </cell>
          <cell r="AZ37">
            <v>1</v>
          </cell>
          <cell r="BB37">
            <v>44782</v>
          </cell>
          <cell r="BG37">
            <v>44781</v>
          </cell>
        </row>
        <row r="38">
          <cell r="A38">
            <v>450</v>
          </cell>
          <cell r="B38">
            <v>62</v>
          </cell>
          <cell r="C38" t="str">
            <v>CANALETAS - PN-230/ PN-231/ PN-233/ PN-234/ PN-236 / PN-237/ PN-238/ PNI-250/ PNJ-91 / PNH-90/ PN-244</v>
          </cell>
          <cell r="D38">
            <v>8.5</v>
          </cell>
          <cell r="E38">
            <v>40</v>
          </cell>
          <cell r="F38">
            <v>10</v>
          </cell>
          <cell r="G38">
            <v>40</v>
          </cell>
          <cell r="H38">
            <v>0</v>
          </cell>
          <cell r="I38" t="str">
            <v>-</v>
          </cell>
          <cell r="J38" t="str">
            <v>680/680</v>
          </cell>
          <cell r="K38" t="str">
            <v xml:space="preserve">CPIII 40 RS </v>
          </cell>
          <cell r="L38" t="str">
            <v>CP V</v>
          </cell>
          <cell r="M38" t="str">
            <v>SUPER PLASTIFICANTE</v>
          </cell>
          <cell r="N38" t="str">
            <v>ETE - CLAR. SECUNDARIO</v>
          </cell>
          <cell r="O38" t="str">
            <v>FORTANKS</v>
          </cell>
          <cell r="P38">
            <v>495</v>
          </cell>
          <cell r="Q38" t="str">
            <v>Gean</v>
          </cell>
          <cell r="R38">
            <v>44781</v>
          </cell>
          <cell r="S38">
            <v>0.65277777777777779</v>
          </cell>
          <cell r="T38">
            <v>0.64277777777777778</v>
          </cell>
          <cell r="U38" t="str">
            <v>X</v>
          </cell>
          <cell r="V38">
            <v>0.35416666666666669</v>
          </cell>
          <cell r="W38">
            <v>13.04</v>
          </cell>
          <cell r="X38" t="str">
            <v>-</v>
          </cell>
          <cell r="Y38">
            <v>0.41666666666666669</v>
          </cell>
          <cell r="Z38">
            <v>92</v>
          </cell>
          <cell r="AA38">
            <v>88.53</v>
          </cell>
          <cell r="AH38" t="str">
            <v>X</v>
          </cell>
          <cell r="AI38" t="str">
            <v>X</v>
          </cell>
          <cell r="AJ38" t="str">
            <v>X</v>
          </cell>
          <cell r="AW38">
            <v>3</v>
          </cell>
          <cell r="AX38">
            <v>0</v>
          </cell>
          <cell r="AY38">
            <v>2</v>
          </cell>
          <cell r="AZ38">
            <v>2</v>
          </cell>
          <cell r="BB38">
            <v>44782</v>
          </cell>
          <cell r="BG38">
            <v>44781</v>
          </cell>
        </row>
        <row r="39">
          <cell r="A39">
            <v>451</v>
          </cell>
          <cell r="B39">
            <v>63</v>
          </cell>
          <cell r="C39" t="str">
            <v>PN-239/ PN-240/ PN-241/ PN-242 (50%)</v>
          </cell>
          <cell r="D39">
            <v>8</v>
          </cell>
          <cell r="E39">
            <v>40</v>
          </cell>
          <cell r="F39">
            <v>24</v>
          </cell>
          <cell r="G39">
            <v>40</v>
          </cell>
          <cell r="H39">
            <v>0</v>
          </cell>
          <cell r="I39" t="str">
            <v>-</v>
          </cell>
          <cell r="J39" t="str">
            <v>650/650</v>
          </cell>
          <cell r="K39" t="str">
            <v xml:space="preserve">CPIII 40 RS </v>
          </cell>
          <cell r="L39" t="str">
            <v>CP V</v>
          </cell>
          <cell r="M39" t="str">
            <v>SUPER PLASTIFICANTE</v>
          </cell>
          <cell r="N39" t="str">
            <v>ETE - CLAR. SECUNDARIO</v>
          </cell>
          <cell r="O39" t="str">
            <v>FORTANKS</v>
          </cell>
          <cell r="P39">
            <v>512</v>
          </cell>
          <cell r="Q39" t="str">
            <v>Gean</v>
          </cell>
          <cell r="R39">
            <v>44784</v>
          </cell>
          <cell r="S39">
            <v>0.4368055555555555</v>
          </cell>
          <cell r="T39">
            <v>0.42680555555555549</v>
          </cell>
          <cell r="U39" t="str">
            <v>X</v>
          </cell>
          <cell r="V39">
            <v>0.30208333333333331</v>
          </cell>
          <cell r="W39">
            <v>26.06</v>
          </cell>
          <cell r="X39">
            <v>25.08</v>
          </cell>
          <cell r="Y39">
            <v>0.41666666666666669</v>
          </cell>
          <cell r="Z39">
            <v>78.5</v>
          </cell>
          <cell r="AA39">
            <v>78</v>
          </cell>
          <cell r="AE39" t="str">
            <v>X</v>
          </cell>
          <cell r="AF39" t="str">
            <v>X</v>
          </cell>
          <cell r="AJ39" t="str">
            <v>X</v>
          </cell>
          <cell r="AL39" t="str">
            <v>X</v>
          </cell>
          <cell r="AW39">
            <v>2</v>
          </cell>
          <cell r="AX39">
            <v>0</v>
          </cell>
          <cell r="AY39">
            <v>3</v>
          </cell>
          <cell r="AZ39">
            <v>1</v>
          </cell>
          <cell r="BB39">
            <v>44785</v>
          </cell>
          <cell r="BG39">
            <v>44784</v>
          </cell>
        </row>
        <row r="40">
          <cell r="A40">
            <v>452</v>
          </cell>
          <cell r="B40">
            <v>64</v>
          </cell>
          <cell r="C40" t="str">
            <v>PN-242(50%) / PN-243/ PN-245/ PNI-256/ PNI-262</v>
          </cell>
          <cell r="D40">
            <v>8</v>
          </cell>
          <cell r="E40">
            <v>40</v>
          </cell>
          <cell r="F40">
            <v>24</v>
          </cell>
          <cell r="G40">
            <v>40</v>
          </cell>
          <cell r="H40">
            <v>0</v>
          </cell>
          <cell r="I40" t="str">
            <v>-</v>
          </cell>
          <cell r="J40" t="str">
            <v>660/650</v>
          </cell>
          <cell r="K40" t="str">
            <v xml:space="preserve">CPIII 40 RS </v>
          </cell>
          <cell r="L40" t="str">
            <v>CP V</v>
          </cell>
          <cell r="M40" t="str">
            <v>SUPER PLASTIFICANTE</v>
          </cell>
          <cell r="N40" t="str">
            <v>ETE - CLAR. SECUNDARIO</v>
          </cell>
          <cell r="O40" t="str">
            <v>FORTANKS</v>
          </cell>
          <cell r="P40">
            <v>495</v>
          </cell>
          <cell r="Q40" t="str">
            <v>Gean</v>
          </cell>
          <cell r="R40">
            <v>44784</v>
          </cell>
          <cell r="S40">
            <v>0.44791666666666669</v>
          </cell>
          <cell r="T40">
            <v>0.43791666666666668</v>
          </cell>
          <cell r="U40" t="str">
            <v>X</v>
          </cell>
          <cell r="V40">
            <v>0.3263888888888889</v>
          </cell>
          <cell r="W40">
            <v>23.38</v>
          </cell>
          <cell r="X40">
            <v>25.2</v>
          </cell>
          <cell r="Y40">
            <v>0.41666666666666669</v>
          </cell>
          <cell r="Z40">
            <v>85.23</v>
          </cell>
          <cell r="AA40">
            <v>86.96</v>
          </cell>
          <cell r="AK40" t="str">
            <v>X</v>
          </cell>
          <cell r="AL40" t="str">
            <v>X</v>
          </cell>
          <cell r="AM40" t="str">
            <v>X</v>
          </cell>
          <cell r="AN40" t="str">
            <v>X</v>
          </cell>
          <cell r="AW40">
            <v>4</v>
          </cell>
          <cell r="AX40">
            <v>3</v>
          </cell>
          <cell r="AY40">
            <v>3</v>
          </cell>
          <cell r="AZ40">
            <v>3</v>
          </cell>
          <cell r="BB40">
            <v>44785</v>
          </cell>
          <cell r="BG40">
            <v>44784</v>
          </cell>
        </row>
        <row r="41">
          <cell r="A41">
            <v>453</v>
          </cell>
          <cell r="B41">
            <v>65</v>
          </cell>
          <cell r="C41" t="str">
            <v>PN-269/ PNH-105/ PNH-106</v>
          </cell>
          <cell r="D41">
            <v>8</v>
          </cell>
          <cell r="E41">
            <v>40</v>
          </cell>
          <cell r="F41">
            <v>24</v>
          </cell>
          <cell r="G41">
            <v>40</v>
          </cell>
          <cell r="H41">
            <v>0</v>
          </cell>
          <cell r="I41" t="str">
            <v>-</v>
          </cell>
          <cell r="J41" t="str">
            <v>670/670</v>
          </cell>
          <cell r="K41" t="str">
            <v xml:space="preserve">CPIII 40 RS </v>
          </cell>
          <cell r="L41" t="str">
            <v>CP V</v>
          </cell>
          <cell r="M41" t="str">
            <v>SUPER PLASTIFICANTE</v>
          </cell>
          <cell r="N41" t="str">
            <v>ETE - CLAR. SECUNDARIO</v>
          </cell>
          <cell r="O41" t="str">
            <v>FORTANKS</v>
          </cell>
          <cell r="P41">
            <v>512</v>
          </cell>
          <cell r="Q41" t="str">
            <v>Gean</v>
          </cell>
          <cell r="R41">
            <v>44784</v>
          </cell>
          <cell r="S41">
            <v>0.4861111111111111</v>
          </cell>
          <cell r="T41">
            <v>0.4761111111111111</v>
          </cell>
          <cell r="U41" t="str">
            <v>X</v>
          </cell>
          <cell r="V41">
            <v>0.33333333333333331</v>
          </cell>
          <cell r="W41">
            <v>24.58</v>
          </cell>
          <cell r="X41">
            <v>27.19</v>
          </cell>
          <cell r="Y41">
            <v>0.41666666666666669</v>
          </cell>
          <cell r="Z41">
            <v>95.6</v>
          </cell>
          <cell r="AA41">
            <v>96</v>
          </cell>
          <cell r="AD41" t="str">
            <v>X</v>
          </cell>
          <cell r="AE41" t="str">
            <v>X</v>
          </cell>
          <cell r="AJ41" t="str">
            <v>X</v>
          </cell>
          <cell r="AK41" t="str">
            <v>X</v>
          </cell>
          <cell r="AW41">
            <v>3</v>
          </cell>
          <cell r="AX41">
            <v>3</v>
          </cell>
          <cell r="AY41">
            <v>1</v>
          </cell>
          <cell r="AZ41">
            <v>1</v>
          </cell>
          <cell r="BB41">
            <v>44785</v>
          </cell>
          <cell r="BG41">
            <v>44784</v>
          </cell>
        </row>
        <row r="42">
          <cell r="A42">
            <v>454</v>
          </cell>
          <cell r="B42">
            <v>66</v>
          </cell>
          <cell r="C42" t="str">
            <v>CANALETAS - PN-239/ PN-240/ PN-241/ PN-242/ PN-243/ PN-245/ PNI-256/ PNI-269/ PNH-105/ PNH-106/PNI-262</v>
          </cell>
          <cell r="D42">
            <v>9</v>
          </cell>
          <cell r="E42">
            <v>40</v>
          </cell>
          <cell r="F42">
            <v>10</v>
          </cell>
          <cell r="G42">
            <v>40</v>
          </cell>
          <cell r="H42">
            <v>0</v>
          </cell>
          <cell r="I42" t="str">
            <v>-</v>
          </cell>
          <cell r="J42" t="str">
            <v>680/680</v>
          </cell>
          <cell r="K42" t="str">
            <v xml:space="preserve">CPIII 40 RS </v>
          </cell>
          <cell r="L42" t="str">
            <v>CP V</v>
          </cell>
          <cell r="M42" t="str">
            <v>SUPER PLASTIFICANTE</v>
          </cell>
          <cell r="N42" t="str">
            <v>ETE - CLAR. SECUNDARIO</v>
          </cell>
          <cell r="O42" t="str">
            <v>FORTANKS</v>
          </cell>
          <cell r="P42">
            <v>495</v>
          </cell>
          <cell r="Q42" t="str">
            <v>Gean</v>
          </cell>
          <cell r="R42">
            <v>44784</v>
          </cell>
          <cell r="S42">
            <v>0.64583333333333337</v>
          </cell>
          <cell r="T42">
            <v>0.63583333333333336</v>
          </cell>
          <cell r="U42" t="str">
            <v>X</v>
          </cell>
          <cell r="V42">
            <v>0.35416666666666669</v>
          </cell>
          <cell r="W42">
            <v>10.01</v>
          </cell>
          <cell r="X42" t="str">
            <v>-</v>
          </cell>
          <cell r="Y42">
            <v>0.41666666666666669</v>
          </cell>
          <cell r="Z42">
            <v>81.319999999999993</v>
          </cell>
          <cell r="AA42">
            <v>80.63</v>
          </cell>
          <cell r="AB42" t="str">
            <v>X</v>
          </cell>
          <cell r="AH42" t="str">
            <v>X</v>
          </cell>
          <cell r="AU42" t="str">
            <v>X</v>
          </cell>
          <cell r="AW42">
            <v>1</v>
          </cell>
          <cell r="AX42">
            <v>0</v>
          </cell>
          <cell r="AY42">
            <v>2</v>
          </cell>
          <cell r="AZ42">
            <v>5</v>
          </cell>
          <cell r="BB42">
            <v>44785</v>
          </cell>
          <cell r="BG42">
            <v>44784</v>
          </cell>
        </row>
        <row r="43">
          <cell r="A43">
            <v>455</v>
          </cell>
          <cell r="B43">
            <v>67</v>
          </cell>
          <cell r="C43" t="str">
            <v>PN-246/ PN-247/ PN-248/ PN249 (50%)</v>
          </cell>
          <cell r="D43">
            <v>8</v>
          </cell>
          <cell r="E43">
            <v>40</v>
          </cell>
          <cell r="F43">
            <v>24</v>
          </cell>
          <cell r="G43">
            <v>40</v>
          </cell>
          <cell r="H43">
            <v>0</v>
          </cell>
          <cell r="I43" t="str">
            <v>-</v>
          </cell>
          <cell r="J43" t="str">
            <v>650/660</v>
          </cell>
          <cell r="K43" t="str">
            <v xml:space="preserve">CPIII 40 RS </v>
          </cell>
          <cell r="L43" t="str">
            <v>CP V</v>
          </cell>
          <cell r="M43" t="str">
            <v>SUPER PLASTIFICANTE</v>
          </cell>
          <cell r="N43" t="str">
            <v>ETE - CLAR. SECUNDARIO</v>
          </cell>
          <cell r="O43" t="str">
            <v>FORTANKS</v>
          </cell>
          <cell r="P43">
            <v>495</v>
          </cell>
          <cell r="Q43" t="str">
            <v>Gean</v>
          </cell>
          <cell r="R43">
            <v>44788</v>
          </cell>
          <cell r="S43">
            <v>0.4236111111111111</v>
          </cell>
          <cell r="T43">
            <v>0.4136111111111111</v>
          </cell>
          <cell r="U43" t="str">
            <v>X</v>
          </cell>
          <cell r="V43">
            <v>0.35416666666666669</v>
          </cell>
          <cell r="W43">
            <v>28</v>
          </cell>
          <cell r="X43">
            <v>30.98</v>
          </cell>
          <cell r="Y43">
            <v>0.41666666666666669</v>
          </cell>
          <cell r="Z43">
            <v>83.23</v>
          </cell>
          <cell r="AA43">
            <v>85.12</v>
          </cell>
          <cell r="AG43" t="str">
            <v>X</v>
          </cell>
          <cell r="AH43" t="str">
            <v>X</v>
          </cell>
          <cell r="AJ43" t="str">
            <v>X</v>
          </cell>
          <cell r="AM43" t="str">
            <v>X</v>
          </cell>
          <cell r="AW43">
            <v>3</v>
          </cell>
          <cell r="AX43">
            <v>2</v>
          </cell>
          <cell r="AY43">
            <v>2</v>
          </cell>
          <cell r="AZ43">
            <v>3</v>
          </cell>
          <cell r="BB43">
            <v>44789</v>
          </cell>
          <cell r="BG43">
            <v>44788</v>
          </cell>
        </row>
        <row r="44">
          <cell r="A44">
            <v>456</v>
          </cell>
          <cell r="B44">
            <v>68</v>
          </cell>
          <cell r="C44" t="str">
            <v>PN-249(50%)/ PN-252/ PN-253/ PNI-269</v>
          </cell>
          <cell r="D44">
            <v>8</v>
          </cell>
          <cell r="E44">
            <v>40</v>
          </cell>
          <cell r="F44">
            <v>24</v>
          </cell>
          <cell r="G44">
            <v>40</v>
          </cell>
          <cell r="H44">
            <v>0</v>
          </cell>
          <cell r="I44" t="str">
            <v>-</v>
          </cell>
          <cell r="J44" t="str">
            <v>650/650</v>
          </cell>
          <cell r="K44" t="str">
            <v xml:space="preserve">CPIII 40 RS </v>
          </cell>
          <cell r="L44" t="str">
            <v>CP V</v>
          </cell>
          <cell r="M44" t="str">
            <v>SUPER PLASTIFICANTE</v>
          </cell>
          <cell r="N44" t="str">
            <v>ETE - CLAR. SECUNDARIO</v>
          </cell>
          <cell r="O44" t="str">
            <v>FORTANKS</v>
          </cell>
          <cell r="P44">
            <v>512</v>
          </cell>
          <cell r="Q44" t="str">
            <v>Gean</v>
          </cell>
          <cell r="R44">
            <v>44788</v>
          </cell>
          <cell r="S44">
            <v>0.44444444444444442</v>
          </cell>
          <cell r="T44">
            <v>0.43444444444444441</v>
          </cell>
          <cell r="U44" t="str">
            <v>X</v>
          </cell>
          <cell r="V44">
            <v>0.3611111111111111</v>
          </cell>
          <cell r="W44">
            <v>31.31</v>
          </cell>
          <cell r="X44">
            <v>31.14</v>
          </cell>
          <cell r="Y44">
            <v>0.41666666666666669</v>
          </cell>
          <cell r="Z44">
            <v>90.25</v>
          </cell>
          <cell r="AA44">
            <v>89.14</v>
          </cell>
          <cell r="AG44" t="str">
            <v>X</v>
          </cell>
          <cell r="AJ44" t="str">
            <v>X</v>
          </cell>
          <cell r="AL44" t="str">
            <v>X</v>
          </cell>
          <cell r="AQ44" t="str">
            <v>X</v>
          </cell>
          <cell r="AW44">
            <v>3</v>
          </cell>
          <cell r="AX44">
            <v>2</v>
          </cell>
          <cell r="AY44">
            <v>3</v>
          </cell>
          <cell r="AZ44">
            <v>4</v>
          </cell>
          <cell r="BB44">
            <v>44789</v>
          </cell>
          <cell r="BG44">
            <v>44788</v>
          </cell>
        </row>
        <row r="45">
          <cell r="A45">
            <v>457</v>
          </cell>
          <cell r="B45">
            <v>69</v>
          </cell>
          <cell r="C45" t="str">
            <v>PN-275/ PNJ-263/ PNK-96</v>
          </cell>
          <cell r="D45">
            <v>8</v>
          </cell>
          <cell r="E45">
            <v>40</v>
          </cell>
          <cell r="F45">
            <v>24</v>
          </cell>
          <cell r="G45">
            <v>40</v>
          </cell>
          <cell r="H45">
            <v>0</v>
          </cell>
          <cell r="I45" t="str">
            <v>-</v>
          </cell>
          <cell r="J45" t="str">
            <v>670/670</v>
          </cell>
          <cell r="K45" t="str">
            <v xml:space="preserve">CPIII 40 RS </v>
          </cell>
          <cell r="L45" t="str">
            <v>CP V</v>
          </cell>
          <cell r="M45" t="str">
            <v>SUPER PLASTIFICANTE</v>
          </cell>
          <cell r="N45" t="str">
            <v>ETE - CLAR. SECUNDARIO</v>
          </cell>
          <cell r="O45" t="str">
            <v>FORTANKS</v>
          </cell>
          <cell r="P45">
            <v>495</v>
          </cell>
          <cell r="Q45" t="str">
            <v>Gean</v>
          </cell>
          <cell r="R45">
            <v>44788</v>
          </cell>
          <cell r="S45">
            <v>0.47569444444444442</v>
          </cell>
          <cell r="T45">
            <v>0.46569444444444441</v>
          </cell>
          <cell r="U45" t="str">
            <v>X</v>
          </cell>
          <cell r="V45">
            <v>0.36458333333333331</v>
          </cell>
          <cell r="W45">
            <v>26.53</v>
          </cell>
          <cell r="X45">
            <v>26.02</v>
          </cell>
          <cell r="Y45">
            <v>0.41666666666666669</v>
          </cell>
          <cell r="Z45">
            <v>79.150000000000006</v>
          </cell>
          <cell r="AA45">
            <v>80.63</v>
          </cell>
          <cell r="AH45" t="str">
            <v>X</v>
          </cell>
          <cell r="AI45" t="str">
            <v>X</v>
          </cell>
          <cell r="AJ45" t="str">
            <v>X</v>
          </cell>
          <cell r="AK45" t="str">
            <v>X</v>
          </cell>
          <cell r="AW45">
            <v>3</v>
          </cell>
          <cell r="AX45">
            <v>3</v>
          </cell>
          <cell r="AY45">
            <v>2</v>
          </cell>
          <cell r="AZ45">
            <v>2</v>
          </cell>
          <cell r="BB45">
            <v>44789</v>
          </cell>
          <cell r="BG45">
            <v>44788</v>
          </cell>
        </row>
        <row r="46">
          <cell r="A46">
            <v>458</v>
          </cell>
          <cell r="B46">
            <v>70</v>
          </cell>
          <cell r="C46" t="str">
            <v>CANALETAS - PN-246/ PN-247/ PN-248/ PN-249/ PN-252/ PN-253/ PNI-269/ PNI-275/ PNJ-263/ PNK-96</v>
          </cell>
          <cell r="D46">
            <v>9</v>
          </cell>
          <cell r="E46">
            <v>40</v>
          </cell>
          <cell r="F46">
            <v>24</v>
          </cell>
          <cell r="G46">
            <v>40</v>
          </cell>
          <cell r="H46">
            <v>0</v>
          </cell>
          <cell r="I46" t="str">
            <v>-</v>
          </cell>
          <cell r="J46" t="str">
            <v>650/650</v>
          </cell>
          <cell r="K46" t="str">
            <v xml:space="preserve">CPIII 40 RS </v>
          </cell>
          <cell r="L46" t="str">
            <v>CP V</v>
          </cell>
          <cell r="M46" t="str">
            <v>SUPER PLASTIFICANTE</v>
          </cell>
          <cell r="N46" t="str">
            <v>ETE - CLAR. SECUNDARIO</v>
          </cell>
          <cell r="O46" t="str">
            <v>FORTANKS</v>
          </cell>
          <cell r="P46">
            <v>495</v>
          </cell>
          <cell r="Q46" t="str">
            <v>Gean</v>
          </cell>
          <cell r="R46">
            <v>44788</v>
          </cell>
          <cell r="S46">
            <v>0.66666666666666663</v>
          </cell>
          <cell r="T46">
            <v>0.65666666666666662</v>
          </cell>
          <cell r="U46" t="str">
            <v>X</v>
          </cell>
          <cell r="V46">
            <v>0.36805555555555558</v>
          </cell>
          <cell r="W46">
            <v>18.11</v>
          </cell>
          <cell r="X46" t="str">
            <v>-</v>
          </cell>
          <cell r="Y46">
            <v>0.41666666666666669</v>
          </cell>
          <cell r="Z46">
            <v>86.12</v>
          </cell>
          <cell r="AA46">
            <v>87.65</v>
          </cell>
          <cell r="AJ46" t="str">
            <v>X</v>
          </cell>
          <cell r="AL46" t="str">
            <v>X</v>
          </cell>
          <cell r="AQ46" t="str">
            <v>X</v>
          </cell>
          <cell r="AW46">
            <v>3</v>
          </cell>
          <cell r="AX46">
            <v>0</v>
          </cell>
          <cell r="AY46">
            <v>3</v>
          </cell>
          <cell r="AZ46">
            <v>4</v>
          </cell>
          <cell r="BB46">
            <v>44789</v>
          </cell>
          <cell r="BG46">
            <v>44788</v>
          </cell>
        </row>
        <row r="47">
          <cell r="A47">
            <v>459</v>
          </cell>
          <cell r="B47">
            <v>71</v>
          </cell>
          <cell r="C47" t="str">
            <v>PF-09/ PF-42</v>
          </cell>
          <cell r="D47">
            <v>7.5</v>
          </cell>
          <cell r="E47">
            <v>40</v>
          </cell>
          <cell r="F47">
            <v>24</v>
          </cell>
          <cell r="G47">
            <v>40</v>
          </cell>
          <cell r="H47">
            <v>0</v>
          </cell>
          <cell r="I47" t="str">
            <v>-</v>
          </cell>
          <cell r="J47" t="str">
            <v>650/650</v>
          </cell>
          <cell r="K47" t="str">
            <v xml:space="preserve">CPIII 40 RS </v>
          </cell>
          <cell r="L47" t="str">
            <v>CP V</v>
          </cell>
          <cell r="M47" t="str">
            <v>SUPER PLASTIFICANTE</v>
          </cell>
          <cell r="N47" t="str">
            <v>ETE - CLAR. PRIMARIO</v>
          </cell>
          <cell r="O47" t="str">
            <v>FORTANKS</v>
          </cell>
          <cell r="P47">
            <v>495</v>
          </cell>
          <cell r="Q47" t="str">
            <v>Gean</v>
          </cell>
          <cell r="R47">
            <v>44789</v>
          </cell>
          <cell r="S47">
            <v>0.35416666666666669</v>
          </cell>
          <cell r="T47">
            <v>0.34416666666666668</v>
          </cell>
          <cell r="U47" t="str">
            <v>X</v>
          </cell>
          <cell r="V47">
            <v>0.33680555555555558</v>
          </cell>
          <cell r="W47">
            <v>30.64</v>
          </cell>
          <cell r="X47">
            <v>27.47</v>
          </cell>
          <cell r="Y47">
            <v>0.41666666666666669</v>
          </cell>
          <cell r="Z47">
            <v>77.56</v>
          </cell>
          <cell r="AA47">
            <v>79.680000000000007</v>
          </cell>
          <cell r="AH47" t="str">
            <v>X</v>
          </cell>
          <cell r="AI47" t="str">
            <v>X</v>
          </cell>
          <cell r="AJ47" t="str">
            <v>X</v>
          </cell>
          <cell r="AK47" t="str">
            <v>X</v>
          </cell>
          <cell r="AW47">
            <v>3</v>
          </cell>
          <cell r="AX47">
            <v>3</v>
          </cell>
          <cell r="AY47">
            <v>2</v>
          </cell>
          <cell r="AZ47">
            <v>2</v>
          </cell>
          <cell r="BB47">
            <v>44790</v>
          </cell>
          <cell r="BG47">
            <v>44789</v>
          </cell>
        </row>
        <row r="48">
          <cell r="A48">
            <v>460</v>
          </cell>
          <cell r="B48">
            <v>72</v>
          </cell>
          <cell r="C48" t="str">
            <v>CANALETAS - PF-09/PF-42</v>
          </cell>
          <cell r="D48">
            <v>2</v>
          </cell>
          <cell r="E48">
            <v>40</v>
          </cell>
          <cell r="F48">
            <v>10</v>
          </cell>
          <cell r="G48">
            <v>40</v>
          </cell>
          <cell r="H48">
            <v>0</v>
          </cell>
          <cell r="I48" t="str">
            <v>-</v>
          </cell>
          <cell r="J48" t="str">
            <v>650/650</v>
          </cell>
          <cell r="K48" t="str">
            <v xml:space="preserve">CPIII 40 RS </v>
          </cell>
          <cell r="L48" t="str">
            <v>CP V</v>
          </cell>
          <cell r="M48" t="str">
            <v>SUPER PLASTIFICANTE</v>
          </cell>
          <cell r="N48" t="str">
            <v>ETE - CLAR. PRIMARIO</v>
          </cell>
          <cell r="O48" t="str">
            <v>FORTANKS</v>
          </cell>
          <cell r="P48">
            <v>495</v>
          </cell>
          <cell r="Q48" t="str">
            <v>Gean</v>
          </cell>
          <cell r="R48">
            <v>44789</v>
          </cell>
          <cell r="S48">
            <v>0.67361111111111116</v>
          </cell>
          <cell r="T48">
            <v>0.66361111111111115</v>
          </cell>
          <cell r="U48" t="str">
            <v>X</v>
          </cell>
          <cell r="V48">
            <v>0.34027777777777773</v>
          </cell>
          <cell r="W48">
            <v>20.63</v>
          </cell>
          <cell r="X48" t="str">
            <v>-</v>
          </cell>
          <cell r="Y48">
            <v>0.41666666666666669</v>
          </cell>
          <cell r="Z48">
            <v>82.61</v>
          </cell>
          <cell r="AA48">
            <v>85.48</v>
          </cell>
          <cell r="AF48" t="str">
            <v>X</v>
          </cell>
          <cell r="AL48" t="str">
            <v>X</v>
          </cell>
          <cell r="AM48" t="str">
            <v>X</v>
          </cell>
          <cell r="AW48">
            <v>2</v>
          </cell>
          <cell r="AX48">
            <v>0</v>
          </cell>
          <cell r="AY48">
            <v>3</v>
          </cell>
          <cell r="AZ48">
            <v>3</v>
          </cell>
          <cell r="BB48">
            <v>44790</v>
          </cell>
          <cell r="BG48">
            <v>44789</v>
          </cell>
        </row>
        <row r="49">
          <cell r="A49">
            <v>461</v>
          </cell>
          <cell r="B49">
            <v>73</v>
          </cell>
          <cell r="C49" t="str">
            <v>PN-254/ PN-255/PN-260/ PN-261(20%)</v>
          </cell>
          <cell r="D49">
            <v>8</v>
          </cell>
          <cell r="E49">
            <v>40</v>
          </cell>
          <cell r="F49">
            <v>24</v>
          </cell>
          <cell r="G49">
            <v>40</v>
          </cell>
          <cell r="H49">
            <v>0</v>
          </cell>
          <cell r="I49" t="str">
            <v>-</v>
          </cell>
          <cell r="J49" t="str">
            <v>650/650</v>
          </cell>
          <cell r="K49" t="str">
            <v xml:space="preserve">CPIII 40 RS </v>
          </cell>
          <cell r="L49" t="str">
            <v>CP V</v>
          </cell>
          <cell r="M49" t="str">
            <v>SUPER PLASTIFICANTE</v>
          </cell>
          <cell r="N49" t="str">
            <v>ETE - CLAR. SECUNDARIO</v>
          </cell>
          <cell r="O49" t="str">
            <v>FORTANKS</v>
          </cell>
          <cell r="P49">
            <v>495</v>
          </cell>
          <cell r="Q49" t="str">
            <v>Gean</v>
          </cell>
          <cell r="R49">
            <v>44791</v>
          </cell>
          <cell r="S49">
            <v>0.39930555555555558</v>
          </cell>
          <cell r="T49">
            <v>0.38930555555555557</v>
          </cell>
          <cell r="U49" t="str">
            <v>X</v>
          </cell>
          <cell r="V49">
            <v>0.34027777777777773</v>
          </cell>
          <cell r="W49">
            <v>36.03</v>
          </cell>
          <cell r="X49">
            <v>37.369999999999997</v>
          </cell>
          <cell r="Y49">
            <v>0.41666666666666669</v>
          </cell>
          <cell r="Z49">
            <v>88.65</v>
          </cell>
          <cell r="AA49">
            <v>83.62</v>
          </cell>
          <cell r="AJ49" t="str">
            <v>X</v>
          </cell>
          <cell r="AK49" t="str">
            <v>X</v>
          </cell>
          <cell r="AP49" t="str">
            <v>X</v>
          </cell>
          <cell r="AQ49" t="str">
            <v>X</v>
          </cell>
          <cell r="AW49">
            <v>3</v>
          </cell>
          <cell r="AX49">
            <v>3</v>
          </cell>
          <cell r="AY49">
            <v>4</v>
          </cell>
          <cell r="AZ49">
            <v>4</v>
          </cell>
          <cell r="BB49">
            <v>44792</v>
          </cell>
          <cell r="BG49">
            <v>44791</v>
          </cell>
        </row>
        <row r="50">
          <cell r="A50">
            <v>462</v>
          </cell>
          <cell r="B50">
            <v>74</v>
          </cell>
          <cell r="C50" t="str">
            <v>PN-261(80%) / PN-265/ PN-266/ PN-267(30%)</v>
          </cell>
          <cell r="D50">
            <v>8</v>
          </cell>
          <cell r="E50">
            <v>40</v>
          </cell>
          <cell r="F50">
            <v>24</v>
          </cell>
          <cell r="G50">
            <v>40</v>
          </cell>
          <cell r="H50">
            <v>0</v>
          </cell>
          <cell r="I50" t="str">
            <v>-</v>
          </cell>
          <cell r="J50" t="str">
            <v>670/670</v>
          </cell>
          <cell r="K50" t="str">
            <v xml:space="preserve">CPIII 40 RS </v>
          </cell>
          <cell r="L50" t="str">
            <v>CP V</v>
          </cell>
          <cell r="M50" t="str">
            <v>SUPER PLASTIFICANTE</v>
          </cell>
          <cell r="N50" t="str">
            <v>ETE - CLAR. SECUNDARIO</v>
          </cell>
          <cell r="O50" t="str">
            <v>FORTANKS</v>
          </cell>
          <cell r="P50">
            <v>512</v>
          </cell>
          <cell r="Q50" t="str">
            <v>Gean</v>
          </cell>
          <cell r="R50">
            <v>44791</v>
          </cell>
          <cell r="S50">
            <v>0.40972222222222227</v>
          </cell>
          <cell r="T50">
            <v>0.39972222222222226</v>
          </cell>
          <cell r="U50" t="str">
            <v>X</v>
          </cell>
          <cell r="V50">
            <v>0.34375</v>
          </cell>
          <cell r="W50">
            <v>38.51</v>
          </cell>
          <cell r="X50">
            <v>34.46</v>
          </cell>
          <cell r="Y50">
            <v>0.41666666666666669</v>
          </cell>
          <cell r="Z50">
            <v>92.13</v>
          </cell>
          <cell r="AA50">
            <v>90.25</v>
          </cell>
          <cell r="AL50" t="str">
            <v>X</v>
          </cell>
          <cell r="AM50" t="str">
            <v>X</v>
          </cell>
          <cell r="AN50" t="str">
            <v>X</v>
          </cell>
          <cell r="AO50" t="str">
            <v>X</v>
          </cell>
          <cell r="AW50">
            <v>4</v>
          </cell>
          <cell r="AX50">
            <v>4</v>
          </cell>
          <cell r="AY50">
            <v>3</v>
          </cell>
          <cell r="AZ50">
            <v>3</v>
          </cell>
          <cell r="BB50">
            <v>44792</v>
          </cell>
          <cell r="BG50">
            <v>44791</v>
          </cell>
        </row>
        <row r="51">
          <cell r="A51">
            <v>463</v>
          </cell>
          <cell r="B51">
            <v>75</v>
          </cell>
          <cell r="C51" t="str">
            <v>PN-267(70%) / PNI-281/ PNI-287/ PNK-127</v>
          </cell>
          <cell r="D51">
            <v>8</v>
          </cell>
          <cell r="E51">
            <v>40</v>
          </cell>
          <cell r="F51">
            <v>24</v>
          </cell>
          <cell r="G51">
            <v>40</v>
          </cell>
          <cell r="H51">
            <v>0</v>
          </cell>
          <cell r="I51" t="str">
            <v>-</v>
          </cell>
          <cell r="J51" t="str">
            <v>670/670</v>
          </cell>
          <cell r="K51" t="str">
            <v xml:space="preserve">CPIII 40 RS </v>
          </cell>
          <cell r="L51" t="str">
            <v>CP V</v>
          </cell>
          <cell r="M51" t="str">
            <v>SUPER PLASTIFICANTE</v>
          </cell>
          <cell r="N51" t="str">
            <v>ETE - CLAR. SECUNDARIO</v>
          </cell>
          <cell r="O51" t="str">
            <v>FORTANKS</v>
          </cell>
          <cell r="P51">
            <v>495</v>
          </cell>
          <cell r="Q51" t="str">
            <v>Gean</v>
          </cell>
          <cell r="R51">
            <v>44791</v>
          </cell>
          <cell r="S51">
            <v>0.44791666666666669</v>
          </cell>
          <cell r="T51">
            <v>0.43791666666666668</v>
          </cell>
          <cell r="U51" t="str">
            <v>X</v>
          </cell>
          <cell r="V51">
            <v>0.34722222222222227</v>
          </cell>
          <cell r="W51">
            <v>28.56</v>
          </cell>
          <cell r="X51">
            <v>31.27</v>
          </cell>
          <cell r="Y51">
            <v>0.41666666666666669</v>
          </cell>
          <cell r="Z51">
            <v>85.21</v>
          </cell>
          <cell r="AA51">
            <v>86.14</v>
          </cell>
          <cell r="AH51" t="str">
            <v>X</v>
          </cell>
          <cell r="AI51" t="str">
            <v>X</v>
          </cell>
          <cell r="AJ51" t="str">
            <v>X</v>
          </cell>
          <cell r="AO51" t="str">
            <v>X</v>
          </cell>
          <cell r="AW51">
            <v>3</v>
          </cell>
          <cell r="AX51">
            <v>4</v>
          </cell>
          <cell r="AY51">
            <v>2</v>
          </cell>
          <cell r="AZ51">
            <v>2</v>
          </cell>
          <cell r="BB51">
            <v>44792</v>
          </cell>
          <cell r="BG51">
            <v>44791</v>
          </cell>
        </row>
        <row r="52">
          <cell r="A52">
            <v>464</v>
          </cell>
          <cell r="B52">
            <v>76</v>
          </cell>
          <cell r="C52" t="str">
            <v>CANALETAS - PN-254/ PN-255/ PN-260/ PN-261/ PN-265/ PN-266/ PN-267/ PNI-281/ PNI-287/ PNK-127</v>
          </cell>
          <cell r="D52">
            <v>8</v>
          </cell>
          <cell r="E52">
            <v>40</v>
          </cell>
          <cell r="F52">
            <v>10</v>
          </cell>
          <cell r="G52">
            <v>40</v>
          </cell>
          <cell r="H52">
            <v>0</v>
          </cell>
          <cell r="I52" t="str">
            <v>-</v>
          </cell>
          <cell r="J52" t="str">
            <v>670/670</v>
          </cell>
          <cell r="K52" t="str">
            <v xml:space="preserve">CPIII 40 RS </v>
          </cell>
          <cell r="L52" t="str">
            <v>CP V</v>
          </cell>
          <cell r="M52" t="str">
            <v>SUPER PLASTIFICANTE</v>
          </cell>
          <cell r="N52" t="str">
            <v>ETE - CLAR. SECUNDARIO</v>
          </cell>
          <cell r="O52" t="str">
            <v>FORTANKS</v>
          </cell>
          <cell r="P52">
            <v>495</v>
          </cell>
          <cell r="Q52" t="str">
            <v>Gean</v>
          </cell>
          <cell r="R52">
            <v>44791</v>
          </cell>
          <cell r="S52">
            <v>0.64583333333333337</v>
          </cell>
          <cell r="T52">
            <v>0.63583333333333336</v>
          </cell>
          <cell r="U52" t="str">
            <v>X</v>
          </cell>
          <cell r="V52">
            <v>0.35416666666666669</v>
          </cell>
          <cell r="W52">
            <v>20.74</v>
          </cell>
          <cell r="X52" t="str">
            <v>-</v>
          </cell>
          <cell r="Y52">
            <v>0.41666666666666669</v>
          </cell>
          <cell r="Z52">
            <v>90.26</v>
          </cell>
          <cell r="AA52">
            <v>91</v>
          </cell>
          <cell r="AF52" t="str">
            <v>X</v>
          </cell>
          <cell r="AL52" t="str">
            <v>X</v>
          </cell>
          <cell r="AQ52" t="str">
            <v>X</v>
          </cell>
          <cell r="AW52">
            <v>2</v>
          </cell>
          <cell r="AX52">
            <v>0</v>
          </cell>
          <cell r="AY52">
            <v>3</v>
          </cell>
          <cell r="AZ52">
            <v>4</v>
          </cell>
          <cell r="BB52">
            <v>44792</v>
          </cell>
          <cell r="BG52">
            <v>44791</v>
          </cell>
        </row>
        <row r="53">
          <cell r="A53">
            <v>465</v>
          </cell>
          <cell r="B53">
            <v>77</v>
          </cell>
          <cell r="C53" t="str">
            <v>PN-270/ PN-271/ PN-272 / PN-273(30%)</v>
          </cell>
          <cell r="D53">
            <v>8</v>
          </cell>
          <cell r="E53">
            <v>40</v>
          </cell>
          <cell r="F53">
            <v>24</v>
          </cell>
          <cell r="G53">
            <v>40</v>
          </cell>
          <cell r="H53">
            <v>0</v>
          </cell>
          <cell r="I53" t="str">
            <v>-</v>
          </cell>
          <cell r="J53" t="str">
            <v>650/650</v>
          </cell>
          <cell r="K53" t="str">
            <v xml:space="preserve">CPIII 40 RS </v>
          </cell>
          <cell r="L53" t="str">
            <v>CP V</v>
          </cell>
          <cell r="M53" t="str">
            <v>SUPER PLASTIFICANTE</v>
          </cell>
          <cell r="N53" t="str">
            <v>ETE - CLAR. SECUNDARIO</v>
          </cell>
          <cell r="O53" t="str">
            <v>FORTANKS</v>
          </cell>
          <cell r="P53">
            <v>495</v>
          </cell>
          <cell r="Q53" t="str">
            <v>Gean</v>
          </cell>
          <cell r="R53">
            <v>44795</v>
          </cell>
          <cell r="S53">
            <v>0.41666666666666669</v>
          </cell>
          <cell r="T53">
            <v>0.40666666666666668</v>
          </cell>
          <cell r="U53" t="str">
            <v>X</v>
          </cell>
          <cell r="V53">
            <v>0.34375</v>
          </cell>
          <cell r="W53">
            <v>27.17</v>
          </cell>
          <cell r="X53">
            <v>29.98</v>
          </cell>
          <cell r="Y53">
            <v>0.41666666666666669</v>
          </cell>
          <cell r="Z53">
            <v>85.23</v>
          </cell>
          <cell r="AA53">
            <v>86.32</v>
          </cell>
          <cell r="AH53" t="str">
            <v>X</v>
          </cell>
          <cell r="AI53" t="str">
            <v>X</v>
          </cell>
          <cell r="AJ53" t="str">
            <v>X</v>
          </cell>
          <cell r="AK53" t="str">
            <v>X</v>
          </cell>
          <cell r="AW53">
            <v>3</v>
          </cell>
          <cell r="AX53">
            <v>3</v>
          </cell>
          <cell r="AY53">
            <v>2</v>
          </cell>
          <cell r="AZ53">
            <v>2</v>
          </cell>
          <cell r="BB53">
            <v>44796</v>
          </cell>
          <cell r="BG53">
            <v>44795</v>
          </cell>
        </row>
        <row r="54">
          <cell r="A54">
            <v>466</v>
          </cell>
          <cell r="B54">
            <v>78</v>
          </cell>
          <cell r="C54" t="str">
            <v>PN-273(70%) / PN-274 / PN-276/ PN-277(60%)</v>
          </cell>
          <cell r="D54">
            <v>8</v>
          </cell>
          <cell r="E54">
            <v>40</v>
          </cell>
          <cell r="F54">
            <v>24</v>
          </cell>
          <cell r="G54">
            <v>40</v>
          </cell>
          <cell r="H54">
            <v>0</v>
          </cell>
          <cell r="I54" t="str">
            <v>-</v>
          </cell>
          <cell r="J54" t="str">
            <v>650/650</v>
          </cell>
          <cell r="K54" t="str">
            <v xml:space="preserve">CPIII 40 RS </v>
          </cell>
          <cell r="L54" t="str">
            <v>CP V</v>
          </cell>
          <cell r="M54" t="str">
            <v>SUPER PLASTIFICANTE</v>
          </cell>
          <cell r="N54" t="str">
            <v>ETE - CLAR. SECUNDARIO</v>
          </cell>
          <cell r="O54" t="str">
            <v>FORTANKS</v>
          </cell>
          <cell r="P54">
            <v>512</v>
          </cell>
          <cell r="Q54" t="str">
            <v>Gean</v>
          </cell>
          <cell r="R54">
            <v>44795</v>
          </cell>
          <cell r="S54">
            <v>0.4513888888888889</v>
          </cell>
          <cell r="T54">
            <v>0.44138888888888889</v>
          </cell>
          <cell r="U54" t="str">
            <v>X</v>
          </cell>
          <cell r="V54">
            <v>0.35416666666666669</v>
          </cell>
          <cell r="W54">
            <v>28.1</v>
          </cell>
          <cell r="X54">
            <v>28.28</v>
          </cell>
          <cell r="Y54">
            <v>0.41666666666666669</v>
          </cell>
          <cell r="Z54">
            <v>78.23</v>
          </cell>
          <cell r="AA54">
            <v>79.150000000000006</v>
          </cell>
          <cell r="AG54" t="str">
            <v>X</v>
          </cell>
          <cell r="AJ54" t="str">
            <v>X</v>
          </cell>
          <cell r="AL54" t="str">
            <v>X</v>
          </cell>
          <cell r="AQ54" t="str">
            <v>X</v>
          </cell>
          <cell r="AW54">
            <v>3</v>
          </cell>
          <cell r="AX54">
            <v>2</v>
          </cell>
          <cell r="AY54">
            <v>3</v>
          </cell>
          <cell r="AZ54">
            <v>4</v>
          </cell>
          <cell r="BB54">
            <v>44796</v>
          </cell>
          <cell r="BG54">
            <v>44795</v>
          </cell>
        </row>
        <row r="55">
          <cell r="A55">
            <v>467</v>
          </cell>
          <cell r="B55">
            <v>79</v>
          </cell>
          <cell r="C55" t="str">
            <v>PN-277(40%) / PNI-293/ PNI-298 / PNK-251</v>
          </cell>
          <cell r="D55">
            <v>8</v>
          </cell>
          <cell r="E55">
            <v>40</v>
          </cell>
          <cell r="F55">
            <v>24</v>
          </cell>
          <cell r="G55">
            <v>40</v>
          </cell>
          <cell r="H55">
            <v>0</v>
          </cell>
          <cell r="I55" t="str">
            <v>-</v>
          </cell>
          <cell r="J55" t="str">
            <v>670/670</v>
          </cell>
          <cell r="K55" t="str">
            <v xml:space="preserve">CPIII 40 RS </v>
          </cell>
          <cell r="L55" t="str">
            <v>CP V</v>
          </cell>
          <cell r="M55" t="str">
            <v>SUPER PLASTIFICANTE</v>
          </cell>
          <cell r="N55" t="str">
            <v>ETE - CLAR. SECUNDARIO</v>
          </cell>
          <cell r="O55" t="str">
            <v>FORTANKS</v>
          </cell>
          <cell r="P55">
            <v>495</v>
          </cell>
          <cell r="Q55" t="str">
            <v>Gean</v>
          </cell>
          <cell r="R55">
            <v>44795</v>
          </cell>
          <cell r="S55">
            <v>0.47916666666666669</v>
          </cell>
          <cell r="T55">
            <v>0.46916666666666668</v>
          </cell>
          <cell r="U55" t="str">
            <v>X</v>
          </cell>
          <cell r="V55">
            <v>0.34722222222222227</v>
          </cell>
          <cell r="W55">
            <v>25.17</v>
          </cell>
          <cell r="X55">
            <v>26.43</v>
          </cell>
          <cell r="Y55">
            <v>0.41666666666666669</v>
          </cell>
          <cell r="Z55">
            <v>86.95</v>
          </cell>
          <cell r="AA55">
            <v>90.21</v>
          </cell>
          <cell r="AH55" t="str">
            <v>X</v>
          </cell>
          <cell r="AI55" t="str">
            <v>X</v>
          </cell>
          <cell r="AN55" t="str">
            <v>X</v>
          </cell>
          <cell r="AO55" t="str">
            <v>X</v>
          </cell>
          <cell r="AW55">
            <v>4</v>
          </cell>
          <cell r="AX55">
            <v>4</v>
          </cell>
          <cell r="AY55">
            <v>2</v>
          </cell>
          <cell r="AZ55">
            <v>2</v>
          </cell>
          <cell r="BB55">
            <v>44796</v>
          </cell>
          <cell r="BG55">
            <v>44795</v>
          </cell>
        </row>
        <row r="56">
          <cell r="A56">
            <v>468</v>
          </cell>
          <cell r="B56">
            <v>80</v>
          </cell>
          <cell r="C56" t="str">
            <v>CANALETAS - PN-270/ PN-271/ PN-272/ PN-273/ PN-274/ PN-276/PN-277/ PNI-293/ PNI-298/ PNK-251</v>
          </cell>
          <cell r="D56">
            <v>9</v>
          </cell>
          <cell r="E56">
            <v>40</v>
          </cell>
          <cell r="F56">
            <v>10</v>
          </cell>
          <cell r="G56">
            <v>40</v>
          </cell>
          <cell r="H56">
            <v>0</v>
          </cell>
          <cell r="I56" t="str">
            <v>-</v>
          </cell>
          <cell r="J56" t="str">
            <v>670/670</v>
          </cell>
          <cell r="K56" t="str">
            <v xml:space="preserve">CPIII 40 RS </v>
          </cell>
          <cell r="L56" t="str">
            <v>CP V</v>
          </cell>
          <cell r="M56" t="str">
            <v>SUPER PLASTIFICANTE</v>
          </cell>
          <cell r="N56" t="str">
            <v>ETE - CLAR. SECUNDARIO</v>
          </cell>
          <cell r="O56" t="str">
            <v>FORTANKS</v>
          </cell>
          <cell r="P56">
            <v>495</v>
          </cell>
          <cell r="Q56" t="str">
            <v>Gean</v>
          </cell>
          <cell r="R56">
            <v>44795</v>
          </cell>
          <cell r="S56">
            <v>0.65972222222222221</v>
          </cell>
          <cell r="T56">
            <v>0.6497222222222222</v>
          </cell>
          <cell r="U56" t="str">
            <v>X</v>
          </cell>
          <cell r="V56">
            <v>0.35625000000000001</v>
          </cell>
          <cell r="W56">
            <v>10.93</v>
          </cell>
          <cell r="X56">
            <v>10.42</v>
          </cell>
          <cell r="Y56">
            <v>0.41666666666666669</v>
          </cell>
          <cell r="Z56">
            <v>86</v>
          </cell>
          <cell r="AA56">
            <v>88.45</v>
          </cell>
          <cell r="AH56" t="str">
            <v>X</v>
          </cell>
          <cell r="AJ56" t="str">
            <v>X</v>
          </cell>
          <cell r="AK56" t="str">
            <v>X</v>
          </cell>
          <cell r="AQ56" t="str">
            <v>X</v>
          </cell>
          <cell r="AW56">
            <v>3</v>
          </cell>
          <cell r="AX56">
            <v>3</v>
          </cell>
          <cell r="AY56">
            <v>2</v>
          </cell>
          <cell r="AZ56">
            <v>4</v>
          </cell>
          <cell r="BB56">
            <v>44796</v>
          </cell>
          <cell r="BG56">
            <v>44795</v>
          </cell>
        </row>
        <row r="57">
          <cell r="A57">
            <v>469</v>
          </cell>
          <cell r="B57">
            <v>81</v>
          </cell>
          <cell r="C57" t="str">
            <v>PF-04/ PF-75</v>
          </cell>
          <cell r="D57">
            <v>7</v>
          </cell>
          <cell r="E57">
            <v>40</v>
          </cell>
          <cell r="F57">
            <v>24</v>
          </cell>
          <cell r="G57">
            <v>40</v>
          </cell>
          <cell r="H57">
            <v>0</v>
          </cell>
          <cell r="I57" t="str">
            <v>-</v>
          </cell>
          <cell r="J57" t="str">
            <v>650/650</v>
          </cell>
          <cell r="K57" t="str">
            <v xml:space="preserve">CPIII 40 RS </v>
          </cell>
          <cell r="L57" t="str">
            <v>CP V</v>
          </cell>
          <cell r="M57" t="str">
            <v>SUPER PLASTIFICANTE</v>
          </cell>
          <cell r="N57" t="str">
            <v>ETE - CLAR. SECUNDARIO / PRIMARIO</v>
          </cell>
          <cell r="O57" t="str">
            <v>FORTANKS</v>
          </cell>
          <cell r="P57">
            <v>495</v>
          </cell>
          <cell r="Q57" t="str">
            <v>Gean</v>
          </cell>
          <cell r="R57">
            <v>44796</v>
          </cell>
          <cell r="S57">
            <v>0.3611111111111111</v>
          </cell>
          <cell r="T57">
            <v>0.3511111111111111</v>
          </cell>
          <cell r="U57" t="str">
            <v>X</v>
          </cell>
          <cell r="V57">
            <v>0.34375</v>
          </cell>
          <cell r="W57">
            <v>29.83</v>
          </cell>
          <cell r="X57">
            <v>27.83</v>
          </cell>
          <cell r="Y57">
            <v>0.41666666666666669</v>
          </cell>
          <cell r="Z57">
            <v>87.98</v>
          </cell>
          <cell r="AA57">
            <v>86.59</v>
          </cell>
          <cell r="AH57" t="str">
            <v>X</v>
          </cell>
          <cell r="AJ57" t="str">
            <v>X</v>
          </cell>
          <cell r="AK57" t="str">
            <v>X</v>
          </cell>
          <cell r="AQ57" t="str">
            <v>X</v>
          </cell>
          <cell r="AW57">
            <v>3</v>
          </cell>
          <cell r="AX57">
            <v>3</v>
          </cell>
          <cell r="AY57">
            <v>2</v>
          </cell>
          <cell r="AZ57">
            <v>4</v>
          </cell>
          <cell r="BB57">
            <v>44797</v>
          </cell>
          <cell r="BG57">
            <v>44796</v>
          </cell>
        </row>
        <row r="58">
          <cell r="A58">
            <v>470</v>
          </cell>
          <cell r="B58">
            <v>82</v>
          </cell>
          <cell r="C58" t="str">
            <v>CANALETAS - PF-04/ PF-75</v>
          </cell>
          <cell r="D58">
            <v>2</v>
          </cell>
          <cell r="E58">
            <v>40</v>
          </cell>
          <cell r="F58">
            <v>10</v>
          </cell>
          <cell r="G58">
            <v>40</v>
          </cell>
          <cell r="H58">
            <v>0</v>
          </cell>
          <cell r="I58" t="str">
            <v>-</v>
          </cell>
          <cell r="J58" t="str">
            <v>650/650</v>
          </cell>
          <cell r="K58" t="str">
            <v xml:space="preserve">CPIII 40 RS </v>
          </cell>
          <cell r="L58" t="str">
            <v>CP V</v>
          </cell>
          <cell r="M58" t="str">
            <v>SUPER PLASTIFICANTE</v>
          </cell>
          <cell r="N58" t="str">
            <v>ETE - CLAR. SECUNDARIO / PRIMARIO</v>
          </cell>
          <cell r="O58" t="str">
            <v>FORTANKS</v>
          </cell>
          <cell r="P58">
            <v>512</v>
          </cell>
          <cell r="Q58" t="str">
            <v>Gean</v>
          </cell>
          <cell r="R58">
            <v>44796</v>
          </cell>
          <cell r="S58">
            <v>0.60416666666666663</v>
          </cell>
          <cell r="T58">
            <v>0.59416666666666662</v>
          </cell>
          <cell r="U58" t="str">
            <v>X</v>
          </cell>
          <cell r="V58">
            <v>0.35416666666666669</v>
          </cell>
          <cell r="W58">
            <v>14.66</v>
          </cell>
          <cell r="X58" t="str">
            <v>-</v>
          </cell>
          <cell r="Y58">
            <v>0.41666666666666669</v>
          </cell>
          <cell r="Z58">
            <v>87.52</v>
          </cell>
          <cell r="AA58">
            <v>89.21</v>
          </cell>
          <cell r="AF58" t="str">
            <v>X</v>
          </cell>
          <cell r="AL58" t="str">
            <v>X</v>
          </cell>
          <cell r="AQ58" t="str">
            <v>X</v>
          </cell>
          <cell r="AW58">
            <v>2</v>
          </cell>
          <cell r="AX58">
            <v>0</v>
          </cell>
          <cell r="AY58">
            <v>3</v>
          </cell>
          <cell r="AZ58">
            <v>4</v>
          </cell>
          <cell r="BB58">
            <v>44797</v>
          </cell>
          <cell r="BG58">
            <v>44796</v>
          </cell>
        </row>
        <row r="59">
          <cell r="A59">
            <v>471</v>
          </cell>
          <cell r="B59">
            <v>83</v>
          </cell>
          <cell r="C59" t="str">
            <v>PN-278/ PN-279/ PN-280/ PN-282(30%)</v>
          </cell>
          <cell r="D59">
            <v>8</v>
          </cell>
          <cell r="E59">
            <v>40</v>
          </cell>
          <cell r="F59">
            <v>24</v>
          </cell>
          <cell r="G59">
            <v>40</v>
          </cell>
          <cell r="H59">
            <v>0</v>
          </cell>
          <cell r="I59" t="str">
            <v>-</v>
          </cell>
          <cell r="J59" t="str">
            <v>650/660</v>
          </cell>
          <cell r="K59" t="str">
            <v xml:space="preserve">CPIII 40 RS </v>
          </cell>
          <cell r="L59" t="str">
            <v>CP V</v>
          </cell>
          <cell r="M59" t="str">
            <v>SUPER PLASTIFICANTE</v>
          </cell>
          <cell r="N59" t="str">
            <v>ETE - CLAR. SECUNDARIO</v>
          </cell>
          <cell r="O59" t="str">
            <v>FORTANKS</v>
          </cell>
          <cell r="P59">
            <v>495</v>
          </cell>
          <cell r="Q59" t="str">
            <v>Gean</v>
          </cell>
          <cell r="R59">
            <v>44798</v>
          </cell>
          <cell r="S59">
            <v>0.375</v>
          </cell>
          <cell r="T59">
            <v>0.36499999999999999</v>
          </cell>
          <cell r="U59" t="str">
            <v>X</v>
          </cell>
          <cell r="V59">
            <v>0.375</v>
          </cell>
          <cell r="W59">
            <v>26.38</v>
          </cell>
          <cell r="X59">
            <v>31.08</v>
          </cell>
          <cell r="Y59">
            <v>0.41666666666666669</v>
          </cell>
          <cell r="Z59">
            <v>88.23</v>
          </cell>
          <cell r="AA59">
            <v>87</v>
          </cell>
          <cell r="AG59" t="str">
            <v>X</v>
          </cell>
          <cell r="AH59" t="str">
            <v>X</v>
          </cell>
          <cell r="AJ59" t="str">
            <v>X</v>
          </cell>
          <cell r="AM59" t="str">
            <v>X</v>
          </cell>
          <cell r="AW59">
            <v>3</v>
          </cell>
          <cell r="AX59">
            <v>2</v>
          </cell>
          <cell r="AY59">
            <v>2</v>
          </cell>
          <cell r="AZ59">
            <v>3</v>
          </cell>
          <cell r="BB59">
            <v>44799</v>
          </cell>
          <cell r="BG59">
            <v>44798</v>
          </cell>
        </row>
        <row r="60">
          <cell r="A60">
            <v>472</v>
          </cell>
          <cell r="B60">
            <v>84</v>
          </cell>
          <cell r="C60" t="str">
            <v>PN-282(70%)/ PN-283/ PN-284/ PN-285(60%)</v>
          </cell>
          <cell r="D60">
            <v>8</v>
          </cell>
          <cell r="E60">
            <v>40</v>
          </cell>
          <cell r="F60">
            <v>24</v>
          </cell>
          <cell r="G60">
            <v>40</v>
          </cell>
          <cell r="H60">
            <v>0</v>
          </cell>
          <cell r="I60" t="str">
            <v>-</v>
          </cell>
          <cell r="J60" t="str">
            <v>660/660</v>
          </cell>
          <cell r="K60" t="str">
            <v xml:space="preserve">CPIII 40 RS </v>
          </cell>
          <cell r="L60" t="str">
            <v>CP V</v>
          </cell>
          <cell r="M60" t="str">
            <v>SUPER PLASTIFICANTE</v>
          </cell>
          <cell r="N60" t="str">
            <v>ETE - CLAR. SECUNDARIO</v>
          </cell>
          <cell r="O60" t="str">
            <v>FORTANKS</v>
          </cell>
          <cell r="P60">
            <v>512</v>
          </cell>
          <cell r="Q60" t="str">
            <v>Gean</v>
          </cell>
          <cell r="R60">
            <v>44798</v>
          </cell>
          <cell r="S60">
            <v>0.39583333333333331</v>
          </cell>
          <cell r="T60">
            <v>0.38583333333333331</v>
          </cell>
          <cell r="U60" t="str">
            <v>X</v>
          </cell>
          <cell r="V60">
            <v>0.3576388888888889</v>
          </cell>
          <cell r="W60">
            <v>27.99</v>
          </cell>
          <cell r="X60">
            <v>28.75</v>
          </cell>
          <cell r="Y60">
            <v>0.41666666666666669</v>
          </cell>
          <cell r="Z60">
            <v>82.32</v>
          </cell>
          <cell r="AA60">
            <v>83.21</v>
          </cell>
          <cell r="AJ60" t="str">
            <v>X</v>
          </cell>
          <cell r="AK60" t="str">
            <v>X</v>
          </cell>
          <cell r="AP60" t="str">
            <v>X</v>
          </cell>
          <cell r="AQ60" t="str">
            <v>X</v>
          </cell>
          <cell r="AW60">
            <v>3</v>
          </cell>
          <cell r="AX60">
            <v>3</v>
          </cell>
          <cell r="AY60">
            <v>4</v>
          </cell>
          <cell r="AZ60">
            <v>4</v>
          </cell>
          <cell r="BB60">
            <v>44799</v>
          </cell>
          <cell r="BG60">
            <v>44798</v>
          </cell>
        </row>
        <row r="61">
          <cell r="A61">
            <v>473</v>
          </cell>
          <cell r="B61">
            <v>85</v>
          </cell>
          <cell r="C61" t="str">
            <v>PN-285(40%)/ PN-286/ PNH-264/ PN-288</v>
          </cell>
          <cell r="D61">
            <v>8</v>
          </cell>
          <cell r="E61">
            <v>40</v>
          </cell>
          <cell r="F61">
            <v>24</v>
          </cell>
          <cell r="G61">
            <v>40</v>
          </cell>
          <cell r="H61">
            <v>0</v>
          </cell>
          <cell r="I61" t="str">
            <v>-</v>
          </cell>
          <cell r="J61" t="str">
            <v>670/670</v>
          </cell>
          <cell r="K61" t="str">
            <v xml:space="preserve">CPIII 40 RS </v>
          </cell>
          <cell r="L61" t="str">
            <v>CP V</v>
          </cell>
          <cell r="M61" t="str">
            <v>SUPER PLASTIFICANTE</v>
          </cell>
          <cell r="N61" t="str">
            <v>ETE - CLAR. SECUNDARIO</v>
          </cell>
          <cell r="O61" t="str">
            <v>FORTANKS</v>
          </cell>
          <cell r="P61">
            <v>495</v>
          </cell>
          <cell r="Q61" t="str">
            <v>Gean</v>
          </cell>
          <cell r="R61">
            <v>44798</v>
          </cell>
          <cell r="S61">
            <v>0.45833333333333331</v>
          </cell>
          <cell r="T61">
            <v>0.44833333333333331</v>
          </cell>
          <cell r="U61" t="str">
            <v>X</v>
          </cell>
          <cell r="V61">
            <v>0.3611111111111111</v>
          </cell>
          <cell r="W61">
            <v>32.479999999999997</v>
          </cell>
          <cell r="X61">
            <v>32.79</v>
          </cell>
          <cell r="Y61">
            <v>0.41666666666666669</v>
          </cell>
          <cell r="Z61">
            <v>86.6</v>
          </cell>
          <cell r="AA61">
            <v>87.23</v>
          </cell>
          <cell r="AJ61" t="str">
            <v>X</v>
          </cell>
          <cell r="AL61" t="str">
            <v>X</v>
          </cell>
          <cell r="AM61" t="str">
            <v>X</v>
          </cell>
          <cell r="AO61" t="str">
            <v>X</v>
          </cell>
          <cell r="AW61">
            <v>3</v>
          </cell>
          <cell r="AX61">
            <v>4</v>
          </cell>
          <cell r="AY61">
            <v>3</v>
          </cell>
          <cell r="AZ61">
            <v>3</v>
          </cell>
          <cell r="BB61">
            <v>44799</v>
          </cell>
          <cell r="BG61">
            <v>44798</v>
          </cell>
        </row>
        <row r="62">
          <cell r="A62">
            <v>474</v>
          </cell>
          <cell r="B62">
            <v>86</v>
          </cell>
          <cell r="C62" t="str">
            <v>CANALETAS - PN-278/ PN-279/PN-280/ PN-282/ PN-283/ PN-284/ PN-285/ PN-286/ PNH-264/ PN-288</v>
          </cell>
          <cell r="D62">
            <v>9</v>
          </cell>
          <cell r="E62">
            <v>40</v>
          </cell>
          <cell r="F62">
            <v>10</v>
          </cell>
          <cell r="G62">
            <v>40</v>
          </cell>
          <cell r="H62">
            <v>0</v>
          </cell>
          <cell r="I62" t="str">
            <v>-</v>
          </cell>
          <cell r="J62" t="str">
            <v>670/670</v>
          </cell>
          <cell r="K62" t="str">
            <v xml:space="preserve">CPIII 40 RS </v>
          </cell>
          <cell r="L62" t="str">
            <v>CP V</v>
          </cell>
          <cell r="M62" t="str">
            <v>SUPER PLASTIFICANTE</v>
          </cell>
          <cell r="N62" t="str">
            <v>ETE - CLAR. SECUNDARIO</v>
          </cell>
          <cell r="O62" t="str">
            <v>FORTANKS</v>
          </cell>
          <cell r="P62">
            <v>495</v>
          </cell>
          <cell r="Q62" t="str">
            <v>Gean</v>
          </cell>
          <cell r="R62">
            <v>44798</v>
          </cell>
          <cell r="S62">
            <v>0.625</v>
          </cell>
          <cell r="T62">
            <v>0.61499999999999999</v>
          </cell>
          <cell r="U62" t="str">
            <v>X</v>
          </cell>
          <cell r="V62">
            <v>0.36805555555555558</v>
          </cell>
          <cell r="W62">
            <v>14.18</v>
          </cell>
          <cell r="X62" t="str">
            <v>-</v>
          </cell>
          <cell r="Y62">
            <v>0.41666666666666669</v>
          </cell>
          <cell r="Z62">
            <v>87.23</v>
          </cell>
          <cell r="AA62">
            <v>83.26</v>
          </cell>
          <cell r="AH62" t="str">
            <v>X</v>
          </cell>
          <cell r="AI62" t="str">
            <v>X</v>
          </cell>
          <cell r="AJ62" t="str">
            <v>X</v>
          </cell>
          <cell r="AW62">
            <v>3</v>
          </cell>
          <cell r="AX62">
            <v>0</v>
          </cell>
          <cell r="AY62">
            <v>2</v>
          </cell>
          <cell r="AZ62">
            <v>2</v>
          </cell>
          <cell r="BB62">
            <v>44799</v>
          </cell>
          <cell r="BG62">
            <v>44798</v>
          </cell>
        </row>
        <row r="63">
          <cell r="A63">
            <v>475</v>
          </cell>
          <cell r="B63">
            <v>87</v>
          </cell>
          <cell r="C63" t="str">
            <v>PN-289/ PN-290/ PN-291/ PN-292(20%)</v>
          </cell>
          <cell r="D63">
            <v>8</v>
          </cell>
          <cell r="E63">
            <v>40</v>
          </cell>
          <cell r="F63">
            <v>24</v>
          </cell>
          <cell r="G63">
            <v>40</v>
          </cell>
          <cell r="H63">
            <v>0</v>
          </cell>
          <cell r="I63" t="str">
            <v>-</v>
          </cell>
          <cell r="J63" t="str">
            <v>650/650</v>
          </cell>
          <cell r="K63" t="str">
            <v xml:space="preserve">CPIII 40 RS </v>
          </cell>
          <cell r="L63" t="str">
            <v>CP V</v>
          </cell>
          <cell r="M63" t="str">
            <v>SUPER PLASTIFICANTE</v>
          </cell>
          <cell r="N63" t="str">
            <v>ETE - CLAR. SECUNDARIO</v>
          </cell>
          <cell r="O63" t="str">
            <v>FORTANKS</v>
          </cell>
          <cell r="P63">
            <v>512</v>
          </cell>
          <cell r="Q63" t="str">
            <v>Gean</v>
          </cell>
          <cell r="R63">
            <v>44802</v>
          </cell>
          <cell r="S63">
            <v>0.4236111111111111</v>
          </cell>
          <cell r="T63">
            <v>0.4136111111111111</v>
          </cell>
          <cell r="U63" t="str">
            <v>X</v>
          </cell>
          <cell r="V63">
            <v>0.54166666666666663</v>
          </cell>
          <cell r="W63">
            <v>24.28</v>
          </cell>
          <cell r="X63">
            <v>27.88</v>
          </cell>
          <cell r="Y63">
            <v>0.41666666666666669</v>
          </cell>
          <cell r="Z63">
            <v>77.52</v>
          </cell>
          <cell r="AA63">
            <v>76.23</v>
          </cell>
          <cell r="AL63" t="str">
            <v>X</v>
          </cell>
          <cell r="AM63" t="str">
            <v>X</v>
          </cell>
          <cell r="AN63" t="str">
            <v>X</v>
          </cell>
          <cell r="AO63" t="str">
            <v>X</v>
          </cell>
          <cell r="AW63">
            <v>4</v>
          </cell>
          <cell r="AX63">
            <v>4</v>
          </cell>
          <cell r="AY63">
            <v>3</v>
          </cell>
          <cell r="AZ63">
            <v>3</v>
          </cell>
          <cell r="BB63">
            <v>44803</v>
          </cell>
          <cell r="BG63">
            <v>44802</v>
          </cell>
        </row>
        <row r="64">
          <cell r="A64">
            <v>476</v>
          </cell>
          <cell r="B64">
            <v>88</v>
          </cell>
          <cell r="C64" t="str">
            <v>PN-292(80%)/ PN-294/ PN-295/PN-296(20%)</v>
          </cell>
          <cell r="D64">
            <v>8</v>
          </cell>
          <cell r="E64">
            <v>40</v>
          </cell>
          <cell r="F64">
            <v>24</v>
          </cell>
          <cell r="G64">
            <v>40</v>
          </cell>
          <cell r="H64">
            <v>0</v>
          </cell>
          <cell r="I64" t="str">
            <v>-</v>
          </cell>
          <cell r="J64" t="str">
            <v>660/660</v>
          </cell>
          <cell r="K64" t="str">
            <v xml:space="preserve">CPIII 40 RS </v>
          </cell>
          <cell r="L64" t="str">
            <v>CP V</v>
          </cell>
          <cell r="M64" t="str">
            <v>SUPER PLASTIFICANTE</v>
          </cell>
          <cell r="N64" t="str">
            <v>ETE - CLAR. SECUNDARIO</v>
          </cell>
          <cell r="O64" t="str">
            <v>FORTANKS</v>
          </cell>
          <cell r="P64">
            <v>495</v>
          </cell>
          <cell r="Q64" t="str">
            <v>Gean</v>
          </cell>
          <cell r="R64">
            <v>44802</v>
          </cell>
          <cell r="S64">
            <v>0.43402777777777773</v>
          </cell>
          <cell r="T64">
            <v>0.42402777777777773</v>
          </cell>
          <cell r="U64" t="str">
            <v>X</v>
          </cell>
          <cell r="V64">
            <v>0.54861111111111105</v>
          </cell>
          <cell r="W64">
            <v>22.78</v>
          </cell>
          <cell r="X64">
            <v>27.59</v>
          </cell>
          <cell r="Y64">
            <v>0.41666666666666669</v>
          </cell>
          <cell r="Z64">
            <v>78.63</v>
          </cell>
          <cell r="AA64">
            <v>79.12</v>
          </cell>
          <cell r="AL64" t="str">
            <v>X</v>
          </cell>
          <cell r="AN64" t="str">
            <v>X</v>
          </cell>
          <cell r="AO64" t="str">
            <v>X</v>
          </cell>
          <cell r="AQ64" t="str">
            <v>X</v>
          </cell>
          <cell r="AW64">
            <v>4</v>
          </cell>
          <cell r="AX64">
            <v>4</v>
          </cell>
          <cell r="AY64">
            <v>3</v>
          </cell>
          <cell r="AZ64">
            <v>4</v>
          </cell>
          <cell r="BB64">
            <v>44803</v>
          </cell>
          <cell r="BG64">
            <v>44802</v>
          </cell>
        </row>
        <row r="65">
          <cell r="A65">
            <v>477</v>
          </cell>
          <cell r="B65">
            <v>89</v>
          </cell>
          <cell r="C65" t="str">
            <v>PN-296(80%)/ PN-297/ PN-299/PN-300</v>
          </cell>
          <cell r="D65">
            <v>8.5</v>
          </cell>
          <cell r="E65">
            <v>40</v>
          </cell>
          <cell r="F65">
            <v>24</v>
          </cell>
          <cell r="G65">
            <v>40</v>
          </cell>
          <cell r="H65">
            <v>0</v>
          </cell>
          <cell r="I65" t="str">
            <v>-</v>
          </cell>
          <cell r="J65" t="str">
            <v>680/660</v>
          </cell>
          <cell r="K65" t="str">
            <v xml:space="preserve">CPIII 40 RS </v>
          </cell>
          <cell r="L65" t="str">
            <v>CP V</v>
          </cell>
          <cell r="M65" t="str">
            <v>SUPER PLASTIFICANTE</v>
          </cell>
          <cell r="N65" t="str">
            <v>ETE - CLAR. SECUNDARIO</v>
          </cell>
          <cell r="O65" t="str">
            <v>FORTANKS</v>
          </cell>
          <cell r="P65">
            <v>512</v>
          </cell>
          <cell r="Q65" t="str">
            <v>Gean</v>
          </cell>
          <cell r="R65">
            <v>44802</v>
          </cell>
          <cell r="S65">
            <v>0.47916666666666669</v>
          </cell>
          <cell r="T65">
            <v>0.46916666666666668</v>
          </cell>
          <cell r="U65" t="str">
            <v>X</v>
          </cell>
          <cell r="V65">
            <v>0.54861111111111105</v>
          </cell>
          <cell r="W65">
            <v>28.44</v>
          </cell>
          <cell r="X65">
            <v>27.28</v>
          </cell>
          <cell r="Y65">
            <v>0.41666666666666669</v>
          </cell>
          <cell r="Z65">
            <v>79.23</v>
          </cell>
          <cell r="AA65">
            <v>80</v>
          </cell>
          <cell r="AC65" t="str">
            <v>X</v>
          </cell>
          <cell r="AL65" t="str">
            <v>X</v>
          </cell>
          <cell r="AQ65" t="str">
            <v>X</v>
          </cell>
          <cell r="AR65" t="str">
            <v>X</v>
          </cell>
          <cell r="AW65">
            <v>5</v>
          </cell>
          <cell r="AX65">
            <v>1</v>
          </cell>
          <cell r="AY65">
            <v>3</v>
          </cell>
          <cell r="AZ65">
            <v>4</v>
          </cell>
          <cell r="BB65">
            <v>44803</v>
          </cell>
          <cell r="BG65">
            <v>44802</v>
          </cell>
        </row>
        <row r="66">
          <cell r="A66">
            <v>478</v>
          </cell>
          <cell r="B66">
            <v>90</v>
          </cell>
          <cell r="C66" t="str">
            <v>CANALETAS - PN-289/ PN-290/PN-291/PN-292/PN-294/PN-295/PN-296/PN-297/PN-299/PN-300</v>
          </cell>
          <cell r="D66">
            <v>9</v>
          </cell>
          <cell r="E66">
            <v>40</v>
          </cell>
          <cell r="F66">
            <v>10</v>
          </cell>
          <cell r="G66">
            <v>40</v>
          </cell>
          <cell r="H66">
            <v>0</v>
          </cell>
          <cell r="I66" t="str">
            <v>-</v>
          </cell>
          <cell r="J66" t="str">
            <v>680/670</v>
          </cell>
          <cell r="K66" t="str">
            <v xml:space="preserve">CPIII 40 RS </v>
          </cell>
          <cell r="L66" t="str">
            <v>CP V</v>
          </cell>
          <cell r="M66" t="str">
            <v>SUPER PLASTIFICANTE</v>
          </cell>
          <cell r="N66" t="str">
            <v>ETE - CLAR. SECUNDARIO</v>
          </cell>
          <cell r="O66" t="str">
            <v>FORTANKS</v>
          </cell>
          <cell r="P66">
            <v>495</v>
          </cell>
          <cell r="Q66" t="str">
            <v>Gean</v>
          </cell>
          <cell r="R66">
            <v>44802</v>
          </cell>
          <cell r="S66">
            <v>0.66666666666666663</v>
          </cell>
          <cell r="T66">
            <v>0.65666666666666662</v>
          </cell>
          <cell r="U66" t="str">
            <v>X</v>
          </cell>
          <cell r="V66">
            <v>0.55208333333333337</v>
          </cell>
          <cell r="W66">
            <v>10.01</v>
          </cell>
          <cell r="X66" t="str">
            <v>-</v>
          </cell>
          <cell r="Y66">
            <v>0.41666666666666669</v>
          </cell>
          <cell r="Z66">
            <v>80.12</v>
          </cell>
          <cell r="AA66">
            <v>80</v>
          </cell>
          <cell r="AJ66" t="str">
            <v>X</v>
          </cell>
          <cell r="AK66" t="str">
            <v>-</v>
          </cell>
          <cell r="AL66" t="str">
            <v>X</v>
          </cell>
          <cell r="AQ66" t="str">
            <v>X</v>
          </cell>
          <cell r="AW66">
            <v>3</v>
          </cell>
          <cell r="AX66">
            <v>0</v>
          </cell>
          <cell r="AY66">
            <v>3</v>
          </cell>
          <cell r="AZ66">
            <v>4</v>
          </cell>
          <cell r="BB66">
            <v>44803</v>
          </cell>
          <cell r="BG66">
            <v>44802</v>
          </cell>
        </row>
        <row r="67">
          <cell r="A67">
            <v>479</v>
          </cell>
          <cell r="B67">
            <v>91</v>
          </cell>
          <cell r="C67" t="str">
            <v>PF-35/ PF-68</v>
          </cell>
          <cell r="D67">
            <v>7</v>
          </cell>
          <cell r="E67">
            <v>40</v>
          </cell>
          <cell r="F67">
            <v>24</v>
          </cell>
          <cell r="G67">
            <v>40</v>
          </cell>
          <cell r="H67">
            <v>0</v>
          </cell>
          <cell r="I67" t="str">
            <v>-</v>
          </cell>
          <cell r="J67" t="str">
            <v>650/650</v>
          </cell>
          <cell r="K67" t="str">
            <v xml:space="preserve">CPIII 40 RS </v>
          </cell>
          <cell r="L67" t="str">
            <v>CP V</v>
          </cell>
          <cell r="M67" t="str">
            <v>SUPER PLASTIFICANTE</v>
          </cell>
          <cell r="N67" t="str">
            <v>ETE - CLAR. SECUNDARIO</v>
          </cell>
          <cell r="O67" t="str">
            <v>FORTANKS</v>
          </cell>
          <cell r="P67">
            <v>495</v>
          </cell>
          <cell r="Q67" t="str">
            <v>Gean</v>
          </cell>
          <cell r="R67">
            <v>44803</v>
          </cell>
          <cell r="S67">
            <v>0.43055555555555558</v>
          </cell>
          <cell r="T67">
            <v>0.42055555555555557</v>
          </cell>
          <cell r="U67" t="str">
            <v>X</v>
          </cell>
          <cell r="V67">
            <v>0.5625</v>
          </cell>
          <cell r="W67">
            <v>26.73</v>
          </cell>
          <cell r="X67">
            <v>25.49</v>
          </cell>
          <cell r="Y67">
            <v>0.41666666666666669</v>
          </cell>
          <cell r="Z67">
            <v>81.03</v>
          </cell>
          <cell r="AA67">
            <v>84.58</v>
          </cell>
          <cell r="AG67" t="str">
            <v>X</v>
          </cell>
          <cell r="AJ67" t="str">
            <v>X</v>
          </cell>
          <cell r="AL67" t="str">
            <v>X</v>
          </cell>
          <cell r="AM67" t="str">
            <v>X</v>
          </cell>
          <cell r="AW67">
            <v>3</v>
          </cell>
          <cell r="AX67">
            <v>2</v>
          </cell>
          <cell r="AY67">
            <v>3</v>
          </cell>
          <cell r="AZ67">
            <v>3</v>
          </cell>
          <cell r="BB67">
            <v>44804</v>
          </cell>
          <cell r="BG67">
            <v>44803</v>
          </cell>
        </row>
        <row r="68">
          <cell r="A68">
            <v>480</v>
          </cell>
          <cell r="B68">
            <v>92</v>
          </cell>
          <cell r="C68" t="str">
            <v>CANALETAS - PF-35/ PF-68</v>
          </cell>
          <cell r="D68">
            <v>2</v>
          </cell>
          <cell r="E68">
            <v>40</v>
          </cell>
          <cell r="F68">
            <v>10</v>
          </cell>
          <cell r="G68">
            <v>40</v>
          </cell>
          <cell r="H68">
            <v>0</v>
          </cell>
          <cell r="I68" t="str">
            <v>-</v>
          </cell>
          <cell r="J68" t="str">
            <v>660/660</v>
          </cell>
          <cell r="K68" t="str">
            <v xml:space="preserve">CPIII 40 RS </v>
          </cell>
          <cell r="L68" t="str">
            <v>CP V</v>
          </cell>
          <cell r="M68" t="str">
            <v>SUPER PLASTIFICANTE</v>
          </cell>
          <cell r="N68" t="str">
            <v>ETE - CLAR. SECUNDARIO</v>
          </cell>
          <cell r="O68" t="str">
            <v>FORTANKS</v>
          </cell>
          <cell r="P68">
            <v>495</v>
          </cell>
          <cell r="Q68" t="str">
            <v>Gean</v>
          </cell>
          <cell r="R68">
            <v>44803</v>
          </cell>
          <cell r="S68">
            <v>0.60069444444444442</v>
          </cell>
          <cell r="T68">
            <v>0.59069444444444441</v>
          </cell>
          <cell r="U68" t="str">
            <v>X</v>
          </cell>
          <cell r="V68">
            <v>0.5625</v>
          </cell>
          <cell r="W68">
            <v>14.38</v>
          </cell>
          <cell r="X68" t="str">
            <v>-</v>
          </cell>
          <cell r="Y68">
            <v>0.41666666666666669</v>
          </cell>
          <cell r="Z68">
            <v>82.12</v>
          </cell>
          <cell r="AA68">
            <v>86</v>
          </cell>
          <cell r="AF68" t="str">
            <v>X</v>
          </cell>
          <cell r="AG68" t="str">
            <v>-</v>
          </cell>
          <cell r="AP68" t="str">
            <v>X</v>
          </cell>
          <cell r="AQ68" t="str">
            <v>X</v>
          </cell>
          <cell r="AW68">
            <v>2</v>
          </cell>
          <cell r="AX68">
            <v>0</v>
          </cell>
          <cell r="AY68">
            <v>4</v>
          </cell>
          <cell r="AZ68">
            <v>4</v>
          </cell>
          <cell r="BB68">
            <v>44804</v>
          </cell>
          <cell r="BG68">
            <v>44803</v>
          </cell>
        </row>
        <row r="69">
          <cell r="A69">
            <v>481</v>
          </cell>
          <cell r="B69">
            <v>93</v>
          </cell>
          <cell r="C69" t="str">
            <v>PF-104/ PF-135</v>
          </cell>
          <cell r="D69">
            <v>7</v>
          </cell>
          <cell r="E69">
            <v>40</v>
          </cell>
          <cell r="F69">
            <v>24</v>
          </cell>
          <cell r="G69">
            <v>40</v>
          </cell>
          <cell r="H69">
            <v>0</v>
          </cell>
          <cell r="I69" t="str">
            <v>-</v>
          </cell>
          <cell r="J69" t="str">
            <v>650/650</v>
          </cell>
          <cell r="K69" t="str">
            <v xml:space="preserve">CPIII 40 RS </v>
          </cell>
          <cell r="L69" t="str">
            <v>CP V</v>
          </cell>
          <cell r="M69" t="str">
            <v>SUPER PLASTIFICANTE</v>
          </cell>
          <cell r="N69" t="str">
            <v>ETE - CLAR. SECUNDARIO</v>
          </cell>
          <cell r="O69" t="str">
            <v>FORTANKS</v>
          </cell>
          <cell r="P69">
            <v>495</v>
          </cell>
          <cell r="Q69" t="str">
            <v>Gean</v>
          </cell>
          <cell r="R69">
            <v>44809</v>
          </cell>
          <cell r="S69">
            <v>0.3888888888888889</v>
          </cell>
          <cell r="T69">
            <v>0.37888888888888889</v>
          </cell>
          <cell r="U69" t="str">
            <v>X</v>
          </cell>
          <cell r="V69">
            <v>0.34375</v>
          </cell>
          <cell r="W69">
            <v>26.85</v>
          </cell>
          <cell r="X69">
            <v>24.13</v>
          </cell>
          <cell r="Y69">
            <v>0.41666666666666669</v>
          </cell>
          <cell r="Z69">
            <v>78</v>
          </cell>
          <cell r="AA69">
            <v>77.25</v>
          </cell>
          <cell r="AK69" t="str">
            <v>X</v>
          </cell>
          <cell r="AN69" t="str">
            <v>X</v>
          </cell>
          <cell r="AW69">
            <v>4</v>
          </cell>
          <cell r="AX69">
            <v>3</v>
          </cell>
          <cell r="AY69">
            <v>0</v>
          </cell>
          <cell r="AZ69">
            <v>0</v>
          </cell>
          <cell r="BB69">
            <v>44810</v>
          </cell>
          <cell r="BG69">
            <v>44809</v>
          </cell>
        </row>
        <row r="70">
          <cell r="A70">
            <v>482</v>
          </cell>
          <cell r="B70">
            <v>94</v>
          </cell>
          <cell r="C70" t="str">
            <v>CANALETAS - PF-104/PF-135</v>
          </cell>
          <cell r="D70">
            <v>2</v>
          </cell>
          <cell r="E70">
            <v>40</v>
          </cell>
          <cell r="F70">
            <v>10</v>
          </cell>
          <cell r="G70">
            <v>40</v>
          </cell>
          <cell r="H70">
            <v>0</v>
          </cell>
          <cell r="I70" t="str">
            <v>-</v>
          </cell>
          <cell r="J70" t="str">
            <v>650/660</v>
          </cell>
          <cell r="K70" t="str">
            <v xml:space="preserve">CPIII 40 RS </v>
          </cell>
          <cell r="L70" t="str">
            <v>CP V</v>
          </cell>
          <cell r="M70" t="str">
            <v>SUPER PLASTIFICANTE</v>
          </cell>
          <cell r="N70" t="str">
            <v>ETE - CLAR. SECUNDARIO</v>
          </cell>
          <cell r="O70" t="str">
            <v>FORTANKS</v>
          </cell>
          <cell r="P70">
            <v>495</v>
          </cell>
          <cell r="Q70" t="str">
            <v>Gean</v>
          </cell>
          <cell r="R70">
            <v>44809</v>
          </cell>
          <cell r="S70">
            <v>0.625</v>
          </cell>
          <cell r="T70">
            <v>0.61499999999999999</v>
          </cell>
          <cell r="U70" t="str">
            <v>X</v>
          </cell>
          <cell r="V70">
            <v>0.34722222222222227</v>
          </cell>
          <cell r="W70">
            <v>13.36</v>
          </cell>
          <cell r="X70" t="str">
            <v>-</v>
          </cell>
          <cell r="Y70">
            <v>0.41666666666666669</v>
          </cell>
          <cell r="Z70">
            <v>78.25</v>
          </cell>
          <cell r="AA70">
            <v>77.260000000000005</v>
          </cell>
          <cell r="AF70" t="str">
            <v>X</v>
          </cell>
          <cell r="AG70" t="str">
            <v>-</v>
          </cell>
          <cell r="AL70" t="str">
            <v>X</v>
          </cell>
          <cell r="AM70" t="str">
            <v>X</v>
          </cell>
          <cell r="AW70">
            <v>2</v>
          </cell>
          <cell r="AX70">
            <v>0</v>
          </cell>
          <cell r="AY70">
            <v>3</v>
          </cell>
          <cell r="AZ70">
            <v>3</v>
          </cell>
          <cell r="BB70">
            <v>44810</v>
          </cell>
          <cell r="BG70">
            <v>44809</v>
          </cell>
        </row>
        <row r="71">
          <cell r="A71">
            <v>483</v>
          </cell>
          <cell r="B71">
            <v>95</v>
          </cell>
          <cell r="C71" t="str">
            <v>PF-168/PF-204</v>
          </cell>
          <cell r="D71">
            <v>7</v>
          </cell>
          <cell r="E71">
            <v>40</v>
          </cell>
          <cell r="F71">
            <v>24</v>
          </cell>
          <cell r="G71">
            <v>40</v>
          </cell>
          <cell r="H71">
            <v>0</v>
          </cell>
          <cell r="I71" t="str">
            <v>-</v>
          </cell>
          <cell r="J71" t="str">
            <v>650/650</v>
          </cell>
          <cell r="K71" t="str">
            <v xml:space="preserve">CPIII 40 RS </v>
          </cell>
          <cell r="L71" t="str">
            <v>CP V</v>
          </cell>
          <cell r="M71" t="str">
            <v>SUPER PLASTIFICANTE</v>
          </cell>
          <cell r="N71" t="str">
            <v>ETE - CLAR. SECUNDARIO</v>
          </cell>
          <cell r="O71" t="str">
            <v>FORTANKS</v>
          </cell>
          <cell r="P71">
            <v>495</v>
          </cell>
          <cell r="Q71" t="str">
            <v>Gean</v>
          </cell>
          <cell r="R71">
            <v>44816</v>
          </cell>
          <cell r="S71">
            <v>0.38194444444444442</v>
          </cell>
          <cell r="T71">
            <v>0.37194444444444441</v>
          </cell>
          <cell r="U71" t="str">
            <v>X</v>
          </cell>
          <cell r="V71">
            <v>0.34027777777777773</v>
          </cell>
          <cell r="W71">
            <v>28.65</v>
          </cell>
          <cell r="X71">
            <v>28.05</v>
          </cell>
          <cell r="Y71">
            <v>0.41666666666666669</v>
          </cell>
          <cell r="Z71">
            <v>76.23</v>
          </cell>
          <cell r="AA71">
            <v>74.91</v>
          </cell>
          <cell r="AH71" t="str">
            <v>X</v>
          </cell>
          <cell r="AI71" t="str">
            <v>X</v>
          </cell>
          <cell r="AK71" t="str">
            <v>X</v>
          </cell>
          <cell r="AN71" t="str">
            <v>X</v>
          </cell>
          <cell r="AW71">
            <v>4</v>
          </cell>
          <cell r="AX71">
            <v>3</v>
          </cell>
          <cell r="AY71">
            <v>2</v>
          </cell>
          <cell r="AZ71">
            <v>2</v>
          </cell>
          <cell r="BB71">
            <v>44817</v>
          </cell>
          <cell r="BG71">
            <v>44816</v>
          </cell>
        </row>
        <row r="72">
          <cell r="A72">
            <v>484</v>
          </cell>
          <cell r="B72">
            <v>96</v>
          </cell>
          <cell r="C72" t="str">
            <v>CANALETAS - PF-168/ PF-204</v>
          </cell>
          <cell r="D72">
            <v>2</v>
          </cell>
          <cell r="E72">
            <v>40</v>
          </cell>
          <cell r="F72">
            <v>10</v>
          </cell>
          <cell r="G72">
            <v>40</v>
          </cell>
          <cell r="H72">
            <v>0</v>
          </cell>
          <cell r="I72" t="str">
            <v>-</v>
          </cell>
          <cell r="J72" t="str">
            <v>650/650</v>
          </cell>
          <cell r="K72" t="str">
            <v xml:space="preserve">CPIII 40 RS </v>
          </cell>
          <cell r="L72" t="str">
            <v>CP V</v>
          </cell>
          <cell r="M72" t="str">
            <v>SUPER PLASTIFICANTE</v>
          </cell>
          <cell r="N72" t="str">
            <v>ETE - CLAR. SECUNDARIO</v>
          </cell>
          <cell r="O72" t="str">
            <v>FORTANKS</v>
          </cell>
          <cell r="P72">
            <v>495</v>
          </cell>
          <cell r="Q72" t="str">
            <v>Gean</v>
          </cell>
          <cell r="R72">
            <v>44816</v>
          </cell>
          <cell r="S72">
            <v>0.60069444444444442</v>
          </cell>
          <cell r="T72">
            <v>0.59069444444444441</v>
          </cell>
          <cell r="U72" t="str">
            <v>X</v>
          </cell>
          <cell r="V72">
            <v>0.34722222222222227</v>
          </cell>
          <cell r="W72">
            <v>21.32</v>
          </cell>
          <cell r="X72" t="str">
            <v>-</v>
          </cell>
          <cell r="Y72">
            <v>0.41666666666666669</v>
          </cell>
          <cell r="Z72">
            <v>86.23</v>
          </cell>
          <cell r="AA72">
            <v>84.73</v>
          </cell>
          <cell r="AL72" t="str">
            <v>X</v>
          </cell>
          <cell r="AM72" t="str">
            <v>X</v>
          </cell>
          <cell r="AN72" t="str">
            <v>X</v>
          </cell>
          <cell r="AW72">
            <v>4</v>
          </cell>
          <cell r="AX72">
            <v>0</v>
          </cell>
          <cell r="AY72">
            <v>3</v>
          </cell>
          <cell r="AZ72">
            <v>3</v>
          </cell>
          <cell r="BB72">
            <v>44817</v>
          </cell>
          <cell r="BG72">
            <v>44816</v>
          </cell>
        </row>
        <row r="73">
          <cell r="A73">
            <v>485</v>
          </cell>
          <cell r="B73">
            <v>97</v>
          </cell>
          <cell r="C73" t="str">
            <v>PF-235 / PF-268</v>
          </cell>
          <cell r="D73">
            <v>7</v>
          </cell>
          <cell r="E73">
            <v>40</v>
          </cell>
          <cell r="F73">
            <v>24</v>
          </cell>
          <cell r="G73">
            <v>40</v>
          </cell>
          <cell r="H73">
            <v>0</v>
          </cell>
          <cell r="I73" t="str">
            <v>-</v>
          </cell>
          <cell r="J73" t="str">
            <v>670/670</v>
          </cell>
          <cell r="K73" t="str">
            <v xml:space="preserve">CPIII 40 RS </v>
          </cell>
          <cell r="L73" t="str">
            <v>CP V</v>
          </cell>
          <cell r="M73" t="str">
            <v>SUPER PLASTIFICANTE</v>
          </cell>
          <cell r="N73" t="str">
            <v>ETE - CLAR. SECUNDARIO</v>
          </cell>
          <cell r="O73" t="str">
            <v>FORTANKS</v>
          </cell>
          <cell r="P73">
            <v>495</v>
          </cell>
          <cell r="Q73" t="str">
            <v>Gean</v>
          </cell>
          <cell r="R73">
            <v>44819</v>
          </cell>
          <cell r="S73">
            <v>0.35416666666666669</v>
          </cell>
          <cell r="T73">
            <v>0.34416666666666668</v>
          </cell>
          <cell r="U73" t="str">
            <v>X</v>
          </cell>
          <cell r="V73">
            <v>0.375</v>
          </cell>
          <cell r="W73">
            <v>28.98</v>
          </cell>
          <cell r="X73">
            <v>31.88</v>
          </cell>
          <cell r="Y73">
            <v>0.41666666666666669</v>
          </cell>
          <cell r="Z73">
            <v>75.319999999999993</v>
          </cell>
          <cell r="AA73">
            <v>76.2</v>
          </cell>
          <cell r="AG73" t="str">
            <v>X</v>
          </cell>
          <cell r="AJ73" t="str">
            <v>X</v>
          </cell>
          <cell r="AL73" t="str">
            <v>X</v>
          </cell>
          <cell r="AM73" t="str">
            <v>X</v>
          </cell>
          <cell r="AW73">
            <v>3</v>
          </cell>
          <cell r="AX73">
            <v>2</v>
          </cell>
          <cell r="AY73">
            <v>3</v>
          </cell>
          <cell r="AZ73">
            <v>3</v>
          </cell>
          <cell r="BB73">
            <v>44820</v>
          </cell>
          <cell r="BG73">
            <v>44819</v>
          </cell>
        </row>
        <row r="74">
          <cell r="A74">
            <v>486</v>
          </cell>
          <cell r="B74">
            <v>98</v>
          </cell>
          <cell r="C74" t="str">
            <v>CANALETAS - PF-235 / PF-268</v>
          </cell>
          <cell r="D74">
            <v>4</v>
          </cell>
          <cell r="E74">
            <v>40</v>
          </cell>
          <cell r="F74">
            <v>10</v>
          </cell>
          <cell r="G74">
            <v>40</v>
          </cell>
          <cell r="H74">
            <v>0</v>
          </cell>
          <cell r="I74" t="str">
            <v>-</v>
          </cell>
          <cell r="K74" t="str">
            <v xml:space="preserve">CPIII 40 RS </v>
          </cell>
          <cell r="L74" t="str">
            <v>CP V</v>
          </cell>
          <cell r="M74" t="str">
            <v>SUPER PLASTIFICANTE</v>
          </cell>
          <cell r="N74" t="str">
            <v>ETE - CLAR. SECUNDARIO</v>
          </cell>
          <cell r="O74" t="str">
            <v>FORTANKS</v>
          </cell>
          <cell r="P74">
            <v>495</v>
          </cell>
          <cell r="Q74" t="str">
            <v>Gean</v>
          </cell>
          <cell r="R74">
            <v>44819</v>
          </cell>
          <cell r="S74">
            <v>0.41666666666666669</v>
          </cell>
          <cell r="T74">
            <v>0.40666666666666668</v>
          </cell>
          <cell r="U74" t="str">
            <v>X</v>
          </cell>
          <cell r="V74">
            <v>0.375</v>
          </cell>
          <cell r="W74">
            <v>18.88</v>
          </cell>
          <cell r="X74">
            <v>17.100000000000001</v>
          </cell>
          <cell r="Y74">
            <v>0.47569444444444442</v>
          </cell>
          <cell r="Z74">
            <v>65.3</v>
          </cell>
          <cell r="AA74">
            <v>70.010000000000005</v>
          </cell>
          <cell r="AB74" t="str">
            <v>X</v>
          </cell>
          <cell r="AC74" t="str">
            <v>X</v>
          </cell>
          <cell r="AL74" t="str">
            <v>X</v>
          </cell>
          <cell r="AM74" t="str">
            <v>X</v>
          </cell>
          <cell r="AW74">
            <v>1</v>
          </cell>
          <cell r="AX74">
            <v>1</v>
          </cell>
          <cell r="AY74">
            <v>3</v>
          </cell>
          <cell r="AZ74">
            <v>3</v>
          </cell>
          <cell r="BB74">
            <v>44820</v>
          </cell>
          <cell r="BG74">
            <v>44819</v>
          </cell>
        </row>
        <row r="75">
          <cell r="A75">
            <v>487</v>
          </cell>
          <cell r="B75">
            <v>99</v>
          </cell>
          <cell r="C75" t="str">
            <v>PN-99</v>
          </cell>
          <cell r="D75">
            <v>4</v>
          </cell>
          <cell r="E75">
            <v>40</v>
          </cell>
          <cell r="F75">
            <v>10</v>
          </cell>
          <cell r="G75">
            <v>40</v>
          </cell>
          <cell r="H75">
            <v>0</v>
          </cell>
          <cell r="I75" t="str">
            <v>-</v>
          </cell>
          <cell r="J75" t="str">
            <v>650/650</v>
          </cell>
          <cell r="K75" t="str">
            <v xml:space="preserve">CPIII 40 RS </v>
          </cell>
          <cell r="L75" t="str">
            <v>CP V</v>
          </cell>
          <cell r="M75" t="str">
            <v>SUPER PLASTIFICANTE</v>
          </cell>
          <cell r="N75" t="str">
            <v xml:space="preserve"> NEUTRALIZAÇÃO</v>
          </cell>
          <cell r="O75" t="str">
            <v>FORTANKS</v>
          </cell>
          <cell r="P75">
            <v>495</v>
          </cell>
          <cell r="Q75" t="str">
            <v>Gean</v>
          </cell>
          <cell r="R75">
            <v>44895</v>
          </cell>
          <cell r="S75">
            <v>0.46875</v>
          </cell>
          <cell r="T75">
            <v>0.45874999999999999</v>
          </cell>
          <cell r="U75" t="str">
            <v>X</v>
          </cell>
          <cell r="V75">
            <v>0.33333333333333331</v>
          </cell>
          <cell r="W75">
            <v>37.82</v>
          </cell>
          <cell r="X75">
            <v>37.32</v>
          </cell>
          <cell r="Y75">
            <v>0.41666666666666669</v>
          </cell>
          <cell r="Z75">
            <v>96.6</v>
          </cell>
          <cell r="AA75">
            <v>99.48</v>
          </cell>
          <cell r="AW75">
            <v>4</v>
          </cell>
          <cell r="AX75">
            <v>3</v>
          </cell>
          <cell r="AY75">
            <v>3</v>
          </cell>
          <cell r="AZ75">
            <v>4</v>
          </cell>
          <cell r="BA75" t="str">
            <v>FORTES ENGENHARIA</v>
          </cell>
          <cell r="BB75">
            <v>44896</v>
          </cell>
          <cell r="BG75">
            <v>44895</v>
          </cell>
        </row>
        <row r="76">
          <cell r="A76">
            <v>488</v>
          </cell>
          <cell r="B76">
            <v>100</v>
          </cell>
          <cell r="C76" t="str">
            <v>PN-96</v>
          </cell>
          <cell r="D76">
            <v>4</v>
          </cell>
          <cell r="E76">
            <v>40</v>
          </cell>
          <cell r="F76">
            <v>10</v>
          </cell>
          <cell r="G76">
            <v>40</v>
          </cell>
          <cell r="H76">
            <v>0</v>
          </cell>
          <cell r="I76" t="str">
            <v>-</v>
          </cell>
          <cell r="J76" t="str">
            <v>650/650</v>
          </cell>
          <cell r="K76" t="str">
            <v xml:space="preserve">CPIII 40 RS </v>
          </cell>
          <cell r="L76" t="str">
            <v>CP V</v>
          </cell>
          <cell r="M76" t="str">
            <v>SUPER PLASTIFICANTE</v>
          </cell>
          <cell r="N76" t="str">
            <v>NEUTRALIZAÇÃO</v>
          </cell>
          <cell r="O76" t="str">
            <v>FORTANKS</v>
          </cell>
          <cell r="P76">
            <v>495</v>
          </cell>
          <cell r="Q76" t="str">
            <v>Gean</v>
          </cell>
          <cell r="R76">
            <v>44895</v>
          </cell>
          <cell r="S76">
            <v>0.625</v>
          </cell>
          <cell r="T76">
            <v>0.61499999999999999</v>
          </cell>
          <cell r="U76" t="str">
            <v>X</v>
          </cell>
          <cell r="V76">
            <v>0.33333333333333331</v>
          </cell>
          <cell r="W76">
            <v>43.36</v>
          </cell>
          <cell r="X76">
            <v>41.46</v>
          </cell>
          <cell r="Y76">
            <v>0.41666666666666669</v>
          </cell>
          <cell r="Z76">
            <v>101.3</v>
          </cell>
          <cell r="AA76">
            <v>99.4</v>
          </cell>
          <cell r="AW76">
            <v>3</v>
          </cell>
          <cell r="AX76">
            <v>4</v>
          </cell>
          <cell r="AY76">
            <v>3</v>
          </cell>
          <cell r="AZ76">
            <v>4</v>
          </cell>
          <cell r="BA76" t="str">
            <v>FORTES ENGENHARIA</v>
          </cell>
          <cell r="BB76">
            <v>44896</v>
          </cell>
          <cell r="BG76">
            <v>44895</v>
          </cell>
        </row>
        <row r="77">
          <cell r="A77">
            <v>489</v>
          </cell>
          <cell r="B77">
            <v>101</v>
          </cell>
          <cell r="C77" t="str">
            <v>PN-51</v>
          </cell>
          <cell r="D77">
            <v>4</v>
          </cell>
          <cell r="E77">
            <v>40</v>
          </cell>
          <cell r="F77">
            <v>10</v>
          </cell>
          <cell r="G77">
            <v>40</v>
          </cell>
          <cell r="H77">
            <v>0</v>
          </cell>
          <cell r="I77" t="str">
            <v>-</v>
          </cell>
          <cell r="J77" t="str">
            <v>650/650</v>
          </cell>
          <cell r="K77" t="str">
            <v xml:space="preserve">CPIII 40 RS </v>
          </cell>
          <cell r="L77" t="str">
            <v>CP V</v>
          </cell>
          <cell r="M77" t="str">
            <v>SUPER PLASTIFICANTE</v>
          </cell>
          <cell r="N77" t="str">
            <v>NEUTRALIZAÇÃO</v>
          </cell>
          <cell r="O77" t="str">
            <v>FORTANKS</v>
          </cell>
          <cell r="P77">
            <v>495</v>
          </cell>
          <cell r="Q77" t="str">
            <v>Gean</v>
          </cell>
          <cell r="R77">
            <v>44900</v>
          </cell>
          <cell r="S77">
            <v>0.375</v>
          </cell>
          <cell r="T77">
            <v>0.36499999999999999</v>
          </cell>
          <cell r="U77" t="str">
            <v>X</v>
          </cell>
          <cell r="V77">
            <v>0.33333333333333331</v>
          </cell>
          <cell r="W77">
            <v>24.2</v>
          </cell>
          <cell r="X77">
            <v>24.9</v>
          </cell>
          <cell r="Y77">
            <v>0.41666666666666669</v>
          </cell>
          <cell r="Z77">
            <v>91.3</v>
          </cell>
          <cell r="AA77">
            <v>92.5</v>
          </cell>
          <cell r="AW77">
            <v>2</v>
          </cell>
          <cell r="AX77">
            <v>3</v>
          </cell>
          <cell r="AY77">
            <v>4</v>
          </cell>
          <cell r="AZ77">
            <v>5</v>
          </cell>
          <cell r="BA77" t="str">
            <v>FORTES ENGENHARIA</v>
          </cell>
          <cell r="BB77">
            <v>44901</v>
          </cell>
          <cell r="BG77">
            <v>44900</v>
          </cell>
        </row>
        <row r="78">
          <cell r="A78">
            <v>490</v>
          </cell>
          <cell r="B78">
            <v>102</v>
          </cell>
          <cell r="C78" t="str">
            <v>PN-48</v>
          </cell>
          <cell r="D78">
            <v>4</v>
          </cell>
          <cell r="E78">
            <v>40</v>
          </cell>
          <cell r="F78">
            <v>10</v>
          </cell>
          <cell r="G78">
            <v>40</v>
          </cell>
          <cell r="H78">
            <v>0</v>
          </cell>
          <cell r="I78" t="str">
            <v>-</v>
          </cell>
          <cell r="J78" t="str">
            <v>650/650</v>
          </cell>
          <cell r="K78" t="str">
            <v xml:space="preserve">CPIII 40 RS </v>
          </cell>
          <cell r="L78" t="str">
            <v>CP V</v>
          </cell>
          <cell r="M78" t="str">
            <v>SUPER PLASTIFICANTE</v>
          </cell>
          <cell r="N78" t="str">
            <v>NEUTRALIZAÇÃO</v>
          </cell>
          <cell r="O78" t="str">
            <v>FORTANKS</v>
          </cell>
          <cell r="P78">
            <v>495</v>
          </cell>
          <cell r="Q78" t="str">
            <v>Gean</v>
          </cell>
          <cell r="R78">
            <v>44900</v>
          </cell>
          <cell r="S78">
            <v>0.44097222222222227</v>
          </cell>
          <cell r="T78">
            <v>0.43097222222222226</v>
          </cell>
          <cell r="U78" t="str">
            <v>X</v>
          </cell>
          <cell r="V78">
            <v>0.33333333333333331</v>
          </cell>
          <cell r="W78">
            <v>21.3</v>
          </cell>
          <cell r="X78">
            <v>22</v>
          </cell>
          <cell r="Y78">
            <v>0.41666666666666669</v>
          </cell>
          <cell r="Z78">
            <v>100.2</v>
          </cell>
          <cell r="AA78">
            <v>93.8</v>
          </cell>
          <cell r="AW78">
            <v>2</v>
          </cell>
          <cell r="AX78">
            <v>3</v>
          </cell>
          <cell r="AY78">
            <v>4</v>
          </cell>
          <cell r="AZ78">
            <v>4</v>
          </cell>
          <cell r="BA78" t="str">
            <v>FORTES ENGENHARIA</v>
          </cell>
          <cell r="BB78">
            <v>44901</v>
          </cell>
          <cell r="BG78">
            <v>44900</v>
          </cell>
        </row>
        <row r="79">
          <cell r="A79">
            <v>491</v>
          </cell>
          <cell r="B79">
            <v>103</v>
          </cell>
          <cell r="C79" t="str">
            <v>PN-49</v>
          </cell>
          <cell r="D79">
            <v>4</v>
          </cell>
          <cell r="E79">
            <v>40</v>
          </cell>
          <cell r="F79">
            <v>10</v>
          </cell>
          <cell r="G79">
            <v>40</v>
          </cell>
          <cell r="H79">
            <v>0</v>
          </cell>
          <cell r="I79" t="str">
            <v>-</v>
          </cell>
          <cell r="J79" t="str">
            <v>650/650</v>
          </cell>
          <cell r="K79" t="str">
            <v xml:space="preserve">CPIII 40 RS </v>
          </cell>
          <cell r="L79" t="str">
            <v>CP V</v>
          </cell>
          <cell r="M79" t="str">
            <v>SUPER PLASTIFICANTE</v>
          </cell>
          <cell r="N79" t="str">
            <v>NEUTRALIZAÇÃO</v>
          </cell>
          <cell r="O79" t="str">
            <v>FORTANKS</v>
          </cell>
          <cell r="P79">
            <v>495</v>
          </cell>
          <cell r="Q79" t="str">
            <v>Gean</v>
          </cell>
          <cell r="R79">
            <v>44900</v>
          </cell>
          <cell r="S79">
            <v>0.58333333333333337</v>
          </cell>
          <cell r="T79">
            <v>0.57333333333333336</v>
          </cell>
          <cell r="U79" t="str">
            <v>X</v>
          </cell>
          <cell r="V79">
            <v>0.33333333333333331</v>
          </cell>
          <cell r="W79">
            <v>25.2</v>
          </cell>
          <cell r="X79">
            <v>25.1</v>
          </cell>
          <cell r="Y79">
            <v>0.45833333333333331</v>
          </cell>
          <cell r="Z79">
            <v>87.7</v>
          </cell>
          <cell r="AA79">
            <v>88.5</v>
          </cell>
          <cell r="AW79">
            <v>1</v>
          </cell>
          <cell r="AX79">
            <v>2</v>
          </cell>
          <cell r="AY79">
            <v>3</v>
          </cell>
          <cell r="AZ79">
            <v>4</v>
          </cell>
          <cell r="BA79" t="str">
            <v>FORTES ENGENHARIA</v>
          </cell>
          <cell r="BB79">
            <v>44901</v>
          </cell>
          <cell r="BG79">
            <v>44900</v>
          </cell>
        </row>
        <row r="80">
          <cell r="A80">
            <v>492</v>
          </cell>
          <cell r="B80">
            <v>104</v>
          </cell>
          <cell r="C80" t="str">
            <v>PN-59 // PN-97</v>
          </cell>
          <cell r="D80">
            <v>4</v>
          </cell>
          <cell r="E80">
            <v>40</v>
          </cell>
          <cell r="F80">
            <v>10</v>
          </cell>
          <cell r="G80">
            <v>40</v>
          </cell>
          <cell r="H80">
            <v>0</v>
          </cell>
          <cell r="I80" t="str">
            <v>-</v>
          </cell>
          <cell r="J80" t="str">
            <v>650/650</v>
          </cell>
          <cell r="K80" t="str">
            <v xml:space="preserve">CPIII 40 RS </v>
          </cell>
          <cell r="L80" t="str">
            <v>CP V</v>
          </cell>
          <cell r="M80" t="str">
            <v>SUPER PLASTIFICANTE</v>
          </cell>
          <cell r="N80" t="str">
            <v>NEUTRALIZAÇÃO</v>
          </cell>
          <cell r="O80" t="str">
            <v>FORTANKS</v>
          </cell>
          <cell r="P80">
            <v>495</v>
          </cell>
          <cell r="Q80" t="str">
            <v>Gean</v>
          </cell>
          <cell r="R80">
            <v>44902</v>
          </cell>
          <cell r="S80">
            <v>0.41666666666666669</v>
          </cell>
          <cell r="T80">
            <v>0.40666666666666668</v>
          </cell>
          <cell r="U80" t="str">
            <v>X</v>
          </cell>
          <cell r="V80">
            <v>0.33333333333333331</v>
          </cell>
          <cell r="W80">
            <v>40.01</v>
          </cell>
          <cell r="X80">
            <v>36.6</v>
          </cell>
          <cell r="Y80">
            <v>0.41666666666666669</v>
          </cell>
          <cell r="Z80">
            <v>87.2</v>
          </cell>
          <cell r="AA80">
            <v>88.6</v>
          </cell>
          <cell r="AW80">
            <v>3</v>
          </cell>
          <cell r="AX80">
            <v>2</v>
          </cell>
          <cell r="AY80">
            <v>4</v>
          </cell>
          <cell r="AZ80">
            <v>3</v>
          </cell>
          <cell r="BA80" t="str">
            <v>FORTES ENGENHARIA</v>
          </cell>
          <cell r="BB80">
            <v>44903</v>
          </cell>
          <cell r="BG80">
            <v>44902</v>
          </cell>
        </row>
        <row r="81">
          <cell r="A81">
            <v>493</v>
          </cell>
          <cell r="B81">
            <v>105</v>
          </cell>
          <cell r="C81" t="str">
            <v>PN-50</v>
          </cell>
          <cell r="D81">
            <v>4</v>
          </cell>
          <cell r="E81">
            <v>40</v>
          </cell>
          <cell r="F81">
            <v>10</v>
          </cell>
          <cell r="G81">
            <v>40</v>
          </cell>
          <cell r="H81">
            <v>0</v>
          </cell>
          <cell r="I81" t="str">
            <v>-</v>
          </cell>
          <cell r="J81" t="str">
            <v>650/650</v>
          </cell>
          <cell r="K81" t="str">
            <v xml:space="preserve">CPIII 40 RS </v>
          </cell>
          <cell r="L81" t="str">
            <v>CP V</v>
          </cell>
          <cell r="M81" t="str">
            <v>SUPER PLASTIFICANTE</v>
          </cell>
          <cell r="N81" t="str">
            <v>NEUTRALIZAÇÃO</v>
          </cell>
          <cell r="O81" t="str">
            <v>FORTANKS</v>
          </cell>
          <cell r="P81">
            <v>495</v>
          </cell>
          <cell r="Q81" t="str">
            <v>Gean</v>
          </cell>
          <cell r="R81">
            <v>44902</v>
          </cell>
          <cell r="S81">
            <v>0.4513888888888889</v>
          </cell>
          <cell r="T81">
            <v>0.44138888888888889</v>
          </cell>
          <cell r="U81" t="str">
            <v>X</v>
          </cell>
          <cell r="V81">
            <v>0.35416666666666669</v>
          </cell>
          <cell r="W81">
            <v>46.4</v>
          </cell>
          <cell r="X81">
            <v>46.3</v>
          </cell>
          <cell r="Y81">
            <v>0.41666666666666669</v>
          </cell>
          <cell r="Z81">
            <v>94.9</v>
          </cell>
          <cell r="AA81">
            <v>92</v>
          </cell>
          <cell r="AW81">
            <v>2</v>
          </cell>
          <cell r="AX81">
            <v>2</v>
          </cell>
          <cell r="AY81">
            <v>4</v>
          </cell>
          <cell r="AZ81">
            <v>3</v>
          </cell>
          <cell r="BA81" t="str">
            <v>FORTES ENGENHARIA</v>
          </cell>
          <cell r="BB81">
            <v>44903</v>
          </cell>
          <cell r="BG81">
            <v>44902</v>
          </cell>
        </row>
        <row r="82">
          <cell r="A82">
            <v>494</v>
          </cell>
          <cell r="B82">
            <v>106</v>
          </cell>
          <cell r="C82" t="str">
            <v>PN-98/ PN-56</v>
          </cell>
          <cell r="D82">
            <v>4</v>
          </cell>
          <cell r="E82">
            <v>40</v>
          </cell>
          <cell r="F82">
            <v>10</v>
          </cell>
          <cell r="G82">
            <v>40</v>
          </cell>
          <cell r="H82">
            <v>0</v>
          </cell>
          <cell r="I82" t="str">
            <v>-</v>
          </cell>
          <cell r="J82" t="str">
            <v>650/660</v>
          </cell>
          <cell r="K82" t="str">
            <v xml:space="preserve">CPIII 40 RS </v>
          </cell>
          <cell r="L82" t="str">
            <v>CP V</v>
          </cell>
          <cell r="M82" t="str">
            <v>SUPER PLASTIFICANTE</v>
          </cell>
          <cell r="N82" t="str">
            <v>NEUTRALIZAÇÃO</v>
          </cell>
          <cell r="O82" t="str">
            <v>FORTANKS</v>
          </cell>
          <cell r="P82">
            <v>495</v>
          </cell>
          <cell r="Q82" t="str">
            <v>Gean</v>
          </cell>
          <cell r="R82">
            <v>44907</v>
          </cell>
          <cell r="S82">
            <v>0.41666666666666669</v>
          </cell>
          <cell r="T82">
            <v>0.40666666666666668</v>
          </cell>
          <cell r="U82" t="str">
            <v>X</v>
          </cell>
          <cell r="V82">
            <v>0.33333333333333331</v>
          </cell>
          <cell r="W82">
            <v>14.8</v>
          </cell>
          <cell r="X82">
            <v>15.9</v>
          </cell>
          <cell r="Y82">
            <v>0.41666666666666669</v>
          </cell>
          <cell r="Z82">
            <v>90.1</v>
          </cell>
          <cell r="AA82">
            <v>90.8</v>
          </cell>
          <cell r="AW82">
            <v>2</v>
          </cell>
          <cell r="AX82">
            <v>3</v>
          </cell>
          <cell r="AY82">
            <v>4</v>
          </cell>
          <cell r="AZ82">
            <v>4</v>
          </cell>
          <cell r="BA82" t="str">
            <v>FORTES ENGENHARIA</v>
          </cell>
          <cell r="BB82">
            <v>44908</v>
          </cell>
          <cell r="BG82">
            <v>44907</v>
          </cell>
        </row>
        <row r="83">
          <cell r="A83">
            <v>495</v>
          </cell>
          <cell r="B83">
            <v>107</v>
          </cell>
          <cell r="C83" t="str">
            <v>PN-107</v>
          </cell>
          <cell r="D83">
            <v>4</v>
          </cell>
          <cell r="E83">
            <v>40</v>
          </cell>
          <cell r="F83">
            <v>10</v>
          </cell>
          <cell r="G83">
            <v>40</v>
          </cell>
          <cell r="H83">
            <v>0</v>
          </cell>
          <cell r="I83" t="str">
            <v>-</v>
          </cell>
          <cell r="J83" t="str">
            <v>650/650</v>
          </cell>
          <cell r="K83" t="str">
            <v xml:space="preserve">CPIII 40 RS </v>
          </cell>
          <cell r="L83" t="str">
            <v>CP V</v>
          </cell>
          <cell r="M83" t="str">
            <v>SUPER PLASTIFICANTE</v>
          </cell>
          <cell r="N83" t="str">
            <v>NEUTRALIZAÇÃO</v>
          </cell>
          <cell r="O83" t="str">
            <v>FORTANKS</v>
          </cell>
          <cell r="P83">
            <v>495</v>
          </cell>
          <cell r="Q83" t="str">
            <v>Gean</v>
          </cell>
          <cell r="R83">
            <v>44907</v>
          </cell>
          <cell r="S83">
            <v>0.54166666666666663</v>
          </cell>
          <cell r="T83">
            <v>0.53166666666666662</v>
          </cell>
          <cell r="U83" t="str">
            <v>X</v>
          </cell>
          <cell r="V83">
            <v>0.33333333333333331</v>
          </cell>
          <cell r="W83">
            <v>13.5</v>
          </cell>
          <cell r="X83">
            <v>14.7</v>
          </cell>
          <cell r="Y83">
            <v>0.41666666666666669</v>
          </cell>
          <cell r="Z83">
            <v>92.1</v>
          </cell>
          <cell r="AA83">
            <v>90.9</v>
          </cell>
          <cell r="AW83">
            <v>1</v>
          </cell>
          <cell r="AX83">
            <v>1</v>
          </cell>
          <cell r="AY83">
            <v>4</v>
          </cell>
          <cell r="AZ83">
            <v>5</v>
          </cell>
          <cell r="BB83">
            <v>44908</v>
          </cell>
          <cell r="BG83">
            <v>44907</v>
          </cell>
        </row>
        <row r="84">
          <cell r="A84">
            <v>496</v>
          </cell>
          <cell r="B84">
            <v>108</v>
          </cell>
          <cell r="C84" t="str">
            <v>PN-55 / PN-94</v>
          </cell>
          <cell r="D84">
            <v>4</v>
          </cell>
          <cell r="E84">
            <v>40</v>
          </cell>
          <cell r="F84">
            <v>10</v>
          </cell>
          <cell r="G84">
            <v>40</v>
          </cell>
          <cell r="H84">
            <v>0</v>
          </cell>
          <cell r="I84" t="str">
            <v>-</v>
          </cell>
          <cell r="J84" t="str">
            <v>650/650</v>
          </cell>
          <cell r="K84" t="str">
            <v xml:space="preserve">CPIII 40 RS </v>
          </cell>
          <cell r="L84" t="str">
            <v>CP V</v>
          </cell>
          <cell r="M84" t="str">
            <v>SUPER PLASTIFICANTE</v>
          </cell>
          <cell r="N84" t="str">
            <v>NEUTRALIZAÇÃO</v>
          </cell>
          <cell r="O84" t="str">
            <v>FORTANKS</v>
          </cell>
          <cell r="P84">
            <v>495</v>
          </cell>
          <cell r="Q84" t="str">
            <v>Gean</v>
          </cell>
          <cell r="R84">
            <v>44909</v>
          </cell>
          <cell r="S84">
            <v>0.54166666666666663</v>
          </cell>
          <cell r="T84">
            <v>0.53166666666666662</v>
          </cell>
          <cell r="U84" t="str">
            <v>X</v>
          </cell>
          <cell r="V84">
            <v>0.33333333333333331</v>
          </cell>
          <cell r="W84">
            <v>14.42</v>
          </cell>
          <cell r="X84">
            <v>14.4</v>
          </cell>
          <cell r="Y84">
            <v>0.41666666666666669</v>
          </cell>
          <cell r="Z84">
            <v>75.5</v>
          </cell>
          <cell r="AA84">
            <v>73.7</v>
          </cell>
          <cell r="AW84">
            <v>3</v>
          </cell>
          <cell r="AX84">
            <v>3</v>
          </cell>
          <cell r="AY84">
            <v>4</v>
          </cell>
          <cell r="AZ84">
            <v>5</v>
          </cell>
          <cell r="BB84">
            <v>44910</v>
          </cell>
          <cell r="BG84">
            <v>44909</v>
          </cell>
        </row>
        <row r="85">
          <cell r="A85">
            <v>497</v>
          </cell>
          <cell r="B85">
            <v>109</v>
          </cell>
          <cell r="C85" t="str">
            <v>PN-57 / PN-103</v>
          </cell>
          <cell r="D85">
            <v>4</v>
          </cell>
          <cell r="E85">
            <v>40</v>
          </cell>
          <cell r="F85">
            <v>10</v>
          </cell>
          <cell r="G85">
            <v>40</v>
          </cell>
          <cell r="H85">
            <v>0</v>
          </cell>
          <cell r="I85" t="str">
            <v>-</v>
          </cell>
          <cell r="J85" t="str">
            <v>650/650</v>
          </cell>
          <cell r="K85" t="str">
            <v xml:space="preserve">CPIII 40 RS </v>
          </cell>
          <cell r="L85" t="str">
            <v>CP V</v>
          </cell>
          <cell r="M85" t="str">
            <v>SUPER PLASTIFICANTE</v>
          </cell>
          <cell r="N85" t="str">
            <v>NEUTRALIZAÇÃO</v>
          </cell>
          <cell r="O85" t="str">
            <v>FORTANKS</v>
          </cell>
          <cell r="P85">
            <v>495</v>
          </cell>
          <cell r="Q85" t="str">
            <v>Gean</v>
          </cell>
          <cell r="R85">
            <v>44909</v>
          </cell>
          <cell r="S85">
            <v>0.625</v>
          </cell>
          <cell r="T85">
            <v>0.61499999999999999</v>
          </cell>
          <cell r="U85" t="str">
            <v>X</v>
          </cell>
          <cell r="V85">
            <v>0.33333333333333331</v>
          </cell>
          <cell r="W85">
            <v>10.25</v>
          </cell>
          <cell r="X85">
            <v>10.51</v>
          </cell>
          <cell r="Y85">
            <v>0.41666666666666669</v>
          </cell>
          <cell r="Z85">
            <v>87.5</v>
          </cell>
          <cell r="AA85">
            <v>88.7</v>
          </cell>
          <cell r="AW85">
            <v>2</v>
          </cell>
          <cell r="AX85">
            <v>2</v>
          </cell>
          <cell r="AY85">
            <v>3</v>
          </cell>
          <cell r="AZ85">
            <v>4</v>
          </cell>
          <cell r="BB85">
            <v>44910</v>
          </cell>
          <cell r="BG85">
            <v>44909</v>
          </cell>
        </row>
        <row r="86">
          <cell r="A86">
            <v>498</v>
          </cell>
          <cell r="B86">
            <v>110</v>
          </cell>
          <cell r="C86" t="str">
            <v>PN-104 /  PN-46</v>
          </cell>
          <cell r="D86">
            <v>4</v>
          </cell>
          <cell r="E86">
            <v>40</v>
          </cell>
          <cell r="F86">
            <v>10</v>
          </cell>
          <cell r="G86">
            <v>40</v>
          </cell>
          <cell r="H86">
            <v>0</v>
          </cell>
          <cell r="I86" t="str">
            <v>-</v>
          </cell>
          <cell r="J86" t="str">
            <v>650/660</v>
          </cell>
          <cell r="K86" t="str">
            <v xml:space="preserve">CPIII 40 RS </v>
          </cell>
          <cell r="L86" t="str">
            <v>CP V</v>
          </cell>
          <cell r="M86" t="str">
            <v>SUPER PLASTIFICANTE</v>
          </cell>
          <cell r="N86" t="str">
            <v>NEUTRALIZAÇÃO</v>
          </cell>
          <cell r="O86" t="str">
            <v>FORTANKS</v>
          </cell>
          <cell r="P86">
            <v>495</v>
          </cell>
          <cell r="Q86" t="str">
            <v>Gean</v>
          </cell>
          <cell r="R86">
            <v>44911</v>
          </cell>
          <cell r="S86">
            <v>0.41666666666666669</v>
          </cell>
          <cell r="T86">
            <v>0.40666666666666668</v>
          </cell>
          <cell r="U86" t="str">
            <v>X</v>
          </cell>
          <cell r="V86">
            <v>0.35416666666666669</v>
          </cell>
          <cell r="W86">
            <v>22.28</v>
          </cell>
          <cell r="X86">
            <v>24.57</v>
          </cell>
          <cell r="Y86">
            <v>0.41666666666666669</v>
          </cell>
          <cell r="Z86">
            <v>92.6</v>
          </cell>
          <cell r="AA86">
            <v>93</v>
          </cell>
          <cell r="AW86">
            <v>2</v>
          </cell>
          <cell r="AX86">
            <v>2</v>
          </cell>
          <cell r="AY86">
            <v>3</v>
          </cell>
          <cell r="AZ86">
            <v>4</v>
          </cell>
          <cell r="BB86">
            <v>44912</v>
          </cell>
          <cell r="BG86">
            <v>44911</v>
          </cell>
        </row>
        <row r="87">
          <cell r="A87">
            <v>499</v>
          </cell>
          <cell r="B87">
            <v>111</v>
          </cell>
          <cell r="C87" t="str">
            <v>PN-105 / PN-106</v>
          </cell>
          <cell r="D87">
            <v>4</v>
          </cell>
          <cell r="E87">
            <v>40</v>
          </cell>
          <cell r="F87">
            <v>10</v>
          </cell>
          <cell r="G87">
            <v>40</v>
          </cell>
          <cell r="H87">
            <v>0</v>
          </cell>
          <cell r="I87" t="str">
            <v>-</v>
          </cell>
          <cell r="J87" t="str">
            <v>650/ 670</v>
          </cell>
          <cell r="K87" t="str">
            <v xml:space="preserve">CPIII 40 RS </v>
          </cell>
          <cell r="L87" t="str">
            <v>CP V</v>
          </cell>
          <cell r="M87" t="str">
            <v>SUPER PLASTIFICANTE</v>
          </cell>
          <cell r="N87" t="str">
            <v>NEUTRALIZAÇÃO</v>
          </cell>
          <cell r="O87" t="str">
            <v>FORTANKS</v>
          </cell>
          <cell r="P87">
            <v>495</v>
          </cell>
          <cell r="Q87" t="str">
            <v>Gean</v>
          </cell>
          <cell r="R87">
            <v>44911</v>
          </cell>
          <cell r="S87">
            <v>0.54166666666666663</v>
          </cell>
          <cell r="T87">
            <v>0.53166666666666662</v>
          </cell>
          <cell r="U87" t="str">
            <v>X</v>
          </cell>
          <cell r="V87">
            <v>0.33333333333333331</v>
          </cell>
          <cell r="W87">
            <v>23.05</v>
          </cell>
          <cell r="X87">
            <v>21.76</v>
          </cell>
          <cell r="Y87">
            <v>0.4236111111111111</v>
          </cell>
          <cell r="Z87">
            <v>89.7</v>
          </cell>
          <cell r="AA87">
            <v>91.2</v>
          </cell>
          <cell r="AW87">
            <v>2</v>
          </cell>
          <cell r="AX87">
            <v>3</v>
          </cell>
          <cell r="AY87">
            <v>4</v>
          </cell>
          <cell r="AZ87">
            <v>3</v>
          </cell>
          <cell r="BB87">
            <v>44912</v>
          </cell>
          <cell r="BG87">
            <v>44911</v>
          </cell>
        </row>
        <row r="88">
          <cell r="A88">
            <v>500</v>
          </cell>
          <cell r="B88">
            <v>112</v>
          </cell>
          <cell r="C88" t="str">
            <v>PN-58 / PN-15</v>
          </cell>
          <cell r="D88">
            <v>4</v>
          </cell>
          <cell r="E88">
            <v>40</v>
          </cell>
          <cell r="F88">
            <v>10</v>
          </cell>
          <cell r="G88">
            <v>40</v>
          </cell>
          <cell r="H88">
            <v>0</v>
          </cell>
          <cell r="I88" t="str">
            <v>-</v>
          </cell>
          <cell r="J88" t="str">
            <v>650/660</v>
          </cell>
          <cell r="K88" t="str">
            <v xml:space="preserve">CPIII 40 RS </v>
          </cell>
          <cell r="L88" t="str">
            <v>CP V</v>
          </cell>
          <cell r="M88" t="str">
            <v>SUPER PLASTIFICANTE</v>
          </cell>
          <cell r="N88" t="str">
            <v>NEUTRALIZAÇÃO</v>
          </cell>
          <cell r="O88" t="str">
            <v>FORTANKS</v>
          </cell>
          <cell r="P88">
            <v>495</v>
          </cell>
          <cell r="Q88" t="str">
            <v>Gean</v>
          </cell>
          <cell r="R88">
            <v>44915</v>
          </cell>
          <cell r="S88">
            <v>0.35416666666666669</v>
          </cell>
          <cell r="T88">
            <v>0.34416666666666668</v>
          </cell>
          <cell r="U88" t="str">
            <v>X</v>
          </cell>
          <cell r="V88">
            <v>0.33333333333333331</v>
          </cell>
          <cell r="W88">
            <v>23.67</v>
          </cell>
          <cell r="X88">
            <v>23.96</v>
          </cell>
          <cell r="Y88">
            <v>0.41666666666666669</v>
          </cell>
          <cell r="Z88">
            <v>92.3</v>
          </cell>
          <cell r="AA88">
            <v>90.9</v>
          </cell>
          <cell r="AW88">
            <v>3</v>
          </cell>
          <cell r="AX88">
            <v>3</v>
          </cell>
          <cell r="AY88">
            <v>2</v>
          </cell>
          <cell r="AZ88">
            <v>4</v>
          </cell>
          <cell r="BB88">
            <v>44916</v>
          </cell>
          <cell r="BG88">
            <v>44915</v>
          </cell>
        </row>
        <row r="89">
          <cell r="A89">
            <v>501</v>
          </cell>
          <cell r="B89">
            <v>113</v>
          </cell>
          <cell r="C89" t="str">
            <v>PN-42 / PN-43</v>
          </cell>
          <cell r="D89">
            <v>4</v>
          </cell>
          <cell r="E89">
            <v>40</v>
          </cell>
          <cell r="F89">
            <v>10</v>
          </cell>
          <cell r="G89">
            <v>40</v>
          </cell>
          <cell r="H89">
            <v>0</v>
          </cell>
          <cell r="I89" t="str">
            <v>-</v>
          </cell>
          <cell r="J89" t="str">
            <v>650/660</v>
          </cell>
          <cell r="K89" t="str">
            <v xml:space="preserve">CPIII 40 RS </v>
          </cell>
          <cell r="L89" t="str">
            <v>CP V</v>
          </cell>
          <cell r="M89" t="str">
            <v>SUPER PLASTIFICANTE</v>
          </cell>
          <cell r="N89" t="str">
            <v>NEUTRALIZAÇÃO</v>
          </cell>
          <cell r="O89" t="str">
            <v>FORTANKS</v>
          </cell>
          <cell r="P89">
            <v>495</v>
          </cell>
          <cell r="Q89" t="str">
            <v>Gean</v>
          </cell>
          <cell r="R89">
            <v>44915</v>
          </cell>
          <cell r="S89">
            <v>0.42499999999999999</v>
          </cell>
          <cell r="T89">
            <v>0.41499999999999998</v>
          </cell>
          <cell r="U89" t="str">
            <v>X</v>
          </cell>
          <cell r="V89">
            <v>0.33333333333333331</v>
          </cell>
          <cell r="W89">
            <v>20.47</v>
          </cell>
          <cell r="X89">
            <v>21.03</v>
          </cell>
          <cell r="Y89">
            <v>0.41666666666666669</v>
          </cell>
          <cell r="Z89">
            <v>92</v>
          </cell>
          <cell r="AA89">
            <v>88.5</v>
          </cell>
          <cell r="AW89">
            <v>3</v>
          </cell>
          <cell r="AX89">
            <v>3</v>
          </cell>
          <cell r="AY89">
            <v>4</v>
          </cell>
          <cell r="AZ89">
            <v>3</v>
          </cell>
          <cell r="BB89">
            <v>44916</v>
          </cell>
          <cell r="BG89">
            <v>44915</v>
          </cell>
        </row>
        <row r="90">
          <cell r="A90">
            <v>502</v>
          </cell>
          <cell r="B90">
            <v>114</v>
          </cell>
          <cell r="C90" t="str">
            <v>PN-91</v>
          </cell>
          <cell r="D90">
            <v>4</v>
          </cell>
          <cell r="E90">
            <v>40</v>
          </cell>
          <cell r="F90">
            <v>10</v>
          </cell>
          <cell r="G90">
            <v>40</v>
          </cell>
          <cell r="H90">
            <v>0</v>
          </cell>
          <cell r="I90" t="str">
            <v>-</v>
          </cell>
          <cell r="J90" t="str">
            <v>630/650</v>
          </cell>
          <cell r="K90" t="str">
            <v xml:space="preserve">CPIII 40 RS </v>
          </cell>
          <cell r="L90" t="str">
            <v>CP V</v>
          </cell>
          <cell r="M90" t="str">
            <v>SUPER PLASTIFICANTE</v>
          </cell>
          <cell r="N90" t="str">
            <v>NEUTRALIZAÇÃO</v>
          </cell>
          <cell r="O90" t="str">
            <v>FORTANKS</v>
          </cell>
          <cell r="P90">
            <v>495</v>
          </cell>
          <cell r="Q90" t="str">
            <v>Gean</v>
          </cell>
          <cell r="R90">
            <v>44918</v>
          </cell>
          <cell r="S90">
            <v>0.375</v>
          </cell>
          <cell r="T90">
            <v>0.36499999999999999</v>
          </cell>
          <cell r="U90" t="str">
            <v>X</v>
          </cell>
          <cell r="V90">
            <v>0.33333333333333331</v>
          </cell>
          <cell r="W90">
            <v>37.4</v>
          </cell>
          <cell r="X90">
            <v>37.5</v>
          </cell>
          <cell r="Y90">
            <v>0.41666666666666669</v>
          </cell>
          <cell r="Z90">
            <v>75.900000000000006</v>
          </cell>
          <cell r="AA90">
            <v>73.7</v>
          </cell>
          <cell r="AW90">
            <v>4</v>
          </cell>
          <cell r="AX90">
            <v>5</v>
          </cell>
          <cell r="AY90">
            <v>1</v>
          </cell>
          <cell r="AZ90">
            <v>1</v>
          </cell>
          <cell r="BB90">
            <v>44919</v>
          </cell>
          <cell r="BG90">
            <v>44918</v>
          </cell>
        </row>
        <row r="91">
          <cell r="A91">
            <v>503</v>
          </cell>
          <cell r="B91">
            <v>115</v>
          </cell>
          <cell r="C91" t="str">
            <v>PN-44 / PN-45</v>
          </cell>
          <cell r="D91">
            <v>4</v>
          </cell>
          <cell r="E91">
            <v>40</v>
          </cell>
          <cell r="F91">
            <v>10</v>
          </cell>
          <cell r="G91">
            <v>40</v>
          </cell>
          <cell r="H91">
            <v>0</v>
          </cell>
          <cell r="I91" t="str">
            <v>-</v>
          </cell>
          <cell r="J91" t="str">
            <v>680/670</v>
          </cell>
          <cell r="K91" t="str">
            <v xml:space="preserve">CPIII 40 RS </v>
          </cell>
          <cell r="L91" t="str">
            <v>CP V</v>
          </cell>
          <cell r="M91" t="str">
            <v>SUPER PLASTIFICANTE</v>
          </cell>
          <cell r="N91" t="str">
            <v>NEUTRALIZAÇÃO</v>
          </cell>
          <cell r="O91" t="str">
            <v>FORTANKS</v>
          </cell>
          <cell r="P91">
            <v>495</v>
          </cell>
          <cell r="Q91" t="str">
            <v>Gean</v>
          </cell>
          <cell r="R91">
            <v>44918</v>
          </cell>
          <cell r="S91">
            <v>0.47222222222222227</v>
          </cell>
          <cell r="T91">
            <v>0.46222222222222226</v>
          </cell>
          <cell r="U91" t="str">
            <v>X</v>
          </cell>
          <cell r="V91">
            <v>0.33333333333333331</v>
          </cell>
          <cell r="W91">
            <v>38.799999999999997</v>
          </cell>
          <cell r="X91">
            <v>37.299999999999997</v>
          </cell>
          <cell r="Y91">
            <v>0.41666666666666669</v>
          </cell>
          <cell r="Z91">
            <v>74.099999999999994</v>
          </cell>
          <cell r="AA91">
            <v>75.400000000000006</v>
          </cell>
          <cell r="AW91">
            <v>4</v>
          </cell>
          <cell r="AX91">
            <v>4</v>
          </cell>
          <cell r="AY91">
            <v>3</v>
          </cell>
          <cell r="AZ91">
            <v>4</v>
          </cell>
          <cell r="BB91">
            <v>44919</v>
          </cell>
          <cell r="BG91">
            <v>44918</v>
          </cell>
        </row>
        <row r="92">
          <cell r="A92" t="str">
            <v>503-A</v>
          </cell>
          <cell r="B92">
            <v>116</v>
          </cell>
          <cell r="C92" t="str">
            <v>PN-93 / PN-02</v>
          </cell>
          <cell r="D92">
            <v>4</v>
          </cell>
          <cell r="E92">
            <v>40</v>
          </cell>
          <cell r="F92">
            <v>10</v>
          </cell>
          <cell r="G92">
            <v>40</v>
          </cell>
          <cell r="H92">
            <v>0</v>
          </cell>
          <cell r="I92" t="str">
            <v>-</v>
          </cell>
          <cell r="J92" t="str">
            <v>650/660</v>
          </cell>
          <cell r="K92" t="str">
            <v xml:space="preserve">CPIII 40 RS </v>
          </cell>
          <cell r="L92" t="str">
            <v>CP V</v>
          </cell>
          <cell r="M92" t="str">
            <v>SUPER PLASTIFICANTE</v>
          </cell>
          <cell r="N92" t="str">
            <v>NEUTRALIZAÇÃO</v>
          </cell>
          <cell r="O92" t="str">
            <v>FORTANKS</v>
          </cell>
          <cell r="P92">
            <v>495</v>
          </cell>
          <cell r="Q92" t="str">
            <v>Gean</v>
          </cell>
          <cell r="R92">
            <v>44923</v>
          </cell>
          <cell r="S92">
            <v>0.375</v>
          </cell>
          <cell r="T92">
            <v>0.36499999999999999</v>
          </cell>
          <cell r="U92" t="str">
            <v>X</v>
          </cell>
          <cell r="V92">
            <v>0.33333333333333331</v>
          </cell>
          <cell r="W92">
            <v>19.32</v>
          </cell>
          <cell r="X92">
            <v>19.670000000000002</v>
          </cell>
          <cell r="Y92">
            <v>0.41666666666666669</v>
          </cell>
          <cell r="Z92">
            <v>76.239999999999995</v>
          </cell>
          <cell r="AA92">
            <v>78.03</v>
          </cell>
          <cell r="AW92">
            <v>3</v>
          </cell>
          <cell r="AX92">
            <v>4</v>
          </cell>
          <cell r="AY92">
            <v>3</v>
          </cell>
          <cell r="AZ92">
            <v>4</v>
          </cell>
          <cell r="BB92">
            <v>44924</v>
          </cell>
          <cell r="BG92">
            <v>44923</v>
          </cell>
        </row>
        <row r="93">
          <cell r="A93">
            <v>504</v>
          </cell>
          <cell r="B93">
            <v>117</v>
          </cell>
          <cell r="C93" t="str">
            <v>PN-92</v>
          </cell>
          <cell r="D93">
            <v>4</v>
          </cell>
          <cell r="E93">
            <v>40</v>
          </cell>
          <cell r="F93">
            <v>10</v>
          </cell>
          <cell r="G93">
            <v>40</v>
          </cell>
          <cell r="H93">
            <v>0</v>
          </cell>
          <cell r="I93" t="str">
            <v>-</v>
          </cell>
          <cell r="J93" t="str">
            <v>640/650</v>
          </cell>
          <cell r="K93" t="str">
            <v xml:space="preserve">CPIII 40 RS </v>
          </cell>
          <cell r="L93" t="str">
            <v>CP V</v>
          </cell>
          <cell r="M93" t="str">
            <v>SUPER PLASTIFICANTE</v>
          </cell>
          <cell r="N93" t="str">
            <v>NEUTRALIZAÇÃO</v>
          </cell>
          <cell r="O93" t="str">
            <v>FORTANKS</v>
          </cell>
          <cell r="P93">
            <v>495</v>
          </cell>
          <cell r="Q93" t="str">
            <v>Gean</v>
          </cell>
          <cell r="R93">
            <v>44923</v>
          </cell>
          <cell r="S93">
            <v>0.625</v>
          </cell>
          <cell r="T93">
            <v>0.61499999999999999</v>
          </cell>
          <cell r="U93" t="str">
            <v>X</v>
          </cell>
          <cell r="V93">
            <v>0.375</v>
          </cell>
          <cell r="W93">
            <v>13.28</v>
          </cell>
          <cell r="X93">
            <v>14.48</v>
          </cell>
          <cell r="Y93">
            <v>0.41666666666666669</v>
          </cell>
          <cell r="Z93">
            <v>79.39</v>
          </cell>
          <cell r="AA93">
            <v>80.39</v>
          </cell>
          <cell r="AW93">
            <v>3</v>
          </cell>
          <cell r="AX93">
            <v>2</v>
          </cell>
          <cell r="AY93">
            <v>4</v>
          </cell>
          <cell r="AZ93">
            <v>4</v>
          </cell>
          <cell r="BB93">
            <v>44924</v>
          </cell>
          <cell r="BG93">
            <v>44923</v>
          </cell>
        </row>
        <row r="94">
          <cell r="A94" t="str">
            <v>504-A</v>
          </cell>
          <cell r="B94">
            <v>117</v>
          </cell>
          <cell r="C94" t="str">
            <v>PLACA  -    PN-01</v>
          </cell>
          <cell r="D94">
            <v>5</v>
          </cell>
          <cell r="E94">
            <v>40</v>
          </cell>
          <cell r="F94">
            <v>10</v>
          </cell>
          <cell r="G94">
            <v>40</v>
          </cell>
          <cell r="H94">
            <v>0</v>
          </cell>
          <cell r="I94" t="str">
            <v>-</v>
          </cell>
          <cell r="J94" t="str">
            <v>640/650</v>
          </cell>
          <cell r="K94" t="str">
            <v xml:space="preserve">CPIII 40 RS </v>
          </cell>
          <cell r="L94" t="str">
            <v>CP V</v>
          </cell>
          <cell r="M94" t="str">
            <v>SUPER PLASTIFICANTE</v>
          </cell>
          <cell r="N94" t="str">
            <v>MUROS DE VEDAÇÃO - GRANDE VITÓRIA E BAIXO GUANDU</v>
          </cell>
          <cell r="O94" t="str">
            <v>FORTANKS</v>
          </cell>
          <cell r="P94">
            <v>495</v>
          </cell>
          <cell r="Q94" t="str">
            <v>Gean</v>
          </cell>
          <cell r="R94">
            <v>44923</v>
          </cell>
          <cell r="S94">
            <v>0.625</v>
          </cell>
          <cell r="T94">
            <v>0.61499999999999999</v>
          </cell>
          <cell r="U94" t="str">
            <v>X</v>
          </cell>
          <cell r="V94">
            <v>0.375</v>
          </cell>
          <cell r="W94">
            <v>13.28</v>
          </cell>
          <cell r="X94">
            <v>14.48</v>
          </cell>
          <cell r="Y94">
            <v>0.41666666666666669</v>
          </cell>
          <cell r="Z94">
            <v>79.39</v>
          </cell>
          <cell r="AA94">
            <v>80.39</v>
          </cell>
          <cell r="AG94" t="str">
            <v>X</v>
          </cell>
          <cell r="AJ94" t="str">
            <v>X</v>
          </cell>
          <cell r="AP94" t="str">
            <v>x</v>
          </cell>
          <cell r="AQ94" t="str">
            <v>x</v>
          </cell>
          <cell r="AW94">
            <v>3</v>
          </cell>
          <cell r="AX94">
            <v>2</v>
          </cell>
          <cell r="AY94">
            <v>4</v>
          </cell>
          <cell r="AZ94">
            <v>4</v>
          </cell>
          <cell r="BA94" t="str">
            <v>FORTES ENGENHARIA</v>
          </cell>
          <cell r="BB94">
            <v>44924</v>
          </cell>
          <cell r="BG94">
            <v>44923</v>
          </cell>
        </row>
        <row r="95">
          <cell r="A95">
            <v>505</v>
          </cell>
          <cell r="B95">
            <v>118</v>
          </cell>
          <cell r="C95" t="str">
            <v>PN-03</v>
          </cell>
          <cell r="D95">
            <v>5</v>
          </cell>
          <cell r="E95">
            <v>40</v>
          </cell>
          <cell r="F95">
            <v>10</v>
          </cell>
          <cell r="G95">
            <v>40</v>
          </cell>
          <cell r="H95">
            <v>0</v>
          </cell>
          <cell r="I95" t="str">
            <v>-</v>
          </cell>
          <cell r="J95" t="str">
            <v>650/660</v>
          </cell>
          <cell r="K95" t="str">
            <v xml:space="preserve">CPIII 40 RS </v>
          </cell>
          <cell r="L95" t="str">
            <v>CP V</v>
          </cell>
          <cell r="M95" t="str">
            <v>SUPER PLASTIFICANTE</v>
          </cell>
          <cell r="N95" t="str">
            <v>NEUTRALIZAÇÃO</v>
          </cell>
          <cell r="O95" t="str">
            <v>FORTANKS</v>
          </cell>
          <cell r="P95">
            <v>495</v>
          </cell>
          <cell r="Q95" t="str">
            <v>Gean</v>
          </cell>
          <cell r="R95">
            <v>44925</v>
          </cell>
          <cell r="S95">
            <v>0.60069444444444442</v>
          </cell>
          <cell r="T95">
            <v>0.59069444444444441</v>
          </cell>
          <cell r="U95" t="str">
            <v>X</v>
          </cell>
          <cell r="V95">
            <v>0.375</v>
          </cell>
          <cell r="W95">
            <v>15.05</v>
          </cell>
          <cell r="X95">
            <v>15.08</v>
          </cell>
          <cell r="Y95">
            <v>0.41666666666666669</v>
          </cell>
          <cell r="Z95">
            <v>92.9</v>
          </cell>
          <cell r="AA95">
            <v>93.49</v>
          </cell>
          <cell r="AW95">
            <v>2</v>
          </cell>
          <cell r="AX95">
            <v>3</v>
          </cell>
          <cell r="AY95">
            <v>3</v>
          </cell>
          <cell r="AZ95">
            <v>4</v>
          </cell>
          <cell r="BB95">
            <v>44926</v>
          </cell>
          <cell r="BG95">
            <v>44925</v>
          </cell>
        </row>
        <row r="96">
          <cell r="A96" t="str">
            <v>505-A</v>
          </cell>
          <cell r="B96">
            <v>118</v>
          </cell>
          <cell r="C96" t="str">
            <v>PLACA - PN-02/ PN-03</v>
          </cell>
          <cell r="D96">
            <v>5</v>
          </cell>
          <cell r="E96">
            <v>40</v>
          </cell>
          <cell r="F96">
            <v>10</v>
          </cell>
          <cell r="G96">
            <v>40</v>
          </cell>
          <cell r="H96">
            <v>0</v>
          </cell>
          <cell r="I96" t="str">
            <v>-</v>
          </cell>
          <cell r="J96" t="str">
            <v>650/660</v>
          </cell>
          <cell r="K96" t="str">
            <v xml:space="preserve">CPIII 40 RS </v>
          </cell>
          <cell r="L96" t="str">
            <v>CP V</v>
          </cell>
          <cell r="M96" t="str">
            <v>SUPER PLASTIFICANTE</v>
          </cell>
          <cell r="N96" t="str">
            <v>MUROS DE VEDAÇÃO - GRANDE VITÓRIA E BAIXO GUANDU</v>
          </cell>
          <cell r="O96" t="str">
            <v>FORTANKS</v>
          </cell>
          <cell r="P96">
            <v>495</v>
          </cell>
          <cell r="Q96" t="str">
            <v>Gean</v>
          </cell>
          <cell r="R96">
            <v>44925</v>
          </cell>
          <cell r="S96">
            <v>0.60069444444444442</v>
          </cell>
          <cell r="T96">
            <v>0.59069444444444441</v>
          </cell>
          <cell r="U96" t="str">
            <v>X</v>
          </cell>
          <cell r="V96">
            <v>0.375</v>
          </cell>
          <cell r="W96">
            <v>15.05</v>
          </cell>
          <cell r="X96">
            <v>15.08</v>
          </cell>
          <cell r="Y96">
            <v>0.41666666666666669</v>
          </cell>
          <cell r="Z96">
            <v>92.9</v>
          </cell>
          <cell r="AA96">
            <v>93.49</v>
          </cell>
          <cell r="AF96" t="str">
            <v>X</v>
          </cell>
          <cell r="AK96" t="str">
            <v>X</v>
          </cell>
          <cell r="AL96" t="str">
            <v>x</v>
          </cell>
          <cell r="AQ96" t="str">
            <v>x</v>
          </cell>
          <cell r="AW96">
            <v>2</v>
          </cell>
          <cell r="AX96">
            <v>3</v>
          </cell>
          <cell r="AY96">
            <v>3</v>
          </cell>
          <cell r="AZ96">
            <v>4</v>
          </cell>
          <cell r="BA96" t="str">
            <v>FORTES ENGENHARIA</v>
          </cell>
          <cell r="BB96">
            <v>44926</v>
          </cell>
          <cell r="BG96">
            <v>44925</v>
          </cell>
        </row>
        <row r="97">
          <cell r="A97">
            <v>506</v>
          </cell>
          <cell r="B97">
            <v>119</v>
          </cell>
          <cell r="C97" t="str">
            <v>PN-04 / PN-05</v>
          </cell>
          <cell r="D97">
            <v>7</v>
          </cell>
          <cell r="E97">
            <v>40</v>
          </cell>
          <cell r="F97">
            <v>10</v>
          </cell>
          <cell r="G97">
            <v>40</v>
          </cell>
          <cell r="H97">
            <v>0</v>
          </cell>
          <cell r="I97" t="str">
            <v>-</v>
          </cell>
          <cell r="J97" t="str">
            <v>660/680</v>
          </cell>
          <cell r="K97" t="str">
            <v xml:space="preserve">CPIII 40 RS </v>
          </cell>
          <cell r="L97" t="str">
            <v>CP V</v>
          </cell>
          <cell r="M97" t="str">
            <v>SUPER PLASTIFICANTE</v>
          </cell>
          <cell r="N97" t="str">
            <v>NEUTRALIZAÇÃO</v>
          </cell>
          <cell r="O97" t="str">
            <v>FORTANKS</v>
          </cell>
          <cell r="P97">
            <v>495</v>
          </cell>
          <cell r="Q97" t="str">
            <v>Gean</v>
          </cell>
          <cell r="R97">
            <v>44928</v>
          </cell>
          <cell r="S97">
            <v>0.44791666666666669</v>
          </cell>
          <cell r="T97">
            <v>0.43791666666666668</v>
          </cell>
          <cell r="U97" t="str">
            <v>X</v>
          </cell>
          <cell r="V97">
            <v>0.33333333333333331</v>
          </cell>
          <cell r="W97">
            <v>13.97</v>
          </cell>
          <cell r="X97">
            <v>13.16</v>
          </cell>
          <cell r="Y97">
            <v>0.41666666666666669</v>
          </cell>
          <cell r="Z97">
            <v>72.2</v>
          </cell>
          <cell r="AA97">
            <v>73.489999999999995</v>
          </cell>
          <cell r="AW97">
            <v>3</v>
          </cell>
          <cell r="AX97">
            <v>2</v>
          </cell>
          <cell r="AY97">
            <v>3</v>
          </cell>
          <cell r="AZ97">
            <v>4</v>
          </cell>
          <cell r="BB97">
            <v>44929</v>
          </cell>
          <cell r="BG97">
            <v>44928</v>
          </cell>
        </row>
        <row r="98">
          <cell r="A98">
            <v>507</v>
          </cell>
          <cell r="B98">
            <v>120</v>
          </cell>
          <cell r="C98" t="str">
            <v>PN-07</v>
          </cell>
          <cell r="D98">
            <v>5</v>
          </cell>
          <cell r="E98">
            <v>40</v>
          </cell>
          <cell r="F98">
            <v>10</v>
          </cell>
          <cell r="G98">
            <v>40</v>
          </cell>
          <cell r="H98">
            <v>0</v>
          </cell>
          <cell r="I98" t="str">
            <v>-</v>
          </cell>
          <cell r="J98" t="str">
            <v>640/650</v>
          </cell>
          <cell r="K98" t="str">
            <v xml:space="preserve">CPIII 40 RS </v>
          </cell>
          <cell r="L98" t="str">
            <v>CP V</v>
          </cell>
          <cell r="M98" t="str">
            <v>SUPER PLASTIFICANTE</v>
          </cell>
          <cell r="N98" t="str">
            <v>NEUTRALIZAÇÃO</v>
          </cell>
          <cell r="O98" t="str">
            <v>FORTANKS</v>
          </cell>
          <cell r="P98">
            <v>495</v>
          </cell>
          <cell r="Q98" t="str">
            <v>Gean</v>
          </cell>
          <cell r="R98">
            <v>44928</v>
          </cell>
          <cell r="S98">
            <v>0.5625</v>
          </cell>
          <cell r="T98">
            <v>0.55249999999999999</v>
          </cell>
          <cell r="U98" t="str">
            <v>X</v>
          </cell>
          <cell r="V98">
            <v>0.33333333333333331</v>
          </cell>
          <cell r="W98">
            <v>13.61</v>
          </cell>
          <cell r="X98">
            <v>12.23</v>
          </cell>
          <cell r="Y98">
            <v>0.41666666666666669</v>
          </cell>
          <cell r="Z98">
            <v>76.25</v>
          </cell>
          <cell r="AA98">
            <v>77.38</v>
          </cell>
          <cell r="AW98">
            <v>4</v>
          </cell>
          <cell r="AX98">
            <v>4</v>
          </cell>
          <cell r="AY98">
            <v>3</v>
          </cell>
          <cell r="AZ98">
            <v>3</v>
          </cell>
          <cell r="BB98">
            <v>44929</v>
          </cell>
          <cell r="BG98">
            <v>44928</v>
          </cell>
        </row>
        <row r="99">
          <cell r="A99">
            <v>508</v>
          </cell>
          <cell r="B99">
            <v>121</v>
          </cell>
          <cell r="C99" t="str">
            <v>PLACA - PN-04/ PN-05/ PN-06/ PN-07/ PN-08/ PN-09/ PN-10/ PN-11/ PN-12/ PN-13/ PN-14/ PN-15</v>
          </cell>
          <cell r="D99">
            <v>7</v>
          </cell>
          <cell r="E99">
            <v>40</v>
          </cell>
          <cell r="F99">
            <v>10</v>
          </cell>
          <cell r="G99">
            <v>40</v>
          </cell>
          <cell r="H99">
            <v>0</v>
          </cell>
          <cell r="I99" t="str">
            <v>-</v>
          </cell>
          <cell r="J99" t="str">
            <v>650/660</v>
          </cell>
          <cell r="K99" t="str">
            <v xml:space="preserve">CPIII 40 RS </v>
          </cell>
          <cell r="L99" t="str">
            <v>CP V</v>
          </cell>
          <cell r="M99" t="str">
            <v>SUPER PLASTIFICANTE</v>
          </cell>
          <cell r="N99" t="str">
            <v>MUROS DE VEDAÇÃO - GRANDE VITÓRIA E BAIXO GUANDU</v>
          </cell>
          <cell r="O99" t="str">
            <v>FORTANKS</v>
          </cell>
          <cell r="P99">
            <v>495</v>
          </cell>
          <cell r="Q99" t="str">
            <v>Gean</v>
          </cell>
          <cell r="R99">
            <v>44928</v>
          </cell>
          <cell r="S99">
            <v>0.6875</v>
          </cell>
          <cell r="T99">
            <v>0.67749999999999999</v>
          </cell>
          <cell r="U99" t="str">
            <v>x</v>
          </cell>
          <cell r="V99">
            <v>0.41666666666666669</v>
          </cell>
          <cell r="W99">
            <v>10.01</v>
          </cell>
          <cell r="X99">
            <v>10.5</v>
          </cell>
          <cell r="Y99">
            <v>0.41666666666666669</v>
          </cell>
          <cell r="Z99">
            <v>73.709999999999994</v>
          </cell>
          <cell r="AA99">
            <v>75.19</v>
          </cell>
          <cell r="AJ99" t="str">
            <v>x</v>
          </cell>
          <cell r="AK99" t="str">
            <v>x</v>
          </cell>
          <cell r="AM99" t="str">
            <v>x</v>
          </cell>
          <cell r="AP99" t="str">
            <v>x</v>
          </cell>
          <cell r="AW99">
            <v>3</v>
          </cell>
          <cell r="AX99">
            <v>3</v>
          </cell>
          <cell r="AY99">
            <v>4</v>
          </cell>
          <cell r="AZ99">
            <v>3</v>
          </cell>
          <cell r="BA99" t="str">
            <v>FORTES ENGENHARIA</v>
          </cell>
          <cell r="BB99">
            <v>44929</v>
          </cell>
          <cell r="BG99">
            <v>44928</v>
          </cell>
        </row>
        <row r="100">
          <cell r="A100">
            <v>509</v>
          </cell>
          <cell r="B100">
            <v>122</v>
          </cell>
          <cell r="C100" t="str">
            <v>PN-10</v>
          </cell>
          <cell r="D100">
            <v>4</v>
          </cell>
          <cell r="E100">
            <v>40</v>
          </cell>
          <cell r="F100">
            <v>10</v>
          </cell>
          <cell r="G100">
            <v>40</v>
          </cell>
          <cell r="H100">
            <v>0</v>
          </cell>
          <cell r="I100" t="str">
            <v>-</v>
          </cell>
          <cell r="J100" t="str">
            <v>680/680</v>
          </cell>
          <cell r="K100" t="str">
            <v xml:space="preserve">CPIII 40 RS </v>
          </cell>
          <cell r="L100" t="str">
            <v>CP V</v>
          </cell>
          <cell r="M100" t="str">
            <v>SUPER PLASTIFICANTE</v>
          </cell>
          <cell r="N100" t="str">
            <v>NEUTRALIZAÇÃO</v>
          </cell>
          <cell r="O100" t="str">
            <v>FORTANKS</v>
          </cell>
          <cell r="P100">
            <v>495</v>
          </cell>
          <cell r="Q100" t="str">
            <v>Gean</v>
          </cell>
          <cell r="R100">
            <v>44930</v>
          </cell>
          <cell r="S100">
            <v>0.43888888888888888</v>
          </cell>
          <cell r="T100">
            <v>0.42888888888888888</v>
          </cell>
          <cell r="U100" t="str">
            <v>X</v>
          </cell>
          <cell r="V100">
            <v>0.375</v>
          </cell>
          <cell r="W100">
            <v>20.28</v>
          </cell>
          <cell r="X100">
            <v>21.92</v>
          </cell>
          <cell r="Y100">
            <v>0.41666666666666669</v>
          </cell>
          <cell r="Z100">
            <v>76.209999999999994</v>
          </cell>
          <cell r="AA100">
            <v>78.010000000000005</v>
          </cell>
          <cell r="AW100">
            <v>3</v>
          </cell>
          <cell r="AX100">
            <v>2</v>
          </cell>
          <cell r="AY100">
            <v>3</v>
          </cell>
          <cell r="AZ100">
            <v>4</v>
          </cell>
          <cell r="BB100">
            <v>44931</v>
          </cell>
          <cell r="BG100">
            <v>44930</v>
          </cell>
        </row>
        <row r="101">
          <cell r="A101">
            <v>510</v>
          </cell>
          <cell r="B101">
            <v>123</v>
          </cell>
          <cell r="C101" t="str">
            <v>PN-08 / PN-09</v>
          </cell>
          <cell r="D101">
            <v>7</v>
          </cell>
          <cell r="E101">
            <v>40</v>
          </cell>
          <cell r="F101">
            <v>10</v>
          </cell>
          <cell r="G101">
            <v>40</v>
          </cell>
          <cell r="H101">
            <v>0</v>
          </cell>
          <cell r="I101" t="str">
            <v>-</v>
          </cell>
          <cell r="J101" t="str">
            <v>640/650</v>
          </cell>
          <cell r="K101" t="str">
            <v xml:space="preserve">CPIII 40 RS </v>
          </cell>
          <cell r="L101" t="str">
            <v>CP V</v>
          </cell>
          <cell r="M101" t="str">
            <v>SUPER PLASTIFICANTE</v>
          </cell>
          <cell r="N101" t="str">
            <v>NEUTRALIZAÇÃO</v>
          </cell>
          <cell r="O101" t="str">
            <v>FORTANKS</v>
          </cell>
          <cell r="P101">
            <v>495</v>
          </cell>
          <cell r="Q101" t="str">
            <v>Gean</v>
          </cell>
          <cell r="R101">
            <v>44930</v>
          </cell>
          <cell r="S101">
            <v>0.59027777777777779</v>
          </cell>
          <cell r="T101">
            <v>0.58027777777777778</v>
          </cell>
          <cell r="U101" t="str">
            <v>X</v>
          </cell>
          <cell r="V101">
            <v>0.33333333333333331</v>
          </cell>
          <cell r="W101">
            <v>17.25</v>
          </cell>
          <cell r="X101">
            <v>15.51</v>
          </cell>
          <cell r="Y101">
            <v>0.41666666666666669</v>
          </cell>
          <cell r="Z101">
            <v>75.25</v>
          </cell>
          <cell r="AA101">
            <v>76.36</v>
          </cell>
          <cell r="AW101">
            <v>4</v>
          </cell>
          <cell r="AX101">
            <v>4</v>
          </cell>
          <cell r="AY101">
            <v>3</v>
          </cell>
          <cell r="AZ101">
            <v>4</v>
          </cell>
          <cell r="BB101">
            <v>44931</v>
          </cell>
          <cell r="BG101">
            <v>44930</v>
          </cell>
        </row>
        <row r="102">
          <cell r="A102">
            <v>511</v>
          </cell>
          <cell r="B102">
            <v>124</v>
          </cell>
          <cell r="C102" t="str">
            <v>PLACA - PN-16/  PN-17/  PN-18/  PN-19/ PN-20/   PN-21/  PN-22/  PN-23</v>
          </cell>
          <cell r="D102">
            <v>4</v>
          </cell>
          <cell r="E102">
            <v>40</v>
          </cell>
          <cell r="F102">
            <v>10</v>
          </cell>
          <cell r="G102">
            <v>40</v>
          </cell>
          <cell r="H102">
            <v>0</v>
          </cell>
          <cell r="I102" t="str">
            <v>-</v>
          </cell>
          <cell r="J102" t="str">
            <v>650/660</v>
          </cell>
          <cell r="K102" t="str">
            <v xml:space="preserve">CPIII 40 RS </v>
          </cell>
          <cell r="L102" t="str">
            <v>CP V</v>
          </cell>
          <cell r="M102" t="str">
            <v>SUPER PLASTIFICANTE</v>
          </cell>
          <cell r="N102" t="str">
            <v>MUROS DE VEDAÇÃO - GRANDE VITÓRIA E BAIXO GUANDU</v>
          </cell>
          <cell r="O102" t="str">
            <v>FORTANKS</v>
          </cell>
          <cell r="P102">
            <v>495</v>
          </cell>
          <cell r="Q102" t="str">
            <v>Gean</v>
          </cell>
          <cell r="R102">
            <v>44930</v>
          </cell>
          <cell r="S102">
            <v>0.65277777777777779</v>
          </cell>
          <cell r="T102">
            <v>0.64277777777777778</v>
          </cell>
          <cell r="U102" t="str">
            <v>X</v>
          </cell>
          <cell r="V102">
            <v>0.375</v>
          </cell>
          <cell r="W102">
            <v>11.38</v>
          </cell>
          <cell r="X102">
            <v>11.68</v>
          </cell>
          <cell r="Y102">
            <v>0.41666666666666669</v>
          </cell>
          <cell r="Z102">
            <v>78.59</v>
          </cell>
          <cell r="AA102">
            <v>77.36</v>
          </cell>
          <cell r="AF102" t="str">
            <v>X</v>
          </cell>
          <cell r="AK102" t="str">
            <v>X</v>
          </cell>
          <cell r="AL102" t="str">
            <v>x</v>
          </cell>
          <cell r="AM102" t="str">
            <v>x</v>
          </cell>
          <cell r="AW102">
            <v>2</v>
          </cell>
          <cell r="AX102">
            <v>3</v>
          </cell>
          <cell r="AY102">
            <v>3</v>
          </cell>
          <cell r="AZ102">
            <v>3</v>
          </cell>
          <cell r="BA102" t="str">
            <v>FORTES ENGENHARIA</v>
          </cell>
          <cell r="BB102">
            <v>44931</v>
          </cell>
          <cell r="BG102">
            <v>44930</v>
          </cell>
        </row>
        <row r="103">
          <cell r="A103">
            <v>512</v>
          </cell>
          <cell r="B103">
            <v>125</v>
          </cell>
          <cell r="C103" t="str">
            <v>PLACA - PN-24/  PN-25/  PN-26/  PN-27/ PN-28/   PN-29/  PN-30</v>
          </cell>
          <cell r="D103">
            <v>4</v>
          </cell>
          <cell r="E103">
            <v>40</v>
          </cell>
          <cell r="F103">
            <v>10</v>
          </cell>
          <cell r="G103">
            <v>40</v>
          </cell>
          <cell r="H103">
            <v>0</v>
          </cell>
          <cell r="I103" t="str">
            <v>-</v>
          </cell>
          <cell r="J103" t="str">
            <v>670/680</v>
          </cell>
          <cell r="K103" t="str">
            <v xml:space="preserve">CPIII 40 RS </v>
          </cell>
          <cell r="L103" t="str">
            <v>CP V</v>
          </cell>
          <cell r="M103" t="str">
            <v>SUPER PLASTIFICANTE</v>
          </cell>
          <cell r="N103" t="str">
            <v>MUROS DE VEDAÇÃO - GRANDE VITÓRIA E BAIXO GUANDU</v>
          </cell>
          <cell r="O103" t="str">
            <v>FORTANKS</v>
          </cell>
          <cell r="P103">
            <v>495</v>
          </cell>
          <cell r="Q103" t="str">
            <v>Gean</v>
          </cell>
          <cell r="R103">
            <v>44930</v>
          </cell>
          <cell r="S103">
            <v>0.69791666666666663</v>
          </cell>
          <cell r="T103">
            <v>0.68791666666666662</v>
          </cell>
          <cell r="U103" t="str">
            <v>X</v>
          </cell>
          <cell r="V103">
            <v>0.39583333333333331</v>
          </cell>
          <cell r="W103">
            <v>11.09</v>
          </cell>
          <cell r="X103">
            <v>12.04</v>
          </cell>
          <cell r="Y103">
            <v>0.41666666666666669</v>
          </cell>
          <cell r="Z103">
            <v>83.95</v>
          </cell>
          <cell r="AA103">
            <v>84.12</v>
          </cell>
          <cell r="AD103" t="str">
            <v>x</v>
          </cell>
          <cell r="AI103" t="str">
            <v>x</v>
          </cell>
          <cell r="AJ103" t="str">
            <v>X</v>
          </cell>
          <cell r="AK103" t="str">
            <v>X</v>
          </cell>
          <cell r="AW103">
            <v>3</v>
          </cell>
          <cell r="AX103">
            <v>3</v>
          </cell>
          <cell r="AY103">
            <v>1</v>
          </cell>
          <cell r="AZ103">
            <v>2</v>
          </cell>
          <cell r="BA103" t="str">
            <v>FORTES ENGENHARIA</v>
          </cell>
          <cell r="BB103">
            <v>44931</v>
          </cell>
          <cell r="BG103">
            <v>44930</v>
          </cell>
        </row>
        <row r="104">
          <cell r="A104">
            <v>513</v>
          </cell>
          <cell r="B104">
            <v>126</v>
          </cell>
          <cell r="C104" t="str">
            <v>PN-32 / PN-33</v>
          </cell>
          <cell r="D104">
            <v>7</v>
          </cell>
          <cell r="E104">
            <v>40</v>
          </cell>
          <cell r="F104">
            <v>10</v>
          </cell>
          <cell r="G104">
            <v>40</v>
          </cell>
          <cell r="H104">
            <v>0</v>
          </cell>
          <cell r="I104" t="str">
            <v>-</v>
          </cell>
          <cell r="J104" t="str">
            <v>670/670</v>
          </cell>
          <cell r="K104" t="str">
            <v xml:space="preserve">CPIII 40 RS </v>
          </cell>
          <cell r="L104" t="str">
            <v>CP V</v>
          </cell>
          <cell r="M104" t="str">
            <v>SUPER PLASTIFICANTE</v>
          </cell>
          <cell r="N104" t="str">
            <v>NEUTRALIZAÇÃO</v>
          </cell>
          <cell r="O104" t="str">
            <v>FORTANKS</v>
          </cell>
          <cell r="P104">
            <v>495</v>
          </cell>
          <cell r="Q104" t="str">
            <v>Gean</v>
          </cell>
          <cell r="R104">
            <v>44932</v>
          </cell>
          <cell r="S104">
            <v>0.43055555555555558</v>
          </cell>
          <cell r="T104">
            <v>0.42055555555555557</v>
          </cell>
          <cell r="U104" t="str">
            <v>X</v>
          </cell>
          <cell r="V104">
            <v>0.33333333333333331</v>
          </cell>
          <cell r="W104">
            <v>15.761256000000001</v>
          </cell>
          <cell r="X104">
            <v>14.953614000000002</v>
          </cell>
          <cell r="Y104">
            <v>0.4236111111111111</v>
          </cell>
          <cell r="Z104">
            <v>75.63</v>
          </cell>
          <cell r="AA104">
            <v>77.02</v>
          </cell>
          <cell r="AW104">
            <v>2</v>
          </cell>
          <cell r="AX104">
            <v>4</v>
          </cell>
          <cell r="AY104">
            <v>3</v>
          </cell>
          <cell r="AZ104">
            <v>3</v>
          </cell>
          <cell r="BB104">
            <v>44933</v>
          </cell>
          <cell r="BG104">
            <v>44932</v>
          </cell>
        </row>
        <row r="105">
          <cell r="A105">
            <v>514</v>
          </cell>
          <cell r="B105">
            <v>127</v>
          </cell>
          <cell r="C105" t="str">
            <v>PN-31</v>
          </cell>
          <cell r="D105">
            <v>7</v>
          </cell>
          <cell r="E105">
            <v>40</v>
          </cell>
          <cell r="F105">
            <v>10</v>
          </cell>
          <cell r="G105">
            <v>40</v>
          </cell>
          <cell r="H105">
            <v>0</v>
          </cell>
          <cell r="I105" t="str">
            <v>-</v>
          </cell>
          <cell r="J105" t="str">
            <v>650/660</v>
          </cell>
          <cell r="K105" t="str">
            <v xml:space="preserve">CPIII 40 RS </v>
          </cell>
          <cell r="L105" t="str">
            <v>CP V</v>
          </cell>
          <cell r="M105" t="str">
            <v>SUPER PLASTIFICANTE</v>
          </cell>
          <cell r="N105" t="str">
            <v>NEUTRALIZAÇÃO</v>
          </cell>
          <cell r="O105" t="str">
            <v>FORTANKS</v>
          </cell>
          <cell r="P105">
            <v>495</v>
          </cell>
          <cell r="Q105" t="str">
            <v>Gean</v>
          </cell>
          <cell r="R105">
            <v>44932</v>
          </cell>
          <cell r="S105">
            <v>0.58333333333333337</v>
          </cell>
          <cell r="T105">
            <v>0.57333333333333336</v>
          </cell>
          <cell r="U105" t="str">
            <v>X</v>
          </cell>
          <cell r="V105">
            <v>0.33333333333333331</v>
          </cell>
          <cell r="W105">
            <v>11.6</v>
          </cell>
          <cell r="X105">
            <v>11.55</v>
          </cell>
          <cell r="Y105">
            <v>0.41666666666666669</v>
          </cell>
          <cell r="Z105">
            <v>79.94</v>
          </cell>
          <cell r="AA105">
            <v>78.56</v>
          </cell>
          <cell r="AW105">
            <v>4</v>
          </cell>
          <cell r="AX105">
            <v>4</v>
          </cell>
          <cell r="AY105">
            <v>3</v>
          </cell>
          <cell r="AZ105">
            <v>4</v>
          </cell>
          <cell r="BB105">
            <v>44933</v>
          </cell>
          <cell r="BG105">
            <v>44932</v>
          </cell>
        </row>
        <row r="106">
          <cell r="A106" t="str">
            <v>514-A</v>
          </cell>
          <cell r="B106">
            <v>127</v>
          </cell>
          <cell r="C106" t="str">
            <v>PLACA - PN-31/ PN-32/ PN-33/ PN-34/ PN-35/ PN-36</v>
          </cell>
          <cell r="D106">
            <v>7</v>
          </cell>
          <cell r="E106">
            <v>40</v>
          </cell>
          <cell r="F106">
            <v>10</v>
          </cell>
          <cell r="G106">
            <v>40</v>
          </cell>
          <cell r="H106">
            <v>0</v>
          </cell>
          <cell r="I106" t="str">
            <v>-</v>
          </cell>
          <cell r="J106" t="str">
            <v>650/660</v>
          </cell>
          <cell r="K106" t="str">
            <v xml:space="preserve">CPIII 40 RS </v>
          </cell>
          <cell r="L106" t="str">
            <v>CP V</v>
          </cell>
          <cell r="M106" t="str">
            <v>SUPER PLASTIFICANTE</v>
          </cell>
          <cell r="N106" t="str">
            <v>MUROS DE VEDAÇÃO - GRANDE VITÓRIA E BAIXO GUANDU</v>
          </cell>
          <cell r="O106" t="str">
            <v>FORTANKS</v>
          </cell>
          <cell r="P106">
            <v>495</v>
          </cell>
          <cell r="Q106" t="str">
            <v>Gean</v>
          </cell>
          <cell r="R106">
            <v>44932</v>
          </cell>
          <cell r="S106">
            <v>0.58333333333333337</v>
          </cell>
          <cell r="T106">
            <v>0.57333333333333336</v>
          </cell>
          <cell r="U106" t="str">
            <v>X</v>
          </cell>
          <cell r="V106">
            <v>0.33333333333333331</v>
          </cell>
          <cell r="W106">
            <v>11.6</v>
          </cell>
          <cell r="X106">
            <v>11.55</v>
          </cell>
          <cell r="Y106">
            <v>0.41666666666666669</v>
          </cell>
          <cell r="Z106">
            <v>79.94</v>
          </cell>
          <cell r="AA106">
            <v>78.56</v>
          </cell>
          <cell r="AL106" t="str">
            <v>x</v>
          </cell>
          <cell r="AN106" t="str">
            <v>X</v>
          </cell>
          <cell r="AO106" t="str">
            <v>X</v>
          </cell>
          <cell r="AQ106" t="str">
            <v>x</v>
          </cell>
          <cell r="AW106">
            <v>4</v>
          </cell>
          <cell r="AX106">
            <v>4</v>
          </cell>
          <cell r="AY106">
            <v>3</v>
          </cell>
          <cell r="AZ106">
            <v>4</v>
          </cell>
          <cell r="BA106" t="str">
            <v>FORTES ENGENHARIA</v>
          </cell>
          <cell r="BB106">
            <v>44933</v>
          </cell>
          <cell r="BG106">
            <v>44932</v>
          </cell>
        </row>
        <row r="107">
          <cell r="A107">
            <v>515</v>
          </cell>
          <cell r="B107">
            <v>128</v>
          </cell>
          <cell r="C107" t="str">
            <v>PLACA - PN-37/ PN-38/ PN-39/ PN-40/ PN-41/ PN-42/ PN-43/ PN-44</v>
          </cell>
          <cell r="D107">
            <v>4.5</v>
          </cell>
          <cell r="E107">
            <v>40</v>
          </cell>
          <cell r="F107">
            <v>10</v>
          </cell>
          <cell r="G107">
            <v>40</v>
          </cell>
          <cell r="H107">
            <v>0</v>
          </cell>
          <cell r="I107" t="str">
            <v>-</v>
          </cell>
          <cell r="J107" t="str">
            <v>660/670</v>
          </cell>
          <cell r="K107" t="str">
            <v xml:space="preserve">CPIII 40 RS </v>
          </cell>
          <cell r="L107" t="str">
            <v>CP V</v>
          </cell>
          <cell r="M107" t="str">
            <v>SUPER PLASTIFICANTE</v>
          </cell>
          <cell r="N107" t="str">
            <v>MUROS DE VEDAÇÃO - GRANDE VITÓRIA E BAIXO GUANDU</v>
          </cell>
          <cell r="O107" t="str">
            <v>FORTANKS</v>
          </cell>
          <cell r="P107">
            <v>495</v>
          </cell>
          <cell r="Q107" t="str">
            <v>Gean</v>
          </cell>
          <cell r="R107">
            <v>44932</v>
          </cell>
          <cell r="S107">
            <v>0.66666666666666663</v>
          </cell>
          <cell r="T107">
            <v>0.65666666666666662</v>
          </cell>
          <cell r="U107" t="str">
            <v>X</v>
          </cell>
          <cell r="V107">
            <v>0.35416666666666669</v>
          </cell>
          <cell r="W107">
            <v>10.1</v>
          </cell>
          <cell r="X107">
            <v>10.5</v>
          </cell>
          <cell r="Y107">
            <v>0.41666666666666669</v>
          </cell>
          <cell r="Z107">
            <v>89.88</v>
          </cell>
          <cell r="AA107">
            <v>87.21</v>
          </cell>
          <cell r="AE107" t="str">
            <v>x</v>
          </cell>
          <cell r="AL107" t="str">
            <v>x</v>
          </cell>
          <cell r="AN107" t="str">
            <v>X</v>
          </cell>
          <cell r="AO107" t="str">
            <v>X</v>
          </cell>
          <cell r="AW107">
            <v>4</v>
          </cell>
          <cell r="AX107">
            <v>4</v>
          </cell>
          <cell r="AY107">
            <v>3</v>
          </cell>
          <cell r="AZ107">
            <v>1</v>
          </cell>
          <cell r="BA107" t="str">
            <v>FORTES ENGENHARIA</v>
          </cell>
          <cell r="BB107">
            <v>44933</v>
          </cell>
          <cell r="BG107">
            <v>44932</v>
          </cell>
        </row>
        <row r="108">
          <cell r="A108">
            <v>516</v>
          </cell>
          <cell r="B108">
            <v>129</v>
          </cell>
          <cell r="C108" t="str">
            <v>PN-34 / PN-36</v>
          </cell>
          <cell r="D108">
            <v>7</v>
          </cell>
          <cell r="E108">
            <v>40</v>
          </cell>
          <cell r="F108">
            <v>10</v>
          </cell>
          <cell r="G108">
            <v>40</v>
          </cell>
          <cell r="H108">
            <v>0</v>
          </cell>
          <cell r="I108" t="str">
            <v>-</v>
          </cell>
          <cell r="J108" t="str">
            <v>670/680</v>
          </cell>
          <cell r="K108" t="str">
            <v xml:space="preserve">CPIII 40 RS </v>
          </cell>
          <cell r="L108" t="str">
            <v>CP V</v>
          </cell>
          <cell r="M108" t="str">
            <v>SUPER PLASTIFICANTE</v>
          </cell>
          <cell r="N108" t="str">
            <v>NEUTRALIZAÇÃO</v>
          </cell>
          <cell r="O108" t="str">
            <v>FORTANKS</v>
          </cell>
          <cell r="P108">
            <v>495</v>
          </cell>
          <cell r="Q108" t="str">
            <v>Gean</v>
          </cell>
          <cell r="R108">
            <v>44935</v>
          </cell>
          <cell r="S108">
            <v>0.54861111111111105</v>
          </cell>
          <cell r="T108">
            <v>0.53861111111111104</v>
          </cell>
          <cell r="U108" t="str">
            <v>X</v>
          </cell>
          <cell r="V108">
            <v>0.54861111111111105</v>
          </cell>
          <cell r="W108">
            <v>12.8</v>
          </cell>
          <cell r="X108">
            <v>11.82</v>
          </cell>
          <cell r="Y108">
            <v>0.41666666666666669</v>
          </cell>
          <cell r="Z108">
            <v>74.23</v>
          </cell>
          <cell r="AA108">
            <v>73.81</v>
          </cell>
          <cell r="AW108">
            <v>3</v>
          </cell>
          <cell r="AX108">
            <v>4</v>
          </cell>
          <cell r="AY108">
            <v>2</v>
          </cell>
          <cell r="AZ108">
            <v>2</v>
          </cell>
          <cell r="BB108">
            <v>44936</v>
          </cell>
          <cell r="BG108">
            <v>44935</v>
          </cell>
        </row>
        <row r="109">
          <cell r="A109">
            <v>517</v>
          </cell>
          <cell r="B109">
            <v>130</v>
          </cell>
          <cell r="C109" t="str">
            <v>PLACA - PN-45/ PN-46/ PN-47/ PN-48/ PN-49/ PN-50/ PN-51/ PN-52</v>
          </cell>
          <cell r="D109">
            <v>4</v>
          </cell>
          <cell r="E109">
            <v>40</v>
          </cell>
          <cell r="F109">
            <v>10</v>
          </cell>
          <cell r="G109">
            <v>40</v>
          </cell>
          <cell r="H109">
            <v>0</v>
          </cell>
          <cell r="I109" t="str">
            <v>-</v>
          </cell>
          <cell r="J109" t="str">
            <v>680/680</v>
          </cell>
          <cell r="K109" t="str">
            <v xml:space="preserve">CPIII 40 RS </v>
          </cell>
          <cell r="L109" t="str">
            <v>CP V</v>
          </cell>
          <cell r="M109" t="str">
            <v>SUPER PLASTIFICANTE</v>
          </cell>
          <cell r="N109" t="str">
            <v>MUROS DE VEDAÇÃO - GRANDE VITÓRIA E BAIXO GUANDU</v>
          </cell>
          <cell r="O109" t="str">
            <v>FORTANKS</v>
          </cell>
          <cell r="P109">
            <v>495</v>
          </cell>
          <cell r="Q109" t="str">
            <v>Gean</v>
          </cell>
          <cell r="R109">
            <v>44935</v>
          </cell>
          <cell r="S109">
            <v>0.35416666666666669</v>
          </cell>
          <cell r="T109">
            <v>0.34416666666666668</v>
          </cell>
          <cell r="U109" t="str">
            <v>X</v>
          </cell>
          <cell r="V109">
            <v>0.35416666666666669</v>
          </cell>
          <cell r="W109">
            <v>13.64</v>
          </cell>
          <cell r="X109">
            <v>13.04</v>
          </cell>
          <cell r="Y109">
            <v>0.41666666666666669</v>
          </cell>
          <cell r="Z109">
            <v>83.4</v>
          </cell>
          <cell r="AA109">
            <v>85.92</v>
          </cell>
          <cell r="AL109" t="str">
            <v>x</v>
          </cell>
          <cell r="AN109" t="str">
            <v>X</v>
          </cell>
          <cell r="AO109" t="str">
            <v>X</v>
          </cell>
          <cell r="AQ109" t="str">
            <v>x</v>
          </cell>
          <cell r="AW109">
            <v>4</v>
          </cell>
          <cell r="AX109">
            <v>4</v>
          </cell>
          <cell r="AY109">
            <v>3</v>
          </cell>
          <cell r="AZ109">
            <v>4</v>
          </cell>
          <cell r="BA109" t="str">
            <v>FORTES ENGENHARIA</v>
          </cell>
          <cell r="BB109">
            <v>44936</v>
          </cell>
          <cell r="BG109">
            <v>44935</v>
          </cell>
        </row>
        <row r="110">
          <cell r="A110">
            <v>518</v>
          </cell>
          <cell r="B110">
            <v>131</v>
          </cell>
          <cell r="C110" t="str">
            <v xml:space="preserve">PLACA - PN-53/ PN-54/ PN-55/ PN-56/ PN-57/ PN-58/ PN-59  </v>
          </cell>
          <cell r="D110">
            <v>4.5</v>
          </cell>
          <cell r="E110">
            <v>40</v>
          </cell>
          <cell r="F110">
            <v>10</v>
          </cell>
          <cell r="G110">
            <v>40</v>
          </cell>
          <cell r="H110">
            <v>0</v>
          </cell>
          <cell r="I110" t="str">
            <v>-</v>
          </cell>
          <cell r="J110" t="str">
            <v>670/680</v>
          </cell>
          <cell r="K110" t="str">
            <v xml:space="preserve">CPIII 40 RS </v>
          </cell>
          <cell r="L110" t="str">
            <v>CP V</v>
          </cell>
          <cell r="M110" t="str">
            <v>SUPER PLASTIFICANTE</v>
          </cell>
          <cell r="N110" t="str">
            <v>MUROS DE VEDAÇÃO - GRANDE VITÓRIA E BAIXO GUANDU</v>
          </cell>
          <cell r="O110" t="str">
            <v>FORTANKS</v>
          </cell>
          <cell r="P110">
            <v>495</v>
          </cell>
          <cell r="Q110" t="str">
            <v>Gean</v>
          </cell>
          <cell r="R110">
            <v>44935</v>
          </cell>
          <cell r="S110">
            <v>0.68055555555555547</v>
          </cell>
          <cell r="T110">
            <v>0.67055555555555546</v>
          </cell>
          <cell r="U110" t="str">
            <v>X</v>
          </cell>
          <cell r="V110">
            <v>0.375</v>
          </cell>
          <cell r="W110">
            <v>10.18</v>
          </cell>
          <cell r="X110">
            <v>10.49</v>
          </cell>
          <cell r="Y110">
            <v>0.41666666666666669</v>
          </cell>
          <cell r="Z110">
            <v>87.28</v>
          </cell>
          <cell r="AA110">
            <v>88.4</v>
          </cell>
          <cell r="AL110" t="str">
            <v>x</v>
          </cell>
          <cell r="AN110" t="str">
            <v>X</v>
          </cell>
          <cell r="AO110" t="str">
            <v>X</v>
          </cell>
          <cell r="AQ110" t="str">
            <v>x</v>
          </cell>
          <cell r="AW110">
            <v>4</v>
          </cell>
          <cell r="AX110">
            <v>4</v>
          </cell>
          <cell r="AY110">
            <v>3</v>
          </cell>
          <cell r="AZ110">
            <v>4</v>
          </cell>
          <cell r="BA110" t="str">
            <v>FORTES ENGENHARIA</v>
          </cell>
          <cell r="BB110">
            <v>44936</v>
          </cell>
          <cell r="BG110">
            <v>44935</v>
          </cell>
        </row>
        <row r="111">
          <cell r="A111">
            <v>519</v>
          </cell>
          <cell r="B111">
            <v>132</v>
          </cell>
          <cell r="C111" t="str">
            <v>PN-37 / PN-38</v>
          </cell>
          <cell r="D111">
            <v>7</v>
          </cell>
          <cell r="E111">
            <v>40</v>
          </cell>
          <cell r="F111">
            <v>10</v>
          </cell>
          <cell r="G111">
            <v>40</v>
          </cell>
          <cell r="H111">
            <v>0</v>
          </cell>
          <cell r="I111" t="str">
            <v>-</v>
          </cell>
          <cell r="J111" t="str">
            <v>650/650</v>
          </cell>
          <cell r="K111" t="str">
            <v xml:space="preserve">CPIII 40 RS </v>
          </cell>
          <cell r="L111" t="str">
            <v>CP V</v>
          </cell>
          <cell r="M111" t="str">
            <v>SUPER PLASTIFICANTE</v>
          </cell>
          <cell r="N111" t="str">
            <v>NEUTRALIZAÇÃO</v>
          </cell>
          <cell r="O111" t="str">
            <v>FORTANKS</v>
          </cell>
          <cell r="P111">
            <v>495</v>
          </cell>
          <cell r="Q111" t="str">
            <v>Gean</v>
          </cell>
          <cell r="R111">
            <v>44937</v>
          </cell>
          <cell r="S111">
            <v>0.40625</v>
          </cell>
          <cell r="T111">
            <v>0.39624999999999999</v>
          </cell>
          <cell r="U111" t="str">
            <v>X</v>
          </cell>
          <cell r="V111">
            <v>0.33333333333333331</v>
          </cell>
          <cell r="W111">
            <v>17.73</v>
          </cell>
          <cell r="X111">
            <v>19.11</v>
          </cell>
          <cell r="Y111">
            <v>0.41666666666666669</v>
          </cell>
          <cell r="Z111">
            <v>75.78</v>
          </cell>
          <cell r="AA111">
            <v>76.010000000000005</v>
          </cell>
          <cell r="AW111">
            <v>4</v>
          </cell>
          <cell r="AX111">
            <v>3</v>
          </cell>
          <cell r="AY111">
            <v>2</v>
          </cell>
          <cell r="AZ111">
            <v>2</v>
          </cell>
          <cell r="BB111">
            <v>44938</v>
          </cell>
          <cell r="BG111">
            <v>44937</v>
          </cell>
        </row>
        <row r="112">
          <cell r="A112">
            <v>520</v>
          </cell>
          <cell r="B112">
            <v>133</v>
          </cell>
          <cell r="C112" t="str">
            <v xml:space="preserve">PLACA - PN-60/ PN-61/ PN-62/ PN-63/ PN-64/ PN-65/ PN-66/ PN-67/ PN-68 </v>
          </cell>
          <cell r="D112">
            <v>4.5</v>
          </cell>
          <cell r="E112">
            <v>40</v>
          </cell>
          <cell r="F112">
            <v>10</v>
          </cell>
          <cell r="G112">
            <v>40</v>
          </cell>
          <cell r="H112">
            <v>0</v>
          </cell>
          <cell r="I112" t="str">
            <v>-</v>
          </cell>
          <cell r="J112" t="str">
            <v>670/680</v>
          </cell>
          <cell r="K112" t="str">
            <v xml:space="preserve">CPIII 40 RS </v>
          </cell>
          <cell r="L112" t="str">
            <v>CP V</v>
          </cell>
          <cell r="M112" t="str">
            <v>SUPER PLASTIFICANTE</v>
          </cell>
          <cell r="N112" t="str">
            <v>MUROS DE VEDAÇÃO - GRANDE VITÓRIA E BAIXO GUANDU</v>
          </cell>
          <cell r="O112" t="str">
            <v>FORTANKS</v>
          </cell>
          <cell r="P112">
            <v>495</v>
          </cell>
          <cell r="Q112" t="str">
            <v>Gean</v>
          </cell>
          <cell r="R112">
            <v>44937</v>
          </cell>
          <cell r="S112">
            <v>0.60416666666666663</v>
          </cell>
          <cell r="T112">
            <v>0.59416666666666662</v>
          </cell>
          <cell r="U112" t="str">
            <v>X</v>
          </cell>
          <cell r="V112">
            <v>0.33333333333333331</v>
          </cell>
          <cell r="W112">
            <v>24.65</v>
          </cell>
          <cell r="X112">
            <v>23.72</v>
          </cell>
          <cell r="Y112">
            <v>0.54166666666666663</v>
          </cell>
          <cell r="Z112">
            <v>87.99</v>
          </cell>
          <cell r="AA112">
            <v>85.94</v>
          </cell>
          <cell r="AD112" t="str">
            <v>x</v>
          </cell>
          <cell r="AE112" t="str">
            <v>x</v>
          </cell>
          <cell r="AJ112" t="str">
            <v>X</v>
          </cell>
          <cell r="AO112" t="str">
            <v>X</v>
          </cell>
          <cell r="AW112">
            <v>3</v>
          </cell>
          <cell r="AX112">
            <v>4</v>
          </cell>
          <cell r="AY112">
            <v>1</v>
          </cell>
          <cell r="AZ112">
            <v>1</v>
          </cell>
          <cell r="BA112" t="str">
            <v>FORTES ENGENHARIA</v>
          </cell>
          <cell r="BB112">
            <v>44938</v>
          </cell>
          <cell r="BG112">
            <v>44937</v>
          </cell>
        </row>
        <row r="113">
          <cell r="A113">
            <v>521</v>
          </cell>
          <cell r="B113">
            <v>135</v>
          </cell>
          <cell r="C113" t="str">
            <v>PLACA - PN-69/ PN-70/ PN-71/ PN-72/ PN-73/ PN-74/ PN-75/ PN-76</v>
          </cell>
          <cell r="D113">
            <v>4.5</v>
          </cell>
          <cell r="E113">
            <v>40</v>
          </cell>
          <cell r="F113">
            <v>10</v>
          </cell>
          <cell r="G113">
            <v>40</v>
          </cell>
          <cell r="H113">
            <v>0</v>
          </cell>
          <cell r="I113" t="str">
            <v>-</v>
          </cell>
          <cell r="J113" t="str">
            <v>670/670</v>
          </cell>
          <cell r="K113" t="str">
            <v xml:space="preserve">CPIII 40 RS </v>
          </cell>
          <cell r="L113" t="str">
            <v>CP V</v>
          </cell>
          <cell r="M113" t="str">
            <v>SUPER PLASTIFICANTE</v>
          </cell>
          <cell r="N113" t="str">
            <v>MUROS DE VEDAÇÃO - GRANDE VITÓRIA E BAIXO GUANDU</v>
          </cell>
          <cell r="O113" t="str">
            <v>FORTANKS</v>
          </cell>
          <cell r="P113">
            <v>495</v>
          </cell>
          <cell r="Q113" t="str">
            <v>Gean</v>
          </cell>
          <cell r="R113">
            <v>44939</v>
          </cell>
          <cell r="S113">
            <v>0.36458333333333331</v>
          </cell>
          <cell r="T113">
            <v>0.35458333333333331</v>
          </cell>
          <cell r="U113" t="str">
            <v>X</v>
          </cell>
          <cell r="V113">
            <v>0.33333333333333331</v>
          </cell>
          <cell r="W113">
            <v>25.66</v>
          </cell>
          <cell r="X113">
            <v>25.72</v>
          </cell>
          <cell r="Y113">
            <v>0.54166666666666663</v>
          </cell>
          <cell r="Z113">
            <v>82.19</v>
          </cell>
          <cell r="AA113">
            <v>83.51</v>
          </cell>
          <cell r="AF113" t="str">
            <v>X</v>
          </cell>
          <cell r="AK113" t="str">
            <v>X</v>
          </cell>
          <cell r="AL113" t="str">
            <v>x</v>
          </cell>
          <cell r="AM113" t="str">
            <v>x</v>
          </cell>
          <cell r="AW113">
            <v>2</v>
          </cell>
          <cell r="AX113">
            <v>3</v>
          </cell>
          <cell r="AY113">
            <v>3</v>
          </cell>
          <cell r="AZ113">
            <v>3</v>
          </cell>
          <cell r="BA113" t="str">
            <v>FORTES ENGENHARIA</v>
          </cell>
          <cell r="BB113">
            <v>44940</v>
          </cell>
          <cell r="BG113">
            <v>44939</v>
          </cell>
        </row>
        <row r="114">
          <cell r="A114">
            <v>522</v>
          </cell>
          <cell r="B114">
            <v>136</v>
          </cell>
          <cell r="C114" t="str">
            <v>PLACA - PN-77/ PN-78/ PN-79/ PN-80/ PN-81/ PN-82/ PN-83</v>
          </cell>
          <cell r="D114">
            <v>4</v>
          </cell>
          <cell r="E114">
            <v>40</v>
          </cell>
          <cell r="F114">
            <v>10</v>
          </cell>
          <cell r="G114">
            <v>40</v>
          </cell>
          <cell r="H114">
            <v>0</v>
          </cell>
          <cell r="I114" t="str">
            <v>-</v>
          </cell>
          <cell r="J114" t="str">
            <v>680/680</v>
          </cell>
          <cell r="K114" t="str">
            <v xml:space="preserve">CPIII 40 RS </v>
          </cell>
          <cell r="L114" t="str">
            <v>CP V</v>
          </cell>
          <cell r="M114" t="str">
            <v>SUPER PLASTIFICANTE</v>
          </cell>
          <cell r="N114" t="str">
            <v>MUROS DE VEDAÇÃO - GRANDE VITÓRIA E BAIXO GUANDU</v>
          </cell>
          <cell r="O114" t="str">
            <v>FORTANKS</v>
          </cell>
          <cell r="P114">
            <v>495</v>
          </cell>
          <cell r="Q114" t="str">
            <v>Gean</v>
          </cell>
          <cell r="R114">
            <v>44939</v>
          </cell>
          <cell r="S114">
            <v>0.47222222222222227</v>
          </cell>
          <cell r="T114">
            <v>0.46222222222222226</v>
          </cell>
          <cell r="U114" t="str">
            <v>X</v>
          </cell>
          <cell r="V114">
            <v>0.33333333333333331</v>
          </cell>
          <cell r="W114">
            <v>24.86</v>
          </cell>
          <cell r="X114">
            <v>25.58</v>
          </cell>
          <cell r="Y114">
            <v>0.54166666666666663</v>
          </cell>
          <cell r="Z114">
            <v>78.84</v>
          </cell>
          <cell r="AA114">
            <v>77.430000000000007</v>
          </cell>
          <cell r="AI114" t="str">
            <v>x</v>
          </cell>
          <cell r="AJ114" t="str">
            <v>X</v>
          </cell>
          <cell r="AL114" t="str">
            <v>x</v>
          </cell>
          <cell r="AO114" t="str">
            <v>X</v>
          </cell>
          <cell r="AW114">
            <v>3</v>
          </cell>
          <cell r="AX114">
            <v>4</v>
          </cell>
          <cell r="AY114">
            <v>3</v>
          </cell>
          <cell r="AZ114">
            <v>2</v>
          </cell>
          <cell r="BA114" t="str">
            <v>FORTES ENGENHARIA</v>
          </cell>
          <cell r="BB114">
            <v>44940</v>
          </cell>
          <cell r="BG114">
            <v>44939</v>
          </cell>
        </row>
        <row r="115">
          <cell r="A115">
            <v>523</v>
          </cell>
          <cell r="B115">
            <v>137</v>
          </cell>
          <cell r="C115" t="str">
            <v>PNI-18 (T) / PN-39</v>
          </cell>
          <cell r="D115">
            <v>7</v>
          </cell>
          <cell r="E115">
            <v>40</v>
          </cell>
          <cell r="F115">
            <v>10</v>
          </cell>
          <cell r="G115">
            <v>40</v>
          </cell>
          <cell r="H115">
            <v>0</v>
          </cell>
          <cell r="I115" t="str">
            <v>-</v>
          </cell>
          <cell r="J115" t="str">
            <v>670/680</v>
          </cell>
          <cell r="K115" t="str">
            <v xml:space="preserve">CPIII 40 RS </v>
          </cell>
          <cell r="L115" t="str">
            <v>CP V</v>
          </cell>
          <cell r="M115" t="str">
            <v>SUPER PLASTIFICANTE</v>
          </cell>
          <cell r="N115" t="str">
            <v>NEUTRALIZAÇÃO</v>
          </cell>
          <cell r="O115" t="str">
            <v>FORTANKS</v>
          </cell>
          <cell r="P115">
            <v>495</v>
          </cell>
          <cell r="Q115" t="str">
            <v>Gean</v>
          </cell>
          <cell r="R115">
            <v>44939</v>
          </cell>
          <cell r="S115">
            <v>0.60416666666666663</v>
          </cell>
          <cell r="T115">
            <v>0.59416666666666662</v>
          </cell>
          <cell r="U115" t="str">
            <v>X</v>
          </cell>
          <cell r="V115">
            <v>0.33333333333333331</v>
          </cell>
          <cell r="W115">
            <v>10.59</v>
          </cell>
          <cell r="X115">
            <v>11.03</v>
          </cell>
          <cell r="Y115">
            <v>0.41666666666666669</v>
          </cell>
          <cell r="Z115">
            <v>71.22</v>
          </cell>
          <cell r="AA115">
            <v>73.010000000000005</v>
          </cell>
          <cell r="AW115">
            <v>3</v>
          </cell>
          <cell r="AX115">
            <v>4</v>
          </cell>
          <cell r="AY115">
            <v>3</v>
          </cell>
          <cell r="AZ115">
            <v>3</v>
          </cell>
          <cell r="BB115">
            <v>44940</v>
          </cell>
          <cell r="BG115">
            <v>44939</v>
          </cell>
        </row>
        <row r="116">
          <cell r="A116">
            <v>524</v>
          </cell>
          <cell r="B116">
            <v>138</v>
          </cell>
          <cell r="C116" t="str">
            <v>PN-84/ PN-85/ PN-86/ PN-87/ PN-88/ PN-89/ PN-90/ PN-91/ PN-92/ PN-93</v>
          </cell>
          <cell r="D116">
            <v>6</v>
          </cell>
          <cell r="E116">
            <v>40</v>
          </cell>
          <cell r="F116">
            <v>10</v>
          </cell>
          <cell r="G116">
            <v>40</v>
          </cell>
          <cell r="H116">
            <v>0</v>
          </cell>
          <cell r="I116" t="str">
            <v>-</v>
          </cell>
          <cell r="J116" t="str">
            <v>650/670</v>
          </cell>
          <cell r="K116" t="str">
            <v xml:space="preserve">CPIII 40 RS </v>
          </cell>
          <cell r="L116" t="str">
            <v>CP V</v>
          </cell>
          <cell r="M116" t="str">
            <v>SUPER PLASTIFICANTE</v>
          </cell>
          <cell r="N116" t="str">
            <v>MUROS DE VEDAÇÃO - GRANDE VITÓRIA E BAIXO GUANDU</v>
          </cell>
          <cell r="O116" t="str">
            <v>FORTANKS</v>
          </cell>
          <cell r="P116">
            <v>495</v>
          </cell>
          <cell r="Q116" t="str">
            <v>Gean</v>
          </cell>
          <cell r="R116">
            <v>44943</v>
          </cell>
          <cell r="S116">
            <v>0.55555555555555558</v>
          </cell>
          <cell r="T116">
            <v>0.54555555555555557</v>
          </cell>
          <cell r="U116" t="str">
            <v>X</v>
          </cell>
          <cell r="V116">
            <v>0.35416666666666669</v>
          </cell>
          <cell r="W116">
            <v>11.91</v>
          </cell>
          <cell r="X116">
            <v>11.84</v>
          </cell>
          <cell r="Y116">
            <v>0.41666666666666669</v>
          </cell>
          <cell r="Z116">
            <v>61.56</v>
          </cell>
          <cell r="AA116">
            <v>60.29</v>
          </cell>
          <cell r="AK116" t="str">
            <v>X</v>
          </cell>
          <cell r="AL116" t="str">
            <v>x</v>
          </cell>
          <cell r="AN116" t="str">
            <v>X</v>
          </cell>
          <cell r="AQ116" t="str">
            <v>x</v>
          </cell>
          <cell r="AW116">
            <v>4</v>
          </cell>
          <cell r="AX116">
            <v>3</v>
          </cell>
          <cell r="AY116">
            <v>3</v>
          </cell>
          <cell r="AZ116">
            <v>4</v>
          </cell>
          <cell r="BA116" t="str">
            <v>FORTES ENGENHARIA</v>
          </cell>
          <cell r="BB116">
            <v>44944</v>
          </cell>
          <cell r="BG116">
            <v>44943</v>
          </cell>
        </row>
        <row r="117">
          <cell r="A117" t="str">
            <v>525-A</v>
          </cell>
          <cell r="B117">
            <v>139</v>
          </cell>
          <cell r="C117" t="str">
            <v>PN-94/ PN-95/ PN-96/ PN-97/ PN-98</v>
          </cell>
          <cell r="D117">
            <v>6.5</v>
          </cell>
          <cell r="E117">
            <v>40</v>
          </cell>
          <cell r="F117">
            <v>10</v>
          </cell>
          <cell r="G117">
            <v>40</v>
          </cell>
          <cell r="H117">
            <v>0</v>
          </cell>
          <cell r="I117" t="str">
            <v>-</v>
          </cell>
          <cell r="J117" t="str">
            <v>660/660</v>
          </cell>
          <cell r="K117" t="str">
            <v xml:space="preserve">CPIII 40 RS </v>
          </cell>
          <cell r="L117" t="str">
            <v>CP V</v>
          </cell>
          <cell r="M117" t="str">
            <v>SUPER PLASTIFICANTE</v>
          </cell>
          <cell r="N117" t="str">
            <v>MUROS DE VEDAÇÃO - GRANDE VITÓRIA E BAIXO GUANDU</v>
          </cell>
          <cell r="O117" t="str">
            <v>FORTANKS</v>
          </cell>
          <cell r="P117">
            <v>495</v>
          </cell>
          <cell r="Q117" t="str">
            <v>Gean</v>
          </cell>
          <cell r="R117">
            <v>44943</v>
          </cell>
          <cell r="S117">
            <v>0.65625</v>
          </cell>
          <cell r="T117">
            <v>0.64624999999999999</v>
          </cell>
          <cell r="U117" t="str">
            <v>X</v>
          </cell>
          <cell r="V117">
            <v>0.37152777777777773</v>
          </cell>
          <cell r="W117">
            <v>10.46</v>
          </cell>
          <cell r="X117">
            <v>10.89</v>
          </cell>
          <cell r="Y117">
            <v>0.54166666666666663</v>
          </cell>
          <cell r="Z117">
            <v>71.13</v>
          </cell>
          <cell r="AA117">
            <v>70.05</v>
          </cell>
          <cell r="AH117" t="str">
            <v>x</v>
          </cell>
          <cell r="AJ117" t="str">
            <v>X</v>
          </cell>
          <cell r="AM117" t="str">
            <v>x</v>
          </cell>
          <cell r="AO117" t="str">
            <v>X</v>
          </cell>
          <cell r="AW117">
            <v>3</v>
          </cell>
          <cell r="AX117">
            <v>4</v>
          </cell>
          <cell r="AY117">
            <v>2</v>
          </cell>
          <cell r="AZ117">
            <v>3</v>
          </cell>
          <cell r="BA117" t="str">
            <v>FORTES ENGENHARIA</v>
          </cell>
          <cell r="BB117">
            <v>44944</v>
          </cell>
          <cell r="BG117">
            <v>44943</v>
          </cell>
        </row>
        <row r="118">
          <cell r="A118">
            <v>525</v>
          </cell>
          <cell r="B118">
            <v>139</v>
          </cell>
          <cell r="C118" t="str">
            <v>PNI-19 (T)</v>
          </cell>
          <cell r="D118">
            <v>6.5</v>
          </cell>
          <cell r="E118">
            <v>40</v>
          </cell>
          <cell r="F118">
            <v>10</v>
          </cell>
          <cell r="G118">
            <v>40</v>
          </cell>
          <cell r="H118">
            <v>0</v>
          </cell>
          <cell r="I118" t="str">
            <v>-</v>
          </cell>
          <cell r="J118" t="str">
            <v>660/660</v>
          </cell>
          <cell r="K118" t="str">
            <v xml:space="preserve">CPIII 40 RS </v>
          </cell>
          <cell r="L118" t="str">
            <v>CP V</v>
          </cell>
          <cell r="M118" t="str">
            <v>SUPER PLASTIFICANTE</v>
          </cell>
          <cell r="N118" t="str">
            <v>NEUTRALIZAÇÃO</v>
          </cell>
          <cell r="O118" t="str">
            <v>FORTANKS</v>
          </cell>
          <cell r="P118">
            <v>495</v>
          </cell>
          <cell r="Q118" t="str">
            <v>Gean</v>
          </cell>
          <cell r="R118">
            <v>44943</v>
          </cell>
          <cell r="S118">
            <v>0.65625</v>
          </cell>
          <cell r="T118">
            <v>0.64624999999999999</v>
          </cell>
          <cell r="U118" t="str">
            <v>X</v>
          </cell>
          <cell r="V118">
            <v>0.37152777777777773</v>
          </cell>
          <cell r="W118">
            <v>10.46</v>
          </cell>
          <cell r="X118">
            <v>10.89</v>
          </cell>
          <cell r="Y118">
            <v>0.54166666666666663</v>
          </cell>
          <cell r="Z118">
            <v>71.3</v>
          </cell>
          <cell r="AA118">
            <v>70.05</v>
          </cell>
          <cell r="AW118">
            <v>3</v>
          </cell>
          <cell r="AX118">
            <v>4</v>
          </cell>
          <cell r="AY118">
            <v>2</v>
          </cell>
          <cell r="AZ118">
            <v>3</v>
          </cell>
          <cell r="BB118">
            <v>44944</v>
          </cell>
          <cell r="BG118">
            <v>44943</v>
          </cell>
        </row>
        <row r="119">
          <cell r="A119">
            <v>526</v>
          </cell>
          <cell r="B119">
            <v>140</v>
          </cell>
          <cell r="C119" t="str">
            <v>PN-99/ PN-100/ PN-101/ PN-102/ PN-103/ PN-104/ PN-105/ PN-106</v>
          </cell>
          <cell r="D119">
            <v>4.5</v>
          </cell>
          <cell r="E119">
            <v>40</v>
          </cell>
          <cell r="F119">
            <v>10</v>
          </cell>
          <cell r="G119">
            <v>40</v>
          </cell>
          <cell r="H119">
            <v>0</v>
          </cell>
          <cell r="I119" t="str">
            <v>-</v>
          </cell>
          <cell r="J119" t="str">
            <v>660/670</v>
          </cell>
          <cell r="K119" t="str">
            <v xml:space="preserve">CPIII 40 RS </v>
          </cell>
          <cell r="L119" t="str">
            <v>CP V</v>
          </cell>
          <cell r="M119" t="str">
            <v>SUPER PLASTIFICANTE</v>
          </cell>
          <cell r="N119" t="str">
            <v>MUROS DE VEDAÇÃO - GRANDE VITÓRIA E BAIXO GUANDU</v>
          </cell>
          <cell r="O119" t="str">
            <v>FORTANKS</v>
          </cell>
          <cell r="P119">
            <v>495</v>
          </cell>
          <cell r="Q119" t="str">
            <v>Gean</v>
          </cell>
          <cell r="R119">
            <v>44946</v>
          </cell>
          <cell r="S119">
            <v>0.37152777777777773</v>
          </cell>
          <cell r="T119">
            <v>0.36152777777777773</v>
          </cell>
          <cell r="U119" t="str">
            <v>X</v>
          </cell>
          <cell r="V119">
            <v>0.35416666666666669</v>
          </cell>
          <cell r="W119">
            <v>24.05</v>
          </cell>
          <cell r="X119">
            <v>22.11</v>
          </cell>
          <cell r="Y119">
            <v>0.54166666666666663</v>
          </cell>
          <cell r="Z119">
            <v>68.599999999999994</v>
          </cell>
          <cell r="AA119">
            <v>69.760000000000005</v>
          </cell>
          <cell r="AL119" t="str">
            <v>x</v>
          </cell>
          <cell r="AM119" t="str">
            <v>x</v>
          </cell>
          <cell r="AN119" t="str">
            <v>X</v>
          </cell>
          <cell r="AO119" t="str">
            <v>X</v>
          </cell>
          <cell r="AW119">
            <v>4</v>
          </cell>
          <cell r="AX119">
            <v>4</v>
          </cell>
          <cell r="AY119">
            <v>3</v>
          </cell>
          <cell r="AZ119">
            <v>3</v>
          </cell>
          <cell r="BA119" t="str">
            <v>FORTES ENGENHARIA</v>
          </cell>
          <cell r="BB119">
            <v>44947</v>
          </cell>
          <cell r="BG119">
            <v>44946</v>
          </cell>
        </row>
        <row r="120">
          <cell r="A120">
            <v>527</v>
          </cell>
          <cell r="B120">
            <v>141</v>
          </cell>
          <cell r="C120" t="str">
            <v>PN-107/ PN-108/ PN-109/ PN-110/ PN-111/ PN-112/ PN-113</v>
          </cell>
          <cell r="D120">
            <v>4</v>
          </cell>
          <cell r="E120">
            <v>40</v>
          </cell>
          <cell r="F120">
            <v>10</v>
          </cell>
          <cell r="G120">
            <v>40</v>
          </cell>
          <cell r="H120">
            <v>0</v>
          </cell>
          <cell r="I120" t="str">
            <v>-</v>
          </cell>
          <cell r="J120" t="str">
            <v>660/660</v>
          </cell>
          <cell r="K120" t="str">
            <v xml:space="preserve">CPIII 40 RS </v>
          </cell>
          <cell r="L120" t="str">
            <v>CP V</v>
          </cell>
          <cell r="M120" t="str">
            <v>SUPER PLASTIFICANTE</v>
          </cell>
          <cell r="N120" t="str">
            <v>MUROS DE VEDAÇÃO - GRANDE VITÓRIA E BAIXO GUANDU</v>
          </cell>
          <cell r="O120" t="str">
            <v>FORTANKS</v>
          </cell>
          <cell r="P120">
            <v>495</v>
          </cell>
          <cell r="Q120" t="str">
            <v>Gean</v>
          </cell>
          <cell r="R120">
            <v>44946</v>
          </cell>
          <cell r="S120">
            <v>0.44930555555555557</v>
          </cell>
          <cell r="T120">
            <v>0.43930555555555556</v>
          </cell>
          <cell r="U120" t="str">
            <v>X</v>
          </cell>
          <cell r="V120">
            <v>0.37152777777777773</v>
          </cell>
          <cell r="W120">
            <v>18.059999999999999</v>
          </cell>
          <cell r="X120">
            <v>17.59</v>
          </cell>
          <cell r="Y120">
            <v>0.41666666666666669</v>
          </cell>
          <cell r="Z120">
            <v>68.16</v>
          </cell>
          <cell r="AA120">
            <v>68.67</v>
          </cell>
          <cell r="AK120" t="str">
            <v>X</v>
          </cell>
          <cell r="AL120" t="str">
            <v>x</v>
          </cell>
          <cell r="AM120" t="str">
            <v>x</v>
          </cell>
          <cell r="AW120">
            <v>2</v>
          </cell>
          <cell r="AX120">
            <v>3</v>
          </cell>
          <cell r="AY120">
            <v>3</v>
          </cell>
          <cell r="AZ120">
            <v>3</v>
          </cell>
          <cell r="BA120" t="str">
            <v>FORTES ENGENHARIA</v>
          </cell>
          <cell r="BB120">
            <v>44947</v>
          </cell>
          <cell r="BG120">
            <v>44946</v>
          </cell>
        </row>
        <row r="121">
          <cell r="A121">
            <v>528</v>
          </cell>
          <cell r="B121">
            <v>142</v>
          </cell>
          <cell r="C121" t="str">
            <v>PN-52 / PNI-74 (T)</v>
          </cell>
          <cell r="D121">
            <v>6.5</v>
          </cell>
          <cell r="E121">
            <v>40</v>
          </cell>
          <cell r="F121">
            <v>10</v>
          </cell>
          <cell r="G121">
            <v>40</v>
          </cell>
          <cell r="H121">
            <v>0</v>
          </cell>
          <cell r="I121" t="str">
            <v>-</v>
          </cell>
          <cell r="J121" t="str">
            <v>660/670</v>
          </cell>
          <cell r="K121" t="str">
            <v xml:space="preserve">CPIII 40 RS </v>
          </cell>
          <cell r="L121" t="str">
            <v>CP V</v>
          </cell>
          <cell r="M121" t="str">
            <v>SUPER PLASTIFICANTE</v>
          </cell>
          <cell r="N121" t="str">
            <v>NEUTRALIZAÇÃO</v>
          </cell>
          <cell r="O121" t="str">
            <v>FORTANKS</v>
          </cell>
          <cell r="P121">
            <v>495</v>
          </cell>
          <cell r="Q121" t="str">
            <v>Gean</v>
          </cell>
          <cell r="R121">
            <v>44946</v>
          </cell>
          <cell r="S121">
            <v>0.65277777777777779</v>
          </cell>
          <cell r="T121">
            <v>0.64277777777777778</v>
          </cell>
          <cell r="U121" t="str">
            <v>X</v>
          </cell>
          <cell r="V121">
            <v>0.33333333333333331</v>
          </cell>
          <cell r="W121">
            <v>12.11</v>
          </cell>
          <cell r="X121">
            <v>12.13</v>
          </cell>
          <cell r="Y121">
            <v>0.41666666666666669</v>
          </cell>
          <cell r="Z121">
            <v>92.68</v>
          </cell>
          <cell r="AA121">
            <v>93.28</v>
          </cell>
          <cell r="AW121">
            <v>3</v>
          </cell>
          <cell r="AX121">
            <v>4</v>
          </cell>
          <cell r="AY121">
            <v>3</v>
          </cell>
          <cell r="AZ121">
            <v>0</v>
          </cell>
          <cell r="BB121">
            <v>44947</v>
          </cell>
          <cell r="BG121">
            <v>44946</v>
          </cell>
        </row>
        <row r="122">
          <cell r="A122">
            <v>529</v>
          </cell>
          <cell r="B122">
            <v>143</v>
          </cell>
          <cell r="C122" t="str">
            <v>PN-53/ PN-16</v>
          </cell>
          <cell r="D122">
            <v>6.5</v>
          </cell>
          <cell r="E122">
            <v>40</v>
          </cell>
          <cell r="F122">
            <v>10</v>
          </cell>
          <cell r="G122">
            <v>40</v>
          </cell>
          <cell r="H122">
            <v>0</v>
          </cell>
          <cell r="I122" t="str">
            <v>-</v>
          </cell>
          <cell r="J122" t="str">
            <v>650/660</v>
          </cell>
          <cell r="K122" t="str">
            <v xml:space="preserve">CPIII 40 RS </v>
          </cell>
          <cell r="L122" t="str">
            <v>CP V</v>
          </cell>
          <cell r="M122" t="str">
            <v>SUPER PLASTIFICANTE</v>
          </cell>
          <cell r="N122" t="str">
            <v>NEUTRALIZAÇÃO</v>
          </cell>
          <cell r="O122" t="str">
            <v>FORTANKS</v>
          </cell>
          <cell r="P122">
            <v>495</v>
          </cell>
          <cell r="Q122" t="str">
            <v>Gean</v>
          </cell>
          <cell r="R122">
            <v>44949</v>
          </cell>
          <cell r="S122">
            <v>0.46527777777777773</v>
          </cell>
          <cell r="T122">
            <v>0.45527777777777773</v>
          </cell>
          <cell r="U122" t="str">
            <v>X</v>
          </cell>
          <cell r="V122">
            <v>0.33333333333333331</v>
          </cell>
          <cell r="W122">
            <v>15.66</v>
          </cell>
          <cell r="X122">
            <v>16.07</v>
          </cell>
          <cell r="Y122">
            <v>0.41666666666666669</v>
          </cell>
          <cell r="Z122">
            <v>81.05</v>
          </cell>
          <cell r="AA122">
            <v>79.91</v>
          </cell>
          <cell r="AW122">
            <v>4</v>
          </cell>
          <cell r="AX122">
            <v>4</v>
          </cell>
          <cell r="AY122">
            <v>4</v>
          </cell>
          <cell r="AZ122">
            <v>4</v>
          </cell>
          <cell r="BB122">
            <v>44950</v>
          </cell>
          <cell r="BG122">
            <v>44949</v>
          </cell>
        </row>
        <row r="123">
          <cell r="A123">
            <v>530</v>
          </cell>
          <cell r="B123">
            <v>144</v>
          </cell>
          <cell r="C123" t="str">
            <v>PN-114/ PN-115/ PN-116/ PN-117/ PN-118/ PN-119/ PN-120/ PN-121/ PN-122/ PN-123/ PN-124/ PN-125/ PN-126/ PN-127/ PN-128</v>
          </cell>
          <cell r="D123">
            <v>8.5</v>
          </cell>
          <cell r="E123">
            <v>40</v>
          </cell>
          <cell r="F123">
            <v>10</v>
          </cell>
          <cell r="G123">
            <v>40</v>
          </cell>
          <cell r="H123">
            <v>0</v>
          </cell>
          <cell r="I123" t="str">
            <v>-</v>
          </cell>
          <cell r="J123" t="str">
            <v>670/670</v>
          </cell>
          <cell r="K123" t="str">
            <v xml:space="preserve">CPIII 40 RS </v>
          </cell>
          <cell r="L123" t="str">
            <v>CP V</v>
          </cell>
          <cell r="M123" t="str">
            <v>SUPER PLASTIFICANTE</v>
          </cell>
          <cell r="N123" t="str">
            <v>MUROS DE VEDAÇÃO - GRANDE VITÓRIA E BAIXO GUANDU</v>
          </cell>
          <cell r="O123" t="str">
            <v>FORTANKS</v>
          </cell>
          <cell r="P123">
            <v>495</v>
          </cell>
          <cell r="Q123" t="str">
            <v>Gean</v>
          </cell>
          <cell r="R123">
            <v>44949</v>
          </cell>
          <cell r="S123">
            <v>0.60416666666666663</v>
          </cell>
          <cell r="T123">
            <v>0.59416666666666662</v>
          </cell>
          <cell r="U123" t="str">
            <v>X</v>
          </cell>
          <cell r="V123">
            <v>0.375</v>
          </cell>
          <cell r="W123">
            <v>13.49</v>
          </cell>
          <cell r="X123">
            <v>14.3</v>
          </cell>
          <cell r="Y123">
            <v>0.41666666666666669</v>
          </cell>
          <cell r="Z123">
            <v>72.31</v>
          </cell>
          <cell r="AA123">
            <v>73.569999999999993</v>
          </cell>
          <cell r="AK123" t="str">
            <v>X</v>
          </cell>
          <cell r="AL123" t="str">
            <v>x</v>
          </cell>
          <cell r="AN123" t="str">
            <v>X</v>
          </cell>
          <cell r="AQ123" t="str">
            <v>x</v>
          </cell>
          <cell r="AW123">
            <v>4</v>
          </cell>
          <cell r="AX123">
            <v>3</v>
          </cell>
          <cell r="AY123">
            <v>3</v>
          </cell>
          <cell r="AZ123">
            <v>4</v>
          </cell>
          <cell r="BA123" t="str">
            <v>FORTES ENGENHARIA</v>
          </cell>
          <cell r="BB123">
            <v>44950</v>
          </cell>
          <cell r="BG123">
            <v>44949</v>
          </cell>
        </row>
        <row r="124">
          <cell r="A124">
            <v>531</v>
          </cell>
          <cell r="B124">
            <v>145</v>
          </cell>
          <cell r="C124" t="str">
            <v>PNI - 20 (T)</v>
          </cell>
          <cell r="D124">
            <v>5.5</v>
          </cell>
          <cell r="E124">
            <v>40</v>
          </cell>
          <cell r="F124">
            <v>10</v>
          </cell>
          <cell r="G124">
            <v>40</v>
          </cell>
          <cell r="H124">
            <v>0</v>
          </cell>
          <cell r="I124" t="str">
            <v>-</v>
          </cell>
          <cell r="J124" t="str">
            <v>660/680</v>
          </cell>
          <cell r="K124" t="str">
            <v xml:space="preserve">CPIII 40 RS </v>
          </cell>
          <cell r="L124" t="str">
            <v>CP V</v>
          </cell>
          <cell r="M124" t="str">
            <v>SUPER PLASTIFICANTE</v>
          </cell>
          <cell r="N124" t="str">
            <v>NEUTRALIZAÇÃO</v>
          </cell>
          <cell r="O124" t="str">
            <v>FORTANKS</v>
          </cell>
          <cell r="P124">
            <v>495</v>
          </cell>
          <cell r="Q124" t="str">
            <v>Gean</v>
          </cell>
          <cell r="R124">
            <v>44950</v>
          </cell>
          <cell r="S124">
            <v>0.64930555555555558</v>
          </cell>
          <cell r="T124">
            <v>0.63930555555555557</v>
          </cell>
          <cell r="U124" t="str">
            <v>X</v>
          </cell>
          <cell r="V124">
            <v>0.375</v>
          </cell>
          <cell r="W124">
            <v>10.050000000000001</v>
          </cell>
          <cell r="X124">
            <v>10</v>
          </cell>
          <cell r="Y124">
            <v>0.41666666666666669</v>
          </cell>
          <cell r="Z124">
            <v>72.599999999999994</v>
          </cell>
          <cell r="AA124">
            <v>73.56</v>
          </cell>
          <cell r="AW124">
            <v>4</v>
          </cell>
          <cell r="AX124">
            <v>4</v>
          </cell>
          <cell r="AY124">
            <v>3</v>
          </cell>
          <cell r="AZ124">
            <v>4</v>
          </cell>
          <cell r="BB124">
            <v>44951</v>
          </cell>
          <cell r="BG124">
            <v>44950</v>
          </cell>
        </row>
        <row r="125">
          <cell r="A125" t="str">
            <v>531-A</v>
          </cell>
          <cell r="B125">
            <v>145</v>
          </cell>
          <cell r="C125" t="str">
            <v>PN-129/ PN-130/ PN-131/ PN-132/ PN-133</v>
          </cell>
          <cell r="D125">
            <v>5.5</v>
          </cell>
          <cell r="E125">
            <v>40</v>
          </cell>
          <cell r="F125">
            <v>10</v>
          </cell>
          <cell r="G125">
            <v>40</v>
          </cell>
          <cell r="H125">
            <v>0</v>
          </cell>
          <cell r="I125" t="str">
            <v>-</v>
          </cell>
          <cell r="J125" t="str">
            <v>660/680</v>
          </cell>
          <cell r="K125" t="str">
            <v xml:space="preserve">CPIII 40 RS </v>
          </cell>
          <cell r="L125" t="str">
            <v>CP V</v>
          </cell>
          <cell r="M125" t="str">
            <v>SUPER PLASTIFICANTE</v>
          </cell>
          <cell r="N125" t="str">
            <v>MUROS DE VEDAÇÃO - GRANDE VITÓRIA E BAIXO GUANDU</v>
          </cell>
          <cell r="O125" t="str">
            <v>FORTANKS</v>
          </cell>
          <cell r="P125">
            <v>495</v>
          </cell>
          <cell r="Q125" t="str">
            <v>Gean</v>
          </cell>
          <cell r="R125">
            <v>44950</v>
          </cell>
          <cell r="S125">
            <v>0.65625</v>
          </cell>
          <cell r="T125">
            <v>0.64624999999999999</v>
          </cell>
          <cell r="U125" t="str">
            <v>X</v>
          </cell>
          <cell r="V125">
            <v>0.375</v>
          </cell>
          <cell r="W125">
            <v>10.050000000000001</v>
          </cell>
          <cell r="X125">
            <v>10</v>
          </cell>
          <cell r="Y125">
            <v>0.41666666666666669</v>
          </cell>
          <cell r="Z125">
            <v>85.4</v>
          </cell>
          <cell r="AA125">
            <v>83.64</v>
          </cell>
          <cell r="AL125" t="str">
            <v>X</v>
          </cell>
          <cell r="AN125" t="str">
            <v>X</v>
          </cell>
          <cell r="AO125" t="str">
            <v>X</v>
          </cell>
          <cell r="AQ125" t="str">
            <v>X</v>
          </cell>
          <cell r="AW125">
            <v>4</v>
          </cell>
          <cell r="AX125">
            <v>4</v>
          </cell>
          <cell r="AY125">
            <v>3</v>
          </cell>
          <cell r="AZ125">
            <v>4</v>
          </cell>
          <cell r="BA125" t="str">
            <v>FORTES ENGENHARIA</v>
          </cell>
          <cell r="BB125">
            <v>44951</v>
          </cell>
          <cell r="BG125">
            <v>44950</v>
          </cell>
        </row>
        <row r="126">
          <cell r="A126">
            <v>532</v>
          </cell>
          <cell r="B126">
            <v>146</v>
          </cell>
          <cell r="C126" t="str">
            <v>PN-134/ PN-135/ PN-136/ PN-137/ PN-138/ PN-139/ PN-140/ PN-141/ PN-142/ PN-143/ PN-144</v>
          </cell>
          <cell r="D126">
            <v>6</v>
          </cell>
          <cell r="E126">
            <v>40</v>
          </cell>
          <cell r="F126">
            <v>10</v>
          </cell>
          <cell r="G126">
            <v>40</v>
          </cell>
          <cell r="H126">
            <v>0</v>
          </cell>
          <cell r="I126" t="str">
            <v>-</v>
          </cell>
          <cell r="J126" t="str">
            <v>670/670</v>
          </cell>
          <cell r="K126" t="str">
            <v xml:space="preserve">CPIII 40 RS </v>
          </cell>
          <cell r="L126" t="str">
            <v>CP V</v>
          </cell>
          <cell r="M126" t="str">
            <v>SUPER PLASTIFICANTE</v>
          </cell>
          <cell r="N126" t="str">
            <v>MUROS DE VEDAÇÃO - GRANDE VITÓRIA E BAIXO GUANDU</v>
          </cell>
          <cell r="O126" t="str">
            <v>FORTANKS</v>
          </cell>
          <cell r="P126">
            <v>495</v>
          </cell>
          <cell r="Q126" t="str">
            <v>Gean</v>
          </cell>
          <cell r="R126">
            <v>44951</v>
          </cell>
          <cell r="S126">
            <v>0.65277777777777779</v>
          </cell>
          <cell r="T126">
            <v>0.64277777777777778</v>
          </cell>
          <cell r="U126" t="str">
            <v>X</v>
          </cell>
          <cell r="V126">
            <v>0.54166666666666663</v>
          </cell>
          <cell r="W126">
            <v>14.06</v>
          </cell>
          <cell r="X126">
            <v>13.47</v>
          </cell>
          <cell r="Y126">
            <v>0.41666666666666669</v>
          </cell>
          <cell r="Z126">
            <v>57.73</v>
          </cell>
          <cell r="AA126">
            <v>59.97</v>
          </cell>
          <cell r="AJ126" t="str">
            <v>X</v>
          </cell>
          <cell r="AK126" t="str">
            <v>X</v>
          </cell>
          <cell r="AL126" t="str">
            <v>X</v>
          </cell>
          <cell r="AM126" t="str">
            <v>X</v>
          </cell>
          <cell r="AW126">
            <v>3</v>
          </cell>
          <cell r="AX126">
            <v>3</v>
          </cell>
          <cell r="AY126">
            <v>3</v>
          </cell>
          <cell r="AZ126">
            <v>3</v>
          </cell>
          <cell r="BA126" t="str">
            <v>FORTES ENGENHARIA</v>
          </cell>
          <cell r="BB126">
            <v>44952</v>
          </cell>
          <cell r="BG126">
            <v>44951</v>
          </cell>
        </row>
        <row r="127">
          <cell r="A127">
            <v>533</v>
          </cell>
          <cell r="B127">
            <v>147</v>
          </cell>
          <cell r="C127" t="str">
            <v>PN-145/ PN-146/ PN-147/ PN-148</v>
          </cell>
          <cell r="D127">
            <v>8</v>
          </cell>
          <cell r="E127">
            <v>40</v>
          </cell>
          <cell r="F127">
            <v>10</v>
          </cell>
          <cell r="G127">
            <v>40</v>
          </cell>
          <cell r="H127">
            <v>0</v>
          </cell>
          <cell r="I127" t="str">
            <v>-</v>
          </cell>
          <cell r="J127" t="str">
            <v>670/670</v>
          </cell>
          <cell r="K127" t="str">
            <v xml:space="preserve">CPIII 40 RS </v>
          </cell>
          <cell r="L127" t="str">
            <v>CP V</v>
          </cell>
          <cell r="M127" t="str">
            <v>SUPER PLASTIFICANTE</v>
          </cell>
          <cell r="N127" t="str">
            <v>MUROS DE VEDAÇÃO - GRANDE VITÓRIA E BAIXO GUANDU</v>
          </cell>
          <cell r="O127" t="str">
            <v>FORTANKS</v>
          </cell>
          <cell r="P127">
            <v>495</v>
          </cell>
          <cell r="Q127" t="str">
            <v>Gean</v>
          </cell>
          <cell r="R127">
            <v>44952</v>
          </cell>
          <cell r="S127">
            <v>0.33333333333333331</v>
          </cell>
          <cell r="T127">
            <v>0.32333333333333331</v>
          </cell>
          <cell r="U127" t="str">
            <v>X</v>
          </cell>
          <cell r="V127">
            <v>0.58333333333333337</v>
          </cell>
          <cell r="W127">
            <v>12.54</v>
          </cell>
          <cell r="X127">
            <v>12.05</v>
          </cell>
          <cell r="Y127">
            <v>0.41666666666666669</v>
          </cell>
          <cell r="Z127">
            <v>79.05</v>
          </cell>
          <cell r="AA127">
            <v>80.739999999999995</v>
          </cell>
          <cell r="AJ127" t="str">
            <v>X</v>
          </cell>
          <cell r="AO127" t="str">
            <v>X</v>
          </cell>
          <cell r="AP127" t="str">
            <v>X</v>
          </cell>
          <cell r="AQ127" t="str">
            <v>X</v>
          </cell>
          <cell r="AW127">
            <v>3</v>
          </cell>
          <cell r="AX127">
            <v>4</v>
          </cell>
          <cell r="AY127">
            <v>4</v>
          </cell>
          <cell r="AZ127">
            <v>4</v>
          </cell>
          <cell r="BA127" t="str">
            <v>FORTES ENGENHARIA</v>
          </cell>
          <cell r="BB127">
            <v>44953</v>
          </cell>
          <cell r="BG127">
            <v>44952</v>
          </cell>
        </row>
        <row r="128">
          <cell r="A128" t="str">
            <v>533-A</v>
          </cell>
          <cell r="B128">
            <v>147</v>
          </cell>
          <cell r="C128" t="str">
            <v>PN-100 / PNI (t) - 70</v>
          </cell>
          <cell r="D128">
            <v>8</v>
          </cell>
          <cell r="E128">
            <v>40</v>
          </cell>
          <cell r="F128">
            <v>10</v>
          </cell>
          <cell r="G128">
            <v>40</v>
          </cell>
          <cell r="H128">
            <v>0</v>
          </cell>
          <cell r="I128" t="str">
            <v>-</v>
          </cell>
          <cell r="J128" t="str">
            <v>670/670</v>
          </cell>
          <cell r="K128" t="str">
            <v xml:space="preserve">CPIII 40 RS </v>
          </cell>
          <cell r="L128" t="str">
            <v>CP V</v>
          </cell>
          <cell r="M128" t="str">
            <v>SUPER PLASTIFICANTE</v>
          </cell>
          <cell r="N128" t="str">
            <v>NEUTRALIZAÇÃO</v>
          </cell>
          <cell r="O128" t="str">
            <v>FORTANKS</v>
          </cell>
          <cell r="P128">
            <v>495</v>
          </cell>
          <cell r="Q128" t="str">
            <v>Gean</v>
          </cell>
          <cell r="R128">
            <v>44952</v>
          </cell>
          <cell r="S128">
            <v>0.33333333333333331</v>
          </cell>
          <cell r="T128">
            <v>0.32333333333333331</v>
          </cell>
          <cell r="U128" t="str">
            <v>X</v>
          </cell>
          <cell r="V128">
            <v>0.58333333333333337</v>
          </cell>
          <cell r="W128">
            <v>12.54</v>
          </cell>
          <cell r="X128">
            <v>12.05</v>
          </cell>
          <cell r="Y128">
            <v>0.41666666666666669</v>
          </cell>
          <cell r="Z128">
            <v>79.05</v>
          </cell>
          <cell r="AA128">
            <v>80.739999999999995</v>
          </cell>
          <cell r="AW128">
            <v>3</v>
          </cell>
          <cell r="AX128">
            <v>4</v>
          </cell>
          <cell r="AY128">
            <v>4</v>
          </cell>
          <cell r="AZ128">
            <v>4</v>
          </cell>
          <cell r="BB128">
            <v>44953</v>
          </cell>
          <cell r="BG128">
            <v>44952</v>
          </cell>
        </row>
        <row r="129">
          <cell r="A129">
            <v>534</v>
          </cell>
          <cell r="B129">
            <v>148</v>
          </cell>
          <cell r="C129" t="str">
            <v>PN-17</v>
          </cell>
          <cell r="D129">
            <v>6</v>
          </cell>
          <cell r="E129">
            <v>40</v>
          </cell>
          <cell r="F129">
            <v>10</v>
          </cell>
          <cell r="G129">
            <v>40</v>
          </cell>
          <cell r="H129">
            <v>0</v>
          </cell>
          <cell r="I129" t="str">
            <v>-</v>
          </cell>
          <cell r="J129" t="str">
            <v>650/650</v>
          </cell>
          <cell r="K129" t="str">
            <v xml:space="preserve">CPIII 40 RS </v>
          </cell>
          <cell r="L129" t="str">
            <v>CP V</v>
          </cell>
          <cell r="M129" t="str">
            <v>SUPER PLASTIFICANTE</v>
          </cell>
          <cell r="N129" t="str">
            <v>NEUTRALIZAÇÃO</v>
          </cell>
          <cell r="O129" t="str">
            <v>FORTANKS</v>
          </cell>
          <cell r="P129">
            <v>495</v>
          </cell>
          <cell r="Q129" t="str">
            <v>Gean</v>
          </cell>
          <cell r="R129">
            <v>44953</v>
          </cell>
          <cell r="S129">
            <v>0.39583333333333331</v>
          </cell>
          <cell r="T129">
            <v>0.38583333333333331</v>
          </cell>
          <cell r="U129" t="str">
            <v>X</v>
          </cell>
          <cell r="V129">
            <v>0.39583333333333331</v>
          </cell>
          <cell r="W129">
            <v>18.636951</v>
          </cell>
          <cell r="X129">
            <v>18.588003</v>
          </cell>
          <cell r="Y129">
            <v>0.41666666666666669</v>
          </cell>
          <cell r="Z129">
            <v>89.379048000000012</v>
          </cell>
          <cell r="AA129">
            <v>87.984030000000004</v>
          </cell>
          <cell r="AW129">
            <v>3</v>
          </cell>
          <cell r="AX129">
            <v>3</v>
          </cell>
          <cell r="AY129">
            <v>4</v>
          </cell>
          <cell r="AZ129">
            <v>3</v>
          </cell>
          <cell r="BB129">
            <v>44954</v>
          </cell>
          <cell r="BG129">
            <v>44953</v>
          </cell>
        </row>
        <row r="130">
          <cell r="A130" t="str">
            <v>534-A</v>
          </cell>
          <cell r="B130">
            <v>148</v>
          </cell>
          <cell r="C130" t="str">
            <v>PN-149/ PN-150/ PN-151/ PN-152/ PN-153/ PN-154</v>
          </cell>
          <cell r="D130">
            <v>6</v>
          </cell>
          <cell r="E130">
            <v>40</v>
          </cell>
          <cell r="F130">
            <v>10</v>
          </cell>
          <cell r="G130">
            <v>40</v>
          </cell>
          <cell r="H130">
            <v>0</v>
          </cell>
          <cell r="I130" t="str">
            <v>-</v>
          </cell>
          <cell r="J130" t="str">
            <v>650/650</v>
          </cell>
          <cell r="K130" t="str">
            <v xml:space="preserve">CPIII 40 RS </v>
          </cell>
          <cell r="L130" t="str">
            <v>CP V</v>
          </cell>
          <cell r="M130" t="str">
            <v>SUPER PLASTIFICANTE</v>
          </cell>
          <cell r="N130" t="str">
            <v>MUROS DE VEDAÇÃO - GRANDE VITÓRIA E BAIXO GUANDU</v>
          </cell>
          <cell r="O130" t="str">
            <v>FORTANKS</v>
          </cell>
          <cell r="P130">
            <v>495</v>
          </cell>
          <cell r="Q130" t="str">
            <v>Gean</v>
          </cell>
          <cell r="R130">
            <v>44953</v>
          </cell>
          <cell r="S130">
            <v>0.58333333333333337</v>
          </cell>
          <cell r="T130">
            <v>0.57333333333333336</v>
          </cell>
          <cell r="U130" t="str">
            <v>X</v>
          </cell>
          <cell r="V130">
            <v>0.39583333333333331</v>
          </cell>
          <cell r="W130">
            <v>18.63</v>
          </cell>
          <cell r="X130">
            <v>18.579999999999998</v>
          </cell>
          <cell r="Y130">
            <v>0.43055555555555558</v>
          </cell>
          <cell r="Z130">
            <v>89.38</v>
          </cell>
          <cell r="AA130">
            <v>87.98</v>
          </cell>
          <cell r="AL130" t="str">
            <v>X</v>
          </cell>
          <cell r="AM130" t="str">
            <v>X</v>
          </cell>
          <cell r="AN130" t="str">
            <v>X</v>
          </cell>
          <cell r="AO130" t="str">
            <v>X</v>
          </cell>
          <cell r="AW130">
            <v>4</v>
          </cell>
          <cell r="AX130">
            <v>4</v>
          </cell>
          <cell r="AY130">
            <v>3</v>
          </cell>
          <cell r="AZ130">
            <v>3</v>
          </cell>
          <cell r="BA130" t="str">
            <v>FORTES ENGENHARIA</v>
          </cell>
          <cell r="BB130">
            <v>44954</v>
          </cell>
          <cell r="BG130">
            <v>44953</v>
          </cell>
        </row>
        <row r="131">
          <cell r="A131">
            <v>535</v>
          </cell>
          <cell r="B131">
            <v>149</v>
          </cell>
          <cell r="C131" t="str">
            <v>PN-101 / PN-65</v>
          </cell>
          <cell r="D131">
            <v>8.5</v>
          </cell>
          <cell r="E131">
            <v>40</v>
          </cell>
          <cell r="F131">
            <v>10</v>
          </cell>
          <cell r="G131">
            <v>40</v>
          </cell>
          <cell r="H131">
            <v>0</v>
          </cell>
          <cell r="I131" t="str">
            <v>-</v>
          </cell>
          <cell r="J131" t="str">
            <v>660/670</v>
          </cell>
          <cell r="K131" t="str">
            <v xml:space="preserve">CPIII 40 RS </v>
          </cell>
          <cell r="L131" t="str">
            <v>CP V</v>
          </cell>
          <cell r="M131" t="str">
            <v>SUPER PLASTIFICANTE</v>
          </cell>
          <cell r="N131" t="str">
            <v>NEUTRALIZAÇÃO</v>
          </cell>
          <cell r="O131" t="str">
            <v>FORTANKS</v>
          </cell>
          <cell r="P131">
            <v>495</v>
          </cell>
          <cell r="Q131" t="str">
            <v>Gean</v>
          </cell>
          <cell r="R131">
            <v>44956</v>
          </cell>
          <cell r="S131">
            <v>0.58333333333333337</v>
          </cell>
          <cell r="T131">
            <v>0.57333333333333336</v>
          </cell>
          <cell r="U131" t="str">
            <v>X</v>
          </cell>
          <cell r="V131">
            <v>0.33680555555555558</v>
          </cell>
          <cell r="W131">
            <v>14.29</v>
          </cell>
          <cell r="X131">
            <v>14.88</v>
          </cell>
          <cell r="Y131">
            <v>0.4375</v>
          </cell>
          <cell r="Z131">
            <v>85.84</v>
          </cell>
          <cell r="AA131">
            <v>84.67</v>
          </cell>
          <cell r="AW131">
            <v>3</v>
          </cell>
          <cell r="AX131">
            <v>4</v>
          </cell>
          <cell r="AY131">
            <v>4</v>
          </cell>
          <cell r="AZ131">
            <v>4</v>
          </cell>
          <cell r="BB131">
            <v>44957</v>
          </cell>
          <cell r="BG131">
            <v>44956</v>
          </cell>
        </row>
        <row r="132">
          <cell r="A132" t="str">
            <v>535-A</v>
          </cell>
          <cell r="B132">
            <v>149</v>
          </cell>
          <cell r="C132" t="str">
            <v>PN-164/ PN-165/ PN-166/ PN-167/ PN-168/ PN-169</v>
          </cell>
          <cell r="D132">
            <v>8.5</v>
          </cell>
          <cell r="E132">
            <v>40</v>
          </cell>
          <cell r="F132">
            <v>10</v>
          </cell>
          <cell r="G132">
            <v>40</v>
          </cell>
          <cell r="H132">
            <v>0</v>
          </cell>
          <cell r="I132" t="str">
            <v>-</v>
          </cell>
          <cell r="J132" t="str">
            <v>660/670</v>
          </cell>
          <cell r="K132" t="str">
            <v xml:space="preserve">CPIII 40 RS </v>
          </cell>
          <cell r="L132" t="str">
            <v>CP V</v>
          </cell>
          <cell r="M132" t="str">
            <v>SUPER PLASTIFICANTE</v>
          </cell>
          <cell r="N132" t="str">
            <v>MUROS DE VEDAÇÃO - GRANDE VITÓRIA E BAIXO GUANDU</v>
          </cell>
          <cell r="O132" t="str">
            <v>FORTANKS</v>
          </cell>
          <cell r="P132">
            <v>495</v>
          </cell>
          <cell r="Q132" t="str">
            <v>Gean</v>
          </cell>
          <cell r="R132">
            <v>44956</v>
          </cell>
          <cell r="S132">
            <v>0.58333333333333337</v>
          </cell>
          <cell r="T132">
            <v>0.57333333333333336</v>
          </cell>
          <cell r="U132" t="str">
            <v>X</v>
          </cell>
          <cell r="V132">
            <v>0.33680555555555558</v>
          </cell>
          <cell r="W132">
            <v>14.29</v>
          </cell>
          <cell r="X132">
            <v>14.88</v>
          </cell>
          <cell r="Y132">
            <v>0.4375</v>
          </cell>
          <cell r="Z132">
            <v>85.84</v>
          </cell>
          <cell r="AA132">
            <v>84.67</v>
          </cell>
          <cell r="AJ132" t="str">
            <v>X</v>
          </cell>
          <cell r="AO132" t="str">
            <v>X</v>
          </cell>
          <cell r="AP132" t="str">
            <v>X</v>
          </cell>
          <cell r="AQ132" t="str">
            <v>X</v>
          </cell>
          <cell r="AW132">
            <v>3</v>
          </cell>
          <cell r="AX132">
            <v>4</v>
          </cell>
          <cell r="AY132">
            <v>4</v>
          </cell>
          <cell r="AZ132">
            <v>4</v>
          </cell>
          <cell r="BA132" t="str">
            <v>FORTES ENGENHARIA</v>
          </cell>
          <cell r="BB132">
            <v>44957</v>
          </cell>
          <cell r="BG132">
            <v>44956</v>
          </cell>
        </row>
        <row r="133">
          <cell r="A133">
            <v>536</v>
          </cell>
          <cell r="B133">
            <v>150</v>
          </cell>
          <cell r="C133" t="str">
            <v>PN-22</v>
          </cell>
          <cell r="D133">
            <v>8.5</v>
          </cell>
          <cell r="E133">
            <v>40</v>
          </cell>
          <cell r="F133">
            <v>10</v>
          </cell>
          <cell r="G133">
            <v>40</v>
          </cell>
          <cell r="H133">
            <v>0</v>
          </cell>
          <cell r="I133" t="str">
            <v>-</v>
          </cell>
          <cell r="J133" t="str">
            <v>660/660</v>
          </cell>
          <cell r="K133" t="str">
            <v xml:space="preserve">CPIII 40 RS </v>
          </cell>
          <cell r="L133" t="str">
            <v>CP V</v>
          </cell>
          <cell r="M133" t="str">
            <v>SUPER PLASTIFICANTE</v>
          </cell>
          <cell r="N133" t="str">
            <v>NEUTRALIZAÇÃO</v>
          </cell>
          <cell r="O133" t="str">
            <v>FORTANKS</v>
          </cell>
          <cell r="P133">
            <v>495</v>
          </cell>
          <cell r="Q133" t="str">
            <v>Gean</v>
          </cell>
          <cell r="R133">
            <v>44956</v>
          </cell>
          <cell r="S133">
            <v>0.65625</v>
          </cell>
          <cell r="T133">
            <v>0.64624999999999999</v>
          </cell>
          <cell r="U133" t="str">
            <v>X</v>
          </cell>
          <cell r="V133">
            <v>0.34722222222222227</v>
          </cell>
          <cell r="W133">
            <v>10.89</v>
          </cell>
          <cell r="X133">
            <v>10.41</v>
          </cell>
          <cell r="Y133">
            <v>0.4375</v>
          </cell>
          <cell r="Z133">
            <v>83.82</v>
          </cell>
          <cell r="AA133">
            <v>82.38</v>
          </cell>
          <cell r="AW133">
            <v>4</v>
          </cell>
          <cell r="AX133">
            <v>4</v>
          </cell>
          <cell r="AY133">
            <v>4</v>
          </cell>
          <cell r="AZ133">
            <v>4</v>
          </cell>
          <cell r="BB133">
            <v>44957</v>
          </cell>
          <cell r="BG133">
            <v>44956</v>
          </cell>
        </row>
        <row r="134">
          <cell r="A134" t="str">
            <v>536-A</v>
          </cell>
          <cell r="B134">
            <v>150</v>
          </cell>
          <cell r="C134" t="str">
            <v>PN-155/ PN-156/ PN-157/ PN-158/ PN-159/ PN-160/ PN-161/ PN-162/ PN-163</v>
          </cell>
          <cell r="D134">
            <v>8.5</v>
          </cell>
          <cell r="E134">
            <v>40</v>
          </cell>
          <cell r="F134">
            <v>10</v>
          </cell>
          <cell r="G134">
            <v>40</v>
          </cell>
          <cell r="H134">
            <v>0</v>
          </cell>
          <cell r="I134" t="str">
            <v>-</v>
          </cell>
          <cell r="J134" t="str">
            <v>660/660</v>
          </cell>
          <cell r="K134" t="str">
            <v xml:space="preserve">CPIII 40 RS </v>
          </cell>
          <cell r="L134" t="str">
            <v>CP V</v>
          </cell>
          <cell r="M134" t="str">
            <v>SUPER PLASTIFICANTE</v>
          </cell>
          <cell r="N134" t="str">
            <v>MUROS DE VEDAÇÃO - GRANDE VITÓRIA E BAIXO GUANDU</v>
          </cell>
          <cell r="O134" t="str">
            <v>FORTANKS</v>
          </cell>
          <cell r="P134">
            <v>495</v>
          </cell>
          <cell r="Q134" t="str">
            <v>Gean</v>
          </cell>
          <cell r="R134">
            <v>44956</v>
          </cell>
          <cell r="S134">
            <v>0.65625</v>
          </cell>
          <cell r="T134">
            <v>0.64624999999999999</v>
          </cell>
          <cell r="U134" t="str">
            <v>X</v>
          </cell>
          <cell r="V134">
            <v>0.34722222222222227</v>
          </cell>
          <cell r="W134">
            <v>10.89</v>
          </cell>
          <cell r="X134">
            <v>10.41</v>
          </cell>
          <cell r="Y134">
            <v>0.4375</v>
          </cell>
          <cell r="Z134">
            <v>83.82</v>
          </cell>
          <cell r="AA134">
            <v>82.38</v>
          </cell>
          <cell r="AN134" t="str">
            <v>X</v>
          </cell>
          <cell r="AO134" t="str">
            <v>X</v>
          </cell>
          <cell r="AP134" t="str">
            <v>X</v>
          </cell>
          <cell r="AQ134" t="str">
            <v>X</v>
          </cell>
          <cell r="AW134">
            <v>4</v>
          </cell>
          <cell r="AX134">
            <v>4</v>
          </cell>
          <cell r="AY134">
            <v>4</v>
          </cell>
          <cell r="AZ134">
            <v>4</v>
          </cell>
          <cell r="BA134" t="str">
            <v>FORTES ENGENHARIA</v>
          </cell>
          <cell r="BB134">
            <v>44957</v>
          </cell>
          <cell r="BG134">
            <v>44956</v>
          </cell>
        </row>
        <row r="135">
          <cell r="A135">
            <v>537</v>
          </cell>
          <cell r="B135">
            <v>151</v>
          </cell>
          <cell r="C135" t="str">
            <v>PN-82 / PN-25/ PN-69</v>
          </cell>
          <cell r="D135">
            <v>8</v>
          </cell>
          <cell r="E135">
            <v>40</v>
          </cell>
          <cell r="F135">
            <v>10</v>
          </cell>
          <cell r="G135">
            <v>40</v>
          </cell>
          <cell r="H135">
            <v>0</v>
          </cell>
          <cell r="I135" t="str">
            <v>-</v>
          </cell>
          <cell r="J135" t="str">
            <v>660/670</v>
          </cell>
          <cell r="K135" t="str">
            <v xml:space="preserve">CPIII 40 RS </v>
          </cell>
          <cell r="L135" t="str">
            <v>CP V</v>
          </cell>
          <cell r="M135" t="str">
            <v>SUPER PLASTIFICANTE</v>
          </cell>
          <cell r="N135" t="str">
            <v>NEUTRALIZAÇÃO</v>
          </cell>
          <cell r="O135" t="str">
            <v>FORTANKS</v>
          </cell>
          <cell r="P135">
            <v>495</v>
          </cell>
          <cell r="Q135" t="str">
            <v>Gean</v>
          </cell>
          <cell r="R135">
            <v>44958</v>
          </cell>
          <cell r="S135">
            <v>0.41666666666666669</v>
          </cell>
          <cell r="T135">
            <v>0.40666666666666668</v>
          </cell>
          <cell r="U135" t="str">
            <v>X</v>
          </cell>
          <cell r="V135">
            <v>0.35416666666666669</v>
          </cell>
          <cell r="W135">
            <v>17.399999999999999</v>
          </cell>
          <cell r="X135">
            <v>16.29</v>
          </cell>
          <cell r="Y135">
            <v>0.41666666666666669</v>
          </cell>
          <cell r="Z135">
            <v>76.239999999999995</v>
          </cell>
          <cell r="AA135">
            <v>78.569999999999993</v>
          </cell>
          <cell r="AW135">
            <v>3</v>
          </cell>
          <cell r="AX135">
            <v>4</v>
          </cell>
          <cell r="AY135">
            <v>4</v>
          </cell>
          <cell r="AZ135">
            <v>4</v>
          </cell>
          <cell r="BB135">
            <v>44959</v>
          </cell>
          <cell r="BG135">
            <v>44958</v>
          </cell>
        </row>
        <row r="136">
          <cell r="A136">
            <v>538</v>
          </cell>
          <cell r="B136">
            <v>152</v>
          </cell>
          <cell r="C136" t="str">
            <v>PN-170/ PN-171/ PN-172/ PN-173/ PN-174/ PN-175/ PN-176/ PN-177/ PN-178/ PN-179/ PN-180// PN-181/ PN-182/ PN-183/ PN-184</v>
          </cell>
          <cell r="D136">
            <v>8.5</v>
          </cell>
          <cell r="E136">
            <v>40</v>
          </cell>
          <cell r="F136">
            <v>10</v>
          </cell>
          <cell r="G136">
            <v>40</v>
          </cell>
          <cell r="H136">
            <v>0</v>
          </cell>
          <cell r="I136" t="str">
            <v>-</v>
          </cell>
          <cell r="J136" t="str">
            <v>670/670</v>
          </cell>
          <cell r="K136" t="str">
            <v xml:space="preserve">CPIII 40 RS </v>
          </cell>
          <cell r="L136" t="str">
            <v>CP V</v>
          </cell>
          <cell r="M136" t="str">
            <v>SUPER PLASTIFICANTE</v>
          </cell>
          <cell r="N136" t="str">
            <v>MUROS DE VEDAÇÃO - GRANDE VITÓRIA E BAIXO GUANDU</v>
          </cell>
          <cell r="O136" t="str">
            <v>FORTANKS</v>
          </cell>
          <cell r="P136">
            <v>495</v>
          </cell>
          <cell r="Q136" t="str">
            <v>Gean</v>
          </cell>
          <cell r="R136">
            <v>44958</v>
          </cell>
          <cell r="S136">
            <v>0.625</v>
          </cell>
          <cell r="T136">
            <v>0.61499999999999999</v>
          </cell>
          <cell r="U136" t="str">
            <v>X</v>
          </cell>
          <cell r="V136">
            <v>0.3576388888888889</v>
          </cell>
          <cell r="W136">
            <v>13.43</v>
          </cell>
          <cell r="X136">
            <v>12.51</v>
          </cell>
          <cell r="Y136">
            <v>0.44444444444444442</v>
          </cell>
          <cell r="Z136">
            <v>84.5</v>
          </cell>
          <cell r="AA136">
            <v>82</v>
          </cell>
          <cell r="AN136" t="str">
            <v>x</v>
          </cell>
          <cell r="AO136" t="str">
            <v>x</v>
          </cell>
          <cell r="AP136" t="str">
            <v>X</v>
          </cell>
          <cell r="AQ136" t="str">
            <v>X</v>
          </cell>
          <cell r="AW136">
            <v>4</v>
          </cell>
          <cell r="AX136">
            <v>4</v>
          </cell>
          <cell r="AY136">
            <v>4</v>
          </cell>
          <cell r="AZ136">
            <v>4</v>
          </cell>
          <cell r="BA136" t="str">
            <v>FORTES ENGENHARIA</v>
          </cell>
          <cell r="BB136">
            <v>44959</v>
          </cell>
          <cell r="BG136">
            <v>44958</v>
          </cell>
        </row>
        <row r="137">
          <cell r="A137">
            <v>539</v>
          </cell>
          <cell r="B137">
            <v>153</v>
          </cell>
          <cell r="C137" t="str">
            <v>PN-21/ PN-78/ PN-73</v>
          </cell>
          <cell r="D137">
            <v>8</v>
          </cell>
          <cell r="E137">
            <v>40</v>
          </cell>
          <cell r="F137">
            <v>10</v>
          </cell>
          <cell r="G137">
            <v>40</v>
          </cell>
          <cell r="H137">
            <v>0</v>
          </cell>
          <cell r="I137" t="str">
            <v>-</v>
          </cell>
          <cell r="J137" t="str">
            <v>660/670</v>
          </cell>
          <cell r="K137" t="str">
            <v xml:space="preserve">CPIII 40 RS </v>
          </cell>
          <cell r="L137" t="str">
            <v>CP V</v>
          </cell>
          <cell r="M137" t="str">
            <v>SUPER PLASTIFICANTE</v>
          </cell>
          <cell r="N137" t="str">
            <v>NEUTRALIZAÇÃO</v>
          </cell>
          <cell r="O137" t="str">
            <v>FORTANKS</v>
          </cell>
          <cell r="P137">
            <v>495</v>
          </cell>
          <cell r="Q137" t="str">
            <v>Gean</v>
          </cell>
          <cell r="R137">
            <v>44960</v>
          </cell>
          <cell r="S137">
            <v>0.45833333333333331</v>
          </cell>
          <cell r="T137">
            <v>0.44833333333333331</v>
          </cell>
          <cell r="U137" t="str">
            <v>X</v>
          </cell>
          <cell r="V137">
            <v>0.35416666666666669</v>
          </cell>
          <cell r="W137">
            <v>16.95</v>
          </cell>
          <cell r="X137">
            <v>18.23</v>
          </cell>
          <cell r="Y137">
            <v>0.41666666666666669</v>
          </cell>
          <cell r="Z137">
            <v>83.09</v>
          </cell>
          <cell r="AA137">
            <v>83.63</v>
          </cell>
          <cell r="AW137">
            <v>3</v>
          </cell>
          <cell r="AX137">
            <v>4</v>
          </cell>
          <cell r="AY137">
            <v>4</v>
          </cell>
          <cell r="AZ137">
            <v>4</v>
          </cell>
          <cell r="BB137">
            <v>44961</v>
          </cell>
          <cell r="BG137">
            <v>44960</v>
          </cell>
        </row>
        <row r="138">
          <cell r="A138">
            <v>540</v>
          </cell>
          <cell r="B138">
            <v>154</v>
          </cell>
          <cell r="C138" t="str">
            <v>PN-185/ PN-186/ PN-187/ PN-188/ PN-189/ PN-190/ PN-191/ PN-192/ PN-193/ PN-194</v>
          </cell>
          <cell r="D138">
            <v>6.5</v>
          </cell>
          <cell r="E138">
            <v>40</v>
          </cell>
          <cell r="F138">
            <v>10</v>
          </cell>
          <cell r="G138">
            <v>40</v>
          </cell>
          <cell r="H138">
            <v>0</v>
          </cell>
          <cell r="I138" t="str">
            <v>-</v>
          </cell>
          <cell r="J138" t="str">
            <v>660/680</v>
          </cell>
          <cell r="K138" t="str">
            <v xml:space="preserve">CPIII 40 RS </v>
          </cell>
          <cell r="L138" t="str">
            <v>CP V</v>
          </cell>
          <cell r="M138" t="str">
            <v>SUPER PLASTIFICANTE</v>
          </cell>
          <cell r="N138" t="str">
            <v>MUROS DE VEDAÇÃO - GRANDE VITÓRIA E BAIXO GUANDU</v>
          </cell>
          <cell r="O138" t="str">
            <v>FORTANKS</v>
          </cell>
          <cell r="P138">
            <v>495</v>
          </cell>
          <cell r="Q138" t="str">
            <v>Gean</v>
          </cell>
          <cell r="R138">
            <v>44960</v>
          </cell>
          <cell r="S138">
            <v>0.54166666666666663</v>
          </cell>
          <cell r="T138">
            <v>0.53166666666666662</v>
          </cell>
          <cell r="U138" t="str">
            <v>X</v>
          </cell>
          <cell r="V138">
            <v>0.33333333333333331</v>
          </cell>
          <cell r="W138">
            <v>13.65</v>
          </cell>
          <cell r="X138">
            <v>16.98</v>
          </cell>
          <cell r="Y138">
            <v>0.42499999999999999</v>
          </cell>
          <cell r="Z138">
            <v>83.09</v>
          </cell>
          <cell r="AA138">
            <v>83.63</v>
          </cell>
          <cell r="AK138" t="str">
            <v>X</v>
          </cell>
          <cell r="AL138" t="str">
            <v>X</v>
          </cell>
          <cell r="AM138" t="str">
            <v>X</v>
          </cell>
          <cell r="AN138" t="str">
            <v>X</v>
          </cell>
          <cell r="AW138">
            <v>4</v>
          </cell>
          <cell r="AX138">
            <v>3</v>
          </cell>
          <cell r="AY138">
            <v>3</v>
          </cell>
          <cell r="AZ138">
            <v>3</v>
          </cell>
          <cell r="BA138" t="str">
            <v>FORTES ENGENHARIA</v>
          </cell>
          <cell r="BB138">
            <v>44961</v>
          </cell>
          <cell r="BG138">
            <v>44960</v>
          </cell>
        </row>
        <row r="139">
          <cell r="A139">
            <v>541</v>
          </cell>
          <cell r="B139">
            <v>155</v>
          </cell>
          <cell r="C139" t="str">
            <v>PN-195/ PN-196/ PN-197/ PN-198/ PN-199</v>
          </cell>
          <cell r="D139">
            <v>3</v>
          </cell>
          <cell r="E139">
            <v>40</v>
          </cell>
          <cell r="F139">
            <v>10</v>
          </cell>
          <cell r="G139">
            <v>40</v>
          </cell>
          <cell r="H139">
            <v>0</v>
          </cell>
          <cell r="I139" t="str">
            <v>-</v>
          </cell>
          <cell r="J139" t="str">
            <v>660/650</v>
          </cell>
          <cell r="K139" t="str">
            <v xml:space="preserve">CPIII 40 RS </v>
          </cell>
          <cell r="L139" t="str">
            <v>CP V</v>
          </cell>
          <cell r="M139" t="str">
            <v>SUPER PLASTIFICANTE</v>
          </cell>
          <cell r="N139" t="str">
            <v>MUROS DE VEDAÇÃO - GRANDE VITÓRIA E BAIXO GUANDU</v>
          </cell>
          <cell r="O139" t="str">
            <v>FORTANKS</v>
          </cell>
          <cell r="P139">
            <v>495</v>
          </cell>
          <cell r="Q139" t="str">
            <v>Gean</v>
          </cell>
          <cell r="R139">
            <v>44960</v>
          </cell>
          <cell r="S139">
            <v>0.625</v>
          </cell>
          <cell r="T139">
            <v>0.61499999999999999</v>
          </cell>
          <cell r="U139" t="str">
            <v>X</v>
          </cell>
          <cell r="V139">
            <v>0.35416666666666669</v>
          </cell>
          <cell r="W139">
            <v>13.9</v>
          </cell>
          <cell r="X139">
            <v>13.26</v>
          </cell>
          <cell r="Y139" t="str">
            <v>10;25</v>
          </cell>
          <cell r="Z139">
            <v>85.29</v>
          </cell>
          <cell r="AA139">
            <v>85.67</v>
          </cell>
          <cell r="AJ139" t="str">
            <v>X</v>
          </cell>
          <cell r="AO139" t="str">
            <v>X</v>
          </cell>
          <cell r="AP139" t="str">
            <v>X</v>
          </cell>
          <cell r="AQ139" t="str">
            <v>X</v>
          </cell>
          <cell r="AW139">
            <v>3</v>
          </cell>
          <cell r="AX139">
            <v>4</v>
          </cell>
          <cell r="AY139">
            <v>4</v>
          </cell>
          <cell r="AZ139">
            <v>4</v>
          </cell>
          <cell r="BA139" t="str">
            <v>FORTES ENGENHARIA</v>
          </cell>
          <cell r="BB139">
            <v>44961</v>
          </cell>
          <cell r="BG139">
            <v>44960</v>
          </cell>
        </row>
        <row r="140">
          <cell r="A140">
            <v>542</v>
          </cell>
          <cell r="B140">
            <v>157</v>
          </cell>
          <cell r="C140" t="str">
            <v>PN-24/ PN-68/ PN-80</v>
          </cell>
          <cell r="D140">
            <v>8</v>
          </cell>
          <cell r="E140">
            <v>40</v>
          </cell>
          <cell r="F140">
            <v>10</v>
          </cell>
          <cell r="G140">
            <v>40</v>
          </cell>
          <cell r="H140">
            <v>0</v>
          </cell>
          <cell r="I140" t="str">
            <v>-</v>
          </cell>
          <cell r="J140" t="str">
            <v>650/650</v>
          </cell>
          <cell r="K140" t="str">
            <v xml:space="preserve">CPIII 40 RS </v>
          </cell>
          <cell r="L140" t="str">
            <v>CP V</v>
          </cell>
          <cell r="M140" t="str">
            <v>SUPER PLASTIFICANTE</v>
          </cell>
          <cell r="N140" t="str">
            <v>NEUTRALIZAÇÃO</v>
          </cell>
          <cell r="O140" t="str">
            <v>FORTANKS</v>
          </cell>
          <cell r="P140">
            <v>495</v>
          </cell>
          <cell r="Q140" t="str">
            <v>Gean</v>
          </cell>
          <cell r="R140">
            <v>44963</v>
          </cell>
          <cell r="S140">
            <v>0.54166666666666663</v>
          </cell>
          <cell r="T140">
            <v>0.53166666666666662</v>
          </cell>
          <cell r="U140" t="str">
            <v>X</v>
          </cell>
          <cell r="V140">
            <v>0.54166666666666663</v>
          </cell>
          <cell r="W140">
            <v>15.16</v>
          </cell>
          <cell r="X140">
            <v>15.49</v>
          </cell>
          <cell r="Y140">
            <v>0.41666666666666669</v>
          </cell>
          <cell r="Z140">
            <v>79</v>
          </cell>
          <cell r="AA140">
            <v>77.22</v>
          </cell>
          <cell r="AW140">
            <v>3</v>
          </cell>
          <cell r="AX140">
            <v>3</v>
          </cell>
          <cell r="AY140">
            <v>3</v>
          </cell>
          <cell r="AZ140">
            <v>3</v>
          </cell>
          <cell r="BB140">
            <v>44964</v>
          </cell>
          <cell r="BG140">
            <v>44963</v>
          </cell>
        </row>
        <row r="141">
          <cell r="A141">
            <v>543</v>
          </cell>
          <cell r="B141">
            <v>156</v>
          </cell>
          <cell r="C141" t="str">
            <v>PN-67</v>
          </cell>
          <cell r="D141">
            <v>8</v>
          </cell>
          <cell r="E141">
            <v>40</v>
          </cell>
          <cell r="F141">
            <v>10</v>
          </cell>
          <cell r="G141">
            <v>40</v>
          </cell>
          <cell r="H141">
            <v>0</v>
          </cell>
          <cell r="I141" t="str">
            <v>-</v>
          </cell>
          <cell r="J141" t="str">
            <v>660/670</v>
          </cell>
          <cell r="K141" t="str">
            <v xml:space="preserve">CPIII 40 RS </v>
          </cell>
          <cell r="L141" t="str">
            <v>CP V</v>
          </cell>
          <cell r="M141" t="str">
            <v>SUPER PLASTIFICANTE</v>
          </cell>
          <cell r="N141" t="str">
            <v>NEUTRALIZAÇÃO</v>
          </cell>
          <cell r="O141" t="str">
            <v>FORTANKS</v>
          </cell>
          <cell r="P141">
            <v>495</v>
          </cell>
          <cell r="Q141" t="str">
            <v>Gean</v>
          </cell>
          <cell r="R141">
            <v>44963</v>
          </cell>
          <cell r="S141">
            <v>0.58333333333333337</v>
          </cell>
          <cell r="T141">
            <v>0.57333333333333336</v>
          </cell>
          <cell r="U141" t="str">
            <v>X</v>
          </cell>
          <cell r="V141">
            <v>0.35416666666666669</v>
          </cell>
          <cell r="W141">
            <v>10.1</v>
          </cell>
          <cell r="X141">
            <v>10.62</v>
          </cell>
          <cell r="Y141">
            <v>0.4375</v>
          </cell>
          <cell r="Z141">
            <v>77.23</v>
          </cell>
          <cell r="AA141">
            <v>75.39</v>
          </cell>
          <cell r="AW141">
            <v>3</v>
          </cell>
          <cell r="AX141">
            <v>4</v>
          </cell>
          <cell r="AY141">
            <v>2</v>
          </cell>
          <cell r="AZ141">
            <v>2</v>
          </cell>
          <cell r="BB141">
            <v>44964</v>
          </cell>
          <cell r="BG141">
            <v>44963</v>
          </cell>
        </row>
        <row r="142">
          <cell r="A142" t="str">
            <v>543-A</v>
          </cell>
          <cell r="B142">
            <v>156</v>
          </cell>
          <cell r="C142" t="str">
            <v>PN-200/ PN-201/ PN-202/ PN-203/ PN-204/ PN-205/ PN-206/ PN-207/ PN-208/ PN-209</v>
          </cell>
          <cell r="D142">
            <v>8</v>
          </cell>
          <cell r="E142">
            <v>40</v>
          </cell>
          <cell r="F142">
            <v>10</v>
          </cell>
          <cell r="G142">
            <v>40</v>
          </cell>
          <cell r="H142">
            <v>0</v>
          </cell>
          <cell r="I142" t="str">
            <v>-</v>
          </cell>
          <cell r="J142" t="str">
            <v>660/670</v>
          </cell>
          <cell r="K142" t="str">
            <v xml:space="preserve">CPIII 40 RS </v>
          </cell>
          <cell r="L142" t="str">
            <v>CP V</v>
          </cell>
          <cell r="M142" t="str">
            <v>SUPER PLASTIFICANTE</v>
          </cell>
          <cell r="N142" t="str">
            <v>MUROS DE VEDAÇÃO - GRANDE VITÓRIA E BAIXO GUANDU</v>
          </cell>
          <cell r="O142" t="str">
            <v>FORTANKS</v>
          </cell>
          <cell r="P142">
            <v>495</v>
          </cell>
          <cell r="Q142" t="str">
            <v>Gean</v>
          </cell>
          <cell r="R142">
            <v>44963</v>
          </cell>
          <cell r="S142">
            <v>0.58333333333333337</v>
          </cell>
          <cell r="T142">
            <v>0.57333333333333336</v>
          </cell>
          <cell r="U142" t="str">
            <v>X</v>
          </cell>
          <cell r="V142">
            <v>0.35416666666666669</v>
          </cell>
          <cell r="W142">
            <v>10.1</v>
          </cell>
          <cell r="X142">
            <v>10.62</v>
          </cell>
          <cell r="Y142">
            <v>0.4375</v>
          </cell>
          <cell r="Z142">
            <v>77.23</v>
          </cell>
          <cell r="AA142">
            <v>75.39</v>
          </cell>
          <cell r="AH142" t="str">
            <v>X</v>
          </cell>
          <cell r="AI142" t="str">
            <v>X</v>
          </cell>
          <cell r="AJ142" t="str">
            <v>X</v>
          </cell>
          <cell r="AO142" t="str">
            <v>X</v>
          </cell>
          <cell r="AW142">
            <v>3</v>
          </cell>
          <cell r="AX142">
            <v>4</v>
          </cell>
          <cell r="AY142">
            <v>2</v>
          </cell>
          <cell r="AZ142">
            <v>2</v>
          </cell>
          <cell r="BA142" t="str">
            <v>FORTES ENGENHARIA</v>
          </cell>
          <cell r="BB142">
            <v>44964</v>
          </cell>
          <cell r="BG142">
            <v>44963</v>
          </cell>
        </row>
        <row r="143">
          <cell r="A143">
            <v>544</v>
          </cell>
          <cell r="B143">
            <v>158</v>
          </cell>
          <cell r="C143" t="str">
            <v>PN-210/ PN-211/ PN-212/ PN-213/ PN-214</v>
          </cell>
          <cell r="D143">
            <v>8</v>
          </cell>
          <cell r="E143">
            <v>40</v>
          </cell>
          <cell r="F143">
            <v>10</v>
          </cell>
          <cell r="G143">
            <v>40</v>
          </cell>
          <cell r="H143">
            <v>0</v>
          </cell>
          <cell r="I143" t="str">
            <v>-</v>
          </cell>
          <cell r="J143" t="str">
            <v>660/670</v>
          </cell>
          <cell r="K143" t="str">
            <v xml:space="preserve">CPIII 40 RS </v>
          </cell>
          <cell r="L143" t="str">
            <v>CP V</v>
          </cell>
          <cell r="M143" t="str">
            <v>SUPER PLASTIFICANTE</v>
          </cell>
          <cell r="N143" t="str">
            <v>MUROS DE VEDAÇÃO - GRANDE VITÓRIA E BAIXO GUANDU</v>
          </cell>
          <cell r="O143" t="str">
            <v>FORTANKS</v>
          </cell>
          <cell r="P143">
            <v>495</v>
          </cell>
          <cell r="Q143" t="str">
            <v>Gean</v>
          </cell>
          <cell r="R143">
            <v>44964</v>
          </cell>
          <cell r="S143">
            <v>0.5625</v>
          </cell>
          <cell r="T143">
            <v>0.55249999999999999</v>
          </cell>
          <cell r="U143" t="str">
            <v>X</v>
          </cell>
          <cell r="V143">
            <v>0.35416666666666669</v>
          </cell>
          <cell r="W143">
            <v>11.5</v>
          </cell>
          <cell r="X143">
            <v>12.1</v>
          </cell>
          <cell r="Y143">
            <v>0.43055555555555558</v>
          </cell>
          <cell r="Z143">
            <v>75.36</v>
          </cell>
          <cell r="AA143">
            <v>78.959999999999994</v>
          </cell>
          <cell r="AK143" t="str">
            <v>X</v>
          </cell>
          <cell r="AL143" t="str">
            <v>X</v>
          </cell>
          <cell r="AM143" t="str">
            <v>X</v>
          </cell>
          <cell r="AN143" t="str">
            <v>X</v>
          </cell>
          <cell r="AW143">
            <v>4</v>
          </cell>
          <cell r="AX143">
            <v>3</v>
          </cell>
          <cell r="AY143">
            <v>3</v>
          </cell>
          <cell r="AZ143">
            <v>3</v>
          </cell>
          <cell r="BA143" t="str">
            <v>FORTES ENGENHARIA</v>
          </cell>
          <cell r="BB143">
            <v>44965</v>
          </cell>
          <cell r="BG143">
            <v>44964</v>
          </cell>
        </row>
        <row r="144">
          <cell r="A144">
            <v>545</v>
          </cell>
          <cell r="B144">
            <v>159</v>
          </cell>
          <cell r="C144" t="str">
            <v>PN-72/ PN-84/ PN-71</v>
          </cell>
          <cell r="D144">
            <v>8.5</v>
          </cell>
          <cell r="E144">
            <v>40</v>
          </cell>
          <cell r="F144">
            <v>10</v>
          </cell>
          <cell r="G144">
            <v>40</v>
          </cell>
          <cell r="H144">
            <v>0</v>
          </cell>
          <cell r="I144" t="str">
            <v>-</v>
          </cell>
          <cell r="J144" t="str">
            <v>650/660</v>
          </cell>
          <cell r="K144" t="str">
            <v xml:space="preserve">CPIII 40 RS </v>
          </cell>
          <cell r="L144" t="str">
            <v>CP V</v>
          </cell>
          <cell r="M144" t="str">
            <v>SUPER PLASTIFICANTE</v>
          </cell>
          <cell r="N144" t="str">
            <v>NEUTRALIZAÇÃO</v>
          </cell>
          <cell r="O144" t="str">
            <v>FORTANKS</v>
          </cell>
          <cell r="P144">
            <v>495</v>
          </cell>
          <cell r="Q144" t="str">
            <v>Gean</v>
          </cell>
          <cell r="R144">
            <v>44965</v>
          </cell>
          <cell r="S144">
            <v>0.45833333333333331</v>
          </cell>
          <cell r="T144">
            <v>0.44833333333333331</v>
          </cell>
          <cell r="U144" t="str">
            <v>X</v>
          </cell>
          <cell r="V144">
            <v>0.35416666666666669</v>
          </cell>
          <cell r="W144">
            <v>14.81</v>
          </cell>
          <cell r="X144">
            <v>15.24</v>
          </cell>
          <cell r="Y144">
            <v>0.41666666666666669</v>
          </cell>
          <cell r="Z144">
            <v>86.89</v>
          </cell>
          <cell r="AA144">
            <v>85.98</v>
          </cell>
          <cell r="AW144">
            <v>2</v>
          </cell>
          <cell r="AX144">
            <v>2</v>
          </cell>
          <cell r="AY144">
            <v>1</v>
          </cell>
          <cell r="AZ144">
            <v>1</v>
          </cell>
          <cell r="BB144">
            <v>44966</v>
          </cell>
          <cell r="BG144">
            <v>44965</v>
          </cell>
        </row>
        <row r="145">
          <cell r="A145">
            <v>546</v>
          </cell>
          <cell r="B145">
            <v>160</v>
          </cell>
          <cell r="C145" t="str">
            <v>PN-215/ PN-216/ PN-217/ PN-218/ PN-219/ PN-220/ PN-221/ PN-222/ PN-223/ PN-224</v>
          </cell>
          <cell r="D145">
            <v>6.5</v>
          </cell>
          <cell r="E145">
            <v>40</v>
          </cell>
          <cell r="F145">
            <v>10</v>
          </cell>
          <cell r="G145">
            <v>40</v>
          </cell>
          <cell r="H145">
            <v>0</v>
          </cell>
          <cell r="I145" t="str">
            <v>-</v>
          </cell>
          <cell r="J145" t="str">
            <v>670/670</v>
          </cell>
          <cell r="K145" t="str">
            <v xml:space="preserve">CPIII 40 RS </v>
          </cell>
          <cell r="L145" t="str">
            <v>CP V</v>
          </cell>
          <cell r="M145" t="str">
            <v>SUPER PLASTIFICANTE</v>
          </cell>
          <cell r="N145" t="str">
            <v>MUROS DE VEDAÇÃO - GRANDE VITÓRIA E BAIXO GUANDU</v>
          </cell>
          <cell r="O145" t="str">
            <v>FORTANKS</v>
          </cell>
          <cell r="P145">
            <v>495</v>
          </cell>
          <cell r="Q145" t="str">
            <v>Gean</v>
          </cell>
          <cell r="R145">
            <v>44965</v>
          </cell>
          <cell r="S145">
            <v>0.56944444444444442</v>
          </cell>
          <cell r="T145">
            <v>0.55944444444444441</v>
          </cell>
          <cell r="U145" t="str">
            <v>X</v>
          </cell>
          <cell r="V145">
            <v>0.3576388888888889</v>
          </cell>
          <cell r="W145">
            <v>11.4</v>
          </cell>
          <cell r="X145">
            <v>11.59</v>
          </cell>
          <cell r="Y145">
            <v>0.41666666666666669</v>
          </cell>
          <cell r="Z145">
            <v>84.09</v>
          </cell>
          <cell r="AA145">
            <v>82.12</v>
          </cell>
          <cell r="AJ145" t="str">
            <v>X</v>
          </cell>
          <cell r="AO145" t="str">
            <v>X</v>
          </cell>
          <cell r="AP145" t="str">
            <v>X</v>
          </cell>
          <cell r="AQ145" t="str">
            <v>X</v>
          </cell>
          <cell r="AW145">
            <v>3</v>
          </cell>
          <cell r="AX145">
            <v>4</v>
          </cell>
          <cell r="AY145">
            <v>4</v>
          </cell>
          <cell r="AZ145">
            <v>4</v>
          </cell>
          <cell r="BA145" t="str">
            <v>FORTES ENGENHARIA</v>
          </cell>
          <cell r="BB145">
            <v>44966</v>
          </cell>
          <cell r="BG145">
            <v>44965</v>
          </cell>
        </row>
        <row r="146">
          <cell r="A146">
            <v>547</v>
          </cell>
          <cell r="B146">
            <v>161</v>
          </cell>
          <cell r="C146" t="str">
            <v>PN-76 / PN75</v>
          </cell>
          <cell r="D146">
            <v>6</v>
          </cell>
          <cell r="E146">
            <v>40</v>
          </cell>
          <cell r="F146">
            <v>10</v>
          </cell>
          <cell r="G146">
            <v>40</v>
          </cell>
          <cell r="H146">
            <v>0</v>
          </cell>
          <cell r="I146" t="str">
            <v>-</v>
          </cell>
          <cell r="J146" t="str">
            <v>650/660</v>
          </cell>
          <cell r="K146" t="str">
            <v xml:space="preserve">CPIII 40 RS </v>
          </cell>
          <cell r="L146" t="str">
            <v>CP V</v>
          </cell>
          <cell r="M146" t="str">
            <v>SUPER PLASTIFICANTE</v>
          </cell>
          <cell r="N146" t="str">
            <v>NEUTRALIZAÇÃO</v>
          </cell>
          <cell r="O146" t="str">
            <v>FORTANKS</v>
          </cell>
          <cell r="P146">
            <v>495</v>
          </cell>
          <cell r="Q146" t="str">
            <v>Gean</v>
          </cell>
          <cell r="R146">
            <v>44967</v>
          </cell>
          <cell r="S146">
            <v>0.45833333333333331</v>
          </cell>
          <cell r="T146">
            <v>0.44833333333333331</v>
          </cell>
          <cell r="U146" t="str">
            <v>X</v>
          </cell>
          <cell r="V146">
            <v>0.33333333333333331</v>
          </cell>
          <cell r="W146">
            <v>12.38</v>
          </cell>
          <cell r="X146">
            <v>13.47</v>
          </cell>
          <cell r="Y146">
            <v>0.41666666666666669</v>
          </cell>
          <cell r="Z146">
            <v>89.23</v>
          </cell>
          <cell r="AA146">
            <v>85.95</v>
          </cell>
          <cell r="AW146">
            <v>3</v>
          </cell>
          <cell r="AX146">
            <v>4</v>
          </cell>
          <cell r="AY146">
            <v>4</v>
          </cell>
          <cell r="AZ146">
            <v>4</v>
          </cell>
          <cell r="BB146">
            <v>44968</v>
          </cell>
          <cell r="BG146">
            <v>44967</v>
          </cell>
        </row>
        <row r="147">
          <cell r="A147">
            <v>548</v>
          </cell>
          <cell r="B147">
            <v>162</v>
          </cell>
          <cell r="C147" t="str">
            <v>PN-225/ PN-226/ PN-227/ PN-228/ PN-229</v>
          </cell>
          <cell r="D147">
            <v>3</v>
          </cell>
          <cell r="E147">
            <v>40</v>
          </cell>
          <cell r="F147">
            <v>10</v>
          </cell>
          <cell r="G147">
            <v>40</v>
          </cell>
          <cell r="H147">
            <v>0</v>
          </cell>
          <cell r="I147" t="str">
            <v>-</v>
          </cell>
          <cell r="J147" t="str">
            <v>650/650</v>
          </cell>
          <cell r="K147" t="str">
            <v xml:space="preserve">CPIII 40 RS </v>
          </cell>
          <cell r="L147" t="str">
            <v>CP V</v>
          </cell>
          <cell r="M147" t="str">
            <v>SUPER PLASTIFICANTE</v>
          </cell>
          <cell r="N147" t="str">
            <v>MUROS DE VEDAÇÃO - GRANDE VITÓRIA E BAIXO GUANDU</v>
          </cell>
          <cell r="O147" t="str">
            <v>FORTANKS</v>
          </cell>
          <cell r="P147">
            <v>495</v>
          </cell>
          <cell r="Q147" t="str">
            <v>Gean</v>
          </cell>
          <cell r="R147">
            <v>44967</v>
          </cell>
          <cell r="S147">
            <v>0.58333333333333337</v>
          </cell>
          <cell r="T147">
            <v>0.57333333333333336</v>
          </cell>
          <cell r="U147" t="str">
            <v>X</v>
          </cell>
          <cell r="V147">
            <v>0.35416666666666669</v>
          </cell>
          <cell r="W147">
            <v>10.46</v>
          </cell>
          <cell r="X147">
            <v>11.01</v>
          </cell>
          <cell r="Y147">
            <v>0.4375</v>
          </cell>
          <cell r="Z147">
            <v>79</v>
          </cell>
          <cell r="AA147">
            <v>77.22</v>
          </cell>
          <cell r="AK147" t="str">
            <v>X</v>
          </cell>
          <cell r="AN147" t="str">
            <v>X</v>
          </cell>
          <cell r="AP147" t="str">
            <v>X</v>
          </cell>
          <cell r="AQ147" t="str">
            <v>X</v>
          </cell>
          <cell r="AW147">
            <v>4</v>
          </cell>
          <cell r="AX147">
            <v>3</v>
          </cell>
          <cell r="AY147">
            <v>4</v>
          </cell>
          <cell r="AZ147">
            <v>4</v>
          </cell>
          <cell r="BA147" t="str">
            <v>FORTES ENGENHARIA</v>
          </cell>
          <cell r="BB147">
            <v>44968</v>
          </cell>
          <cell r="BG147">
            <v>44967</v>
          </cell>
        </row>
        <row r="148">
          <cell r="A148">
            <v>549</v>
          </cell>
          <cell r="B148">
            <v>163</v>
          </cell>
          <cell r="C148" t="str">
            <v>PN-230/ PN-231/ PN-232/ PN-233/ PN-234/ PN-235/ PN-236/ PN-237/ PN-238/ PN-239</v>
          </cell>
          <cell r="D148">
            <v>6</v>
          </cell>
          <cell r="E148">
            <v>40</v>
          </cell>
          <cell r="F148">
            <v>10</v>
          </cell>
          <cell r="G148">
            <v>40</v>
          </cell>
          <cell r="H148">
            <v>0</v>
          </cell>
          <cell r="I148" t="str">
            <v>-</v>
          </cell>
          <cell r="J148" t="str">
            <v>650/680</v>
          </cell>
          <cell r="K148" t="str">
            <v xml:space="preserve">CPIII 40 RS </v>
          </cell>
          <cell r="L148" t="str">
            <v>CP V</v>
          </cell>
          <cell r="M148" t="str">
            <v>SUPER PLASTIFICANTE</v>
          </cell>
          <cell r="N148" t="str">
            <v>MUROS DE VEDAÇÃO - GRANDE VITÓRIA E BAIXO GUANDU</v>
          </cell>
          <cell r="O148" t="str">
            <v>FORTANKS</v>
          </cell>
          <cell r="P148">
            <v>495</v>
          </cell>
          <cell r="Q148" t="str">
            <v>Gean</v>
          </cell>
          <cell r="R148">
            <v>44967</v>
          </cell>
          <cell r="S148">
            <v>0.625</v>
          </cell>
          <cell r="T148">
            <v>0.61499999999999999</v>
          </cell>
          <cell r="U148" t="str">
            <v>X</v>
          </cell>
          <cell r="V148">
            <v>0.3611111111111111</v>
          </cell>
          <cell r="W148">
            <v>10.25</v>
          </cell>
          <cell r="X148">
            <v>11.03</v>
          </cell>
          <cell r="Y148">
            <v>0.41666666666666669</v>
          </cell>
          <cell r="Z148">
            <v>86.05</v>
          </cell>
          <cell r="AA148">
            <v>85.34</v>
          </cell>
          <cell r="AJ148" t="str">
            <v>X</v>
          </cell>
          <cell r="AO148" t="str">
            <v>X</v>
          </cell>
          <cell r="AP148" t="str">
            <v>X</v>
          </cell>
          <cell r="AQ148" t="str">
            <v>X</v>
          </cell>
          <cell r="AW148">
            <v>3</v>
          </cell>
          <cell r="AX148">
            <v>4</v>
          </cell>
          <cell r="AY148">
            <v>4</v>
          </cell>
          <cell r="AZ148">
            <v>4</v>
          </cell>
          <cell r="BA148" t="str">
            <v>FORTES ENGENHARIA</v>
          </cell>
          <cell r="BB148">
            <v>44968</v>
          </cell>
          <cell r="BG148">
            <v>44967</v>
          </cell>
        </row>
        <row r="149">
          <cell r="A149">
            <v>550</v>
          </cell>
          <cell r="B149">
            <v>164</v>
          </cell>
          <cell r="C149" t="str">
            <v>PN-240/ PN-241/ PN-242/ PN-243/ PN-244/ PN-245/ PN-246/ PN-247</v>
          </cell>
          <cell r="D149">
            <v>4</v>
          </cell>
          <cell r="E149">
            <v>40</v>
          </cell>
          <cell r="F149">
            <v>10</v>
          </cell>
          <cell r="G149">
            <v>40</v>
          </cell>
          <cell r="H149">
            <v>0</v>
          </cell>
          <cell r="I149" t="str">
            <v>-</v>
          </cell>
          <cell r="J149" t="str">
            <v>660/670</v>
          </cell>
          <cell r="K149" t="str">
            <v xml:space="preserve">CPIII 40 RS </v>
          </cell>
          <cell r="L149" t="str">
            <v>CP V</v>
          </cell>
          <cell r="M149" t="str">
            <v>SUPER PLASTIFICANTE</v>
          </cell>
          <cell r="N149" t="str">
            <v>MUROS DE VEDAÇÃO - GRANDE VITÓRIA E BAIXO GUANDU</v>
          </cell>
          <cell r="O149" t="str">
            <v>FORTANKS</v>
          </cell>
          <cell r="P149">
            <v>495</v>
          </cell>
          <cell r="Q149" t="str">
            <v>Gean</v>
          </cell>
          <cell r="R149">
            <v>44970</v>
          </cell>
          <cell r="S149">
            <v>0.58333333333333337</v>
          </cell>
          <cell r="T149">
            <v>0.57333333333333336</v>
          </cell>
          <cell r="U149" t="str">
            <v>X</v>
          </cell>
          <cell r="V149">
            <v>0.35416666666666669</v>
          </cell>
          <cell r="W149">
            <v>16.88</v>
          </cell>
          <cell r="X149">
            <v>17.190000000000001</v>
          </cell>
          <cell r="Y149">
            <v>0.42708333333333331</v>
          </cell>
          <cell r="Z149">
            <v>81.489999999999995</v>
          </cell>
          <cell r="AA149">
            <v>82</v>
          </cell>
          <cell r="AJ149" t="str">
            <v>X</v>
          </cell>
          <cell r="AO149" t="str">
            <v>X</v>
          </cell>
          <cell r="AW149">
            <v>3</v>
          </cell>
          <cell r="AX149">
            <v>4</v>
          </cell>
          <cell r="AY149">
            <v>0</v>
          </cell>
          <cell r="AZ149">
            <v>0</v>
          </cell>
          <cell r="BA149" t="str">
            <v>FORTES ENGENHARIA</v>
          </cell>
          <cell r="BB149">
            <v>44971</v>
          </cell>
          <cell r="BG149">
            <v>44970</v>
          </cell>
        </row>
        <row r="150">
          <cell r="A150">
            <v>551</v>
          </cell>
          <cell r="B150">
            <v>165</v>
          </cell>
          <cell r="C150" t="str">
            <v>PN-248/ PN-249/ PN-250/ PN-251/ PN-252/ PN-253/ PN-254</v>
          </cell>
          <cell r="D150">
            <v>4</v>
          </cell>
          <cell r="E150">
            <v>40</v>
          </cell>
          <cell r="F150">
            <v>10</v>
          </cell>
          <cell r="G150">
            <v>40</v>
          </cell>
          <cell r="H150">
            <v>0</v>
          </cell>
          <cell r="I150" t="str">
            <v>-</v>
          </cell>
          <cell r="J150" t="str">
            <v>670/670</v>
          </cell>
          <cell r="K150" t="str">
            <v xml:space="preserve">CPIII 40 RS </v>
          </cell>
          <cell r="L150" t="str">
            <v>CP V</v>
          </cell>
          <cell r="M150" t="str">
            <v>SUPER PLASTIFICANTE</v>
          </cell>
          <cell r="N150" t="str">
            <v>MUROS DE VEDAÇÃO - GRANDE VITÓRIA E BAIXO GUANDU</v>
          </cell>
          <cell r="O150" t="str">
            <v>FORTANKS</v>
          </cell>
          <cell r="P150">
            <v>495</v>
          </cell>
          <cell r="Q150" t="str">
            <v>Gean</v>
          </cell>
          <cell r="R150">
            <v>44970</v>
          </cell>
          <cell r="S150">
            <v>0.63194444444444442</v>
          </cell>
          <cell r="T150">
            <v>0.62194444444444441</v>
          </cell>
          <cell r="U150" t="str">
            <v>X</v>
          </cell>
          <cell r="V150">
            <v>0.3576388888888889</v>
          </cell>
          <cell r="W150">
            <v>13</v>
          </cell>
          <cell r="X150">
            <v>13.02</v>
          </cell>
          <cell r="Y150">
            <v>0.43055555555555558</v>
          </cell>
          <cell r="Z150">
            <v>94.3</v>
          </cell>
          <cell r="AA150">
            <v>92.99</v>
          </cell>
          <cell r="AJ150" t="str">
            <v>X</v>
          </cell>
          <cell r="AK150" t="str">
            <v>X</v>
          </cell>
          <cell r="AP150" t="str">
            <v>X</v>
          </cell>
          <cell r="AQ150" t="str">
            <v>X</v>
          </cell>
          <cell r="AW150">
            <v>3</v>
          </cell>
          <cell r="AX150">
            <v>3</v>
          </cell>
          <cell r="AY150">
            <v>4</v>
          </cell>
          <cell r="AZ150">
            <v>4</v>
          </cell>
          <cell r="BA150" t="str">
            <v>FORTES ENGENHARIA</v>
          </cell>
          <cell r="BB150">
            <v>44971</v>
          </cell>
          <cell r="BG150">
            <v>44970</v>
          </cell>
        </row>
        <row r="151">
          <cell r="A151">
            <v>552</v>
          </cell>
          <cell r="B151">
            <v>166</v>
          </cell>
          <cell r="C151" t="str">
            <v>PN-255 /PN-256/PN-257/ PN- 258/ PN-259/       PN-260/ PN-261</v>
          </cell>
          <cell r="D151">
            <v>4</v>
          </cell>
          <cell r="E151">
            <v>40</v>
          </cell>
          <cell r="F151">
            <v>10</v>
          </cell>
          <cell r="G151">
            <v>40</v>
          </cell>
          <cell r="H151">
            <v>0</v>
          </cell>
          <cell r="I151" t="str">
            <v>-</v>
          </cell>
          <cell r="J151" t="str">
            <v>650/650</v>
          </cell>
          <cell r="K151" t="str">
            <v xml:space="preserve">CPIII 40 RS </v>
          </cell>
          <cell r="L151" t="str">
            <v>CP V</v>
          </cell>
          <cell r="M151" t="str">
            <v>SUPER PLASTIFICANTE</v>
          </cell>
          <cell r="N151" t="str">
            <v>MUROS DE VEDAÇÃO - GRANDE VITÓRIA E BAIXO GUANDU</v>
          </cell>
          <cell r="O151" t="str">
            <v>FORTANKS</v>
          </cell>
          <cell r="P151">
            <v>495</v>
          </cell>
          <cell r="Q151" t="str">
            <v>Gean</v>
          </cell>
          <cell r="R151">
            <v>44972</v>
          </cell>
          <cell r="S151">
            <v>0.58333333333333337</v>
          </cell>
          <cell r="T151">
            <v>0.57333333333333336</v>
          </cell>
          <cell r="U151" t="str">
            <v>X</v>
          </cell>
          <cell r="V151">
            <v>0.35416666666666669</v>
          </cell>
          <cell r="W151">
            <v>18.930638999999999</v>
          </cell>
          <cell r="X151">
            <v>19.33446</v>
          </cell>
          <cell r="Y151">
            <v>0.43055555555555558</v>
          </cell>
          <cell r="Z151">
            <v>70.400000000000006</v>
          </cell>
          <cell r="AA151">
            <v>71.260000000000005</v>
          </cell>
          <cell r="AJ151" t="str">
            <v>X</v>
          </cell>
          <cell r="AK151" t="str">
            <v>X</v>
          </cell>
          <cell r="AL151" t="str">
            <v>X</v>
          </cell>
          <cell r="AM151" t="str">
            <v>X</v>
          </cell>
          <cell r="AW151">
            <v>3</v>
          </cell>
          <cell r="AX151">
            <v>3</v>
          </cell>
          <cell r="AY151">
            <v>3</v>
          </cell>
          <cell r="AZ151">
            <v>3</v>
          </cell>
          <cell r="BA151" t="str">
            <v>FORTES ENGENHARIA</v>
          </cell>
          <cell r="BB151">
            <v>44973</v>
          </cell>
          <cell r="BG151">
            <v>44972</v>
          </cell>
        </row>
        <row r="152">
          <cell r="A152">
            <v>553</v>
          </cell>
          <cell r="B152">
            <v>167</v>
          </cell>
          <cell r="C152" t="str">
            <v>PN-262/PN-263/PN-264/PN-265/PN-266/             PN-267/PN-268/PN-269</v>
          </cell>
          <cell r="D152">
            <v>4</v>
          </cell>
          <cell r="E152">
            <v>40</v>
          </cell>
          <cell r="F152">
            <v>10</v>
          </cell>
          <cell r="G152">
            <v>40</v>
          </cell>
          <cell r="H152">
            <v>0</v>
          </cell>
          <cell r="I152" t="str">
            <v>-</v>
          </cell>
          <cell r="J152" t="str">
            <v>660/670</v>
          </cell>
          <cell r="K152" t="str">
            <v xml:space="preserve">CPIII 40 RS </v>
          </cell>
          <cell r="L152" t="str">
            <v>CP V</v>
          </cell>
          <cell r="M152" t="str">
            <v>SUPER PLASTIFICANTE</v>
          </cell>
          <cell r="N152" t="str">
            <v>MUROS DE VEDAÇÃO - GRANDE VITÓRIA E BAIXO GUANDU</v>
          </cell>
          <cell r="O152" t="str">
            <v>FORTANKS</v>
          </cell>
          <cell r="P152">
            <v>495</v>
          </cell>
          <cell r="Q152" t="str">
            <v>Gean</v>
          </cell>
          <cell r="R152">
            <v>44972</v>
          </cell>
          <cell r="S152">
            <v>0.65277777777777779</v>
          </cell>
          <cell r="T152">
            <v>0.64277777777777778</v>
          </cell>
          <cell r="U152" t="str">
            <v>X</v>
          </cell>
          <cell r="V152">
            <v>0.375</v>
          </cell>
          <cell r="W152">
            <v>30.17</v>
          </cell>
          <cell r="X152">
            <v>29.13</v>
          </cell>
          <cell r="Y152">
            <v>0.41666666666666669</v>
          </cell>
          <cell r="Z152">
            <v>82.26</v>
          </cell>
          <cell r="AA152">
            <v>83.59</v>
          </cell>
          <cell r="AD152" t="str">
            <v>X</v>
          </cell>
          <cell r="AE152" t="str">
            <v>X</v>
          </cell>
          <cell r="AK152" t="str">
            <v>X</v>
          </cell>
          <cell r="AN152" t="str">
            <v>X</v>
          </cell>
          <cell r="AW152">
            <v>4</v>
          </cell>
          <cell r="AX152">
            <v>3</v>
          </cell>
          <cell r="AY152">
            <v>1</v>
          </cell>
          <cell r="AZ152">
            <v>1</v>
          </cell>
          <cell r="BA152" t="str">
            <v>FORTES ENGENHARIA</v>
          </cell>
          <cell r="BB152">
            <v>44973</v>
          </cell>
          <cell r="BG152">
            <v>44972</v>
          </cell>
        </row>
        <row r="153">
          <cell r="A153">
            <v>554</v>
          </cell>
          <cell r="B153">
            <v>168</v>
          </cell>
          <cell r="C153" t="str">
            <v>PN-66</v>
          </cell>
          <cell r="D153">
            <v>7.5</v>
          </cell>
          <cell r="E153">
            <v>40</v>
          </cell>
          <cell r="F153">
            <v>10</v>
          </cell>
          <cell r="G153">
            <v>40</v>
          </cell>
          <cell r="H153">
            <v>0</v>
          </cell>
          <cell r="I153" t="str">
            <v>-</v>
          </cell>
          <cell r="J153" t="str">
            <v>650/650</v>
          </cell>
          <cell r="K153" t="str">
            <v xml:space="preserve">CPIII 40 RS </v>
          </cell>
          <cell r="L153" t="str">
            <v>CP V</v>
          </cell>
          <cell r="M153" t="str">
            <v>SUPER PLASTIFICANTE</v>
          </cell>
          <cell r="N153" t="str">
            <v>NEUTRALIZAÇÃO</v>
          </cell>
          <cell r="O153" t="str">
            <v>FORTANKS</v>
          </cell>
          <cell r="P153">
            <v>495</v>
          </cell>
          <cell r="Q153" t="str">
            <v>Gean</v>
          </cell>
          <cell r="R153">
            <v>44974</v>
          </cell>
          <cell r="S153">
            <v>0.58888888888888891</v>
          </cell>
          <cell r="T153">
            <v>0.5788888888888889</v>
          </cell>
          <cell r="U153" t="str">
            <v>X</v>
          </cell>
          <cell r="V153">
            <v>0.35416666666666669</v>
          </cell>
          <cell r="W153">
            <v>14.96</v>
          </cell>
          <cell r="X153">
            <v>15.16</v>
          </cell>
          <cell r="Y153">
            <v>0.43055555555555558</v>
          </cell>
          <cell r="Z153">
            <v>85.28</v>
          </cell>
          <cell r="AA153">
            <v>85.98</v>
          </cell>
          <cell r="AW153">
            <v>3</v>
          </cell>
          <cell r="AX153">
            <v>4</v>
          </cell>
          <cell r="AY153">
            <v>4</v>
          </cell>
          <cell r="AZ153">
            <v>4</v>
          </cell>
          <cell r="BB153">
            <v>44975</v>
          </cell>
          <cell r="BG153">
            <v>44974</v>
          </cell>
        </row>
        <row r="154">
          <cell r="A154" t="str">
            <v>554-A</v>
          </cell>
          <cell r="B154">
            <v>168</v>
          </cell>
          <cell r="C154" t="str">
            <v xml:space="preserve">PN-270/PN-271/PN-272/PN-273/PN-274/PN-275/PN-276/PN-277 </v>
          </cell>
          <cell r="D154">
            <v>7.5</v>
          </cell>
          <cell r="E154">
            <v>40</v>
          </cell>
          <cell r="F154">
            <v>10</v>
          </cell>
          <cell r="G154">
            <v>40</v>
          </cell>
          <cell r="H154">
            <v>0</v>
          </cell>
          <cell r="I154" t="str">
            <v>-</v>
          </cell>
          <cell r="J154" t="str">
            <v>650/650</v>
          </cell>
          <cell r="K154" t="str">
            <v xml:space="preserve">CPIII 40 RS </v>
          </cell>
          <cell r="L154" t="str">
            <v>CP V</v>
          </cell>
          <cell r="M154" t="str">
            <v>SUPER PLASTIFICANTE</v>
          </cell>
          <cell r="N154" t="str">
            <v>MUROS DE VEDAÇÃO - GRANDE VITÓRIA E BAIXO GUANDU</v>
          </cell>
          <cell r="O154" t="str">
            <v>FORTANKS</v>
          </cell>
          <cell r="P154">
            <v>495</v>
          </cell>
          <cell r="Q154" t="str">
            <v>Gean</v>
          </cell>
          <cell r="R154">
            <v>44974</v>
          </cell>
          <cell r="S154">
            <v>0.58888888888888891</v>
          </cell>
          <cell r="T154">
            <v>0.5788888888888889</v>
          </cell>
          <cell r="U154" t="str">
            <v>X</v>
          </cell>
          <cell r="V154">
            <v>0.35416666666666669</v>
          </cell>
          <cell r="W154">
            <v>14.96</v>
          </cell>
          <cell r="X154">
            <v>15.16</v>
          </cell>
          <cell r="Y154">
            <v>0.43055555555555558</v>
          </cell>
          <cell r="Z154">
            <v>85.28</v>
          </cell>
          <cell r="AA154">
            <v>85.98</v>
          </cell>
          <cell r="AJ154" t="str">
            <v>X</v>
          </cell>
          <cell r="AK154" t="str">
            <v>X</v>
          </cell>
          <cell r="AP154" t="str">
            <v>X</v>
          </cell>
          <cell r="AQ154" t="str">
            <v>X</v>
          </cell>
          <cell r="AW154">
            <v>3</v>
          </cell>
          <cell r="AX154">
            <v>4</v>
          </cell>
          <cell r="AY154">
            <v>4</v>
          </cell>
          <cell r="AZ154">
            <v>4</v>
          </cell>
          <cell r="BA154" t="str">
            <v>FORTES ENGENHARIA</v>
          </cell>
          <cell r="BB154">
            <v>44975</v>
          </cell>
          <cell r="BG154">
            <v>44974</v>
          </cell>
        </row>
        <row r="155">
          <cell r="A155">
            <v>555</v>
          </cell>
          <cell r="B155">
            <v>169</v>
          </cell>
          <cell r="C155" t="str">
            <v>PN-278/PN-279/PN-280/PN-281/PN-282/         PN-283/PN-284</v>
          </cell>
          <cell r="D155">
            <v>4</v>
          </cell>
          <cell r="E155">
            <v>40</v>
          </cell>
          <cell r="F155">
            <v>10</v>
          </cell>
          <cell r="G155">
            <v>40</v>
          </cell>
          <cell r="H155">
            <v>0</v>
          </cell>
          <cell r="I155" t="str">
            <v>-</v>
          </cell>
          <cell r="J155" t="str">
            <v>660/670</v>
          </cell>
          <cell r="K155" t="str">
            <v xml:space="preserve">CPIII 40 RS </v>
          </cell>
          <cell r="L155" t="str">
            <v>CP V</v>
          </cell>
          <cell r="M155" t="str">
            <v>SUPER PLASTIFICANTE</v>
          </cell>
          <cell r="N155" t="str">
            <v>MUROS DE VEDAÇÃO - GRANDE VITÓRIA E BAIXO GUANDU</v>
          </cell>
          <cell r="O155" t="str">
            <v>FORTANKS</v>
          </cell>
          <cell r="P155">
            <v>495</v>
          </cell>
          <cell r="Q155" t="str">
            <v>Gean</v>
          </cell>
          <cell r="R155">
            <v>44974</v>
          </cell>
          <cell r="S155">
            <v>0.66319444444444442</v>
          </cell>
          <cell r="T155">
            <v>0.65319444444444441</v>
          </cell>
          <cell r="U155" t="str">
            <v>X</v>
          </cell>
          <cell r="V155">
            <v>0.54166666666666663</v>
          </cell>
          <cell r="W155">
            <v>13.75</v>
          </cell>
          <cell r="X155">
            <v>14.5</v>
          </cell>
          <cell r="Y155">
            <v>0.42708333333333331</v>
          </cell>
          <cell r="Z155">
            <v>77.88</v>
          </cell>
          <cell r="AA155">
            <v>79.55</v>
          </cell>
          <cell r="AD155" t="str">
            <v>X</v>
          </cell>
          <cell r="AE155" t="str">
            <v>X</v>
          </cell>
          <cell r="AK155" t="str">
            <v>X</v>
          </cell>
          <cell r="AN155" t="str">
            <v>X</v>
          </cell>
          <cell r="AW155">
            <v>4</v>
          </cell>
          <cell r="AX155">
            <v>3</v>
          </cell>
          <cell r="AY155">
            <v>1</v>
          </cell>
          <cell r="AZ155">
            <v>1</v>
          </cell>
          <cell r="BA155" t="str">
            <v>FORTES ENGENHARIA</v>
          </cell>
          <cell r="BB155">
            <v>44975</v>
          </cell>
          <cell r="BG155">
            <v>44974</v>
          </cell>
        </row>
        <row r="156">
          <cell r="A156">
            <v>556</v>
          </cell>
          <cell r="B156">
            <v>170</v>
          </cell>
          <cell r="C156" t="str">
            <v>PN-285/PN-286/PN-287/PN-288/PN-289/                    PN-290/PN-291/PN-292</v>
          </cell>
          <cell r="D156">
            <v>4</v>
          </cell>
          <cell r="E156">
            <v>40</v>
          </cell>
          <cell r="F156">
            <v>10</v>
          </cell>
          <cell r="G156">
            <v>40</v>
          </cell>
          <cell r="H156">
            <v>0</v>
          </cell>
          <cell r="I156" t="str">
            <v>-</v>
          </cell>
          <cell r="J156" t="str">
            <v>650/650</v>
          </cell>
          <cell r="K156" t="str">
            <v xml:space="preserve">CPIII 40 RS </v>
          </cell>
          <cell r="L156" t="str">
            <v>CP V</v>
          </cell>
          <cell r="M156" t="str">
            <v>SUPER PLASTIFICANTE</v>
          </cell>
          <cell r="N156" t="str">
            <v>MUROS DE VEDAÇÃO - GRANDE VITÓRIA E BAIXO GUANDU</v>
          </cell>
          <cell r="O156" t="str">
            <v>FORTANKS</v>
          </cell>
          <cell r="P156">
            <v>495</v>
          </cell>
          <cell r="Q156" t="str">
            <v>Gean</v>
          </cell>
          <cell r="R156">
            <v>44977</v>
          </cell>
          <cell r="S156">
            <v>0.67708333333333337</v>
          </cell>
          <cell r="T156">
            <v>0.66708333333333336</v>
          </cell>
          <cell r="U156" t="str">
            <v>X</v>
          </cell>
          <cell r="V156">
            <v>0.35416666666666669</v>
          </cell>
          <cell r="W156">
            <v>10.51</v>
          </cell>
          <cell r="X156">
            <v>11.02</v>
          </cell>
          <cell r="Y156">
            <v>0.43263888888888885</v>
          </cell>
          <cell r="Z156">
            <v>83.2</v>
          </cell>
          <cell r="AA156">
            <v>83.49</v>
          </cell>
          <cell r="AH156" t="str">
            <v>X</v>
          </cell>
          <cell r="AM156" t="str">
            <v>X</v>
          </cell>
          <cell r="AN156" t="str">
            <v>X</v>
          </cell>
          <cell r="AO156" t="str">
            <v>X</v>
          </cell>
          <cell r="AW156">
            <v>4</v>
          </cell>
          <cell r="AX156">
            <v>4</v>
          </cell>
          <cell r="AY156">
            <v>2</v>
          </cell>
          <cell r="AZ156">
            <v>3</v>
          </cell>
          <cell r="BA156" t="str">
            <v>FORTES ENGENHARIA</v>
          </cell>
          <cell r="BB156">
            <v>44978</v>
          </cell>
          <cell r="BG156">
            <v>44977</v>
          </cell>
        </row>
        <row r="157">
          <cell r="A157">
            <v>557</v>
          </cell>
          <cell r="B157">
            <v>171</v>
          </cell>
          <cell r="C157" t="str">
            <v>PCI-40</v>
          </cell>
          <cell r="D157">
            <v>4.5</v>
          </cell>
          <cell r="E157">
            <v>40</v>
          </cell>
          <cell r="F157">
            <v>10</v>
          </cell>
          <cell r="G157">
            <v>40</v>
          </cell>
          <cell r="H157">
            <v>0</v>
          </cell>
          <cell r="I157" t="str">
            <v>-</v>
          </cell>
          <cell r="J157" t="str">
            <v>660/660</v>
          </cell>
          <cell r="K157" t="str">
            <v xml:space="preserve">CPIII 40 RS </v>
          </cell>
          <cell r="L157" t="str">
            <v>CP V</v>
          </cell>
          <cell r="M157" t="str">
            <v>SUPER PLASTIFICANTE</v>
          </cell>
          <cell r="N157" t="str">
            <v>NEUTRALIZAÇÃO</v>
          </cell>
          <cell r="O157" t="str">
            <v>FORTANKS</v>
          </cell>
          <cell r="P157">
            <v>495</v>
          </cell>
          <cell r="Q157" t="str">
            <v>Gean</v>
          </cell>
          <cell r="R157">
            <v>44979</v>
          </cell>
          <cell r="S157">
            <v>0.65972222222222221</v>
          </cell>
          <cell r="T157">
            <v>0.6497222222222222</v>
          </cell>
          <cell r="U157" t="str">
            <v>X</v>
          </cell>
          <cell r="V157">
            <v>0.35416666666666669</v>
          </cell>
          <cell r="W157">
            <v>17.41</v>
          </cell>
          <cell r="X157">
            <v>19.309999999999999</v>
          </cell>
          <cell r="Y157">
            <v>0.43055555555555558</v>
          </cell>
          <cell r="Z157">
            <v>78.319999999999993</v>
          </cell>
          <cell r="AA157">
            <v>78.010000000000005</v>
          </cell>
          <cell r="AC157" t="str">
            <v xml:space="preserve">           </v>
          </cell>
          <cell r="AW157">
            <v>4</v>
          </cell>
          <cell r="AX157">
            <v>4</v>
          </cell>
          <cell r="AY157">
            <v>3</v>
          </cell>
          <cell r="AZ157">
            <v>3</v>
          </cell>
          <cell r="BB157">
            <v>44980</v>
          </cell>
          <cell r="BG157">
            <v>44979</v>
          </cell>
        </row>
        <row r="158">
          <cell r="A158" t="str">
            <v>557-A</v>
          </cell>
          <cell r="B158">
            <v>172</v>
          </cell>
          <cell r="C158" t="str">
            <v>PCI-01</v>
          </cell>
          <cell r="D158">
            <v>4</v>
          </cell>
          <cell r="E158">
            <v>40</v>
          </cell>
          <cell r="F158">
            <v>10</v>
          </cell>
          <cell r="G158">
            <v>40</v>
          </cell>
          <cell r="H158">
            <v>0</v>
          </cell>
          <cell r="I158" t="str">
            <v>-</v>
          </cell>
          <cell r="J158" t="str">
            <v>650/660</v>
          </cell>
          <cell r="K158" t="str">
            <v xml:space="preserve">CPIII 40 RS </v>
          </cell>
          <cell r="L158" t="str">
            <v>CP V</v>
          </cell>
          <cell r="M158" t="str">
            <v>SUPER PLASTIFICANTE</v>
          </cell>
          <cell r="N158" t="str">
            <v>NEUTRALIZAÇÃO</v>
          </cell>
          <cell r="O158" t="str">
            <v>FORTANKS</v>
          </cell>
          <cell r="P158">
            <v>495</v>
          </cell>
          <cell r="Q158" t="str">
            <v>Gean</v>
          </cell>
          <cell r="R158">
            <v>44981</v>
          </cell>
          <cell r="S158">
            <v>0.66666666666666663</v>
          </cell>
          <cell r="T158">
            <v>0.65666666666666662</v>
          </cell>
          <cell r="U158" t="str">
            <v>X</v>
          </cell>
          <cell r="V158">
            <v>0.3611111111111111</v>
          </cell>
          <cell r="W158">
            <v>19.18</v>
          </cell>
          <cell r="X158">
            <v>19.920000000000002</v>
          </cell>
          <cell r="Y158">
            <v>0.41666666666666669</v>
          </cell>
          <cell r="Z158">
            <v>85.71</v>
          </cell>
          <cell r="AA158">
            <v>87.16</v>
          </cell>
          <cell r="AW158">
            <v>3</v>
          </cell>
          <cell r="AX158">
            <v>3</v>
          </cell>
          <cell r="AY158">
            <v>1</v>
          </cell>
          <cell r="AZ158">
            <v>1</v>
          </cell>
          <cell r="BB158">
            <v>44982</v>
          </cell>
          <cell r="BG158">
            <v>44981</v>
          </cell>
        </row>
        <row r="159">
          <cell r="A159">
            <v>558</v>
          </cell>
          <cell r="B159">
            <v>173</v>
          </cell>
          <cell r="C159" t="str">
            <v>PCI-41</v>
          </cell>
          <cell r="D159">
            <v>4</v>
          </cell>
          <cell r="E159">
            <v>40</v>
          </cell>
          <cell r="F159">
            <v>10</v>
          </cell>
          <cell r="G159">
            <v>40</v>
          </cell>
          <cell r="H159">
            <v>0</v>
          </cell>
          <cell r="I159" t="str">
            <v>-</v>
          </cell>
          <cell r="J159" t="str">
            <v>660/670</v>
          </cell>
          <cell r="K159" t="str">
            <v xml:space="preserve">CPIII 40 RS </v>
          </cell>
          <cell r="L159" t="str">
            <v>CP V</v>
          </cell>
          <cell r="M159" t="str">
            <v>SUPER PLASTIFICANTE</v>
          </cell>
          <cell r="N159" t="str">
            <v>NEUTRALIZAÇÃO</v>
          </cell>
          <cell r="O159" t="str">
            <v>FORTANKS</v>
          </cell>
          <cell r="P159">
            <v>495</v>
          </cell>
          <cell r="Q159" t="str">
            <v>Gean</v>
          </cell>
          <cell r="R159">
            <v>44982</v>
          </cell>
          <cell r="S159">
            <v>0.61805555555555558</v>
          </cell>
          <cell r="T159">
            <v>0.60805555555555557</v>
          </cell>
          <cell r="U159" t="str">
            <v>X</v>
          </cell>
          <cell r="V159">
            <v>0.33333333333333331</v>
          </cell>
          <cell r="W159">
            <v>33.53</v>
          </cell>
          <cell r="X159">
            <v>35.06</v>
          </cell>
          <cell r="Y159">
            <v>0.41666666666666669</v>
          </cell>
          <cell r="Z159">
            <v>87.69</v>
          </cell>
          <cell r="AA159">
            <v>88.71</v>
          </cell>
          <cell r="AW159">
            <v>3</v>
          </cell>
          <cell r="AX159">
            <v>3</v>
          </cell>
          <cell r="AY159">
            <v>4</v>
          </cell>
          <cell r="AZ159">
            <v>4</v>
          </cell>
          <cell r="BB159">
            <v>44983</v>
          </cell>
          <cell r="BG159">
            <v>44982</v>
          </cell>
        </row>
        <row r="160">
          <cell r="A160">
            <v>559</v>
          </cell>
          <cell r="B160">
            <v>174</v>
          </cell>
          <cell r="C160" t="str">
            <v>PCI-108 / PEI (T) - 23</v>
          </cell>
          <cell r="D160">
            <v>6</v>
          </cell>
          <cell r="E160">
            <v>40</v>
          </cell>
          <cell r="F160">
            <v>10</v>
          </cell>
          <cell r="G160">
            <v>40</v>
          </cell>
          <cell r="H160">
            <v>0</v>
          </cell>
          <cell r="I160" t="str">
            <v>-</v>
          </cell>
          <cell r="J160" t="str">
            <v>650/650</v>
          </cell>
          <cell r="K160" t="str">
            <v xml:space="preserve">CPIII 40 RS </v>
          </cell>
          <cell r="L160" t="str">
            <v>CP V</v>
          </cell>
          <cell r="M160" t="str">
            <v>SUPER PLASTIFICANTE</v>
          </cell>
          <cell r="N160" t="str">
            <v>NEUTRALIZAÇÃO</v>
          </cell>
          <cell r="O160" t="str">
            <v>FORTANKS</v>
          </cell>
          <cell r="P160">
            <v>495</v>
          </cell>
          <cell r="Q160" t="str">
            <v>Gean</v>
          </cell>
          <cell r="R160">
            <v>44985</v>
          </cell>
          <cell r="S160">
            <v>0.55347222222222225</v>
          </cell>
          <cell r="T160">
            <v>0.54347222222222225</v>
          </cell>
          <cell r="U160" t="str">
            <v>X</v>
          </cell>
          <cell r="V160">
            <v>0.33333333333333331</v>
          </cell>
          <cell r="W160">
            <v>13.56</v>
          </cell>
          <cell r="X160">
            <v>13.92</v>
          </cell>
          <cell r="Y160">
            <v>0.41666666666666669</v>
          </cell>
          <cell r="Z160">
            <v>71.040000000000006</v>
          </cell>
          <cell r="AA160">
            <v>63.51</v>
          </cell>
          <cell r="AW160">
            <v>4</v>
          </cell>
          <cell r="AX160">
            <v>4</v>
          </cell>
          <cell r="AY160">
            <v>4</v>
          </cell>
          <cell r="AZ160">
            <v>4</v>
          </cell>
          <cell r="BB160">
            <v>44986</v>
          </cell>
          <cell r="BG160">
            <v>44985</v>
          </cell>
        </row>
        <row r="161">
          <cell r="A161">
            <v>560</v>
          </cell>
          <cell r="B161">
            <v>175</v>
          </cell>
          <cell r="C161" t="str">
            <v>PC-14 / PE-26</v>
          </cell>
          <cell r="D161">
            <v>7</v>
          </cell>
          <cell r="E161">
            <v>40</v>
          </cell>
          <cell r="F161">
            <v>10</v>
          </cell>
          <cell r="G161">
            <v>40</v>
          </cell>
          <cell r="H161">
            <v>0</v>
          </cell>
          <cell r="I161" t="str">
            <v>-</v>
          </cell>
          <cell r="J161" t="str">
            <v>670/660</v>
          </cell>
          <cell r="K161" t="str">
            <v xml:space="preserve">CPIII 40 RS </v>
          </cell>
          <cell r="L161" t="str">
            <v>CP V</v>
          </cell>
          <cell r="M161" t="str">
            <v>SUPER PLASTIFICANTE</v>
          </cell>
          <cell r="N161" t="str">
            <v>NEUTRALIZAÇÃO</v>
          </cell>
          <cell r="O161" t="str">
            <v>FORTANKS</v>
          </cell>
          <cell r="P161">
            <v>495</v>
          </cell>
          <cell r="Q161" t="str">
            <v>Gean</v>
          </cell>
          <cell r="R161">
            <v>44986</v>
          </cell>
          <cell r="S161">
            <v>0.65625</v>
          </cell>
          <cell r="T161">
            <v>0.64624999999999999</v>
          </cell>
          <cell r="U161" t="str">
            <v>X</v>
          </cell>
          <cell r="V161">
            <v>0.54166666666666663</v>
          </cell>
          <cell r="W161">
            <v>14.06</v>
          </cell>
          <cell r="X161">
            <v>15.46</v>
          </cell>
          <cell r="Y161">
            <v>0.41666666666666669</v>
          </cell>
          <cell r="Z161">
            <v>71.23</v>
          </cell>
          <cell r="AA161">
            <v>72.930000000000007</v>
          </cell>
          <cell r="AW161">
            <v>4</v>
          </cell>
          <cell r="AX161">
            <v>4</v>
          </cell>
          <cell r="AY161">
            <v>4</v>
          </cell>
          <cell r="AZ161">
            <v>4</v>
          </cell>
          <cell r="BB161">
            <v>44987</v>
          </cell>
          <cell r="BG161">
            <v>44986</v>
          </cell>
        </row>
        <row r="162">
          <cell r="A162">
            <v>561</v>
          </cell>
          <cell r="B162">
            <v>176</v>
          </cell>
          <cell r="C162" t="str">
            <v>PCI-30</v>
          </cell>
          <cell r="D162">
            <v>3.5</v>
          </cell>
          <cell r="E162">
            <v>40</v>
          </cell>
          <cell r="F162">
            <v>10</v>
          </cell>
          <cell r="G162">
            <v>40</v>
          </cell>
          <cell r="H162">
            <v>0</v>
          </cell>
          <cell r="I162" t="str">
            <v>-</v>
          </cell>
          <cell r="J162" t="str">
            <v>650/650</v>
          </cell>
          <cell r="K162" t="str">
            <v xml:space="preserve">CPIII 40 RS </v>
          </cell>
          <cell r="L162" t="str">
            <v>CP V</v>
          </cell>
          <cell r="M162" t="str">
            <v>SUPER PLASTIFICANTE</v>
          </cell>
          <cell r="N162" t="str">
            <v>NEUTRALIZAÇÃO</v>
          </cell>
          <cell r="O162" t="str">
            <v>FORTANKS</v>
          </cell>
          <cell r="P162">
            <v>495</v>
          </cell>
          <cell r="Q162" t="str">
            <v>Gean</v>
          </cell>
          <cell r="R162">
            <v>44988</v>
          </cell>
          <cell r="S162">
            <v>0.625</v>
          </cell>
          <cell r="T162">
            <v>0.61499999999999999</v>
          </cell>
          <cell r="U162" t="str">
            <v>X</v>
          </cell>
          <cell r="V162">
            <v>0.35416666666666669</v>
          </cell>
          <cell r="W162">
            <v>21.97</v>
          </cell>
          <cell r="X162">
            <v>24.72</v>
          </cell>
          <cell r="Y162">
            <v>0.41666666666666669</v>
          </cell>
          <cell r="Z162">
            <v>93.91</v>
          </cell>
          <cell r="AA162">
            <v>92.03</v>
          </cell>
          <cell r="AW162">
            <v>4</v>
          </cell>
          <cell r="AX162">
            <v>4</v>
          </cell>
          <cell r="AY162">
            <v>3</v>
          </cell>
          <cell r="AZ162">
            <v>4</v>
          </cell>
          <cell r="BB162">
            <v>44989</v>
          </cell>
          <cell r="BG162">
            <v>44988</v>
          </cell>
        </row>
        <row r="163">
          <cell r="A163">
            <v>562</v>
          </cell>
          <cell r="B163">
            <v>177</v>
          </cell>
          <cell r="C163" t="str">
            <v>PC-27 / PCI-30</v>
          </cell>
          <cell r="D163">
            <v>5.5</v>
          </cell>
          <cell r="E163">
            <v>40</v>
          </cell>
          <cell r="F163">
            <v>10</v>
          </cell>
          <cell r="G163">
            <v>40</v>
          </cell>
          <cell r="H163">
            <v>0</v>
          </cell>
          <cell r="I163" t="str">
            <v>-</v>
          </cell>
          <cell r="J163" t="str">
            <v>660/670</v>
          </cell>
          <cell r="K163" t="str">
            <v xml:space="preserve">CPIII 40 RS </v>
          </cell>
          <cell r="L163" t="str">
            <v>CP V</v>
          </cell>
          <cell r="M163" t="str">
            <v>SUPER PLASTIFICANTE</v>
          </cell>
          <cell r="N163" t="str">
            <v>NEUTRALIZAÇÃO</v>
          </cell>
          <cell r="O163" t="str">
            <v>FORTANKS</v>
          </cell>
          <cell r="P163">
            <v>495</v>
          </cell>
          <cell r="Q163" t="str">
            <v>Gean</v>
          </cell>
          <cell r="R163">
            <v>44988</v>
          </cell>
          <cell r="S163">
            <v>0.71875</v>
          </cell>
          <cell r="T163">
            <v>0.70874999999999999</v>
          </cell>
          <cell r="U163" t="str">
            <v>X</v>
          </cell>
          <cell r="V163">
            <v>0.54166666666666663</v>
          </cell>
          <cell r="W163">
            <v>19.82</v>
          </cell>
          <cell r="X163">
            <v>19.579999999999998</v>
          </cell>
          <cell r="Y163">
            <v>0.41666666666666669</v>
          </cell>
          <cell r="Z163">
            <v>78.08</v>
          </cell>
          <cell r="AA163">
            <v>78.540000000000006</v>
          </cell>
          <cell r="AW163">
            <v>4</v>
          </cell>
          <cell r="AX163">
            <v>4</v>
          </cell>
          <cell r="AY163">
            <v>3</v>
          </cell>
          <cell r="AZ163">
            <v>3</v>
          </cell>
          <cell r="BB163">
            <v>44989</v>
          </cell>
          <cell r="BG163">
            <v>44988</v>
          </cell>
        </row>
        <row r="164">
          <cell r="A164">
            <v>563</v>
          </cell>
          <cell r="B164">
            <v>178</v>
          </cell>
          <cell r="C164" t="str">
            <v>PTI-102</v>
          </cell>
          <cell r="D164">
            <v>3.5</v>
          </cell>
          <cell r="E164">
            <v>40</v>
          </cell>
          <cell r="F164">
            <v>10</v>
          </cell>
          <cell r="G164">
            <v>40</v>
          </cell>
          <cell r="H164">
            <v>0</v>
          </cell>
          <cell r="I164" t="str">
            <v>-</v>
          </cell>
          <cell r="J164" t="str">
            <v>650/650</v>
          </cell>
          <cell r="K164" t="str">
            <v xml:space="preserve">CPIII 40 RS </v>
          </cell>
          <cell r="L164" t="str">
            <v>CP V</v>
          </cell>
          <cell r="M164" t="str">
            <v>SUPER PLASTIFICANTE</v>
          </cell>
          <cell r="N164" t="str">
            <v>NEUTRALIZAÇÃO</v>
          </cell>
          <cell r="O164" t="str">
            <v>FORTANKS</v>
          </cell>
          <cell r="P164">
            <v>495</v>
          </cell>
          <cell r="Q164" t="str">
            <v>Gean</v>
          </cell>
          <cell r="R164">
            <v>44991</v>
          </cell>
          <cell r="S164">
            <v>0.66666666666666663</v>
          </cell>
          <cell r="T164">
            <v>0.65666666666666662</v>
          </cell>
          <cell r="U164" t="str">
            <v>X</v>
          </cell>
          <cell r="V164">
            <v>0.35416666666666669</v>
          </cell>
          <cell r="W164">
            <v>14.89</v>
          </cell>
          <cell r="X164">
            <v>15.92</v>
          </cell>
          <cell r="Y164">
            <v>0.41666666666666669</v>
          </cell>
          <cell r="Z164">
            <v>69.430000000000007</v>
          </cell>
          <cell r="AA164">
            <v>72.42</v>
          </cell>
          <cell r="AW164">
            <v>3</v>
          </cell>
          <cell r="AX164">
            <v>4</v>
          </cell>
          <cell r="AY164">
            <v>4</v>
          </cell>
          <cell r="AZ164">
            <v>4</v>
          </cell>
          <cell r="BB164">
            <v>44992</v>
          </cell>
          <cell r="BG164">
            <v>44991</v>
          </cell>
        </row>
        <row r="165">
          <cell r="A165">
            <v>564</v>
          </cell>
          <cell r="B165">
            <v>179</v>
          </cell>
          <cell r="C165" t="str">
            <v>PTI-95</v>
          </cell>
          <cell r="D165">
            <v>3.5</v>
          </cell>
          <cell r="E165">
            <v>40</v>
          </cell>
          <cell r="F165">
            <v>10</v>
          </cell>
          <cell r="G165">
            <v>40</v>
          </cell>
          <cell r="H165">
            <v>0</v>
          </cell>
          <cell r="I165" t="str">
            <v>-</v>
          </cell>
          <cell r="J165" t="str">
            <v>660/660</v>
          </cell>
          <cell r="K165" t="str">
            <v xml:space="preserve">CPIII 40 RS </v>
          </cell>
          <cell r="L165" t="str">
            <v>CP V</v>
          </cell>
          <cell r="M165" t="str">
            <v>SUPER PLASTIFICANTE</v>
          </cell>
          <cell r="N165" t="str">
            <v>NEUTRALIZAÇÃO</v>
          </cell>
          <cell r="O165" t="str">
            <v>FORTANKS</v>
          </cell>
          <cell r="P165">
            <v>495</v>
          </cell>
          <cell r="Q165" t="str">
            <v>Gean</v>
          </cell>
          <cell r="R165">
            <v>44992</v>
          </cell>
          <cell r="S165">
            <v>0.61111111111111105</v>
          </cell>
          <cell r="T165">
            <v>0.60111111111111104</v>
          </cell>
          <cell r="U165" t="str">
            <v>X</v>
          </cell>
          <cell r="V165">
            <v>0.33333333333333331</v>
          </cell>
          <cell r="W165">
            <v>15.68</v>
          </cell>
          <cell r="X165">
            <v>16.36</v>
          </cell>
          <cell r="Y165">
            <v>0.41666666666666669</v>
          </cell>
          <cell r="Z165">
            <v>87.35</v>
          </cell>
          <cell r="AA165">
            <v>88.36</v>
          </cell>
          <cell r="AW165">
            <v>3</v>
          </cell>
          <cell r="AX165">
            <v>4</v>
          </cell>
          <cell r="AY165">
            <v>3</v>
          </cell>
          <cell r="AZ165">
            <v>3</v>
          </cell>
          <cell r="BB165">
            <v>44993</v>
          </cell>
          <cell r="BG165">
            <v>44992</v>
          </cell>
        </row>
        <row r="166">
          <cell r="A166">
            <v>565</v>
          </cell>
          <cell r="B166">
            <v>180</v>
          </cell>
          <cell r="C166" t="str">
            <v>PC-12</v>
          </cell>
          <cell r="D166">
            <v>3.5</v>
          </cell>
          <cell r="E166">
            <v>40</v>
          </cell>
          <cell r="F166">
            <v>10</v>
          </cell>
          <cell r="G166">
            <v>40</v>
          </cell>
          <cell r="H166">
            <v>0</v>
          </cell>
          <cell r="I166" t="str">
            <v>-</v>
          </cell>
          <cell r="J166" t="str">
            <v>650/660</v>
          </cell>
          <cell r="K166" t="str">
            <v xml:space="preserve">CPIII 40 RS </v>
          </cell>
          <cell r="L166" t="str">
            <v>CP V</v>
          </cell>
          <cell r="M166" t="str">
            <v>SUPER PLASTIFICANTE</v>
          </cell>
          <cell r="N166" t="str">
            <v>NEUTRALIZAÇÃO</v>
          </cell>
          <cell r="O166" t="str">
            <v>FORTANKS</v>
          </cell>
          <cell r="P166">
            <v>495</v>
          </cell>
          <cell r="Q166" t="str">
            <v>Gean</v>
          </cell>
          <cell r="R166">
            <v>44993</v>
          </cell>
          <cell r="S166">
            <v>0.65277777777777779</v>
          </cell>
          <cell r="T166">
            <v>0.64277777777777778</v>
          </cell>
          <cell r="U166" t="str">
            <v>X</v>
          </cell>
          <cell r="V166">
            <v>0.36458333333333331</v>
          </cell>
          <cell r="W166">
            <v>16.68</v>
          </cell>
          <cell r="X166">
            <v>16.829999999999998</v>
          </cell>
          <cell r="Y166">
            <v>0.41666666666666669</v>
          </cell>
          <cell r="Z166">
            <v>92.06</v>
          </cell>
          <cell r="AA166">
            <v>93.72</v>
          </cell>
          <cell r="AW166">
            <v>3</v>
          </cell>
          <cell r="AX166">
            <v>3</v>
          </cell>
          <cell r="AY166">
            <v>4</v>
          </cell>
          <cell r="AZ166">
            <v>3</v>
          </cell>
          <cell r="BB166">
            <v>44994</v>
          </cell>
          <cell r="BG166">
            <v>44993</v>
          </cell>
        </row>
        <row r="167">
          <cell r="A167" t="str">
            <v>565-A</v>
          </cell>
          <cell r="B167">
            <v>181</v>
          </cell>
          <cell r="C167" t="str">
            <v>PTI-35</v>
          </cell>
          <cell r="D167">
            <v>3.5</v>
          </cell>
          <cell r="E167">
            <v>40</v>
          </cell>
          <cell r="F167">
            <v>10</v>
          </cell>
          <cell r="G167">
            <v>40</v>
          </cell>
          <cell r="H167">
            <v>0</v>
          </cell>
          <cell r="I167" t="str">
            <v>-</v>
          </cell>
          <cell r="J167" t="str">
            <v>650/650</v>
          </cell>
          <cell r="K167" t="str">
            <v xml:space="preserve">CPIII 40 RS </v>
          </cell>
          <cell r="L167" t="str">
            <v>CP V</v>
          </cell>
          <cell r="M167" t="str">
            <v>SUPER PLASTIFICANTE</v>
          </cell>
          <cell r="N167" t="str">
            <v>NEUTRALIZAÇÃO</v>
          </cell>
          <cell r="O167" t="str">
            <v>FORTANKS</v>
          </cell>
          <cell r="P167">
            <v>495</v>
          </cell>
          <cell r="Q167" t="str">
            <v>Gean</v>
          </cell>
          <cell r="R167">
            <v>44993</v>
          </cell>
          <cell r="S167">
            <v>0.65972222222222221</v>
          </cell>
          <cell r="T167">
            <v>0.6497222222222222</v>
          </cell>
          <cell r="U167" t="str">
            <v>X</v>
          </cell>
          <cell r="V167">
            <v>0.36805555555555558</v>
          </cell>
          <cell r="W167">
            <v>17.71</v>
          </cell>
          <cell r="X167">
            <v>17.14</v>
          </cell>
          <cell r="Y167">
            <v>0.41666666666666669</v>
          </cell>
          <cell r="Z167">
            <v>86.78</v>
          </cell>
          <cell r="AA167">
            <v>87.57</v>
          </cell>
          <cell r="AW167">
            <v>4</v>
          </cell>
          <cell r="AX167">
            <v>4</v>
          </cell>
          <cell r="AY167">
            <v>3</v>
          </cell>
          <cell r="AZ167">
            <v>3</v>
          </cell>
          <cell r="BB167">
            <v>44994</v>
          </cell>
          <cell r="BG167">
            <v>44993</v>
          </cell>
        </row>
        <row r="168">
          <cell r="A168">
            <v>566</v>
          </cell>
          <cell r="B168">
            <v>182</v>
          </cell>
          <cell r="C168" t="str">
            <v>PTI-54</v>
          </cell>
          <cell r="D168">
            <v>3.5</v>
          </cell>
          <cell r="E168">
            <v>40</v>
          </cell>
          <cell r="F168">
            <v>10</v>
          </cell>
          <cell r="G168">
            <v>40</v>
          </cell>
          <cell r="H168">
            <v>0</v>
          </cell>
          <cell r="I168" t="str">
            <v>-</v>
          </cell>
          <cell r="J168" t="str">
            <v>650/660</v>
          </cell>
          <cell r="K168" t="str">
            <v xml:space="preserve">CPIII 40 RS </v>
          </cell>
          <cell r="L168" t="str">
            <v>CP V</v>
          </cell>
          <cell r="M168" t="str">
            <v>SUPER PLASTIFICANTE</v>
          </cell>
          <cell r="N168" t="str">
            <v>NEUTRALIZAÇÃO</v>
          </cell>
          <cell r="O168" t="str">
            <v>FORTANKS</v>
          </cell>
          <cell r="P168">
            <v>495</v>
          </cell>
          <cell r="Q168" t="str">
            <v>Gean</v>
          </cell>
          <cell r="R168">
            <v>44994</v>
          </cell>
          <cell r="S168">
            <v>0.67361111111111116</v>
          </cell>
          <cell r="T168">
            <v>0.66361111111111115</v>
          </cell>
          <cell r="U168" t="str">
            <v>X</v>
          </cell>
          <cell r="V168">
            <v>0.375</v>
          </cell>
          <cell r="W168">
            <v>18.43</v>
          </cell>
          <cell r="X168">
            <v>19.420000000000002</v>
          </cell>
          <cell r="Y168">
            <v>0.41666666666666669</v>
          </cell>
          <cell r="Z168">
            <v>92.89</v>
          </cell>
          <cell r="AA168">
            <v>85.94</v>
          </cell>
          <cell r="AW168">
            <v>4</v>
          </cell>
          <cell r="AX168">
            <v>4</v>
          </cell>
          <cell r="AY168">
            <v>3</v>
          </cell>
          <cell r="AZ168">
            <v>4</v>
          </cell>
          <cell r="BB168">
            <v>44995</v>
          </cell>
          <cell r="BG168">
            <v>44994</v>
          </cell>
        </row>
        <row r="169">
          <cell r="A169">
            <v>567</v>
          </cell>
          <cell r="B169">
            <v>183</v>
          </cell>
          <cell r="C169" t="str">
            <v>PEI(t)-77 / PCI-11</v>
          </cell>
          <cell r="D169">
            <v>6</v>
          </cell>
          <cell r="E169">
            <v>40</v>
          </cell>
          <cell r="F169">
            <v>10</v>
          </cell>
          <cell r="G169">
            <v>40</v>
          </cell>
          <cell r="H169">
            <v>0</v>
          </cell>
          <cell r="I169" t="str">
            <v>-</v>
          </cell>
          <cell r="J169" t="str">
            <v>650/660</v>
          </cell>
          <cell r="K169" t="str">
            <v xml:space="preserve">CPIII 40 RS </v>
          </cell>
          <cell r="L169" t="str">
            <v>CP V</v>
          </cell>
          <cell r="M169" t="str">
            <v>SUPER PLASTIFICANTE</v>
          </cell>
          <cell r="N169" t="str">
            <v>NEUTRALIZAÇÃO</v>
          </cell>
          <cell r="O169" t="str">
            <v>FORTANKS</v>
          </cell>
          <cell r="P169">
            <v>495</v>
          </cell>
          <cell r="Q169" t="str">
            <v>Gean</v>
          </cell>
          <cell r="R169">
            <v>44995</v>
          </cell>
          <cell r="S169">
            <v>0.6875</v>
          </cell>
          <cell r="T169">
            <v>0.67749999999999999</v>
          </cell>
          <cell r="U169" t="str">
            <v>X</v>
          </cell>
          <cell r="V169">
            <v>0.33333333333333331</v>
          </cell>
          <cell r="W169">
            <v>15.64</v>
          </cell>
          <cell r="X169">
            <v>16.3</v>
          </cell>
          <cell r="Y169">
            <v>0.41666666666666669</v>
          </cell>
          <cell r="Z169">
            <v>94.09</v>
          </cell>
          <cell r="AA169">
            <v>94.37</v>
          </cell>
          <cell r="AW169">
            <v>4</v>
          </cell>
          <cell r="AX169">
            <v>3</v>
          </cell>
          <cell r="AY169">
            <v>5</v>
          </cell>
          <cell r="AZ169">
            <v>5</v>
          </cell>
          <cell r="BB169">
            <v>44996</v>
          </cell>
          <cell r="BG169">
            <v>44995</v>
          </cell>
        </row>
        <row r="170">
          <cell r="A170">
            <v>568</v>
          </cell>
          <cell r="B170">
            <v>184</v>
          </cell>
          <cell r="C170" t="str">
            <v>PC-64 / PT-28</v>
          </cell>
          <cell r="D170">
            <v>7</v>
          </cell>
          <cell r="E170">
            <v>40</v>
          </cell>
          <cell r="F170">
            <v>10</v>
          </cell>
          <cell r="G170">
            <v>40</v>
          </cell>
          <cell r="H170">
            <v>0</v>
          </cell>
          <cell r="I170" t="str">
            <v>-</v>
          </cell>
          <cell r="J170" t="str">
            <v>650/660</v>
          </cell>
          <cell r="K170" t="str">
            <v xml:space="preserve">CPIII 40 RS </v>
          </cell>
          <cell r="L170" t="str">
            <v>CP V</v>
          </cell>
          <cell r="M170" t="str">
            <v>SUPER PLASTIFICANTE</v>
          </cell>
          <cell r="N170" t="str">
            <v>NEUTRALIZAÇÃO</v>
          </cell>
          <cell r="O170" t="str">
            <v>FORTANKS</v>
          </cell>
          <cell r="P170">
            <v>495</v>
          </cell>
          <cell r="Q170" t="str">
            <v>Gean</v>
          </cell>
          <cell r="R170">
            <v>44996</v>
          </cell>
          <cell r="S170">
            <v>0.65138888888888891</v>
          </cell>
          <cell r="T170">
            <v>0.6413888888888889</v>
          </cell>
          <cell r="U170" t="str">
            <v>X</v>
          </cell>
          <cell r="V170">
            <v>0.33333333333333331</v>
          </cell>
          <cell r="W170">
            <v>39.67</v>
          </cell>
          <cell r="X170">
            <v>35.18</v>
          </cell>
          <cell r="Y170">
            <v>0.41666666666666669</v>
          </cell>
          <cell r="Z170">
            <v>93.91</v>
          </cell>
          <cell r="AA170">
            <v>91.79</v>
          </cell>
          <cell r="AW170">
            <v>5</v>
          </cell>
          <cell r="AX170">
            <v>2</v>
          </cell>
          <cell r="AY170">
            <v>3</v>
          </cell>
          <cell r="AZ170">
            <v>3</v>
          </cell>
          <cell r="BB170">
            <v>44997</v>
          </cell>
          <cell r="BG170">
            <v>44996</v>
          </cell>
        </row>
        <row r="171">
          <cell r="A171">
            <v>569</v>
          </cell>
          <cell r="B171">
            <v>185</v>
          </cell>
          <cell r="C171" t="str">
            <v>PTI-06 / PE-29</v>
          </cell>
          <cell r="D171">
            <v>5.5</v>
          </cell>
          <cell r="E171">
            <v>40</v>
          </cell>
          <cell r="F171">
            <v>10</v>
          </cell>
          <cell r="G171">
            <v>40</v>
          </cell>
          <cell r="H171">
            <v>0</v>
          </cell>
          <cell r="I171" t="str">
            <v>-</v>
          </cell>
          <cell r="J171" t="str">
            <v>650/660</v>
          </cell>
          <cell r="K171" t="str">
            <v xml:space="preserve">CPIII 40 RS </v>
          </cell>
          <cell r="L171" t="str">
            <v>CP V</v>
          </cell>
          <cell r="M171" t="str">
            <v>SUPER PLASTIFICANTE</v>
          </cell>
          <cell r="N171" t="str">
            <v>NEUTRALIZAÇÃO</v>
          </cell>
          <cell r="O171" t="str">
            <v>FORTANKS</v>
          </cell>
          <cell r="P171">
            <v>495</v>
          </cell>
          <cell r="Q171" t="str">
            <v>Gean</v>
          </cell>
          <cell r="R171">
            <v>44998</v>
          </cell>
          <cell r="S171">
            <v>0.68055555555555547</v>
          </cell>
          <cell r="T171">
            <v>0.67055555555555546</v>
          </cell>
          <cell r="U171" t="str">
            <v>X</v>
          </cell>
          <cell r="V171">
            <v>0.5625</v>
          </cell>
          <cell r="W171">
            <v>13.3</v>
          </cell>
          <cell r="X171">
            <v>12.59</v>
          </cell>
          <cell r="Y171">
            <v>0.41666666666666669</v>
          </cell>
          <cell r="Z171">
            <v>97.28</v>
          </cell>
          <cell r="AA171">
            <v>95.71</v>
          </cell>
          <cell r="AW171">
            <v>4</v>
          </cell>
          <cell r="AX171">
            <v>4</v>
          </cell>
          <cell r="AY171">
            <v>3</v>
          </cell>
          <cell r="AZ171">
            <v>3</v>
          </cell>
          <cell r="BB171">
            <v>44999</v>
          </cell>
          <cell r="BG171">
            <v>44998</v>
          </cell>
        </row>
        <row r="172">
          <cell r="A172">
            <v>570</v>
          </cell>
          <cell r="B172">
            <v>186</v>
          </cell>
          <cell r="C172" t="str">
            <v>PTI-47 / PC-61</v>
          </cell>
          <cell r="D172">
            <v>7</v>
          </cell>
          <cell r="E172">
            <v>40</v>
          </cell>
          <cell r="F172">
            <v>10</v>
          </cell>
          <cell r="G172">
            <v>40</v>
          </cell>
          <cell r="H172">
            <v>0</v>
          </cell>
          <cell r="I172" t="str">
            <v>-</v>
          </cell>
          <cell r="J172" t="str">
            <v>650/650</v>
          </cell>
          <cell r="K172" t="str">
            <v xml:space="preserve">CPIII 40 RS </v>
          </cell>
          <cell r="L172" t="str">
            <v>CP V</v>
          </cell>
          <cell r="M172" t="str">
            <v>SUPER PLASTIFICANTE</v>
          </cell>
          <cell r="N172" t="str">
            <v>NEUTRALIZAÇÃO</v>
          </cell>
          <cell r="O172" t="str">
            <v>FORTANKS</v>
          </cell>
          <cell r="P172">
            <v>495</v>
          </cell>
          <cell r="Q172" t="str">
            <v>Gean</v>
          </cell>
          <cell r="R172">
            <v>45000</v>
          </cell>
          <cell r="S172">
            <v>0.67708333333333337</v>
          </cell>
          <cell r="T172">
            <v>0.66708333333333336</v>
          </cell>
          <cell r="U172" t="str">
            <v>X</v>
          </cell>
          <cell r="V172">
            <v>0.36458333333333331</v>
          </cell>
          <cell r="W172">
            <v>14.02</v>
          </cell>
          <cell r="X172">
            <v>13.85</v>
          </cell>
          <cell r="Y172">
            <v>0.41666666666666669</v>
          </cell>
          <cell r="Z172">
            <v>84.29</v>
          </cell>
          <cell r="AA172">
            <v>85.9</v>
          </cell>
          <cell r="AW172">
            <v>4</v>
          </cell>
          <cell r="AX172">
            <v>4</v>
          </cell>
          <cell r="AY172">
            <v>4</v>
          </cell>
          <cell r="AZ172">
            <v>3</v>
          </cell>
          <cell r="BB172">
            <v>45001</v>
          </cell>
          <cell r="BG172">
            <v>45000</v>
          </cell>
        </row>
        <row r="173">
          <cell r="A173" t="str">
            <v>570-A</v>
          </cell>
          <cell r="B173">
            <v>187</v>
          </cell>
          <cell r="C173" t="str">
            <v>PT-13</v>
          </cell>
          <cell r="D173">
            <v>3</v>
          </cell>
          <cell r="E173">
            <v>40</v>
          </cell>
          <cell r="F173">
            <v>10</v>
          </cell>
          <cell r="G173">
            <v>40</v>
          </cell>
          <cell r="H173">
            <v>0</v>
          </cell>
          <cell r="I173" t="str">
            <v>-</v>
          </cell>
          <cell r="J173" t="str">
            <v>650/650</v>
          </cell>
          <cell r="K173" t="str">
            <v xml:space="preserve">CPIII 40 RS </v>
          </cell>
          <cell r="L173" t="str">
            <v>CP V</v>
          </cell>
          <cell r="M173" t="str">
            <v>SUPER PLASTIFICANTE</v>
          </cell>
          <cell r="N173" t="str">
            <v>NEUTRALIZAÇÃO</v>
          </cell>
          <cell r="O173" t="str">
            <v>FORTANKS</v>
          </cell>
          <cell r="P173">
            <v>495</v>
          </cell>
          <cell r="Q173" t="str">
            <v>Gean</v>
          </cell>
          <cell r="R173">
            <v>45000</v>
          </cell>
          <cell r="S173">
            <v>0.70833333333333337</v>
          </cell>
          <cell r="T173">
            <v>0.69833333333333336</v>
          </cell>
          <cell r="U173" t="str">
            <v>X</v>
          </cell>
          <cell r="V173">
            <v>0.36805555555555558</v>
          </cell>
          <cell r="W173">
            <v>21.62</v>
          </cell>
          <cell r="X173">
            <v>22.04</v>
          </cell>
          <cell r="Y173">
            <v>0.41666666666666669</v>
          </cell>
          <cell r="Z173">
            <v>88.69</v>
          </cell>
          <cell r="AA173">
            <v>90.79</v>
          </cell>
          <cell r="AW173">
            <v>4</v>
          </cell>
          <cell r="AX173">
            <v>3</v>
          </cell>
          <cell r="AY173">
            <v>4</v>
          </cell>
          <cell r="AZ173">
            <v>3</v>
          </cell>
          <cell r="BB173">
            <v>45001</v>
          </cell>
          <cell r="BG173">
            <v>45000</v>
          </cell>
        </row>
        <row r="174">
          <cell r="A174">
            <v>571</v>
          </cell>
          <cell r="B174">
            <v>188</v>
          </cell>
          <cell r="C174" t="str">
            <v>PE-85 / PE-81 / PCI-89</v>
          </cell>
          <cell r="D174">
            <v>8</v>
          </cell>
          <cell r="E174">
            <v>40</v>
          </cell>
          <cell r="F174">
            <v>10</v>
          </cell>
          <cell r="G174">
            <v>40</v>
          </cell>
          <cell r="H174">
            <v>0</v>
          </cell>
          <cell r="I174" t="str">
            <v>-</v>
          </cell>
          <cell r="J174" t="str">
            <v>650/660</v>
          </cell>
          <cell r="K174" t="str">
            <v xml:space="preserve">CPIII 40 RS </v>
          </cell>
          <cell r="L174" t="str">
            <v>CP V</v>
          </cell>
          <cell r="M174" t="str">
            <v>SUPER PLASTIFICANTE</v>
          </cell>
          <cell r="N174" t="str">
            <v>NEUTRALIZAÇÃO</v>
          </cell>
          <cell r="O174" t="str">
            <v>FORTANKS</v>
          </cell>
          <cell r="P174">
            <v>495</v>
          </cell>
          <cell r="Q174" t="str">
            <v>Gean</v>
          </cell>
          <cell r="R174">
            <v>45002</v>
          </cell>
          <cell r="S174">
            <v>0.66666666666666663</v>
          </cell>
          <cell r="T174">
            <v>0.65666666666666662</v>
          </cell>
          <cell r="U174" t="str">
            <v>X</v>
          </cell>
          <cell r="V174">
            <v>0.33333333333333331</v>
          </cell>
          <cell r="W174">
            <v>16.7</v>
          </cell>
          <cell r="X174">
            <v>16.73</v>
          </cell>
          <cell r="Y174">
            <v>0.41666666666666669</v>
          </cell>
          <cell r="Z174">
            <v>96.98</v>
          </cell>
          <cell r="AA174">
            <v>95.84</v>
          </cell>
          <cell r="AW174">
            <v>4</v>
          </cell>
          <cell r="AX174">
            <v>3</v>
          </cell>
          <cell r="AY174">
            <v>4</v>
          </cell>
          <cell r="AZ174">
            <v>3</v>
          </cell>
          <cell r="BB174">
            <v>45003</v>
          </cell>
          <cell r="BG174">
            <v>45002</v>
          </cell>
        </row>
        <row r="175">
          <cell r="A175" t="str">
            <v>571-A</v>
          </cell>
          <cell r="B175">
            <v>189</v>
          </cell>
          <cell r="C175" t="str">
            <v>PT-86</v>
          </cell>
          <cell r="D175">
            <v>3</v>
          </cell>
          <cell r="E175">
            <v>40</v>
          </cell>
          <cell r="F175">
            <v>10</v>
          </cell>
          <cell r="G175">
            <v>40</v>
          </cell>
          <cell r="H175">
            <v>0</v>
          </cell>
          <cell r="I175" t="str">
            <v>-</v>
          </cell>
          <cell r="J175" t="str">
            <v>650/650</v>
          </cell>
          <cell r="K175" t="str">
            <v xml:space="preserve">CPIII 40 RS </v>
          </cell>
          <cell r="L175" t="str">
            <v>CP V</v>
          </cell>
          <cell r="M175" t="str">
            <v>SUPER PLASTIFICANTE</v>
          </cell>
          <cell r="N175" t="str">
            <v>NEUTRALIZAÇÃO</v>
          </cell>
          <cell r="O175" t="str">
            <v>FORTANKS</v>
          </cell>
          <cell r="P175">
            <v>495</v>
          </cell>
          <cell r="Q175" t="str">
            <v>Gean</v>
          </cell>
          <cell r="R175">
            <v>45002</v>
          </cell>
          <cell r="S175">
            <v>0.69444444444444453</v>
          </cell>
          <cell r="T175">
            <v>0.68444444444444452</v>
          </cell>
          <cell r="U175" t="str">
            <v>X</v>
          </cell>
          <cell r="V175">
            <v>0.375</v>
          </cell>
          <cell r="W175">
            <v>16.75</v>
          </cell>
          <cell r="X175">
            <v>15.94</v>
          </cell>
          <cell r="Y175">
            <v>0.41666666666666669</v>
          </cell>
          <cell r="Z175">
            <v>95.09</v>
          </cell>
          <cell r="AA175">
            <v>92.18</v>
          </cell>
          <cell r="AW175">
            <v>3</v>
          </cell>
          <cell r="AX175">
            <v>4</v>
          </cell>
          <cell r="AY175">
            <v>3</v>
          </cell>
          <cell r="AZ175">
            <v>4</v>
          </cell>
          <cell r="BB175">
            <v>45003</v>
          </cell>
          <cell r="BG175">
            <v>45002</v>
          </cell>
        </row>
        <row r="176">
          <cell r="A176">
            <v>572</v>
          </cell>
          <cell r="B176">
            <v>190</v>
          </cell>
          <cell r="C176" t="str">
            <v>PE-79/ PT-87</v>
          </cell>
          <cell r="D176">
            <v>4</v>
          </cell>
          <cell r="E176">
            <v>40</v>
          </cell>
          <cell r="F176">
            <v>10</v>
          </cell>
          <cell r="G176">
            <v>40</v>
          </cell>
          <cell r="H176">
            <v>0</v>
          </cell>
          <cell r="I176" t="str">
            <v>-</v>
          </cell>
          <cell r="J176" t="str">
            <v>660/660</v>
          </cell>
          <cell r="K176" t="str">
            <v xml:space="preserve">CPIII 40 RS </v>
          </cell>
          <cell r="L176" t="str">
            <v>CP V</v>
          </cell>
          <cell r="M176" t="str">
            <v>SUPER PLASTIFICANTE</v>
          </cell>
          <cell r="N176" t="str">
            <v>NEUTRALIZAÇÃO</v>
          </cell>
          <cell r="O176" t="str">
            <v>FORTANKS</v>
          </cell>
          <cell r="P176">
            <v>495</v>
          </cell>
          <cell r="Q176" t="str">
            <v>Gean</v>
          </cell>
          <cell r="R176">
            <v>45003</v>
          </cell>
          <cell r="S176">
            <v>0.63888888888888895</v>
          </cell>
          <cell r="T176">
            <v>0.62888888888888894</v>
          </cell>
          <cell r="U176" t="str">
            <v>X</v>
          </cell>
          <cell r="V176">
            <v>0.3125</v>
          </cell>
          <cell r="W176">
            <v>34.700000000000003</v>
          </cell>
          <cell r="X176">
            <v>34.36</v>
          </cell>
          <cell r="Y176">
            <v>0.41666666666666669</v>
          </cell>
          <cell r="Z176">
            <v>88.93</v>
          </cell>
          <cell r="AA176">
            <v>87.98</v>
          </cell>
          <cell r="AW176">
            <v>4</v>
          </cell>
          <cell r="AX176">
            <v>4</v>
          </cell>
          <cell r="AY176">
            <v>4</v>
          </cell>
          <cell r="AZ176">
            <v>4</v>
          </cell>
          <cell r="BB176">
            <v>45004</v>
          </cell>
          <cell r="BG176">
            <v>45003</v>
          </cell>
        </row>
        <row r="177">
          <cell r="A177">
            <v>573</v>
          </cell>
          <cell r="B177">
            <v>191</v>
          </cell>
          <cell r="C177" t="str">
            <v>PE-83 / PC-88</v>
          </cell>
          <cell r="D177">
            <v>5</v>
          </cell>
          <cell r="E177">
            <v>40</v>
          </cell>
          <cell r="F177">
            <v>10</v>
          </cell>
          <cell r="G177">
            <v>40</v>
          </cell>
          <cell r="H177">
            <v>0</v>
          </cell>
          <cell r="I177" t="str">
            <v>-</v>
          </cell>
          <cell r="J177" t="str">
            <v>650/660</v>
          </cell>
          <cell r="K177" t="str">
            <v xml:space="preserve">CPIII 40 RS </v>
          </cell>
          <cell r="L177" t="str">
            <v>CP V</v>
          </cell>
          <cell r="M177" t="str">
            <v>SUPER PLASTIFICANTE</v>
          </cell>
          <cell r="N177" t="str">
            <v>NEUTRALIZAÇÃO</v>
          </cell>
          <cell r="O177" t="str">
            <v>FORTANKS</v>
          </cell>
          <cell r="P177">
            <v>495</v>
          </cell>
          <cell r="Q177" t="str">
            <v>Gean</v>
          </cell>
          <cell r="R177">
            <v>45006</v>
          </cell>
          <cell r="S177">
            <v>0.69444444444444453</v>
          </cell>
          <cell r="T177">
            <v>0.68444444444444452</v>
          </cell>
          <cell r="U177" t="str">
            <v>X</v>
          </cell>
          <cell r="V177">
            <v>0.35416666666666669</v>
          </cell>
          <cell r="W177">
            <v>14.49</v>
          </cell>
          <cell r="X177">
            <v>15.54</v>
          </cell>
          <cell r="Y177">
            <v>0.41666666666666669</v>
          </cell>
          <cell r="Z177">
            <v>87.3</v>
          </cell>
          <cell r="AA177">
            <v>88.12</v>
          </cell>
          <cell r="AW177">
            <v>3</v>
          </cell>
          <cell r="AX177">
            <v>4</v>
          </cell>
          <cell r="AY177">
            <v>4</v>
          </cell>
          <cell r="AZ177">
            <v>3</v>
          </cell>
          <cell r="BB177">
            <v>45007</v>
          </cell>
          <cell r="BG177">
            <v>45006</v>
          </cell>
        </row>
        <row r="178">
          <cell r="A178">
            <v>574</v>
          </cell>
          <cell r="B178">
            <v>192</v>
          </cell>
          <cell r="C178" t="str">
            <v>PN-90</v>
          </cell>
          <cell r="D178">
            <v>3</v>
          </cell>
          <cell r="E178">
            <v>40</v>
          </cell>
          <cell r="F178">
            <v>10</v>
          </cell>
          <cell r="G178">
            <v>40</v>
          </cell>
          <cell r="H178">
            <v>0</v>
          </cell>
          <cell r="I178" t="str">
            <v>-</v>
          </cell>
          <cell r="J178" t="str">
            <v>650/650</v>
          </cell>
          <cell r="K178" t="str">
            <v xml:space="preserve">CPIII 40 RS </v>
          </cell>
          <cell r="L178" t="str">
            <v>CP V</v>
          </cell>
          <cell r="M178" t="str">
            <v>SUPER PLASTIFICANTE</v>
          </cell>
          <cell r="N178" t="str">
            <v>NEUTRALIZAÇÃO</v>
          </cell>
          <cell r="O178" t="str">
            <v>FORTANKS</v>
          </cell>
          <cell r="P178">
            <v>495</v>
          </cell>
          <cell r="Q178" t="str">
            <v>Gean</v>
          </cell>
          <cell r="R178">
            <v>45007</v>
          </cell>
          <cell r="S178">
            <v>0.64583333333333337</v>
          </cell>
          <cell r="T178">
            <v>0.63583333333333336</v>
          </cell>
          <cell r="U178" t="str">
            <v>X</v>
          </cell>
          <cell r="V178">
            <v>0.35416666666666669</v>
          </cell>
          <cell r="W178">
            <v>21.88</v>
          </cell>
          <cell r="X178">
            <v>20.51</v>
          </cell>
          <cell r="Y178">
            <v>0.41666666666666669</v>
          </cell>
          <cell r="Z178">
            <v>74.48</v>
          </cell>
          <cell r="AA178">
            <v>79.900000000000006</v>
          </cell>
          <cell r="AW178">
            <v>4</v>
          </cell>
          <cell r="AX178">
            <v>5</v>
          </cell>
          <cell r="AY178">
            <v>4</v>
          </cell>
          <cell r="AZ178">
            <v>3</v>
          </cell>
          <cell r="BB178">
            <v>45008</v>
          </cell>
          <cell r="BG178">
            <v>45007</v>
          </cell>
        </row>
        <row r="179">
          <cell r="A179">
            <v>575</v>
          </cell>
          <cell r="B179">
            <v>193</v>
          </cell>
          <cell r="C179" t="str">
            <v>PT-62</v>
          </cell>
          <cell r="D179">
            <v>4</v>
          </cell>
          <cell r="E179">
            <v>40</v>
          </cell>
          <cell r="F179">
            <v>10</v>
          </cell>
          <cell r="G179">
            <v>40</v>
          </cell>
          <cell r="H179">
            <v>0</v>
          </cell>
          <cell r="I179" t="str">
            <v>-</v>
          </cell>
          <cell r="J179" t="str">
            <v>650/660</v>
          </cell>
          <cell r="K179" t="str">
            <v xml:space="preserve">CPIII 40 RS </v>
          </cell>
          <cell r="L179" t="str">
            <v>CP V</v>
          </cell>
          <cell r="M179" t="str">
            <v>SUPER PLASTIFICANTE</v>
          </cell>
          <cell r="N179" t="str">
            <v>NEUTRALIZAÇÃO</v>
          </cell>
          <cell r="O179" t="str">
            <v>FORTANKS</v>
          </cell>
          <cell r="P179">
            <v>495</v>
          </cell>
          <cell r="Q179" t="str">
            <v>Gean</v>
          </cell>
          <cell r="R179">
            <v>45007</v>
          </cell>
          <cell r="S179">
            <v>0.69444444444444453</v>
          </cell>
          <cell r="T179">
            <v>0.68444444444444452</v>
          </cell>
          <cell r="U179" t="str">
            <v>X</v>
          </cell>
          <cell r="V179">
            <v>0.375</v>
          </cell>
          <cell r="W179">
            <v>13.85</v>
          </cell>
          <cell r="X179">
            <v>14.71</v>
          </cell>
          <cell r="Y179">
            <v>0.41666666666666669</v>
          </cell>
          <cell r="Z179">
            <v>88.12</v>
          </cell>
          <cell r="AA179">
            <v>87.24</v>
          </cell>
          <cell r="AW179">
            <v>4</v>
          </cell>
          <cell r="AX179">
            <v>4</v>
          </cell>
          <cell r="AY179">
            <v>4</v>
          </cell>
          <cell r="AZ179">
            <v>3</v>
          </cell>
          <cell r="BB179">
            <v>45008</v>
          </cell>
          <cell r="BG179">
            <v>45007</v>
          </cell>
        </row>
        <row r="180">
          <cell r="A180">
            <v>576</v>
          </cell>
          <cell r="B180">
            <v>194</v>
          </cell>
          <cell r="C180" t="str">
            <v>PC-60</v>
          </cell>
          <cell r="D180">
            <v>3.5</v>
          </cell>
          <cell r="E180">
            <v>40</v>
          </cell>
          <cell r="F180">
            <v>10</v>
          </cell>
          <cell r="G180">
            <v>40</v>
          </cell>
          <cell r="H180">
            <v>0</v>
          </cell>
          <cell r="I180" t="str">
            <v>-</v>
          </cell>
          <cell r="J180" t="str">
            <v>650/650</v>
          </cell>
          <cell r="K180" t="str">
            <v xml:space="preserve">CPIII 40 RS </v>
          </cell>
          <cell r="L180" t="str">
            <v>CP V</v>
          </cell>
          <cell r="M180" t="str">
            <v>SUPER PLASTIFICANTE</v>
          </cell>
          <cell r="N180" t="str">
            <v>NEUTRALIZAÇÃO</v>
          </cell>
          <cell r="O180" t="str">
            <v>FORTANKS</v>
          </cell>
          <cell r="P180">
            <v>495</v>
          </cell>
          <cell r="Q180" t="str">
            <v>Gean</v>
          </cell>
          <cell r="R180">
            <v>45008</v>
          </cell>
          <cell r="S180">
            <v>0.61111111111111105</v>
          </cell>
          <cell r="T180">
            <v>0.60111111111111104</v>
          </cell>
          <cell r="U180" t="str">
            <v>X</v>
          </cell>
          <cell r="V180">
            <v>0.33333333333333331</v>
          </cell>
          <cell r="W180">
            <v>20.99</v>
          </cell>
          <cell r="X180">
            <v>20.97</v>
          </cell>
          <cell r="Y180">
            <v>0.41666666666666669</v>
          </cell>
          <cell r="Z180">
            <v>89.89</v>
          </cell>
          <cell r="AA180">
            <v>92.17</v>
          </cell>
          <cell r="AW180">
            <v>3</v>
          </cell>
          <cell r="AX180">
            <v>3</v>
          </cell>
          <cell r="AY180">
            <v>2</v>
          </cell>
          <cell r="AZ180">
            <v>3</v>
          </cell>
          <cell r="BB180">
            <v>45009</v>
          </cell>
          <cell r="BG180">
            <v>45008</v>
          </cell>
        </row>
        <row r="181">
          <cell r="A181">
            <v>577</v>
          </cell>
          <cell r="B181">
            <v>195</v>
          </cell>
          <cell r="C181" t="str">
            <v>PT-63</v>
          </cell>
          <cell r="D181">
            <v>3.5</v>
          </cell>
          <cell r="E181">
            <v>40</v>
          </cell>
          <cell r="F181">
            <v>10</v>
          </cell>
          <cell r="G181">
            <v>40</v>
          </cell>
          <cell r="H181">
            <v>0</v>
          </cell>
          <cell r="I181" t="str">
            <v>-</v>
          </cell>
          <cell r="J181" t="str">
            <v>660/670</v>
          </cell>
          <cell r="K181" t="str">
            <v xml:space="preserve">CPIII 40 RS </v>
          </cell>
          <cell r="L181" t="str">
            <v>CP V</v>
          </cell>
          <cell r="M181" t="str">
            <v>SUPER PLASTIFICANTE</v>
          </cell>
          <cell r="N181" t="str">
            <v>NEUTRALIZAÇÃO</v>
          </cell>
          <cell r="O181" t="str">
            <v>FORTANKS</v>
          </cell>
          <cell r="P181">
            <v>495</v>
          </cell>
          <cell r="Q181" t="str">
            <v>Gean</v>
          </cell>
          <cell r="R181">
            <v>45008</v>
          </cell>
          <cell r="S181">
            <v>0.69791666666666663</v>
          </cell>
          <cell r="T181">
            <v>0.68791666666666662</v>
          </cell>
          <cell r="U181" t="str">
            <v>X</v>
          </cell>
          <cell r="V181">
            <v>0.375</v>
          </cell>
          <cell r="W181">
            <v>19.66</v>
          </cell>
          <cell r="X181">
            <v>20.13</v>
          </cell>
          <cell r="Y181">
            <v>0.41666666666666669</v>
          </cell>
          <cell r="Z181">
            <v>91.51</v>
          </cell>
          <cell r="AA181">
            <v>90.05</v>
          </cell>
          <cell r="AW181">
            <v>3</v>
          </cell>
          <cell r="AX181">
            <v>3</v>
          </cell>
          <cell r="AY181">
            <v>3</v>
          </cell>
          <cell r="AZ181">
            <v>3</v>
          </cell>
          <cell r="BB181">
            <v>45009</v>
          </cell>
          <cell r="BG181">
            <v>45008</v>
          </cell>
        </row>
        <row r="182">
          <cell r="A182">
            <v>578</v>
          </cell>
          <cell r="B182">
            <v>196</v>
          </cell>
          <cell r="C182" t="str">
            <v>PN-293/ PN-294 / PN-295/ PN-296/ PN-297</v>
          </cell>
          <cell r="D182">
            <v>3</v>
          </cell>
          <cell r="E182">
            <v>40</v>
          </cell>
          <cell r="F182">
            <v>10</v>
          </cell>
          <cell r="G182">
            <v>40</v>
          </cell>
          <cell r="H182">
            <v>0</v>
          </cell>
          <cell r="I182" t="str">
            <v>-</v>
          </cell>
          <cell r="J182" t="str">
            <v>670/670</v>
          </cell>
          <cell r="K182" t="str">
            <v xml:space="preserve">CPIII 40 RS </v>
          </cell>
          <cell r="L182" t="str">
            <v>CP V</v>
          </cell>
          <cell r="M182" t="str">
            <v>SUPER PLASTIFICANTE</v>
          </cell>
          <cell r="N182" t="str">
            <v>MUROS DE VEDAÇÃO - GRANDE VITÓRIA E BAIXO GUANDU</v>
          </cell>
          <cell r="O182" t="str">
            <v>FORTANKS</v>
          </cell>
          <cell r="P182">
            <v>495</v>
          </cell>
          <cell r="Q182" t="str">
            <v>Gean</v>
          </cell>
          <cell r="R182">
            <v>45021</v>
          </cell>
          <cell r="S182">
            <v>0.625</v>
          </cell>
          <cell r="T182">
            <v>0.61499999999999999</v>
          </cell>
          <cell r="U182" t="str">
            <v>X</v>
          </cell>
          <cell r="V182">
            <v>0.33333333333333331</v>
          </cell>
          <cell r="W182">
            <v>22.94</v>
          </cell>
          <cell r="X182">
            <v>25.18</v>
          </cell>
          <cell r="Y182">
            <v>0.41666666666666669</v>
          </cell>
          <cell r="Z182">
            <v>76.260000000000005</v>
          </cell>
          <cell r="AA182">
            <v>73.72</v>
          </cell>
          <cell r="AW182">
            <v>3</v>
          </cell>
          <cell r="AX182">
            <v>4</v>
          </cell>
          <cell r="AY182">
            <v>3</v>
          </cell>
          <cell r="AZ182">
            <v>3</v>
          </cell>
          <cell r="BA182" t="str">
            <v>FORTES ENGENHARIA</v>
          </cell>
          <cell r="BB182">
            <v>45022</v>
          </cell>
          <cell r="BG182">
            <v>45021</v>
          </cell>
        </row>
        <row r="183">
          <cell r="A183">
            <v>579</v>
          </cell>
          <cell r="B183">
            <v>197</v>
          </cell>
          <cell r="C183" t="str">
            <v>PN-02 / PN-03</v>
          </cell>
          <cell r="D183">
            <v>6</v>
          </cell>
          <cell r="E183">
            <v>40</v>
          </cell>
          <cell r="F183">
            <v>10</v>
          </cell>
          <cell r="G183">
            <v>40</v>
          </cell>
          <cell r="H183">
            <v>0</v>
          </cell>
          <cell r="I183" t="str">
            <v>-</v>
          </cell>
          <cell r="J183" t="str">
            <v>660/660</v>
          </cell>
          <cell r="K183" t="str">
            <v xml:space="preserve">CPIII 40 RS </v>
          </cell>
          <cell r="L183" t="str">
            <v>CP V</v>
          </cell>
          <cell r="M183" t="str">
            <v>SUPER PLASTIFICANTE</v>
          </cell>
          <cell r="N183" t="str">
            <v>MEDIDOR DENSIDADE MADEIRA - PATIO DE TORAS</v>
          </cell>
          <cell r="O183" t="str">
            <v>FORTANKS</v>
          </cell>
          <cell r="P183">
            <v>495</v>
          </cell>
          <cell r="Q183" t="str">
            <v>Gean</v>
          </cell>
          <cell r="R183">
            <v>45026</v>
          </cell>
          <cell r="S183">
            <v>0.625</v>
          </cell>
          <cell r="T183">
            <v>0.61499999999999999</v>
          </cell>
          <cell r="U183" t="str">
            <v>X</v>
          </cell>
          <cell r="V183">
            <v>0.33333333333333331</v>
          </cell>
          <cell r="W183">
            <v>15.5</v>
          </cell>
          <cell r="X183">
            <v>15.12</v>
          </cell>
          <cell r="Y183">
            <v>0.41666666666666669</v>
          </cell>
          <cell r="Z183">
            <v>86.66</v>
          </cell>
          <cell r="AA183">
            <v>87.16</v>
          </cell>
          <cell r="AW183">
            <v>2</v>
          </cell>
          <cell r="AX183">
            <v>3</v>
          </cell>
          <cell r="AY183">
            <v>3</v>
          </cell>
          <cell r="AZ183">
            <v>3</v>
          </cell>
          <cell r="BA183" t="str">
            <v>FORTES ENGENHARIA</v>
          </cell>
          <cell r="BB183">
            <v>45027</v>
          </cell>
          <cell r="BG183">
            <v>45026</v>
          </cell>
        </row>
        <row r="184">
          <cell r="A184">
            <v>580</v>
          </cell>
          <cell r="B184">
            <v>198</v>
          </cell>
          <cell r="C184" t="str">
            <v>PN-298/ PN-299 / PN-300/ PN-301/ PN-302</v>
          </cell>
          <cell r="D184">
            <v>3</v>
          </cell>
          <cell r="E184">
            <v>40</v>
          </cell>
          <cell r="F184">
            <v>10</v>
          </cell>
          <cell r="G184">
            <v>40</v>
          </cell>
          <cell r="H184">
            <v>0</v>
          </cell>
          <cell r="I184" t="str">
            <v>-</v>
          </cell>
          <cell r="J184" t="str">
            <v>670/670</v>
          </cell>
          <cell r="K184" t="str">
            <v xml:space="preserve">CPIII 40 RS </v>
          </cell>
          <cell r="L184" t="str">
            <v>CP V</v>
          </cell>
          <cell r="M184" t="str">
            <v>SUPER PLASTIFICANTE</v>
          </cell>
          <cell r="N184" t="str">
            <v>MUROS DE VEDAÇÃO - GRANDE VITÓRIA E BAIXO GUANDU</v>
          </cell>
          <cell r="O184" t="str">
            <v>FORTANKS</v>
          </cell>
          <cell r="P184">
            <v>495</v>
          </cell>
          <cell r="Q184" t="str">
            <v>Gean</v>
          </cell>
          <cell r="R184">
            <v>45026</v>
          </cell>
          <cell r="S184">
            <v>0.67361111111111116</v>
          </cell>
          <cell r="T184">
            <v>0.66361111111111115</v>
          </cell>
          <cell r="U184" t="str">
            <v>X</v>
          </cell>
          <cell r="V184">
            <v>0.33333333333333331</v>
          </cell>
          <cell r="W184">
            <v>15.22</v>
          </cell>
          <cell r="X184">
            <v>16.28</v>
          </cell>
          <cell r="Y184">
            <v>0.41666666666666669</v>
          </cell>
          <cell r="Z184">
            <v>92.05</v>
          </cell>
          <cell r="AA184">
            <v>93.13</v>
          </cell>
          <cell r="AW184">
            <v>4</v>
          </cell>
          <cell r="AX184">
            <v>4</v>
          </cell>
          <cell r="AY184">
            <v>3</v>
          </cell>
          <cell r="AZ184">
            <v>3</v>
          </cell>
          <cell r="BB184">
            <v>45027</v>
          </cell>
          <cell r="BG184">
            <v>45026</v>
          </cell>
        </row>
        <row r="185">
          <cell r="A185">
            <v>581</v>
          </cell>
          <cell r="B185">
            <v>199</v>
          </cell>
          <cell r="C185" t="str">
            <v>PN-12/ PN-07/ PN-11</v>
          </cell>
          <cell r="D185">
            <v>8</v>
          </cell>
          <cell r="E185">
            <v>40</v>
          </cell>
          <cell r="F185">
            <v>10</v>
          </cell>
          <cell r="G185">
            <v>40</v>
          </cell>
          <cell r="H185">
            <v>0</v>
          </cell>
          <cell r="I185" t="str">
            <v>-</v>
          </cell>
          <cell r="J185" t="str">
            <v>670/660</v>
          </cell>
          <cell r="K185" t="str">
            <v xml:space="preserve">CPIII 40 RS </v>
          </cell>
          <cell r="L185" t="str">
            <v>CP V</v>
          </cell>
          <cell r="M185" t="str">
            <v>SUPER PLASTIFICANTE</v>
          </cell>
          <cell r="N185" t="str">
            <v>MEDIDOR DENSIDADE MADEIRA - PATIO DE TORAS</v>
          </cell>
          <cell r="O185" t="str">
            <v>FORTANKS</v>
          </cell>
          <cell r="P185">
            <v>495</v>
          </cell>
          <cell r="Q185" t="str">
            <v>Gean</v>
          </cell>
          <cell r="R185">
            <v>45030</v>
          </cell>
          <cell r="S185">
            <v>0.4375</v>
          </cell>
          <cell r="T185">
            <v>0.42749999999999999</v>
          </cell>
          <cell r="U185" t="str">
            <v>X</v>
          </cell>
          <cell r="V185">
            <v>0.33333333333333331</v>
          </cell>
          <cell r="W185">
            <v>20.5</v>
          </cell>
          <cell r="X185">
            <v>21.81</v>
          </cell>
          <cell r="Y185">
            <v>0.41666666666666669</v>
          </cell>
          <cell r="Z185">
            <v>93.44</v>
          </cell>
          <cell r="AA185">
            <v>93.01</v>
          </cell>
          <cell r="AW185">
            <v>3</v>
          </cell>
          <cell r="AX185">
            <v>4</v>
          </cell>
          <cell r="AY185">
            <v>4</v>
          </cell>
          <cell r="AZ185">
            <v>4</v>
          </cell>
          <cell r="BA185" t="str">
            <v>FORTES ENGENHARIA</v>
          </cell>
          <cell r="BB185">
            <v>45031</v>
          </cell>
          <cell r="BG185">
            <v>45030</v>
          </cell>
        </row>
        <row r="186">
          <cell r="A186">
            <v>582</v>
          </cell>
          <cell r="B186">
            <v>200</v>
          </cell>
          <cell r="C186" t="str">
            <v>PC-05</v>
          </cell>
          <cell r="D186">
            <v>6</v>
          </cell>
          <cell r="E186">
            <v>40</v>
          </cell>
          <cell r="F186">
            <v>10</v>
          </cell>
          <cell r="G186">
            <v>40</v>
          </cell>
          <cell r="H186">
            <v>0</v>
          </cell>
          <cell r="I186" t="str">
            <v>-</v>
          </cell>
          <cell r="J186" t="str">
            <v>670/670</v>
          </cell>
          <cell r="K186" t="str">
            <v xml:space="preserve">CPIII 40 RS </v>
          </cell>
          <cell r="L186" t="str">
            <v>CP V</v>
          </cell>
          <cell r="M186" t="str">
            <v>SUPER PLASTIFICANTE</v>
          </cell>
          <cell r="N186" t="str">
            <v>MEDIDOR DENSIDADE MADEIRA - PATIO DE TORAS</v>
          </cell>
          <cell r="O186" t="str">
            <v>FORTANKS</v>
          </cell>
          <cell r="P186">
            <v>495</v>
          </cell>
          <cell r="Q186" t="str">
            <v>Gean</v>
          </cell>
          <cell r="R186">
            <v>45030</v>
          </cell>
          <cell r="S186">
            <v>0.58333333333333337</v>
          </cell>
          <cell r="T186">
            <v>0.57333333333333336</v>
          </cell>
          <cell r="U186" t="str">
            <v>X</v>
          </cell>
          <cell r="V186">
            <v>0.33333333333333331</v>
          </cell>
          <cell r="W186">
            <v>13.81</v>
          </cell>
          <cell r="X186">
            <v>14.81</v>
          </cell>
          <cell r="Y186">
            <v>0.41666666666666669</v>
          </cell>
          <cell r="Z186">
            <v>80.739999999999995</v>
          </cell>
          <cell r="AA186">
            <v>82.38</v>
          </cell>
          <cell r="AW186">
            <v>3</v>
          </cell>
          <cell r="AX186">
            <v>4</v>
          </cell>
          <cell r="AY186">
            <v>5</v>
          </cell>
          <cell r="AZ186">
            <v>5</v>
          </cell>
          <cell r="BA186" t="str">
            <v>FORTES ENGENHARIA</v>
          </cell>
          <cell r="BB186">
            <v>45031</v>
          </cell>
          <cell r="BG186">
            <v>45030</v>
          </cell>
        </row>
        <row r="187">
          <cell r="A187" t="str">
            <v>582-A</v>
          </cell>
          <cell r="B187">
            <v>200</v>
          </cell>
          <cell r="C187" t="str">
            <v>PN-303/ PN-304/ PN-305/PN-306/ PN-307</v>
          </cell>
          <cell r="D187">
            <v>6</v>
          </cell>
          <cell r="E187">
            <v>40</v>
          </cell>
          <cell r="F187">
            <v>10</v>
          </cell>
          <cell r="G187">
            <v>40</v>
          </cell>
          <cell r="H187">
            <v>0</v>
          </cell>
          <cell r="I187" t="str">
            <v>-</v>
          </cell>
          <cell r="J187" t="str">
            <v>670/670</v>
          </cell>
          <cell r="K187" t="str">
            <v xml:space="preserve">CPIII 40 RS </v>
          </cell>
          <cell r="L187" t="str">
            <v>CP V</v>
          </cell>
          <cell r="M187" t="str">
            <v>SUPER PLASTIFICANTE</v>
          </cell>
          <cell r="N187" t="str">
            <v>MUROS DE VEDAÇÃO - GRANDE VITÓRIA E BAIXO GUANDU</v>
          </cell>
          <cell r="O187" t="str">
            <v>FORTANKS</v>
          </cell>
          <cell r="P187">
            <v>495</v>
          </cell>
          <cell r="Q187" t="str">
            <v>Gean</v>
          </cell>
          <cell r="R187">
            <v>45030</v>
          </cell>
          <cell r="S187">
            <v>0.58333333333333337</v>
          </cell>
          <cell r="T187">
            <v>0.57333333333333336</v>
          </cell>
          <cell r="U187" t="str">
            <v>X</v>
          </cell>
          <cell r="V187">
            <v>0.33333333333333331</v>
          </cell>
          <cell r="W187">
            <v>13.81</v>
          </cell>
          <cell r="X187">
            <v>14.81</v>
          </cell>
          <cell r="Y187">
            <v>0.41666666666666669</v>
          </cell>
          <cell r="Z187">
            <v>80.739999999999995</v>
          </cell>
          <cell r="AA187">
            <v>82.38</v>
          </cell>
          <cell r="AW187">
            <v>3</v>
          </cell>
          <cell r="AX187">
            <v>4</v>
          </cell>
          <cell r="AY187">
            <v>5</v>
          </cell>
          <cell r="AZ187">
            <v>5</v>
          </cell>
          <cell r="BA187" t="str">
            <v>FORTES ENGENHARIA</v>
          </cell>
          <cell r="BB187">
            <v>45031</v>
          </cell>
          <cell r="BG187">
            <v>45030</v>
          </cell>
        </row>
        <row r="188">
          <cell r="A188">
            <v>583</v>
          </cell>
          <cell r="B188">
            <v>201</v>
          </cell>
          <cell r="C188" t="str">
            <v>PN-15 / PN-10</v>
          </cell>
          <cell r="D188">
            <v>5</v>
          </cell>
          <cell r="E188">
            <v>40</v>
          </cell>
          <cell r="F188">
            <v>10</v>
          </cell>
          <cell r="G188">
            <v>40</v>
          </cell>
          <cell r="H188">
            <v>0</v>
          </cell>
          <cell r="I188" t="str">
            <v>-</v>
          </cell>
          <cell r="J188" t="str">
            <v>660/670</v>
          </cell>
          <cell r="K188" t="str">
            <v xml:space="preserve">CPIII 40 RS </v>
          </cell>
          <cell r="L188" t="str">
            <v>CP V</v>
          </cell>
          <cell r="M188" t="str">
            <v>SUPER PLASTIFICANTE</v>
          </cell>
          <cell r="N188" t="str">
            <v>MEDIDOR DENSIDADE MADEIRA - PATIO DE TORAS</v>
          </cell>
          <cell r="O188" t="str">
            <v>FORTANKS</v>
          </cell>
          <cell r="P188">
            <v>495</v>
          </cell>
          <cell r="Q188" t="str">
            <v>Gean</v>
          </cell>
          <cell r="R188">
            <v>45031</v>
          </cell>
          <cell r="S188">
            <v>0.59027777777777779</v>
          </cell>
          <cell r="T188">
            <v>0.58027777777777778</v>
          </cell>
          <cell r="U188" t="str">
            <v>X</v>
          </cell>
          <cell r="V188">
            <v>0.33333333333333331</v>
          </cell>
          <cell r="W188">
            <v>50.17</v>
          </cell>
          <cell r="X188">
            <v>51.27</v>
          </cell>
          <cell r="Y188">
            <v>0.41666666666666669</v>
          </cell>
          <cell r="Z188">
            <v>86.75</v>
          </cell>
          <cell r="AA188">
            <v>84.9</v>
          </cell>
          <cell r="AW188">
            <v>3</v>
          </cell>
          <cell r="AX188">
            <v>4</v>
          </cell>
          <cell r="AY188">
            <v>4</v>
          </cell>
          <cell r="AZ188">
            <v>4</v>
          </cell>
          <cell r="BA188" t="str">
            <v>FORTES ENGENHARIA</v>
          </cell>
          <cell r="BB188">
            <v>45032</v>
          </cell>
          <cell r="BG188">
            <v>45031</v>
          </cell>
        </row>
        <row r="189">
          <cell r="A189">
            <v>584</v>
          </cell>
          <cell r="B189">
            <v>202</v>
          </cell>
          <cell r="C189" t="str">
            <v>PNI-23 / PC-08</v>
          </cell>
          <cell r="D189">
            <v>7.5</v>
          </cell>
          <cell r="E189">
            <v>40</v>
          </cell>
          <cell r="F189">
            <v>10</v>
          </cell>
          <cell r="G189">
            <v>40</v>
          </cell>
          <cell r="H189">
            <v>0</v>
          </cell>
          <cell r="I189" t="str">
            <v>-</v>
          </cell>
          <cell r="J189" t="str">
            <v>660/670</v>
          </cell>
          <cell r="K189" t="str">
            <v xml:space="preserve">CPIII 40 RS </v>
          </cell>
          <cell r="L189" t="str">
            <v>CP V</v>
          </cell>
          <cell r="M189" t="str">
            <v>SUPER PLASTIFICANTE</v>
          </cell>
          <cell r="N189" t="str">
            <v>MEDIDOR DENSIDADE MADEIRA - PATIO DE TORAS</v>
          </cell>
          <cell r="O189" t="str">
            <v>FORTANKS</v>
          </cell>
          <cell r="P189">
            <v>495</v>
          </cell>
          <cell r="Q189" t="str">
            <v>Gean</v>
          </cell>
          <cell r="R189">
            <v>45034</v>
          </cell>
          <cell r="S189">
            <v>0.63888888888888895</v>
          </cell>
          <cell r="T189">
            <v>0.62888888888888894</v>
          </cell>
          <cell r="U189" t="str">
            <v>X</v>
          </cell>
          <cell r="V189">
            <v>0.33333333333333331</v>
          </cell>
          <cell r="W189">
            <v>16.579999999999998</v>
          </cell>
          <cell r="X189">
            <v>17.03</v>
          </cell>
          <cell r="Y189">
            <v>0.41666666666666669</v>
          </cell>
          <cell r="Z189">
            <v>92.67</v>
          </cell>
          <cell r="AA189">
            <v>91.45</v>
          </cell>
          <cell r="AW189">
            <v>3</v>
          </cell>
          <cell r="AX189">
            <v>4</v>
          </cell>
          <cell r="AY189">
            <v>3</v>
          </cell>
          <cell r="AZ189">
            <v>4</v>
          </cell>
          <cell r="BA189" t="str">
            <v>FORTES ENGENHARIA</v>
          </cell>
          <cell r="BB189">
            <v>45035</v>
          </cell>
          <cell r="BG189">
            <v>45034</v>
          </cell>
        </row>
        <row r="190">
          <cell r="A190" t="str">
            <v>584-A</v>
          </cell>
          <cell r="B190">
            <v>202</v>
          </cell>
          <cell r="C190" t="str">
            <v>PN-308/ PN-309/ PN-310/ PN-311/ PN-312</v>
          </cell>
          <cell r="D190">
            <v>7.5</v>
          </cell>
          <cell r="E190">
            <v>40</v>
          </cell>
          <cell r="F190">
            <v>10</v>
          </cell>
          <cell r="G190">
            <v>40</v>
          </cell>
          <cell r="H190">
            <v>0</v>
          </cell>
          <cell r="I190" t="str">
            <v>-</v>
          </cell>
          <cell r="J190" t="str">
            <v>660/670</v>
          </cell>
          <cell r="K190" t="str">
            <v xml:space="preserve">CPIII 40 RS </v>
          </cell>
          <cell r="L190" t="str">
            <v>CP V</v>
          </cell>
          <cell r="M190" t="str">
            <v>SUPER PLASTIFICANTE</v>
          </cell>
          <cell r="N190" t="str">
            <v>MUROS DE VEDAÇÃO - GRANDE VITÓRIA E BAIXO GUANDU</v>
          </cell>
          <cell r="O190" t="str">
            <v>FORTANKS</v>
          </cell>
          <cell r="P190">
            <v>495</v>
          </cell>
          <cell r="Q190" t="str">
            <v>Gean</v>
          </cell>
          <cell r="R190">
            <v>45034</v>
          </cell>
          <cell r="S190">
            <v>0.63888888888888895</v>
          </cell>
          <cell r="T190">
            <v>0.62888888888888894</v>
          </cell>
          <cell r="U190" t="str">
            <v>X</v>
          </cell>
          <cell r="V190">
            <v>0.33333333333333331</v>
          </cell>
          <cell r="W190">
            <v>16.579999999999998</v>
          </cell>
          <cell r="X190">
            <v>17.03</v>
          </cell>
          <cell r="Y190">
            <v>0.41666666666666669</v>
          </cell>
          <cell r="Z190">
            <v>92.67</v>
          </cell>
          <cell r="AA190">
            <v>91.45</v>
          </cell>
          <cell r="AW190">
            <v>3</v>
          </cell>
          <cell r="AX190">
            <v>4</v>
          </cell>
          <cell r="AY190">
            <v>3</v>
          </cell>
          <cell r="AZ190">
            <v>4</v>
          </cell>
          <cell r="BA190" t="str">
            <v>FORTES ENGENHARIA</v>
          </cell>
          <cell r="BB190">
            <v>45035</v>
          </cell>
          <cell r="BG190">
            <v>45034</v>
          </cell>
        </row>
        <row r="191">
          <cell r="A191">
            <v>585</v>
          </cell>
          <cell r="B191">
            <v>203</v>
          </cell>
          <cell r="C191" t="str">
            <v>PC-01 / PNI-31</v>
          </cell>
          <cell r="D191">
            <v>8</v>
          </cell>
          <cell r="E191">
            <v>40</v>
          </cell>
          <cell r="F191">
            <v>10</v>
          </cell>
          <cell r="G191">
            <v>40</v>
          </cell>
          <cell r="H191">
            <v>0</v>
          </cell>
          <cell r="I191" t="str">
            <v>-</v>
          </cell>
          <cell r="J191" t="str">
            <v>670/670</v>
          </cell>
          <cell r="K191" t="str">
            <v xml:space="preserve">CPIII 40 RS </v>
          </cell>
          <cell r="L191" t="str">
            <v>CP V</v>
          </cell>
          <cell r="M191" t="str">
            <v>SUPER PLASTIFICANTE</v>
          </cell>
          <cell r="N191" t="str">
            <v>MEDIDOR DENSIDADE MADEIRA - PATIO DE TORAS</v>
          </cell>
          <cell r="O191" t="str">
            <v>FORTANKS</v>
          </cell>
          <cell r="P191">
            <v>495</v>
          </cell>
          <cell r="Q191" t="str">
            <v>Gean</v>
          </cell>
          <cell r="R191">
            <v>45035</v>
          </cell>
          <cell r="S191">
            <v>0.64583333333333337</v>
          </cell>
          <cell r="T191">
            <v>0.63583333333333336</v>
          </cell>
          <cell r="U191" t="str">
            <v>X</v>
          </cell>
          <cell r="V191">
            <v>0.33333333333333331</v>
          </cell>
          <cell r="W191">
            <v>10.87</v>
          </cell>
          <cell r="X191">
            <v>11.03</v>
          </cell>
          <cell r="Y191">
            <v>0.41666666666666669</v>
          </cell>
          <cell r="Z191">
            <v>83.35</v>
          </cell>
          <cell r="AA191">
            <v>84.81</v>
          </cell>
          <cell r="AW191">
            <v>4</v>
          </cell>
          <cell r="AX191">
            <v>4</v>
          </cell>
          <cell r="AY191">
            <v>3</v>
          </cell>
          <cell r="AZ191">
            <v>3</v>
          </cell>
          <cell r="BA191" t="str">
            <v>FORTES ENGENHARIA</v>
          </cell>
          <cell r="BB191">
            <v>45036</v>
          </cell>
          <cell r="BG191">
            <v>45035</v>
          </cell>
        </row>
        <row r="192">
          <cell r="A192" t="str">
            <v>585-A</v>
          </cell>
          <cell r="B192">
            <v>203</v>
          </cell>
          <cell r="C192" t="str">
            <v>PN-313/ PN-314/ PN-315/ PN-316/ PN-317</v>
          </cell>
          <cell r="D192">
            <v>8</v>
          </cell>
          <cell r="E192">
            <v>40</v>
          </cell>
          <cell r="F192">
            <v>10</v>
          </cell>
          <cell r="G192">
            <v>40</v>
          </cell>
          <cell r="H192">
            <v>0</v>
          </cell>
          <cell r="I192" t="str">
            <v>-</v>
          </cell>
          <cell r="J192" t="str">
            <v>670/670</v>
          </cell>
          <cell r="K192" t="str">
            <v xml:space="preserve">CPIII 40 RS </v>
          </cell>
          <cell r="L192" t="str">
            <v>CP V</v>
          </cell>
          <cell r="M192" t="str">
            <v>SUPER PLASTIFICANTE</v>
          </cell>
          <cell r="N192" t="str">
            <v>MUROS DE VEDAÇÃO - GRANDE VITÓRIA E BAIXO GUANDU</v>
          </cell>
          <cell r="O192" t="str">
            <v>FORTANKS</v>
          </cell>
          <cell r="P192">
            <v>495</v>
          </cell>
          <cell r="Q192" t="str">
            <v>Gean</v>
          </cell>
          <cell r="R192">
            <v>45035</v>
          </cell>
          <cell r="S192">
            <v>0.64583333333333337</v>
          </cell>
          <cell r="T192">
            <v>0.63583333333333336</v>
          </cell>
          <cell r="U192" t="str">
            <v>X</v>
          </cell>
          <cell r="V192">
            <v>0.33333333333333331</v>
          </cell>
          <cell r="W192">
            <v>10.87</v>
          </cell>
          <cell r="X192">
            <v>11.03</v>
          </cell>
          <cell r="Y192">
            <v>0.41666666666666669</v>
          </cell>
          <cell r="Z192">
            <v>83.35</v>
          </cell>
          <cell r="AA192">
            <v>84.81</v>
          </cell>
          <cell r="AW192">
            <v>4</v>
          </cell>
          <cell r="AX192">
            <v>4</v>
          </cell>
          <cell r="AY192">
            <v>3</v>
          </cell>
          <cell r="AZ192">
            <v>3</v>
          </cell>
          <cell r="BA192" t="str">
            <v>FORTES ENGENHARIA</v>
          </cell>
          <cell r="BB192">
            <v>45036</v>
          </cell>
          <cell r="BG192">
            <v>45035</v>
          </cell>
        </row>
        <row r="193">
          <cell r="A193">
            <v>586</v>
          </cell>
          <cell r="B193">
            <v>204</v>
          </cell>
          <cell r="C193" t="str">
            <v>PC-06 / PC-13</v>
          </cell>
          <cell r="D193">
            <v>6</v>
          </cell>
          <cell r="E193">
            <v>40</v>
          </cell>
          <cell r="F193">
            <v>10</v>
          </cell>
          <cell r="G193">
            <v>40</v>
          </cell>
          <cell r="H193">
            <v>0</v>
          </cell>
          <cell r="I193" t="str">
            <v>-</v>
          </cell>
          <cell r="J193" t="str">
            <v>650/660</v>
          </cell>
          <cell r="K193" t="str">
            <v xml:space="preserve">CPIII 40 RS </v>
          </cell>
          <cell r="L193" t="str">
            <v>CP V</v>
          </cell>
          <cell r="M193" t="str">
            <v>SUPER PLASTIFICANTE</v>
          </cell>
          <cell r="N193" t="str">
            <v>MEDIDOR DENSIDADE MADEIRA - PATIO DE TORAS</v>
          </cell>
          <cell r="O193" t="str">
            <v>FORTANKS</v>
          </cell>
          <cell r="P193">
            <v>495</v>
          </cell>
          <cell r="Q193" t="str">
            <v>Gean</v>
          </cell>
          <cell r="R193">
            <v>45036</v>
          </cell>
          <cell r="S193">
            <v>0.62152777777777779</v>
          </cell>
          <cell r="T193">
            <v>0.61152777777777778</v>
          </cell>
          <cell r="U193" t="str">
            <v>X</v>
          </cell>
          <cell r="V193">
            <v>0.33333333333333331</v>
          </cell>
          <cell r="W193">
            <v>52.64</v>
          </cell>
          <cell r="X193">
            <v>52.5</v>
          </cell>
          <cell r="Y193">
            <v>0.41666666666666669</v>
          </cell>
          <cell r="Z193">
            <v>93.98</v>
          </cell>
          <cell r="AA193">
            <v>92.18</v>
          </cell>
          <cell r="AW193">
            <v>3</v>
          </cell>
          <cell r="AX193">
            <v>4</v>
          </cell>
          <cell r="AY193">
            <v>4</v>
          </cell>
          <cell r="AZ193">
            <v>4</v>
          </cell>
          <cell r="BA193" t="str">
            <v>FORTES ENGENHARIA</v>
          </cell>
          <cell r="BB193">
            <v>45037</v>
          </cell>
          <cell r="BG193">
            <v>45036</v>
          </cell>
        </row>
        <row r="194">
          <cell r="A194">
            <v>587</v>
          </cell>
          <cell r="B194">
            <v>205</v>
          </cell>
          <cell r="C194" t="str">
            <v>PC-09</v>
          </cell>
          <cell r="D194">
            <v>5</v>
          </cell>
          <cell r="E194">
            <v>40</v>
          </cell>
          <cell r="F194">
            <v>10</v>
          </cell>
          <cell r="G194">
            <v>40</v>
          </cell>
          <cell r="H194">
            <v>0</v>
          </cell>
          <cell r="I194" t="str">
            <v>-</v>
          </cell>
          <cell r="J194" t="str">
            <v>650/650</v>
          </cell>
          <cell r="K194" t="str">
            <v xml:space="preserve">CPIII 40 RS </v>
          </cell>
          <cell r="L194" t="str">
            <v>CP V</v>
          </cell>
          <cell r="M194" t="str">
            <v>SUPER PLASTIFICANTE</v>
          </cell>
          <cell r="N194" t="str">
            <v>MEDIDOR DENSIDADE MADEIRA - PATIO DE TORAS</v>
          </cell>
          <cell r="O194" t="str">
            <v>FORTANKS</v>
          </cell>
          <cell r="P194">
            <v>495</v>
          </cell>
          <cell r="Q194" t="str">
            <v>Gean</v>
          </cell>
          <cell r="R194">
            <v>45040</v>
          </cell>
          <cell r="S194">
            <v>0.59722222222222221</v>
          </cell>
          <cell r="T194">
            <v>0.5872222222222222</v>
          </cell>
          <cell r="U194" t="str">
            <v>X</v>
          </cell>
          <cell r="V194">
            <v>0.33333333333333331</v>
          </cell>
          <cell r="W194">
            <v>18.48</v>
          </cell>
          <cell r="X194">
            <v>19.98</v>
          </cell>
          <cell r="Y194">
            <v>0.41666666666666669</v>
          </cell>
          <cell r="Z194">
            <v>93.59</v>
          </cell>
          <cell r="AA194">
            <v>92.28</v>
          </cell>
          <cell r="AW194">
            <v>3</v>
          </cell>
          <cell r="AX194">
            <v>4</v>
          </cell>
          <cell r="AY194">
            <v>4</v>
          </cell>
          <cell r="AZ194">
            <v>4</v>
          </cell>
          <cell r="BA194" t="str">
            <v>FORTES ENGENHARIA</v>
          </cell>
          <cell r="BB194">
            <v>45041</v>
          </cell>
          <cell r="BG194">
            <v>45040</v>
          </cell>
        </row>
        <row r="195">
          <cell r="A195" t="str">
            <v>587-A</v>
          </cell>
          <cell r="B195">
            <v>205</v>
          </cell>
          <cell r="C195" t="str">
            <v>PN-318 / PN-319/ PN-320/ PN-321/ PN-322</v>
          </cell>
          <cell r="D195">
            <v>5</v>
          </cell>
          <cell r="E195">
            <v>40</v>
          </cell>
          <cell r="F195">
            <v>10</v>
          </cell>
          <cell r="G195">
            <v>40</v>
          </cell>
          <cell r="H195">
            <v>0</v>
          </cell>
          <cell r="I195" t="str">
            <v>-</v>
          </cell>
          <cell r="J195" t="str">
            <v>650/650</v>
          </cell>
          <cell r="K195" t="str">
            <v xml:space="preserve">CPIII 40 RS </v>
          </cell>
          <cell r="L195" t="str">
            <v>CP V</v>
          </cell>
          <cell r="M195" t="str">
            <v>SUPER PLASTIFICANTE</v>
          </cell>
          <cell r="N195" t="str">
            <v>MUROS DE VEDAÇÃO - GRANDE VITÓRIA E BAIXO GUANDU</v>
          </cell>
          <cell r="O195" t="str">
            <v>FORTANKS</v>
          </cell>
          <cell r="P195">
            <v>495</v>
          </cell>
          <cell r="Q195" t="str">
            <v>Gean</v>
          </cell>
          <cell r="R195">
            <v>45040</v>
          </cell>
          <cell r="S195">
            <v>0.59722222222222221</v>
          </cell>
          <cell r="T195">
            <v>0.5872222222222222</v>
          </cell>
          <cell r="U195" t="str">
            <v>X</v>
          </cell>
          <cell r="V195">
            <v>0.33333333333333331</v>
          </cell>
          <cell r="W195">
            <v>18.48</v>
          </cell>
          <cell r="X195">
            <v>19.98</v>
          </cell>
          <cell r="Y195">
            <v>0.41666666666666669</v>
          </cell>
          <cell r="Z195">
            <v>93.59</v>
          </cell>
          <cell r="AA195">
            <v>92.28</v>
          </cell>
          <cell r="AW195">
            <v>3</v>
          </cell>
          <cell r="AX195">
            <v>4</v>
          </cell>
          <cell r="AY195">
            <v>4</v>
          </cell>
          <cell r="AZ195">
            <v>4</v>
          </cell>
          <cell r="BA195" t="str">
            <v>FORTES ENGENHARIA</v>
          </cell>
          <cell r="BB195">
            <v>45041</v>
          </cell>
          <cell r="BG195">
            <v>45040</v>
          </cell>
        </row>
        <row r="196">
          <cell r="A196">
            <v>588</v>
          </cell>
          <cell r="B196">
            <v>206</v>
          </cell>
          <cell r="C196" t="str">
            <v>PC-16</v>
          </cell>
          <cell r="D196">
            <v>5.5</v>
          </cell>
          <cell r="E196">
            <v>40</v>
          </cell>
          <cell r="F196">
            <v>10</v>
          </cell>
          <cell r="G196">
            <v>40</v>
          </cell>
          <cell r="H196">
            <v>0</v>
          </cell>
          <cell r="I196" t="str">
            <v>-</v>
          </cell>
          <cell r="J196" t="str">
            <v>650/660</v>
          </cell>
          <cell r="K196" t="str">
            <v xml:space="preserve">CPIII 40 RS </v>
          </cell>
          <cell r="L196" t="str">
            <v>CP V</v>
          </cell>
          <cell r="M196" t="str">
            <v>SUPER PLASTIFICANTE</v>
          </cell>
          <cell r="N196" t="str">
            <v>MEDIDOR DENSIDADE MADEIRA - PATIO DE TORAS</v>
          </cell>
          <cell r="O196" t="str">
            <v>FORTANKS</v>
          </cell>
          <cell r="P196">
            <v>495</v>
          </cell>
          <cell r="Q196" t="str">
            <v>Gean</v>
          </cell>
          <cell r="R196">
            <v>45040</v>
          </cell>
          <cell r="S196">
            <v>0.66319444444444442</v>
          </cell>
          <cell r="T196">
            <v>0.65319444444444441</v>
          </cell>
          <cell r="U196" t="str">
            <v>X</v>
          </cell>
          <cell r="V196">
            <v>0.33333333333333331</v>
          </cell>
          <cell r="W196">
            <v>15.44</v>
          </cell>
          <cell r="X196">
            <v>15.61</v>
          </cell>
          <cell r="Y196">
            <v>0.41666666666666669</v>
          </cell>
          <cell r="Z196">
            <v>93.87</v>
          </cell>
          <cell r="AA196">
            <v>93.05</v>
          </cell>
          <cell r="AW196">
            <v>4</v>
          </cell>
          <cell r="AX196">
            <v>4</v>
          </cell>
          <cell r="AY196">
            <v>3</v>
          </cell>
          <cell r="AZ196">
            <v>4</v>
          </cell>
          <cell r="BA196" t="str">
            <v>FORTES ENGENHARIA</v>
          </cell>
          <cell r="BB196">
            <v>45041</v>
          </cell>
          <cell r="BG196">
            <v>45040</v>
          </cell>
        </row>
        <row r="197">
          <cell r="A197" t="str">
            <v>588-A</v>
          </cell>
          <cell r="B197">
            <v>206</v>
          </cell>
          <cell r="C197" t="str">
            <v>PN-A1/ PN-02/ PN-03</v>
          </cell>
          <cell r="D197">
            <v>5.5</v>
          </cell>
          <cell r="E197">
            <v>40</v>
          </cell>
          <cell r="F197">
            <v>10</v>
          </cell>
          <cell r="G197">
            <v>40</v>
          </cell>
          <cell r="H197">
            <v>0</v>
          </cell>
          <cell r="I197" t="str">
            <v>-</v>
          </cell>
          <cell r="J197" t="str">
            <v>650/660</v>
          </cell>
          <cell r="K197" t="str">
            <v xml:space="preserve">CPIII 40 RS </v>
          </cell>
          <cell r="L197" t="str">
            <v>CP V</v>
          </cell>
          <cell r="M197" t="str">
            <v>SUPER PLASTIFICANTE</v>
          </cell>
          <cell r="N197" t="str">
            <v>AIMORÉS - MUROS DE VEDAÇÃO</v>
          </cell>
          <cell r="O197" t="str">
            <v>FORTANKS</v>
          </cell>
          <cell r="P197">
            <v>495</v>
          </cell>
          <cell r="Q197" t="str">
            <v>Gean</v>
          </cell>
          <cell r="R197">
            <v>45040</v>
          </cell>
          <cell r="S197">
            <v>0.66319444444444442</v>
          </cell>
          <cell r="T197">
            <v>0.65319444444444441</v>
          </cell>
          <cell r="U197" t="str">
            <v>X</v>
          </cell>
          <cell r="V197">
            <v>0.33333333333333331</v>
          </cell>
          <cell r="W197">
            <v>15.44</v>
          </cell>
          <cell r="X197">
            <v>15.61</v>
          </cell>
          <cell r="Y197">
            <v>0.41666666666666669</v>
          </cell>
          <cell r="Z197">
            <v>93.87</v>
          </cell>
          <cell r="AA197">
            <v>93.05</v>
          </cell>
          <cell r="AW197">
            <v>4</v>
          </cell>
          <cell r="AX197">
            <v>4</v>
          </cell>
          <cell r="AY197">
            <v>3</v>
          </cell>
          <cell r="AZ197">
            <v>4</v>
          </cell>
          <cell r="BA197" t="str">
            <v>FORTES ENGENHARIA</v>
          </cell>
          <cell r="BB197">
            <v>45041</v>
          </cell>
          <cell r="BG197">
            <v>45040</v>
          </cell>
        </row>
        <row r="198">
          <cell r="A198">
            <v>589</v>
          </cell>
          <cell r="B198">
            <v>207</v>
          </cell>
          <cell r="C198" t="str">
            <v>PC-14 / PN-18</v>
          </cell>
          <cell r="D198">
            <v>8</v>
          </cell>
          <cell r="E198">
            <v>40</v>
          </cell>
          <cell r="F198">
            <v>10</v>
          </cell>
          <cell r="G198">
            <v>40</v>
          </cell>
          <cell r="H198">
            <v>0</v>
          </cell>
          <cell r="I198" t="str">
            <v>-</v>
          </cell>
          <cell r="J198" t="str">
            <v>660/660</v>
          </cell>
          <cell r="K198" t="str">
            <v xml:space="preserve">CPIII 40 RS </v>
          </cell>
          <cell r="L198" t="str">
            <v>CP V</v>
          </cell>
          <cell r="M198" t="str">
            <v>SUPER PLASTIFICANTE</v>
          </cell>
          <cell r="N198" t="str">
            <v>MEDIDOR DENSIDADE MADEIRA - PATIO DE TORAS</v>
          </cell>
          <cell r="O198" t="str">
            <v>FORTANKS</v>
          </cell>
          <cell r="P198">
            <v>495</v>
          </cell>
          <cell r="Q198" t="str">
            <v>Gean</v>
          </cell>
          <cell r="R198">
            <v>45041</v>
          </cell>
          <cell r="S198">
            <v>0.65625</v>
          </cell>
          <cell r="T198">
            <v>0.64624999999999999</v>
          </cell>
          <cell r="U198" t="str">
            <v>X</v>
          </cell>
          <cell r="V198">
            <v>0.33333333333333331</v>
          </cell>
          <cell r="W198">
            <v>13.25</v>
          </cell>
          <cell r="X198">
            <v>11.22</v>
          </cell>
          <cell r="Y198">
            <v>0.41666666666666669</v>
          </cell>
          <cell r="Z198">
            <v>89.44</v>
          </cell>
          <cell r="AA198">
            <v>89.61</v>
          </cell>
          <cell r="AW198">
            <v>5</v>
          </cell>
          <cell r="AX198">
            <v>4</v>
          </cell>
          <cell r="AY198">
            <v>4</v>
          </cell>
          <cell r="AZ198">
            <v>4</v>
          </cell>
          <cell r="BA198" t="str">
            <v>FORTES ENGENHARIA</v>
          </cell>
          <cell r="BB198">
            <v>45042</v>
          </cell>
          <cell r="BG198">
            <v>45041</v>
          </cell>
        </row>
        <row r="199">
          <cell r="A199" t="str">
            <v>589-A</v>
          </cell>
          <cell r="B199">
            <v>207</v>
          </cell>
          <cell r="C199" t="str">
            <v>PN-323/ PN-324/ PN-325</v>
          </cell>
          <cell r="D199">
            <v>8</v>
          </cell>
          <cell r="E199">
            <v>40</v>
          </cell>
          <cell r="F199">
            <v>10</v>
          </cell>
          <cell r="G199">
            <v>40</v>
          </cell>
          <cell r="H199">
            <v>0</v>
          </cell>
          <cell r="I199" t="str">
            <v>-</v>
          </cell>
          <cell r="J199" t="str">
            <v>660/660</v>
          </cell>
          <cell r="K199" t="str">
            <v xml:space="preserve">CPIII 40 RS </v>
          </cell>
          <cell r="L199" t="str">
            <v>CP V</v>
          </cell>
          <cell r="M199" t="str">
            <v>SUPER PLASTIFICANTE</v>
          </cell>
          <cell r="N199" t="str">
            <v>MUROS DE VEDAÇÃO - AIMORÉS</v>
          </cell>
          <cell r="O199" t="str">
            <v>FORTANKS</v>
          </cell>
          <cell r="P199">
            <v>495</v>
          </cell>
          <cell r="Q199" t="str">
            <v>Gean</v>
          </cell>
          <cell r="R199">
            <v>45041</v>
          </cell>
          <cell r="S199">
            <v>0.65625</v>
          </cell>
          <cell r="T199">
            <v>0.64624999999999999</v>
          </cell>
          <cell r="U199" t="str">
            <v>X</v>
          </cell>
          <cell r="V199">
            <v>0.33333333333333331</v>
          </cell>
          <cell r="W199">
            <v>13.25</v>
          </cell>
          <cell r="X199">
            <v>11.22</v>
          </cell>
          <cell r="Y199">
            <v>0.41666666666666669</v>
          </cell>
          <cell r="Z199">
            <v>89.44</v>
          </cell>
          <cell r="AA199">
            <v>89.61</v>
          </cell>
          <cell r="AW199">
            <v>5</v>
          </cell>
          <cell r="AX199">
            <v>4</v>
          </cell>
          <cell r="AY199">
            <v>4</v>
          </cell>
          <cell r="AZ199">
            <v>4</v>
          </cell>
          <cell r="BA199" t="str">
            <v>FORTES ENGENHARIA</v>
          </cell>
          <cell r="BB199">
            <v>45042</v>
          </cell>
          <cell r="BG199">
            <v>45041</v>
          </cell>
        </row>
        <row r="200">
          <cell r="A200">
            <v>590</v>
          </cell>
          <cell r="B200">
            <v>208</v>
          </cell>
          <cell r="C200" t="str">
            <v>PC-17</v>
          </cell>
          <cell r="D200">
            <v>6</v>
          </cell>
          <cell r="E200">
            <v>40</v>
          </cell>
          <cell r="F200">
            <v>10</v>
          </cell>
          <cell r="G200">
            <v>40</v>
          </cell>
          <cell r="H200">
            <v>0</v>
          </cell>
          <cell r="I200" t="str">
            <v>-</v>
          </cell>
          <cell r="J200" t="str">
            <v>660/670</v>
          </cell>
          <cell r="K200" t="str">
            <v xml:space="preserve">CPIII 40 RS </v>
          </cell>
          <cell r="L200" t="str">
            <v>CP V</v>
          </cell>
          <cell r="M200" t="str">
            <v>SUPER PLASTIFICANTE</v>
          </cell>
          <cell r="N200" t="str">
            <v>MEDIDOR DENSIDADE MADEIRA - PATIO DE TORAS</v>
          </cell>
          <cell r="O200" t="str">
            <v>FORTANKS</v>
          </cell>
          <cell r="P200">
            <v>495</v>
          </cell>
          <cell r="Q200" t="str">
            <v>Gean</v>
          </cell>
          <cell r="R200">
            <v>45042</v>
          </cell>
          <cell r="S200">
            <v>0.64583333333333337</v>
          </cell>
          <cell r="T200">
            <v>0.63583333333333336</v>
          </cell>
          <cell r="U200" t="str">
            <v>X</v>
          </cell>
          <cell r="V200">
            <v>0.33333333333333331</v>
          </cell>
          <cell r="W200">
            <v>14.31</v>
          </cell>
          <cell r="X200">
            <v>12.61</v>
          </cell>
          <cell r="Y200">
            <v>0.41666666666666669</v>
          </cell>
          <cell r="Z200">
            <v>88.33</v>
          </cell>
          <cell r="AA200">
            <v>89.32</v>
          </cell>
          <cell r="AW200">
            <v>3</v>
          </cell>
          <cell r="AX200">
            <v>4</v>
          </cell>
          <cell r="AY200">
            <v>3</v>
          </cell>
          <cell r="AZ200">
            <v>4</v>
          </cell>
          <cell r="BA200" t="str">
            <v>FORTES ENGENHARIA</v>
          </cell>
          <cell r="BB200">
            <v>45043</v>
          </cell>
          <cell r="BG200">
            <v>45042</v>
          </cell>
        </row>
        <row r="201">
          <cell r="A201" t="str">
            <v>590-A</v>
          </cell>
          <cell r="B201">
            <v>208</v>
          </cell>
          <cell r="C201" t="str">
            <v>PN-A4/ PN-A5/ PN-A6/ PN-A7/ PN-A8</v>
          </cell>
          <cell r="D201">
            <v>6</v>
          </cell>
          <cell r="E201">
            <v>40</v>
          </cell>
          <cell r="F201">
            <v>10</v>
          </cell>
          <cell r="G201">
            <v>40</v>
          </cell>
          <cell r="H201">
            <v>0</v>
          </cell>
          <cell r="I201" t="str">
            <v>-</v>
          </cell>
          <cell r="J201" t="str">
            <v>660/670</v>
          </cell>
          <cell r="K201" t="str">
            <v xml:space="preserve">CPIII 40 RS </v>
          </cell>
          <cell r="L201" t="str">
            <v>CP V</v>
          </cell>
          <cell r="M201" t="str">
            <v>SUPER PLASTIFICANTE</v>
          </cell>
          <cell r="N201" t="str">
            <v>AIMORÉS - MUROS DE VEDAÇÃO</v>
          </cell>
          <cell r="O201" t="str">
            <v>FORTANKS</v>
          </cell>
          <cell r="P201">
            <v>495</v>
          </cell>
          <cell r="Q201" t="str">
            <v>Gean</v>
          </cell>
          <cell r="R201">
            <v>45042</v>
          </cell>
          <cell r="S201">
            <v>0.64583333333333337</v>
          </cell>
          <cell r="T201">
            <v>0.63583333333333336</v>
          </cell>
          <cell r="U201" t="str">
            <v>X</v>
          </cell>
          <cell r="V201">
            <v>0.33333333333333331</v>
          </cell>
          <cell r="W201">
            <v>14.31</v>
          </cell>
          <cell r="X201">
            <v>12.61</v>
          </cell>
          <cell r="Y201">
            <v>0.41666666666666669</v>
          </cell>
          <cell r="Z201">
            <v>88.33</v>
          </cell>
          <cell r="AA201">
            <v>89.32</v>
          </cell>
          <cell r="AW201">
            <v>3</v>
          </cell>
          <cell r="AX201">
            <v>4</v>
          </cell>
          <cell r="AY201">
            <v>3</v>
          </cell>
          <cell r="AZ201">
            <v>4</v>
          </cell>
          <cell r="BA201" t="str">
            <v>FORTES ENGENHARIA</v>
          </cell>
          <cell r="BB201">
            <v>45043</v>
          </cell>
          <cell r="BG201">
            <v>45042</v>
          </cell>
        </row>
        <row r="202">
          <cell r="A202">
            <v>591</v>
          </cell>
          <cell r="B202">
            <v>209</v>
          </cell>
          <cell r="C202" t="str">
            <v>PN-A9/ PN-A10/ PN-A11/ PN-A12/PN-A13/ PN-A14/ PN-A15/ PN-A16/ PN-A17/PN-A18/ PN-A19/ PN-A20/ PN-A21/ PN-A22/ PN-A23</v>
          </cell>
          <cell r="D202">
            <v>8</v>
          </cell>
          <cell r="E202">
            <v>40</v>
          </cell>
          <cell r="F202">
            <v>10</v>
          </cell>
          <cell r="G202">
            <v>40</v>
          </cell>
          <cell r="H202">
            <v>0</v>
          </cell>
          <cell r="I202" t="str">
            <v>-</v>
          </cell>
          <cell r="J202" t="str">
            <v>660/670</v>
          </cell>
          <cell r="K202" t="str">
            <v xml:space="preserve">CPIII 40 RS </v>
          </cell>
          <cell r="L202" t="str">
            <v>CP V</v>
          </cell>
          <cell r="M202" t="str">
            <v>SUPER PLASTIFICANTE</v>
          </cell>
          <cell r="N202" t="str">
            <v>AIMORÉS - MUROS DE VEDAÇÃO</v>
          </cell>
          <cell r="O202" t="str">
            <v>FORTANKS</v>
          </cell>
          <cell r="P202">
            <v>495</v>
          </cell>
          <cell r="Q202" t="str">
            <v>Gean</v>
          </cell>
          <cell r="R202">
            <v>45045</v>
          </cell>
          <cell r="S202">
            <v>0.60416666666666663</v>
          </cell>
          <cell r="T202">
            <v>0.59416666666666662</v>
          </cell>
          <cell r="U202" t="str">
            <v>X</v>
          </cell>
          <cell r="V202">
            <v>0.33333333333333331</v>
          </cell>
          <cell r="W202">
            <v>41</v>
          </cell>
          <cell r="X202">
            <v>42.14</v>
          </cell>
          <cell r="Y202">
            <v>0.41666666666666669</v>
          </cell>
          <cell r="Z202">
            <v>76.569999999999993</v>
          </cell>
          <cell r="AA202">
            <v>75.53</v>
          </cell>
          <cell r="AW202">
            <v>4</v>
          </cell>
          <cell r="AX202">
            <v>4</v>
          </cell>
          <cell r="AY202">
            <v>4</v>
          </cell>
          <cell r="AZ202">
            <v>3</v>
          </cell>
          <cell r="BA202" t="str">
            <v>FORTES ENGENHARIA</v>
          </cell>
          <cell r="BB202">
            <v>45046</v>
          </cell>
          <cell r="BG202">
            <v>45045</v>
          </cell>
        </row>
        <row r="203">
          <cell r="A203">
            <v>592</v>
          </cell>
          <cell r="B203">
            <v>210</v>
          </cell>
          <cell r="C203" t="str">
            <v>PC-22 / PN-26</v>
          </cell>
          <cell r="D203">
            <v>6</v>
          </cell>
          <cell r="E203">
            <v>40</v>
          </cell>
          <cell r="F203">
            <v>10</v>
          </cell>
          <cell r="G203">
            <v>40</v>
          </cell>
          <cell r="H203">
            <v>0</v>
          </cell>
          <cell r="I203" t="str">
            <v>-</v>
          </cell>
          <cell r="J203" t="str">
            <v>660/660</v>
          </cell>
          <cell r="K203" t="str">
            <v xml:space="preserve">CPIII 40 RS </v>
          </cell>
          <cell r="L203" t="str">
            <v>CP V</v>
          </cell>
          <cell r="M203" t="str">
            <v>SUPER PLASTIFICANTE</v>
          </cell>
          <cell r="N203" t="str">
            <v>MEDIDOR DENSIDADE MADEIRA - PATIO DE TORAS</v>
          </cell>
          <cell r="O203" t="str">
            <v>FORTANKS</v>
          </cell>
          <cell r="P203">
            <v>495</v>
          </cell>
          <cell r="Q203" t="str">
            <v>Gean</v>
          </cell>
          <cell r="R203">
            <v>45045</v>
          </cell>
          <cell r="S203">
            <v>0.63194444444444442</v>
          </cell>
          <cell r="T203">
            <v>0.62194444444444441</v>
          </cell>
          <cell r="U203" t="str">
            <v>X</v>
          </cell>
          <cell r="V203">
            <v>0.35416666666666669</v>
          </cell>
          <cell r="W203">
            <v>42.32</v>
          </cell>
          <cell r="X203">
            <v>41.96</v>
          </cell>
          <cell r="Y203">
            <v>0.41666666666666669</v>
          </cell>
          <cell r="Z203">
            <v>82.4</v>
          </cell>
          <cell r="AA203">
            <v>83.6</v>
          </cell>
          <cell r="AW203">
            <v>4</v>
          </cell>
          <cell r="AX203">
            <v>4</v>
          </cell>
          <cell r="AY203">
            <v>3</v>
          </cell>
          <cell r="AZ203">
            <v>4</v>
          </cell>
          <cell r="BA203" t="str">
            <v>FORTES ENGENHARIA</v>
          </cell>
          <cell r="BB203">
            <v>45046</v>
          </cell>
          <cell r="BG203">
            <v>45045</v>
          </cell>
        </row>
        <row r="204">
          <cell r="A204">
            <v>593</v>
          </cell>
          <cell r="B204">
            <v>211</v>
          </cell>
          <cell r="C204" t="str">
            <v>PC-21 / PN-04</v>
          </cell>
          <cell r="D204">
            <v>6.5</v>
          </cell>
          <cell r="E204">
            <v>40</v>
          </cell>
          <cell r="F204">
            <v>10</v>
          </cell>
          <cell r="G204">
            <v>40</v>
          </cell>
          <cell r="H204">
            <v>0</v>
          </cell>
          <cell r="I204" t="str">
            <v>-</v>
          </cell>
          <cell r="J204" t="str">
            <v>660/650</v>
          </cell>
          <cell r="K204" t="str">
            <v xml:space="preserve">CPIII 40 RS </v>
          </cell>
          <cell r="L204" t="str">
            <v>CP V</v>
          </cell>
          <cell r="M204" t="str">
            <v>SUPER PLASTIFICANTE</v>
          </cell>
          <cell r="N204" t="str">
            <v>MEDIDOR DENSIDADE MADEIRA - PATIO DE TORAS</v>
          </cell>
          <cell r="O204" t="str">
            <v>FORTANKS</v>
          </cell>
          <cell r="P204">
            <v>495</v>
          </cell>
          <cell r="Q204" t="str">
            <v>Gean</v>
          </cell>
          <cell r="R204">
            <v>45045</v>
          </cell>
          <cell r="S204">
            <v>0.6875</v>
          </cell>
          <cell r="T204">
            <v>0.67749999999999999</v>
          </cell>
          <cell r="U204" t="str">
            <v>X</v>
          </cell>
          <cell r="V204">
            <v>0.36458333333333331</v>
          </cell>
          <cell r="W204">
            <v>39.99</v>
          </cell>
          <cell r="X204">
            <v>39.51</v>
          </cell>
          <cell r="Y204">
            <v>0.41666666666666669</v>
          </cell>
          <cell r="Z204">
            <v>68.84</v>
          </cell>
          <cell r="AA204">
            <v>67.23</v>
          </cell>
          <cell r="AW204">
            <v>3</v>
          </cell>
          <cell r="AX204">
            <v>4</v>
          </cell>
          <cell r="AY204">
            <v>4</v>
          </cell>
          <cell r="AZ204">
            <v>4</v>
          </cell>
          <cell r="BA204" t="str">
            <v>FORTES ENGENHARIA</v>
          </cell>
          <cell r="BB204">
            <v>45046</v>
          </cell>
          <cell r="BG204">
            <v>45045</v>
          </cell>
        </row>
        <row r="205">
          <cell r="A205">
            <v>594</v>
          </cell>
          <cell r="B205">
            <v>212</v>
          </cell>
          <cell r="C205" t="str">
            <v>PN-19 / PN-27'</v>
          </cell>
          <cell r="D205">
            <v>6</v>
          </cell>
          <cell r="E205">
            <v>40</v>
          </cell>
          <cell r="F205">
            <v>10</v>
          </cell>
          <cell r="G205">
            <v>40</v>
          </cell>
          <cell r="H205">
            <v>0</v>
          </cell>
          <cell r="I205" t="str">
            <v>-</v>
          </cell>
          <cell r="J205" t="str">
            <v>660/660</v>
          </cell>
          <cell r="K205" t="str">
            <v xml:space="preserve">CPIII 40 RS </v>
          </cell>
          <cell r="L205" t="str">
            <v>CP V</v>
          </cell>
          <cell r="M205" t="str">
            <v>SUPER PLASTIFICANTE</v>
          </cell>
          <cell r="N205" t="str">
            <v>MEDIDOR DENSIDADE MADEIRA - PATIO DE TORAS</v>
          </cell>
          <cell r="O205" t="str">
            <v>FORTANKS</v>
          </cell>
          <cell r="P205">
            <v>495</v>
          </cell>
          <cell r="Q205" t="str">
            <v>Gean</v>
          </cell>
          <cell r="R205">
            <v>45048</v>
          </cell>
          <cell r="S205">
            <v>0.625</v>
          </cell>
          <cell r="T205">
            <v>0.61499999999999999</v>
          </cell>
          <cell r="U205" t="str">
            <v>X</v>
          </cell>
          <cell r="V205">
            <v>0.33333333333333331</v>
          </cell>
          <cell r="W205">
            <v>24.89</v>
          </cell>
          <cell r="X205">
            <v>26.17</v>
          </cell>
          <cell r="Y205">
            <v>0.41666666666666669</v>
          </cell>
          <cell r="Z205">
            <v>85.5</v>
          </cell>
          <cell r="AA205">
            <v>87.18</v>
          </cell>
          <cell r="AW205">
            <v>3</v>
          </cell>
          <cell r="AX205">
            <v>4</v>
          </cell>
          <cell r="AY205">
            <v>4</v>
          </cell>
          <cell r="AZ205">
            <v>4</v>
          </cell>
          <cell r="BA205" t="str">
            <v>FORTES ENGENHARIA</v>
          </cell>
          <cell r="BB205">
            <v>45049</v>
          </cell>
          <cell r="BG205">
            <v>45048</v>
          </cell>
        </row>
        <row r="206">
          <cell r="A206">
            <v>595</v>
          </cell>
          <cell r="B206">
            <v>213</v>
          </cell>
          <cell r="C206" t="str">
            <v>PC-25 / PN-28</v>
          </cell>
          <cell r="D206">
            <v>9</v>
          </cell>
          <cell r="E206">
            <v>40</v>
          </cell>
          <cell r="F206">
            <v>10</v>
          </cell>
          <cell r="G206">
            <v>40</v>
          </cell>
          <cell r="H206">
            <v>0</v>
          </cell>
          <cell r="I206" t="str">
            <v>-</v>
          </cell>
          <cell r="J206" t="str">
            <v>650/660</v>
          </cell>
          <cell r="K206" t="str">
            <v xml:space="preserve">CPIII 40 RS </v>
          </cell>
          <cell r="L206" t="str">
            <v>CP V</v>
          </cell>
          <cell r="M206" t="str">
            <v>SUPER PLASTIFICANTE</v>
          </cell>
          <cell r="N206" t="str">
            <v>MEDIDOR DENSIDADE MADEIRA - PATIO DE TORAS</v>
          </cell>
          <cell r="O206" t="str">
            <v>FORTANKS</v>
          </cell>
          <cell r="P206">
            <v>495</v>
          </cell>
          <cell r="Q206" t="str">
            <v>Gean</v>
          </cell>
          <cell r="R206">
            <v>45051</v>
          </cell>
          <cell r="S206">
            <v>0.54861111111111105</v>
          </cell>
          <cell r="T206">
            <v>0.53861111111111104</v>
          </cell>
          <cell r="U206" t="str">
            <v>X</v>
          </cell>
          <cell r="V206">
            <v>0.35416666666666669</v>
          </cell>
          <cell r="W206">
            <v>18.940000000000001</v>
          </cell>
          <cell r="X206">
            <v>20.420000000000002</v>
          </cell>
          <cell r="Y206">
            <v>0.41666666666666669</v>
          </cell>
          <cell r="Z206">
            <v>87.22</v>
          </cell>
          <cell r="AA206">
            <v>89.7</v>
          </cell>
          <cell r="AW206">
            <v>4</v>
          </cell>
          <cell r="AX206">
            <v>4</v>
          </cell>
          <cell r="AY206">
            <v>3</v>
          </cell>
          <cell r="AZ206">
            <v>4</v>
          </cell>
          <cell r="BA206" t="str">
            <v>FORTES ENGENHARIA</v>
          </cell>
          <cell r="BB206">
            <v>45052</v>
          </cell>
          <cell r="BG206">
            <v>45051</v>
          </cell>
        </row>
        <row r="207">
          <cell r="A207" t="str">
            <v>596-A</v>
          </cell>
          <cell r="B207">
            <v>214</v>
          </cell>
          <cell r="C207" t="str">
            <v>PN-A24/ PN-A25/ PN-A26/ PN-A27/ PN-A28/ PN-A29/ PN-A30/ PN-A31</v>
          </cell>
          <cell r="D207">
            <v>8</v>
          </cell>
          <cell r="E207">
            <v>40</v>
          </cell>
          <cell r="F207">
            <v>10</v>
          </cell>
          <cell r="G207">
            <v>40</v>
          </cell>
          <cell r="H207">
            <v>0</v>
          </cell>
          <cell r="I207" t="str">
            <v>-</v>
          </cell>
          <cell r="J207" t="str">
            <v>660/660</v>
          </cell>
          <cell r="K207" t="str">
            <v xml:space="preserve">CPIII 40 RS </v>
          </cell>
          <cell r="L207" t="str">
            <v>CP V</v>
          </cell>
          <cell r="M207" t="str">
            <v>SUPER PLASTIFICANTE</v>
          </cell>
          <cell r="N207" t="str">
            <v>AIMORÉS - MUROS DE VEDAÇÃO</v>
          </cell>
          <cell r="O207" t="str">
            <v>FORTANKS</v>
          </cell>
          <cell r="P207">
            <v>495</v>
          </cell>
          <cell r="Q207" t="str">
            <v>Gean</v>
          </cell>
          <cell r="R207">
            <v>45051</v>
          </cell>
          <cell r="S207">
            <v>0.56944444444444442</v>
          </cell>
          <cell r="T207">
            <v>0.55944444444444441</v>
          </cell>
          <cell r="U207" t="str">
            <v>X</v>
          </cell>
          <cell r="V207">
            <v>0.54166666666666663</v>
          </cell>
          <cell r="W207">
            <v>24.85</v>
          </cell>
          <cell r="X207">
            <v>23.66</v>
          </cell>
          <cell r="Y207">
            <v>0.41666666666666669</v>
          </cell>
          <cell r="Z207">
            <v>86.18</v>
          </cell>
          <cell r="AA207">
            <v>85.92</v>
          </cell>
          <cell r="AW207">
            <v>2</v>
          </cell>
          <cell r="AX207">
            <v>3</v>
          </cell>
          <cell r="AY207">
            <v>3</v>
          </cell>
          <cell r="AZ207">
            <v>3</v>
          </cell>
          <cell r="BA207" t="str">
            <v>FORTES ENGENHARIA</v>
          </cell>
          <cell r="BB207">
            <v>45052</v>
          </cell>
          <cell r="BG207">
            <v>45051</v>
          </cell>
        </row>
        <row r="208">
          <cell r="A208">
            <v>596</v>
          </cell>
          <cell r="B208">
            <v>214</v>
          </cell>
          <cell r="C208" t="str">
            <v>PC-24 / PN-20</v>
          </cell>
          <cell r="D208">
            <v>8</v>
          </cell>
          <cell r="E208">
            <v>40</v>
          </cell>
          <cell r="F208">
            <v>10</v>
          </cell>
          <cell r="G208">
            <v>40</v>
          </cell>
          <cell r="H208">
            <v>0</v>
          </cell>
          <cell r="I208" t="str">
            <v>-</v>
          </cell>
          <cell r="J208" t="str">
            <v>660/660</v>
          </cell>
          <cell r="K208" t="str">
            <v xml:space="preserve">CPIII 40 RS </v>
          </cell>
          <cell r="L208" t="str">
            <v>CP V</v>
          </cell>
          <cell r="M208" t="str">
            <v>SUPER PLASTIFICANTE</v>
          </cell>
          <cell r="N208" t="str">
            <v>MEDIDOR DENSIDADE MADEIRA - PATIO DE TORAS</v>
          </cell>
          <cell r="O208" t="str">
            <v>FORTANKS</v>
          </cell>
          <cell r="P208">
            <v>495</v>
          </cell>
          <cell r="Q208" t="str">
            <v>Gean</v>
          </cell>
          <cell r="R208">
            <v>45051</v>
          </cell>
          <cell r="S208">
            <v>0.56944444444444442</v>
          </cell>
          <cell r="T208">
            <v>0.55944444444444441</v>
          </cell>
          <cell r="U208" t="str">
            <v>X</v>
          </cell>
          <cell r="V208">
            <v>0.54166666666666663</v>
          </cell>
          <cell r="W208">
            <v>24.85</v>
          </cell>
          <cell r="X208">
            <v>23.66</v>
          </cell>
          <cell r="Y208">
            <v>0.41666666666666669</v>
          </cell>
          <cell r="Z208">
            <v>86.18</v>
          </cell>
          <cell r="AA208">
            <v>85.92</v>
          </cell>
          <cell r="AW208">
            <v>2</v>
          </cell>
          <cell r="AX208">
            <v>3</v>
          </cell>
          <cell r="AY208">
            <v>3</v>
          </cell>
          <cell r="AZ208">
            <v>3</v>
          </cell>
          <cell r="BA208" t="str">
            <v>FORTES ENGENHARIA</v>
          </cell>
          <cell r="BB208">
            <v>45052</v>
          </cell>
          <cell r="BG208">
            <v>45051</v>
          </cell>
        </row>
        <row r="209">
          <cell r="A209">
            <v>597</v>
          </cell>
          <cell r="B209">
            <v>215</v>
          </cell>
          <cell r="C209" t="str">
            <v>PN-A32/ PN-A33/ PN-A34/ PN-A35/ PN-A36/ PN-A37/ PN-A38</v>
          </cell>
          <cell r="D209">
            <v>3.5</v>
          </cell>
          <cell r="E209">
            <v>40</v>
          </cell>
          <cell r="F209">
            <v>10</v>
          </cell>
          <cell r="G209">
            <v>40</v>
          </cell>
          <cell r="H209">
            <v>0</v>
          </cell>
          <cell r="I209" t="str">
            <v>-</v>
          </cell>
          <cell r="J209" t="str">
            <v>660/660</v>
          </cell>
          <cell r="K209" t="str">
            <v xml:space="preserve">CPIII 40 RS </v>
          </cell>
          <cell r="L209" t="str">
            <v>CP V</v>
          </cell>
          <cell r="M209" t="str">
            <v>SUPER PLASTIFICANTE</v>
          </cell>
          <cell r="N209" t="str">
            <v>AIMORÉS - MUROS DE VEDAÇÃO</v>
          </cell>
          <cell r="O209" t="str">
            <v>FORTANKS</v>
          </cell>
          <cell r="P209">
            <v>495</v>
          </cell>
          <cell r="Q209" t="str">
            <v>Gean</v>
          </cell>
          <cell r="R209">
            <v>45051</v>
          </cell>
          <cell r="S209">
            <v>0.56944444444444442</v>
          </cell>
          <cell r="T209">
            <v>0.55944444444444441</v>
          </cell>
          <cell r="U209" t="str">
            <v>X</v>
          </cell>
          <cell r="V209">
            <v>0.54166666666666663</v>
          </cell>
          <cell r="W209">
            <v>24.85</v>
          </cell>
          <cell r="X209">
            <v>23.66</v>
          </cell>
          <cell r="Y209">
            <v>0.41666666666666669</v>
          </cell>
          <cell r="Z209">
            <v>86.18</v>
          </cell>
          <cell r="AA209">
            <v>85.92</v>
          </cell>
          <cell r="AW209">
            <v>2</v>
          </cell>
          <cell r="AX209">
            <v>3</v>
          </cell>
          <cell r="AY209">
            <v>3</v>
          </cell>
          <cell r="AZ209">
            <v>3</v>
          </cell>
          <cell r="BA209" t="str">
            <v>FORTES ENGENHARIA</v>
          </cell>
          <cell r="BB209">
            <v>45052</v>
          </cell>
          <cell r="BG209">
            <v>45051</v>
          </cell>
        </row>
        <row r="210">
          <cell r="A210">
            <v>598</v>
          </cell>
          <cell r="B210">
            <v>216</v>
          </cell>
          <cell r="C210" t="str">
            <v>PC-29</v>
          </cell>
          <cell r="D210">
            <v>3</v>
          </cell>
          <cell r="E210">
            <v>40</v>
          </cell>
          <cell r="F210">
            <v>10</v>
          </cell>
          <cell r="G210">
            <v>40</v>
          </cell>
          <cell r="H210">
            <v>0</v>
          </cell>
          <cell r="I210" t="str">
            <v>-</v>
          </cell>
          <cell r="J210" t="str">
            <v>650/650</v>
          </cell>
          <cell r="K210" t="str">
            <v xml:space="preserve">CPIII 40 RS </v>
          </cell>
          <cell r="L210" t="str">
            <v>CP V</v>
          </cell>
          <cell r="M210" t="str">
            <v>SUPER PLASTIFICANTE</v>
          </cell>
          <cell r="N210" t="str">
            <v>MEDIDOR DENSIDADE MADEIRA - PATIO DE TORAS</v>
          </cell>
          <cell r="O210" t="str">
            <v>FORTANKS</v>
          </cell>
          <cell r="P210">
            <v>495</v>
          </cell>
          <cell r="Q210" t="str">
            <v>Gean</v>
          </cell>
          <cell r="R210">
            <v>45052</v>
          </cell>
          <cell r="S210">
            <v>0.61458333333333337</v>
          </cell>
          <cell r="T210">
            <v>0.60458333333333336</v>
          </cell>
          <cell r="U210" t="str">
            <v>X</v>
          </cell>
          <cell r="V210">
            <v>0.35416666666666669</v>
          </cell>
          <cell r="W210">
            <v>50.44</v>
          </cell>
          <cell r="X210">
            <v>47.98</v>
          </cell>
          <cell r="Y210">
            <v>0.41666666666666669</v>
          </cell>
          <cell r="Z210">
            <v>74.27</v>
          </cell>
          <cell r="AA210">
            <v>73.69</v>
          </cell>
          <cell r="AW210">
            <v>4</v>
          </cell>
          <cell r="AX210">
            <v>3</v>
          </cell>
          <cell r="AY210">
            <v>3</v>
          </cell>
          <cell r="AZ210">
            <v>3</v>
          </cell>
          <cell r="BA210" t="str">
            <v>FORTES ENGENHARIA</v>
          </cell>
          <cell r="BB210">
            <v>45053</v>
          </cell>
          <cell r="BG210">
            <v>45052</v>
          </cell>
        </row>
        <row r="211">
          <cell r="A211" t="str">
            <v>599-A</v>
          </cell>
          <cell r="B211">
            <v>217</v>
          </cell>
          <cell r="C211" t="str">
            <v>PN-A39/ PN-A40/ PN-A41/ PN-A42</v>
          </cell>
          <cell r="D211">
            <v>9</v>
          </cell>
          <cell r="E211">
            <v>40</v>
          </cell>
          <cell r="F211">
            <v>10</v>
          </cell>
          <cell r="G211">
            <v>40</v>
          </cell>
          <cell r="H211">
            <v>0</v>
          </cell>
          <cell r="I211" t="str">
            <v>-</v>
          </cell>
          <cell r="J211" t="str">
            <v>670/670</v>
          </cell>
          <cell r="K211" t="str">
            <v xml:space="preserve">CPIII 40 RS </v>
          </cell>
          <cell r="L211" t="str">
            <v>CP V</v>
          </cell>
          <cell r="M211" t="str">
            <v>SUPER PLASTIFICANTE</v>
          </cell>
          <cell r="N211" t="str">
            <v>AIMORÉS - MUROS DE VEDAÇÃO</v>
          </cell>
          <cell r="O211" t="str">
            <v>FORTANKS</v>
          </cell>
          <cell r="P211">
            <v>495</v>
          </cell>
          <cell r="Q211" t="str">
            <v>Gean</v>
          </cell>
          <cell r="R211">
            <v>45055</v>
          </cell>
          <cell r="S211">
            <v>0.54513888888888895</v>
          </cell>
          <cell r="T211">
            <v>0.53513888888888894</v>
          </cell>
          <cell r="U211" t="str">
            <v>X</v>
          </cell>
          <cell r="V211">
            <v>0.33333333333333331</v>
          </cell>
          <cell r="W211">
            <v>18.420000000000002</v>
          </cell>
          <cell r="X211">
            <v>19.71</v>
          </cell>
          <cell r="Y211">
            <v>0.41666666666666669</v>
          </cell>
          <cell r="Z211">
            <v>89.23</v>
          </cell>
          <cell r="AA211">
            <v>90.81</v>
          </cell>
          <cell r="AW211">
            <v>3</v>
          </cell>
          <cell r="AX211">
            <v>4</v>
          </cell>
          <cell r="AY211">
            <v>4</v>
          </cell>
          <cell r="AZ211">
            <v>4</v>
          </cell>
          <cell r="BA211" t="str">
            <v>FORTES ENGENHARIA</v>
          </cell>
          <cell r="BB211">
            <v>45056</v>
          </cell>
          <cell r="BG211">
            <v>45055</v>
          </cell>
        </row>
        <row r="212">
          <cell r="A212">
            <v>599</v>
          </cell>
          <cell r="B212">
            <v>217</v>
          </cell>
          <cell r="C212" t="str">
            <v>PC-30 /  PC-32</v>
          </cell>
          <cell r="D212">
            <v>9</v>
          </cell>
          <cell r="E212">
            <v>40</v>
          </cell>
          <cell r="F212">
            <v>10</v>
          </cell>
          <cell r="G212">
            <v>40</v>
          </cell>
          <cell r="H212">
            <v>0</v>
          </cell>
          <cell r="I212" t="str">
            <v>-</v>
          </cell>
          <cell r="J212" t="str">
            <v>670/670</v>
          </cell>
          <cell r="K212" t="str">
            <v xml:space="preserve">CPIII 40 RS </v>
          </cell>
          <cell r="L212" t="str">
            <v>CP V</v>
          </cell>
          <cell r="M212" t="str">
            <v>SUPER PLASTIFICANTE</v>
          </cell>
          <cell r="N212" t="str">
            <v>MEDIDOR DENSIDADE MADEIRA - PATIO DE TORAS</v>
          </cell>
          <cell r="O212" t="str">
            <v>FORTANKS</v>
          </cell>
          <cell r="P212">
            <v>495</v>
          </cell>
          <cell r="Q212" t="str">
            <v>Gean</v>
          </cell>
          <cell r="R212">
            <v>45055</v>
          </cell>
          <cell r="S212">
            <v>0.54513888888888895</v>
          </cell>
          <cell r="T212">
            <v>0.53513888888888894</v>
          </cell>
          <cell r="U212" t="str">
            <v>X</v>
          </cell>
          <cell r="V212">
            <v>0.33333333333333331</v>
          </cell>
          <cell r="W212">
            <v>18.420000000000002</v>
          </cell>
          <cell r="X212">
            <v>19.71</v>
          </cell>
          <cell r="Y212">
            <v>0.41666666666666669</v>
          </cell>
          <cell r="Z212">
            <v>89.23</v>
          </cell>
          <cell r="AA212">
            <v>90.81</v>
          </cell>
          <cell r="AW212">
            <v>3</v>
          </cell>
          <cell r="AX212">
            <v>4</v>
          </cell>
          <cell r="AY212">
            <v>4</v>
          </cell>
          <cell r="AZ212">
            <v>4</v>
          </cell>
          <cell r="BA212" t="str">
            <v>FORTES ENGENHARIA</v>
          </cell>
          <cell r="BB212">
            <v>45056</v>
          </cell>
          <cell r="BG212">
            <v>45055</v>
          </cell>
        </row>
        <row r="213">
          <cell r="A213">
            <v>600</v>
          </cell>
          <cell r="B213">
            <v>218</v>
          </cell>
          <cell r="C213" t="str">
            <v>PN-A43/ PN-A44/ PN-A45/ PN-A46/ PN-A47/ PN-A48/ PN-A49/ PN-A50</v>
          </cell>
          <cell r="D213">
            <v>5</v>
          </cell>
          <cell r="E213">
            <v>40</v>
          </cell>
          <cell r="F213">
            <v>10</v>
          </cell>
          <cell r="G213">
            <v>40</v>
          </cell>
          <cell r="H213">
            <v>0</v>
          </cell>
          <cell r="I213" t="str">
            <v>-</v>
          </cell>
          <cell r="J213" t="str">
            <v>670/680</v>
          </cell>
          <cell r="K213" t="str">
            <v xml:space="preserve">CPIII 40 RS </v>
          </cell>
          <cell r="L213" t="str">
            <v>CP V</v>
          </cell>
          <cell r="M213" t="str">
            <v>SUPER PLASTIFICANTE</v>
          </cell>
          <cell r="N213" t="str">
            <v>AIMORÉS - MUROS DE VEDAÇÃO</v>
          </cell>
          <cell r="O213" t="str">
            <v>FORTANKS</v>
          </cell>
          <cell r="P213">
            <v>495</v>
          </cell>
          <cell r="Q213" t="str">
            <v>Gean</v>
          </cell>
          <cell r="R213">
            <v>45057</v>
          </cell>
          <cell r="S213">
            <v>0.58333333333333337</v>
          </cell>
          <cell r="T213">
            <v>0.57333333333333336</v>
          </cell>
          <cell r="U213" t="str">
            <v>X</v>
          </cell>
          <cell r="V213">
            <v>0.33333333333333331</v>
          </cell>
          <cell r="W213">
            <v>16.53</v>
          </cell>
          <cell r="X213">
            <v>19.07</v>
          </cell>
          <cell r="Y213">
            <v>0.41666666666666669</v>
          </cell>
          <cell r="Z213">
            <v>104.28</v>
          </cell>
          <cell r="AA213">
            <v>105.49</v>
          </cell>
          <cell r="AW213">
            <v>3</v>
          </cell>
          <cell r="AX213">
            <v>4</v>
          </cell>
          <cell r="AY213">
            <v>3</v>
          </cell>
          <cell r="AZ213">
            <v>4</v>
          </cell>
          <cell r="BA213" t="str">
            <v>FORTES ENGENHARIA</v>
          </cell>
          <cell r="BB213">
            <v>45058</v>
          </cell>
          <cell r="BG213">
            <v>45057</v>
          </cell>
        </row>
        <row r="214">
          <cell r="A214">
            <v>601</v>
          </cell>
          <cell r="B214">
            <v>219</v>
          </cell>
          <cell r="C214" t="str">
            <v>PN-A51/ PN-A52/ PN-A53/ PN-A54/ PN-A55/ PN-A56/ PN-A57</v>
          </cell>
          <cell r="D214">
            <v>4</v>
          </cell>
          <cell r="E214">
            <v>40</v>
          </cell>
          <cell r="F214">
            <v>10</v>
          </cell>
          <cell r="G214">
            <v>40</v>
          </cell>
          <cell r="H214">
            <v>0</v>
          </cell>
          <cell r="I214" t="str">
            <v>-</v>
          </cell>
          <cell r="J214" t="str">
            <v>670/680</v>
          </cell>
          <cell r="K214" t="str">
            <v xml:space="preserve">CPIII 40 RS </v>
          </cell>
          <cell r="L214" t="str">
            <v>CP V</v>
          </cell>
          <cell r="M214" t="str">
            <v>SUPER PLASTIFICANTE</v>
          </cell>
          <cell r="N214" t="str">
            <v>AIMORÉS - MUROS DE VEDAÇÃO</v>
          </cell>
          <cell r="O214" t="str">
            <v>FORTANKS</v>
          </cell>
          <cell r="P214">
            <v>495</v>
          </cell>
          <cell r="Q214" t="str">
            <v>Gean</v>
          </cell>
          <cell r="R214">
            <v>45057</v>
          </cell>
          <cell r="S214">
            <v>0.65972222222222221</v>
          </cell>
          <cell r="T214">
            <v>0.6497222222222222</v>
          </cell>
          <cell r="U214" t="str">
            <v>X</v>
          </cell>
          <cell r="V214">
            <v>0.35416666666666669</v>
          </cell>
          <cell r="W214">
            <v>16.309999999999999</v>
          </cell>
          <cell r="X214">
            <v>16.11</v>
          </cell>
          <cell r="Y214">
            <v>0.41666666666666669</v>
          </cell>
          <cell r="Z214">
            <v>88.74</v>
          </cell>
          <cell r="AA214">
            <v>89.77</v>
          </cell>
          <cell r="AW214">
            <v>4</v>
          </cell>
          <cell r="AX214">
            <v>4</v>
          </cell>
          <cell r="AY214">
            <v>3</v>
          </cell>
          <cell r="AZ214">
            <v>4</v>
          </cell>
          <cell r="BA214" t="str">
            <v>FORTES ENGENHARIA</v>
          </cell>
          <cell r="BB214">
            <v>45058</v>
          </cell>
          <cell r="BG214">
            <v>45057</v>
          </cell>
        </row>
        <row r="215">
          <cell r="A215">
            <v>602</v>
          </cell>
          <cell r="B215">
            <v>220</v>
          </cell>
          <cell r="C215" t="str">
            <v>PN-A58/ PN-A59/ PN-A60/ PN-A61/ PN-A62 PN-A63</v>
          </cell>
          <cell r="D215">
            <v>4</v>
          </cell>
          <cell r="E215">
            <v>40</v>
          </cell>
          <cell r="F215">
            <v>10</v>
          </cell>
          <cell r="G215">
            <v>40</v>
          </cell>
          <cell r="H215">
            <v>0</v>
          </cell>
          <cell r="I215" t="str">
            <v>-</v>
          </cell>
          <cell r="J215" t="str">
            <v>660/670</v>
          </cell>
          <cell r="K215" t="str">
            <v xml:space="preserve">CPIII 40 RS </v>
          </cell>
          <cell r="L215" t="str">
            <v>CP V</v>
          </cell>
          <cell r="M215" t="str">
            <v>SUPER PLASTIFICANTE</v>
          </cell>
          <cell r="N215" t="str">
            <v>AIMORÉS - MUROS DE VEDAÇÃO</v>
          </cell>
          <cell r="O215" t="str">
            <v>FORTANKS</v>
          </cell>
          <cell r="P215">
            <v>495</v>
          </cell>
          <cell r="Q215" t="str">
            <v>Gean</v>
          </cell>
          <cell r="R215">
            <v>45058</v>
          </cell>
          <cell r="S215">
            <v>0.66666666666666663</v>
          </cell>
          <cell r="T215">
            <v>0.65666666666666662</v>
          </cell>
          <cell r="U215" t="str">
            <v>X</v>
          </cell>
          <cell r="V215">
            <v>0.33333333333333331</v>
          </cell>
          <cell r="W215">
            <v>13.02</v>
          </cell>
          <cell r="X215">
            <v>15.02</v>
          </cell>
          <cell r="Y215">
            <v>0.41666666666666669</v>
          </cell>
          <cell r="Z215">
            <v>87.65</v>
          </cell>
          <cell r="AA215">
            <v>88.58</v>
          </cell>
          <cell r="AW215">
            <v>4</v>
          </cell>
          <cell r="AX215">
            <v>3</v>
          </cell>
          <cell r="AY215">
            <v>3</v>
          </cell>
          <cell r="AZ215">
            <v>4</v>
          </cell>
          <cell r="BA215" t="str">
            <v>FORTES ENGENHARIA</v>
          </cell>
          <cell r="BB215">
            <v>45059</v>
          </cell>
          <cell r="BG215">
            <v>45058</v>
          </cell>
        </row>
        <row r="216">
          <cell r="A216">
            <v>603</v>
          </cell>
          <cell r="B216">
            <v>221</v>
          </cell>
          <cell r="C216" t="str">
            <v>PN-A64/ PN-A65/PN-A66/ PN-A67/ PN-A68/ PN-A69/ PN-A70/ PN-A71</v>
          </cell>
          <cell r="D216">
            <v>5</v>
          </cell>
          <cell r="E216">
            <v>40</v>
          </cell>
          <cell r="F216">
            <v>10</v>
          </cell>
          <cell r="G216">
            <v>40</v>
          </cell>
          <cell r="H216">
            <v>0</v>
          </cell>
          <cell r="I216" t="str">
            <v>-</v>
          </cell>
          <cell r="J216" t="str">
            <v>670/670</v>
          </cell>
          <cell r="K216" t="str">
            <v xml:space="preserve">CPIII 40 RS </v>
          </cell>
          <cell r="L216" t="str">
            <v>CP V</v>
          </cell>
          <cell r="M216" t="str">
            <v>SUPER PLASTIFICANTE</v>
          </cell>
          <cell r="N216" t="str">
            <v>AIMORÉS - MUROS DE VEDAÇÃO</v>
          </cell>
          <cell r="O216" t="str">
            <v>FORTANKS</v>
          </cell>
          <cell r="P216">
            <v>495</v>
          </cell>
          <cell r="Q216" t="str">
            <v>Gean</v>
          </cell>
          <cell r="R216">
            <v>45061</v>
          </cell>
          <cell r="S216">
            <v>0.5625</v>
          </cell>
          <cell r="T216">
            <v>0.55249999999999999</v>
          </cell>
          <cell r="U216" t="str">
            <v>X</v>
          </cell>
          <cell r="V216">
            <v>0.35416666666666669</v>
          </cell>
          <cell r="W216">
            <v>15.52</v>
          </cell>
          <cell r="X216">
            <v>15.16</v>
          </cell>
          <cell r="Y216">
            <v>0.41666666666666669</v>
          </cell>
          <cell r="Z216">
            <v>92.96</v>
          </cell>
          <cell r="AA216">
            <v>93.27</v>
          </cell>
          <cell r="AW216">
            <v>3</v>
          </cell>
          <cell r="AX216">
            <v>4</v>
          </cell>
          <cell r="AY216">
            <v>3</v>
          </cell>
          <cell r="AZ216">
            <v>4</v>
          </cell>
          <cell r="BA216" t="str">
            <v>FORTES ENGENHARIA</v>
          </cell>
          <cell r="BB216">
            <v>45062</v>
          </cell>
          <cell r="BG216">
            <v>45061</v>
          </cell>
        </row>
        <row r="217">
          <cell r="A217">
            <v>604</v>
          </cell>
          <cell r="B217">
            <v>222</v>
          </cell>
          <cell r="C217" t="str">
            <v>PN-A72/ PN-A73/ PN-A74/ PN-A75/ PN-A76/ PN-A77/ PN-A78</v>
          </cell>
          <cell r="D217">
            <v>4</v>
          </cell>
          <cell r="E217">
            <v>40</v>
          </cell>
          <cell r="F217">
            <v>10</v>
          </cell>
          <cell r="G217">
            <v>40</v>
          </cell>
          <cell r="H217">
            <v>0</v>
          </cell>
          <cell r="I217" t="str">
            <v>-</v>
          </cell>
          <cell r="J217" t="str">
            <v>660/670</v>
          </cell>
          <cell r="K217" t="str">
            <v xml:space="preserve">CPIII 40 RS </v>
          </cell>
          <cell r="L217" t="str">
            <v>CP V</v>
          </cell>
          <cell r="M217" t="str">
            <v>SUPER PLASTIFICANTE</v>
          </cell>
          <cell r="N217" t="str">
            <v>AIMORÉS - MUROS DE VEDAÇÃO</v>
          </cell>
          <cell r="O217" t="str">
            <v>FORTANKS</v>
          </cell>
          <cell r="P217">
            <v>495</v>
          </cell>
          <cell r="Q217" t="str">
            <v>Gean</v>
          </cell>
          <cell r="R217">
            <v>45061</v>
          </cell>
          <cell r="S217">
            <v>0.625</v>
          </cell>
          <cell r="T217">
            <v>0.61499999999999999</v>
          </cell>
          <cell r="U217" t="str">
            <v>X</v>
          </cell>
          <cell r="V217">
            <v>0.375</v>
          </cell>
          <cell r="W217">
            <v>15.1</v>
          </cell>
          <cell r="X217">
            <v>17.03</v>
          </cell>
          <cell r="Y217">
            <v>0.41666666666666669</v>
          </cell>
          <cell r="Z217">
            <v>93.64</v>
          </cell>
          <cell r="AA217">
            <v>92.13</v>
          </cell>
          <cell r="AW217">
            <v>4</v>
          </cell>
          <cell r="AX217">
            <v>3</v>
          </cell>
          <cell r="AY217">
            <v>4</v>
          </cell>
          <cell r="AZ217">
            <v>4</v>
          </cell>
          <cell r="BA217" t="str">
            <v>FORTES ENGENHARIA</v>
          </cell>
          <cell r="BB217">
            <v>45062</v>
          </cell>
          <cell r="BG217">
            <v>45061</v>
          </cell>
        </row>
        <row r="218">
          <cell r="A218">
            <v>605</v>
          </cell>
          <cell r="B218">
            <v>224</v>
          </cell>
          <cell r="C218" t="str">
            <v>PN-A79/  PN-A80/ PN-A81/ PN-A82/ PN-A83/ PN-A84/ PN-A85</v>
          </cell>
          <cell r="D218">
            <v>4</v>
          </cell>
          <cell r="E218">
            <v>40</v>
          </cell>
          <cell r="F218">
            <v>10</v>
          </cell>
          <cell r="G218">
            <v>40</v>
          </cell>
          <cell r="H218">
            <v>0</v>
          </cell>
          <cell r="I218" t="str">
            <v>-</v>
          </cell>
          <cell r="J218" t="str">
            <v>670/670</v>
          </cell>
          <cell r="K218" t="str">
            <v xml:space="preserve">CPIII 40 RS </v>
          </cell>
          <cell r="L218" t="str">
            <v>CP V</v>
          </cell>
          <cell r="M218" t="str">
            <v>SUPER PLASTIFICANTE</v>
          </cell>
          <cell r="N218" t="str">
            <v>AIMORÉS - MUROS DE VEDAÇÃO</v>
          </cell>
          <cell r="O218" t="str">
            <v>FORTANKS</v>
          </cell>
          <cell r="P218">
            <v>495</v>
          </cell>
          <cell r="Q218" t="str">
            <v>Gean</v>
          </cell>
          <cell r="R218">
            <v>45062</v>
          </cell>
          <cell r="S218">
            <v>0.6875</v>
          </cell>
          <cell r="T218">
            <v>0.67749999999999999</v>
          </cell>
          <cell r="U218" t="str">
            <v>X</v>
          </cell>
          <cell r="V218">
            <v>0.54166666666666663</v>
          </cell>
          <cell r="W218">
            <v>15.38</v>
          </cell>
          <cell r="X218">
            <v>15.3</v>
          </cell>
          <cell r="Y218">
            <v>0.41666666666666669</v>
          </cell>
          <cell r="Z218">
            <v>93.13</v>
          </cell>
          <cell r="AA218">
            <v>92.68</v>
          </cell>
          <cell r="AW218">
            <v>3</v>
          </cell>
          <cell r="AX218">
            <v>3</v>
          </cell>
          <cell r="AY218">
            <v>4</v>
          </cell>
          <cell r="AZ218">
            <v>4</v>
          </cell>
          <cell r="BA218" t="str">
            <v>FORTES ENGENHARIA</v>
          </cell>
          <cell r="BB218">
            <v>45063</v>
          </cell>
          <cell r="BG218">
            <v>45062</v>
          </cell>
        </row>
        <row r="219">
          <cell r="A219">
            <v>606</v>
          </cell>
          <cell r="B219">
            <v>223</v>
          </cell>
          <cell r="C219" t="str">
            <v>PN-A86/ PN-A87/ PN-A88 /PN-A89/ PN-A90/ PN-A91/ PN-A92/ PN-A93</v>
          </cell>
          <cell r="D219">
            <v>5</v>
          </cell>
          <cell r="E219">
            <v>40</v>
          </cell>
          <cell r="F219">
            <v>10</v>
          </cell>
          <cell r="G219">
            <v>40</v>
          </cell>
          <cell r="H219">
            <v>0</v>
          </cell>
          <cell r="I219" t="str">
            <v>-</v>
          </cell>
          <cell r="J219" t="str">
            <v>670/680</v>
          </cell>
          <cell r="K219" t="str">
            <v xml:space="preserve">CPIII 40 RS </v>
          </cell>
          <cell r="L219" t="str">
            <v>CP V</v>
          </cell>
          <cell r="M219" t="str">
            <v>SUPER PLASTIFICANTE</v>
          </cell>
          <cell r="N219" t="str">
            <v>AIMORÉS - MUROS DE VEDAÇÃO</v>
          </cell>
          <cell r="O219" t="str">
            <v>FORTANKS</v>
          </cell>
          <cell r="P219">
            <v>495</v>
          </cell>
          <cell r="Q219" t="str">
            <v>Gean</v>
          </cell>
          <cell r="R219">
            <v>45062</v>
          </cell>
          <cell r="S219">
            <v>0.70833333333333337</v>
          </cell>
          <cell r="T219">
            <v>0.69833333333333336</v>
          </cell>
          <cell r="U219" t="str">
            <v>X</v>
          </cell>
          <cell r="V219">
            <v>0.54166666666666663</v>
          </cell>
          <cell r="W219">
            <v>15.51</v>
          </cell>
          <cell r="X219">
            <v>15.65</v>
          </cell>
          <cell r="Y219">
            <v>0.41666666666666669</v>
          </cell>
          <cell r="Z219">
            <v>86.39</v>
          </cell>
          <cell r="AA219">
            <v>87.16</v>
          </cell>
          <cell r="AW219">
            <v>4</v>
          </cell>
          <cell r="AX219">
            <v>3</v>
          </cell>
          <cell r="AY219">
            <v>4</v>
          </cell>
          <cell r="AZ219">
            <v>4</v>
          </cell>
          <cell r="BA219" t="str">
            <v>FORTES ENGENHARIA</v>
          </cell>
          <cell r="BB219">
            <v>45063</v>
          </cell>
          <cell r="BG219">
            <v>45062</v>
          </cell>
        </row>
        <row r="220">
          <cell r="A220">
            <v>607</v>
          </cell>
          <cell r="B220">
            <v>225</v>
          </cell>
          <cell r="C220" t="str">
            <v>PN-A94/ PN-A95/ PN-A96/ PN-A97/ PN-A98/  PN-A99/ PN-A100</v>
          </cell>
          <cell r="D220">
            <v>4</v>
          </cell>
          <cell r="E220">
            <v>40</v>
          </cell>
          <cell r="F220">
            <v>10</v>
          </cell>
          <cell r="G220">
            <v>40</v>
          </cell>
          <cell r="H220">
            <v>0</v>
          </cell>
          <cell r="I220" t="str">
            <v>-</v>
          </cell>
          <cell r="J220" t="str">
            <v>660/650</v>
          </cell>
          <cell r="K220" t="str">
            <v xml:space="preserve">CPIII 40 RS </v>
          </cell>
          <cell r="L220" t="str">
            <v>CP V</v>
          </cell>
          <cell r="M220" t="str">
            <v>SUPER PLASTIFICANTE</v>
          </cell>
          <cell r="N220" t="str">
            <v>AIMORÉS - MUROS DE VEDAÇÃO</v>
          </cell>
          <cell r="O220" t="str">
            <v>FORTANKS</v>
          </cell>
          <cell r="P220">
            <v>495</v>
          </cell>
          <cell r="Q220" t="str">
            <v>Gean</v>
          </cell>
          <cell r="R220">
            <v>45063</v>
          </cell>
          <cell r="S220">
            <v>0.66666666666666663</v>
          </cell>
          <cell r="T220">
            <v>0.65666666666666662</v>
          </cell>
          <cell r="U220" t="str">
            <v>X</v>
          </cell>
          <cell r="V220">
            <v>0.375</v>
          </cell>
          <cell r="W220">
            <v>14.04</v>
          </cell>
          <cell r="X220">
            <v>15.46</v>
          </cell>
          <cell r="Y220">
            <v>0.41666666666666669</v>
          </cell>
          <cell r="Z220">
            <v>93.41</v>
          </cell>
          <cell r="AA220">
            <v>95.19</v>
          </cell>
          <cell r="AW220">
            <v>1</v>
          </cell>
          <cell r="AX220">
            <v>1</v>
          </cell>
          <cell r="AY220">
            <v>3</v>
          </cell>
          <cell r="AZ220">
            <v>3</v>
          </cell>
          <cell r="BA220" t="str">
            <v>FORTES ENGENHARIA</v>
          </cell>
          <cell r="BB220">
            <v>45064</v>
          </cell>
          <cell r="BG220">
            <v>45063</v>
          </cell>
        </row>
        <row r="221">
          <cell r="A221">
            <v>608</v>
          </cell>
          <cell r="B221">
            <v>227</v>
          </cell>
          <cell r="C221" t="str">
            <v>PN-A101/ PN-A102/ PN-A103/ PN-A104/ PN-A105 /PN-A106/ PN-A107</v>
          </cell>
          <cell r="D221">
            <v>4</v>
          </cell>
          <cell r="E221">
            <v>40</v>
          </cell>
          <cell r="F221">
            <v>10</v>
          </cell>
          <cell r="G221">
            <v>40</v>
          </cell>
          <cell r="H221">
            <v>0</v>
          </cell>
          <cell r="I221" t="str">
            <v>-</v>
          </cell>
          <cell r="J221" t="str">
            <v>660/660</v>
          </cell>
          <cell r="K221" t="str">
            <v xml:space="preserve">CPIII 40 RS </v>
          </cell>
          <cell r="L221" t="str">
            <v>CP V</v>
          </cell>
          <cell r="M221" t="str">
            <v>SUPER PLASTIFICANTE</v>
          </cell>
          <cell r="N221" t="str">
            <v>AIMORÉS - MUROS DE VEDAÇÃO</v>
          </cell>
          <cell r="O221" t="str">
            <v>FORTANKS</v>
          </cell>
          <cell r="P221">
            <v>495</v>
          </cell>
          <cell r="Q221" t="str">
            <v>Gean</v>
          </cell>
          <cell r="R221">
            <v>45064</v>
          </cell>
          <cell r="S221">
            <v>0.68055555555555547</v>
          </cell>
          <cell r="T221">
            <v>0.67055555555555546</v>
          </cell>
          <cell r="U221" t="str">
            <v>X</v>
          </cell>
          <cell r="V221">
            <v>0.375</v>
          </cell>
          <cell r="W221">
            <v>16.23</v>
          </cell>
          <cell r="X221">
            <v>16.78</v>
          </cell>
          <cell r="Y221">
            <v>0.41666666666666669</v>
          </cell>
          <cell r="Z221">
            <v>93.27</v>
          </cell>
          <cell r="AA221">
            <v>91.78</v>
          </cell>
          <cell r="AW221">
            <v>4</v>
          </cell>
          <cell r="AX221">
            <v>3</v>
          </cell>
          <cell r="AY221">
            <v>4</v>
          </cell>
          <cell r="AZ221">
            <v>4</v>
          </cell>
          <cell r="BA221" t="str">
            <v>FORTES ENGENHARIA</v>
          </cell>
          <cell r="BB221">
            <v>45065</v>
          </cell>
          <cell r="BG221">
            <v>45064</v>
          </cell>
        </row>
        <row r="222">
          <cell r="A222">
            <v>609</v>
          </cell>
          <cell r="B222">
            <v>226</v>
          </cell>
          <cell r="C222" t="str">
            <v>PN-A108/ PN-A109/ PN-A110/ PN-A111 PN-A112/ PN-A113/ PN-A114/ PN-A115</v>
          </cell>
          <cell r="D222">
            <v>5</v>
          </cell>
          <cell r="E222">
            <v>40</v>
          </cell>
          <cell r="F222">
            <v>10</v>
          </cell>
          <cell r="G222">
            <v>40</v>
          </cell>
          <cell r="H222">
            <v>0</v>
          </cell>
          <cell r="I222" t="str">
            <v>-</v>
          </cell>
          <cell r="J222" t="str">
            <v>670/670</v>
          </cell>
          <cell r="K222" t="str">
            <v xml:space="preserve">CPIII 40 RS </v>
          </cell>
          <cell r="L222" t="str">
            <v>CP V</v>
          </cell>
          <cell r="M222" t="str">
            <v>SUPER PLASTIFICANTE</v>
          </cell>
          <cell r="N222" t="str">
            <v>AIMORÉS - MUROS DE VEDAÇÃO</v>
          </cell>
          <cell r="O222" t="str">
            <v>FORTANKS</v>
          </cell>
          <cell r="P222">
            <v>495</v>
          </cell>
          <cell r="Q222" t="str">
            <v>Gean</v>
          </cell>
          <cell r="R222">
            <v>45064</v>
          </cell>
          <cell r="S222">
            <v>0.625</v>
          </cell>
          <cell r="T222">
            <v>0.61499999999999999</v>
          </cell>
          <cell r="U222" t="str">
            <v>X</v>
          </cell>
          <cell r="V222">
            <v>0.35416666666666669</v>
          </cell>
          <cell r="W222">
            <v>17.82</v>
          </cell>
          <cell r="X222">
            <v>18.489999999999998</v>
          </cell>
          <cell r="Y222">
            <v>0.41666666666666669</v>
          </cell>
          <cell r="Z222">
            <v>94.78</v>
          </cell>
          <cell r="AA222">
            <v>95.73</v>
          </cell>
          <cell r="AW222">
            <v>3</v>
          </cell>
          <cell r="AX222">
            <v>3</v>
          </cell>
          <cell r="AY222">
            <v>4</v>
          </cell>
          <cell r="AZ222">
            <v>4</v>
          </cell>
          <cell r="BA222" t="str">
            <v>FORTES ENGENHARIA</v>
          </cell>
          <cell r="BB222">
            <v>45065</v>
          </cell>
          <cell r="BG222">
            <v>45064</v>
          </cell>
        </row>
        <row r="223">
          <cell r="A223">
            <v>610</v>
          </cell>
          <cell r="B223">
            <v>228</v>
          </cell>
          <cell r="C223" t="str">
            <v>PN-A116/ PN-A117/ PN-A118/ PN-A119/ PN-A120/ PN-A121/ PN-A122</v>
          </cell>
          <cell r="D223">
            <v>4.5</v>
          </cell>
          <cell r="E223">
            <v>40</v>
          </cell>
          <cell r="F223">
            <v>10</v>
          </cell>
          <cell r="G223">
            <v>40</v>
          </cell>
          <cell r="H223">
            <v>0</v>
          </cell>
          <cell r="I223" t="str">
            <v>-</v>
          </cell>
          <cell r="J223" t="str">
            <v>670/670</v>
          </cell>
          <cell r="K223" t="str">
            <v xml:space="preserve">CPIII 40 RS </v>
          </cell>
          <cell r="L223" t="str">
            <v>CP V</v>
          </cell>
          <cell r="M223" t="str">
            <v>SUPER PLASTIFICANTE</v>
          </cell>
          <cell r="N223" t="str">
            <v>AIMORÉS - MUROS DE VEDAÇÃO</v>
          </cell>
          <cell r="O223" t="str">
            <v>FORTANKS</v>
          </cell>
          <cell r="P223">
            <v>495</v>
          </cell>
          <cell r="Q223" t="str">
            <v>Gean</v>
          </cell>
          <cell r="R223">
            <v>45065</v>
          </cell>
          <cell r="S223">
            <v>0.625</v>
          </cell>
          <cell r="T223">
            <v>0.61499999999999999</v>
          </cell>
          <cell r="U223" t="str">
            <v>X</v>
          </cell>
          <cell r="V223">
            <v>0.35416666666666669</v>
          </cell>
          <cell r="W223">
            <v>10</v>
          </cell>
          <cell r="X223">
            <v>11.02</v>
          </cell>
          <cell r="Y223">
            <v>0.41666666666666669</v>
          </cell>
          <cell r="Z223">
            <v>92.03</v>
          </cell>
          <cell r="AA223">
            <v>93.39</v>
          </cell>
          <cell r="AW223">
            <v>3</v>
          </cell>
          <cell r="AX223">
            <v>3</v>
          </cell>
          <cell r="AY223">
            <v>4</v>
          </cell>
          <cell r="AZ223">
            <v>3</v>
          </cell>
          <cell r="BA223" t="str">
            <v>FORTES ENGENHARIA</v>
          </cell>
          <cell r="BB223">
            <v>45066</v>
          </cell>
          <cell r="BG223">
            <v>45065</v>
          </cell>
        </row>
        <row r="224">
          <cell r="A224">
            <v>611</v>
          </cell>
          <cell r="B224">
            <v>229</v>
          </cell>
          <cell r="C224" t="str">
            <v>PN-A130/ PN-A131/ PN-A132/ PN-A133/ PN-A134/ PN-A135/ PN-A136/ PN-A137</v>
          </cell>
          <cell r="D224">
            <v>5</v>
          </cell>
          <cell r="E224">
            <v>40</v>
          </cell>
          <cell r="F224">
            <v>15</v>
          </cell>
          <cell r="G224">
            <v>40</v>
          </cell>
          <cell r="H224">
            <v>0</v>
          </cell>
          <cell r="I224" t="str">
            <v>-</v>
          </cell>
          <cell r="J224" t="str">
            <v>670/680</v>
          </cell>
          <cell r="K224" t="str">
            <v xml:space="preserve">CPIII 40 RS </v>
          </cell>
          <cell r="L224" t="str">
            <v>CP V</v>
          </cell>
          <cell r="M224" t="str">
            <v>SUPER PLASTIFICANTE</v>
          </cell>
          <cell r="N224" t="str">
            <v>AIMORÉS - MUROS DE VEDAÇÃO</v>
          </cell>
          <cell r="O224" t="str">
            <v>FORTANKS</v>
          </cell>
          <cell r="P224">
            <v>495</v>
          </cell>
          <cell r="Q224" t="str">
            <v>Gean</v>
          </cell>
          <cell r="R224">
            <v>45068</v>
          </cell>
          <cell r="S224">
            <v>0.39166666666666666</v>
          </cell>
          <cell r="T224">
            <v>0.38166666666666665</v>
          </cell>
          <cell r="U224" t="str">
            <v>X</v>
          </cell>
          <cell r="V224">
            <v>0.35416666666666669</v>
          </cell>
          <cell r="W224">
            <v>21.15</v>
          </cell>
          <cell r="X224">
            <v>22.1</v>
          </cell>
          <cell r="Y224">
            <v>0.41666666666666669</v>
          </cell>
          <cell r="Z224">
            <v>92.58</v>
          </cell>
          <cell r="AA224">
            <v>95.3</v>
          </cell>
          <cell r="AW224">
            <v>4</v>
          </cell>
          <cell r="AX224">
            <v>4</v>
          </cell>
          <cell r="AY224">
            <v>3</v>
          </cell>
          <cell r="AZ224">
            <v>4</v>
          </cell>
          <cell r="BA224" t="str">
            <v>FORTES ENGENHARIA</v>
          </cell>
          <cell r="BB224">
            <v>45069</v>
          </cell>
          <cell r="BG224">
            <v>45068</v>
          </cell>
        </row>
        <row r="225">
          <cell r="A225">
            <v>612</v>
          </cell>
          <cell r="B225">
            <v>230</v>
          </cell>
          <cell r="C225" t="str">
            <v>PN-A123/ PN-A124/ PN-A125/ PN-A126/ PN-A127/ PN-A128/ PN-A129</v>
          </cell>
          <cell r="D225">
            <v>4.5</v>
          </cell>
          <cell r="E225">
            <v>40</v>
          </cell>
          <cell r="F225">
            <v>15</v>
          </cell>
          <cell r="G225">
            <v>40</v>
          </cell>
          <cell r="H225">
            <v>0</v>
          </cell>
          <cell r="I225" t="str">
            <v>-</v>
          </cell>
          <cell r="J225" t="str">
            <v>650/670</v>
          </cell>
          <cell r="K225" t="str">
            <v xml:space="preserve">CPIII 40 RS </v>
          </cell>
          <cell r="L225" t="str">
            <v>CP V</v>
          </cell>
          <cell r="M225" t="str">
            <v>SUPER PLASTIFICANTE</v>
          </cell>
          <cell r="N225" t="str">
            <v>AIMORÉS - MUROS DE VEDAÇÃO</v>
          </cell>
          <cell r="O225" t="str">
            <v>FORTANKS</v>
          </cell>
          <cell r="P225">
            <v>495</v>
          </cell>
          <cell r="Q225" t="str">
            <v>Gean</v>
          </cell>
          <cell r="R225">
            <v>45068</v>
          </cell>
          <cell r="S225">
            <v>0.44791666666666669</v>
          </cell>
          <cell r="T225">
            <v>0.43791666666666668</v>
          </cell>
          <cell r="U225" t="str">
            <v>X</v>
          </cell>
          <cell r="V225">
            <v>0.36458333333333331</v>
          </cell>
          <cell r="W225">
            <v>18.03</v>
          </cell>
          <cell r="X225">
            <v>17.510000000000002</v>
          </cell>
          <cell r="Y225">
            <v>0.41666666666666669</v>
          </cell>
          <cell r="Z225">
            <v>92.75</v>
          </cell>
          <cell r="AA225">
            <v>94.1</v>
          </cell>
          <cell r="AW225">
            <v>4</v>
          </cell>
          <cell r="AX225">
            <v>4</v>
          </cell>
          <cell r="AY225">
            <v>4</v>
          </cell>
          <cell r="AZ225">
            <v>4</v>
          </cell>
          <cell r="BA225" t="str">
            <v>FORTES ENGENHARIA</v>
          </cell>
          <cell r="BB225">
            <v>45069</v>
          </cell>
          <cell r="BG225">
            <v>45068</v>
          </cell>
        </row>
        <row r="226">
          <cell r="A226">
            <v>613</v>
          </cell>
          <cell r="B226">
            <v>231</v>
          </cell>
          <cell r="C226" t="str">
            <v>PN-A138/ PN-A139/ PN-140/ PN-141/ PN-142/ PN-143/ PN-144/ PN-145</v>
          </cell>
          <cell r="D226">
            <v>5</v>
          </cell>
          <cell r="E226">
            <v>40</v>
          </cell>
          <cell r="F226">
            <v>15</v>
          </cell>
          <cell r="G226">
            <v>40</v>
          </cell>
          <cell r="H226">
            <v>0</v>
          </cell>
          <cell r="I226" t="str">
            <v>-</v>
          </cell>
          <cell r="J226" t="str">
            <v>660/670</v>
          </cell>
          <cell r="K226" t="str">
            <v xml:space="preserve">CPIII 40 RS </v>
          </cell>
          <cell r="L226" t="str">
            <v>CP V</v>
          </cell>
          <cell r="M226" t="str">
            <v>SUPER PLASTIFICANTE</v>
          </cell>
          <cell r="N226" t="str">
            <v>AIMORÉS - MUROS DE VEDAÇÃO</v>
          </cell>
          <cell r="O226" t="str">
            <v>FORTANKS</v>
          </cell>
          <cell r="P226">
            <v>495</v>
          </cell>
          <cell r="Q226" t="str">
            <v>Gean</v>
          </cell>
          <cell r="R226">
            <v>45069</v>
          </cell>
          <cell r="S226">
            <v>0.54166666666666663</v>
          </cell>
          <cell r="T226">
            <v>0.53166666666666662</v>
          </cell>
          <cell r="U226" t="str">
            <v>X</v>
          </cell>
          <cell r="V226">
            <v>0.35416666666666669</v>
          </cell>
          <cell r="W226">
            <v>16.899999999999999</v>
          </cell>
          <cell r="X226">
            <v>17.14</v>
          </cell>
          <cell r="Y226">
            <v>0.41666666666666669</v>
          </cell>
          <cell r="Z226">
            <v>93.03</v>
          </cell>
          <cell r="AA226">
            <v>93.36</v>
          </cell>
          <cell r="AW226">
            <v>4</v>
          </cell>
          <cell r="AX226">
            <v>4</v>
          </cell>
          <cell r="AY226">
            <v>3</v>
          </cell>
          <cell r="AZ226">
            <v>4</v>
          </cell>
          <cell r="BA226" t="str">
            <v>FORTES ENGENHARIA</v>
          </cell>
          <cell r="BB226">
            <v>45070</v>
          </cell>
          <cell r="BG226">
            <v>45069</v>
          </cell>
        </row>
        <row r="227">
          <cell r="A227">
            <v>614</v>
          </cell>
          <cell r="B227">
            <v>232</v>
          </cell>
          <cell r="C227" t="str">
            <v>PN-A146/ PN-147/ PN-148/ PN-149/ PN-150/ PN-151/ PN-152/ PN-153/ PN-154/ PN-155</v>
          </cell>
          <cell r="D227">
            <v>6</v>
          </cell>
          <cell r="E227">
            <v>40</v>
          </cell>
          <cell r="F227">
            <v>15</v>
          </cell>
          <cell r="G227">
            <v>40</v>
          </cell>
          <cell r="H227">
            <v>0</v>
          </cell>
          <cell r="I227" t="str">
            <v>-</v>
          </cell>
          <cell r="J227" t="str">
            <v>660/680</v>
          </cell>
          <cell r="K227" t="str">
            <v xml:space="preserve">CPIII 40 RS </v>
          </cell>
          <cell r="L227" t="str">
            <v>CP V</v>
          </cell>
          <cell r="M227" t="str">
            <v>SUPER PLASTIFICANTE</v>
          </cell>
          <cell r="N227" t="str">
            <v>AIMORÉS - MUROS DE VEDAÇÃO</v>
          </cell>
          <cell r="O227" t="str">
            <v>FORTANKS</v>
          </cell>
          <cell r="P227">
            <v>495</v>
          </cell>
          <cell r="Q227" t="str">
            <v>Gean</v>
          </cell>
          <cell r="R227">
            <v>45071</v>
          </cell>
          <cell r="S227">
            <v>0.40972222222222227</v>
          </cell>
          <cell r="T227">
            <v>0.39972222222222226</v>
          </cell>
          <cell r="U227" t="str">
            <v>X</v>
          </cell>
          <cell r="V227">
            <v>0.33333333333333331</v>
          </cell>
          <cell r="W227">
            <v>23.62</v>
          </cell>
          <cell r="X227">
            <v>25.13</v>
          </cell>
          <cell r="Y227">
            <v>0.41666666666666669</v>
          </cell>
          <cell r="Z227">
            <v>92.71</v>
          </cell>
          <cell r="AA227">
            <v>93.36</v>
          </cell>
          <cell r="AW227">
            <v>3</v>
          </cell>
          <cell r="AX227">
            <v>3</v>
          </cell>
          <cell r="AY227">
            <v>2</v>
          </cell>
          <cell r="AZ227">
            <v>3</v>
          </cell>
          <cell r="BA227" t="str">
            <v>FORTES ENGENHARIA</v>
          </cell>
          <cell r="BB227">
            <v>45072</v>
          </cell>
          <cell r="BG227">
            <v>45071</v>
          </cell>
        </row>
        <row r="228">
          <cell r="A228">
            <v>615</v>
          </cell>
          <cell r="B228">
            <v>233</v>
          </cell>
          <cell r="C228" t="str">
            <v>PN-A156/ PN-157/ PN-158/ PN-159/ PN-160</v>
          </cell>
          <cell r="D228">
            <v>3</v>
          </cell>
          <cell r="E228">
            <v>40</v>
          </cell>
          <cell r="F228">
            <v>15</v>
          </cell>
          <cell r="G228">
            <v>40</v>
          </cell>
          <cell r="H228">
            <v>0</v>
          </cell>
          <cell r="I228" t="str">
            <v>-</v>
          </cell>
          <cell r="J228" t="str">
            <v>670/680</v>
          </cell>
          <cell r="K228" t="str">
            <v xml:space="preserve">CPIII 40 RS </v>
          </cell>
          <cell r="L228" t="str">
            <v>CP V</v>
          </cell>
          <cell r="M228" t="str">
            <v>SUPER PLASTIFICANTE</v>
          </cell>
          <cell r="N228" t="str">
            <v>AIMORÉS - MUROS DE VEDAÇÃO</v>
          </cell>
          <cell r="O228" t="str">
            <v>FORTANKS</v>
          </cell>
          <cell r="P228">
            <v>495</v>
          </cell>
          <cell r="Q228" t="str">
            <v>Gean</v>
          </cell>
          <cell r="R228">
            <v>45071</v>
          </cell>
          <cell r="S228">
            <v>0.57291666666666663</v>
          </cell>
          <cell r="T228">
            <v>0.56291666666666662</v>
          </cell>
          <cell r="U228" t="str">
            <v>X</v>
          </cell>
          <cell r="V228">
            <v>0.33333333333333331</v>
          </cell>
          <cell r="W228">
            <v>19.329999999999998</v>
          </cell>
          <cell r="X228">
            <v>21.04</v>
          </cell>
          <cell r="Y228">
            <v>0.41666666666666669</v>
          </cell>
          <cell r="Z228">
            <v>92.74</v>
          </cell>
          <cell r="AA228">
            <v>95.27</v>
          </cell>
          <cell r="AW228">
            <v>4</v>
          </cell>
          <cell r="AX228">
            <v>4</v>
          </cell>
          <cell r="AY228">
            <v>4</v>
          </cell>
          <cell r="AZ228">
            <v>3</v>
          </cell>
          <cell r="BA228" t="str">
            <v>FORTES ENGENHARIA</v>
          </cell>
          <cell r="BB228">
            <v>45072</v>
          </cell>
          <cell r="BG228">
            <v>45071</v>
          </cell>
        </row>
        <row r="229">
          <cell r="A229">
            <v>616</v>
          </cell>
          <cell r="B229">
            <v>234</v>
          </cell>
          <cell r="C229" t="str">
            <v>PN-A166/ PN-167/ PN-168/ PN-169/ PN-170/ PN-171/ PN-172/ PN-173/ PN-174/ PN-175</v>
          </cell>
          <cell r="D229">
            <v>6</v>
          </cell>
          <cell r="E229">
            <v>40</v>
          </cell>
          <cell r="F229">
            <v>15</v>
          </cell>
          <cell r="G229">
            <v>40</v>
          </cell>
          <cell r="H229">
            <v>0</v>
          </cell>
          <cell r="I229" t="str">
            <v>-</v>
          </cell>
          <cell r="J229" t="str">
            <v>680/670</v>
          </cell>
          <cell r="K229" t="str">
            <v xml:space="preserve">CPIII 40 RS </v>
          </cell>
          <cell r="L229" t="str">
            <v>CP V</v>
          </cell>
          <cell r="M229" t="str">
            <v>SUPER PLASTIFICANTE</v>
          </cell>
          <cell r="N229" t="str">
            <v>AIMORÉS - MUROS DE VEDAÇÃO</v>
          </cell>
          <cell r="O229" t="str">
            <v>FORTANKS</v>
          </cell>
          <cell r="P229">
            <v>495</v>
          </cell>
          <cell r="Q229" t="str">
            <v>Gean</v>
          </cell>
          <cell r="R229">
            <v>45072</v>
          </cell>
          <cell r="S229">
            <v>0.59375</v>
          </cell>
          <cell r="T229">
            <v>0.58374999999999999</v>
          </cell>
          <cell r="U229" t="str">
            <v>X</v>
          </cell>
          <cell r="V229">
            <v>0.54166666666666663</v>
          </cell>
          <cell r="W229">
            <v>15.07</v>
          </cell>
          <cell r="X229">
            <v>15</v>
          </cell>
          <cell r="Y229">
            <v>0.41666666666666669</v>
          </cell>
          <cell r="Z229">
            <v>92.94</v>
          </cell>
          <cell r="AA229">
            <v>93.33</v>
          </cell>
          <cell r="AW229">
            <v>4</v>
          </cell>
          <cell r="AX229">
            <v>4</v>
          </cell>
          <cell r="AY229">
            <v>3</v>
          </cell>
          <cell r="AZ229">
            <v>2</v>
          </cell>
          <cell r="BA229" t="str">
            <v>FORTES ENGENHARIA</v>
          </cell>
          <cell r="BB229">
            <v>45073</v>
          </cell>
          <cell r="BG229">
            <v>45072</v>
          </cell>
        </row>
        <row r="230">
          <cell r="A230">
            <v>617</v>
          </cell>
          <cell r="B230">
            <v>235</v>
          </cell>
          <cell r="C230" t="str">
            <v>PN-A161/ PN-162/ PN-163/ PN-164/ PN-165</v>
          </cell>
          <cell r="D230">
            <v>3</v>
          </cell>
          <cell r="E230">
            <v>40</v>
          </cell>
          <cell r="F230">
            <v>15</v>
          </cell>
          <cell r="G230">
            <v>40</v>
          </cell>
          <cell r="H230">
            <v>0</v>
          </cell>
          <cell r="I230" t="str">
            <v>-</v>
          </cell>
          <cell r="J230" t="str">
            <v>660/670</v>
          </cell>
          <cell r="K230" t="str">
            <v xml:space="preserve">CPIII 40 RS </v>
          </cell>
          <cell r="L230" t="str">
            <v>CP V</v>
          </cell>
          <cell r="M230" t="str">
            <v>SUPER PLASTIFICANTE</v>
          </cell>
          <cell r="N230" t="str">
            <v>AIMORÉS - MUROS DE VEDAÇÃO</v>
          </cell>
          <cell r="O230" t="str">
            <v>FORTANKS</v>
          </cell>
          <cell r="P230">
            <v>495</v>
          </cell>
          <cell r="Q230" t="str">
            <v>Gean</v>
          </cell>
          <cell r="R230">
            <v>45072</v>
          </cell>
          <cell r="S230">
            <v>0.66319444444444442</v>
          </cell>
          <cell r="T230">
            <v>0.65319444444444441</v>
          </cell>
          <cell r="U230" t="str">
            <v>X</v>
          </cell>
          <cell r="V230">
            <v>0.41666666666666669</v>
          </cell>
          <cell r="W230">
            <v>15.05</v>
          </cell>
          <cell r="X230">
            <v>15.96</v>
          </cell>
          <cell r="Y230">
            <v>0.41666666666666669</v>
          </cell>
          <cell r="Z230">
            <v>92.83</v>
          </cell>
          <cell r="AA230">
            <v>93.27</v>
          </cell>
          <cell r="AW230">
            <v>3</v>
          </cell>
          <cell r="AX230">
            <v>4</v>
          </cell>
          <cell r="AY230">
            <v>4</v>
          </cell>
          <cell r="AZ230">
            <v>4</v>
          </cell>
          <cell r="BA230" t="str">
            <v>FORTES ENGENHARIA</v>
          </cell>
          <cell r="BB230">
            <v>45073</v>
          </cell>
          <cell r="BG230">
            <v>45072</v>
          </cell>
        </row>
        <row r="231">
          <cell r="A231">
            <v>618</v>
          </cell>
          <cell r="B231">
            <v>236</v>
          </cell>
          <cell r="C231" t="str">
            <v>PN-A176/ PN-A177/ PN-A178/ PN-A179/ PN-A180/ PN-A181/ PN-A182/ PN-A183/ PN-A184/ PN-A185</v>
          </cell>
          <cell r="D231">
            <v>6</v>
          </cell>
          <cell r="E231">
            <v>40</v>
          </cell>
          <cell r="F231">
            <v>15</v>
          </cell>
          <cell r="G231">
            <v>40</v>
          </cell>
          <cell r="H231">
            <v>0</v>
          </cell>
          <cell r="I231" t="str">
            <v>-</v>
          </cell>
          <cell r="J231" t="str">
            <v>660/680</v>
          </cell>
          <cell r="K231" t="str">
            <v xml:space="preserve">CPIII 40 RS </v>
          </cell>
          <cell r="L231" t="str">
            <v>CP V</v>
          </cell>
          <cell r="M231" t="str">
            <v>SUPER PLASTIFICANTE</v>
          </cell>
          <cell r="N231" t="str">
            <v>AIMORÉS - MUROS DE VEDAÇÃO</v>
          </cell>
          <cell r="O231" t="str">
            <v>FORTANKS</v>
          </cell>
          <cell r="P231">
            <v>495</v>
          </cell>
          <cell r="Q231" t="str">
            <v>Gean</v>
          </cell>
          <cell r="R231">
            <v>45075</v>
          </cell>
          <cell r="S231">
            <v>0.42708333333333331</v>
          </cell>
          <cell r="T231">
            <v>0.41708333333333331</v>
          </cell>
          <cell r="U231" t="str">
            <v>X</v>
          </cell>
          <cell r="V231">
            <v>0.33333333333333331</v>
          </cell>
          <cell r="W231">
            <v>24.62</v>
          </cell>
          <cell r="X231">
            <v>22.3</v>
          </cell>
          <cell r="Y231">
            <v>0.41666666666666669</v>
          </cell>
          <cell r="Z231">
            <v>93.16</v>
          </cell>
          <cell r="AA231">
            <v>93.3</v>
          </cell>
          <cell r="AW231">
            <v>3</v>
          </cell>
          <cell r="AX231">
            <v>4</v>
          </cell>
          <cell r="AY231">
            <v>4</v>
          </cell>
          <cell r="AZ231">
            <v>3</v>
          </cell>
          <cell r="BA231" t="str">
            <v>FORTES ENGENHARIA</v>
          </cell>
          <cell r="BB231">
            <v>45076</v>
          </cell>
          <cell r="BG231">
            <v>45075</v>
          </cell>
        </row>
        <row r="232">
          <cell r="A232">
            <v>619</v>
          </cell>
          <cell r="B232">
            <v>238</v>
          </cell>
          <cell r="C232" t="str">
            <v>PN-A186/ PN-A187/ PN-A188/ PN-A189/ PN-A190/ PN-A191/ PN-A192/ PN-A193/ PN-A194/ PN-A195</v>
          </cell>
          <cell r="D232">
            <v>6</v>
          </cell>
          <cell r="E232">
            <v>40</v>
          </cell>
          <cell r="F232">
            <v>15</v>
          </cell>
          <cell r="G232">
            <v>40</v>
          </cell>
          <cell r="H232">
            <v>0</v>
          </cell>
          <cell r="I232" t="str">
            <v>-</v>
          </cell>
          <cell r="J232" t="str">
            <v>670/670</v>
          </cell>
          <cell r="K232" t="str">
            <v xml:space="preserve">CPIII 40 RS </v>
          </cell>
          <cell r="L232" t="str">
            <v>CP V</v>
          </cell>
          <cell r="M232" t="str">
            <v>SUPER PLASTIFICANTE</v>
          </cell>
          <cell r="N232" t="str">
            <v>AIMORÉS - MUROS DE VEDAÇÃO</v>
          </cell>
          <cell r="O232" t="str">
            <v>FORTANKS</v>
          </cell>
          <cell r="P232">
            <v>495</v>
          </cell>
          <cell r="Q232" t="str">
            <v>Gean</v>
          </cell>
          <cell r="R232">
            <v>45078</v>
          </cell>
          <cell r="S232">
            <v>0.61111111111111105</v>
          </cell>
          <cell r="T232">
            <v>0.60111111111111104</v>
          </cell>
          <cell r="U232" t="str">
            <v>X</v>
          </cell>
          <cell r="V232">
            <v>0.33333333333333331</v>
          </cell>
          <cell r="W232">
            <v>22.16</v>
          </cell>
          <cell r="X232">
            <v>20.77</v>
          </cell>
          <cell r="Y232">
            <v>0.41666666666666669</v>
          </cell>
          <cell r="Z232">
            <v>92.9</v>
          </cell>
          <cell r="AA232">
            <v>93.96</v>
          </cell>
          <cell r="AW232">
            <v>3</v>
          </cell>
          <cell r="AX232">
            <v>3</v>
          </cell>
          <cell r="AY232">
            <v>4</v>
          </cell>
          <cell r="AZ232">
            <v>4</v>
          </cell>
          <cell r="BA232" t="str">
            <v>FORTES ENGENHARIA</v>
          </cell>
          <cell r="BB232">
            <v>45079</v>
          </cell>
          <cell r="BG232">
            <v>45078</v>
          </cell>
        </row>
        <row r="233">
          <cell r="A233">
            <v>620</v>
          </cell>
          <cell r="B233">
            <v>239</v>
          </cell>
          <cell r="C233" t="str">
            <v>PN-A196/ PN-A197/ PN-A198/ PN-A199/ PN-A200/ PN-A201/ PN-A202/ PN-A203/ PN-A204/ PN-A205</v>
          </cell>
          <cell r="D233">
            <v>6</v>
          </cell>
          <cell r="E233">
            <v>40</v>
          </cell>
          <cell r="F233">
            <v>15</v>
          </cell>
          <cell r="G233">
            <v>40</v>
          </cell>
          <cell r="H233">
            <v>0</v>
          </cell>
          <cell r="I233" t="str">
            <v>-</v>
          </cell>
          <cell r="J233" t="str">
            <v>670/670</v>
          </cell>
          <cell r="K233" t="str">
            <v xml:space="preserve">CPIII 40 RS </v>
          </cell>
          <cell r="L233" t="str">
            <v>CP V</v>
          </cell>
          <cell r="M233" t="str">
            <v>SUPER PLASTIFICANTE</v>
          </cell>
          <cell r="N233" t="str">
            <v>AIMORÉS - MUROS DE VEDAÇÃO</v>
          </cell>
          <cell r="O233" t="str">
            <v>FORTANKS</v>
          </cell>
          <cell r="P233">
            <v>495</v>
          </cell>
          <cell r="Q233" t="str">
            <v>Gean</v>
          </cell>
          <cell r="R233">
            <v>45082</v>
          </cell>
          <cell r="S233">
            <v>0.60416666666666663</v>
          </cell>
          <cell r="T233">
            <v>0.59416666666666662</v>
          </cell>
          <cell r="U233" t="str">
            <v>X</v>
          </cell>
          <cell r="V233">
            <v>0.33333333333333331</v>
          </cell>
          <cell r="W233">
            <v>16.5</v>
          </cell>
          <cell r="X233">
            <v>17.149999999999999</v>
          </cell>
          <cell r="Y233">
            <v>0.41666666666666669</v>
          </cell>
          <cell r="Z233">
            <v>91.27</v>
          </cell>
          <cell r="AA233">
            <v>90.91</v>
          </cell>
          <cell r="AW233">
            <v>4</v>
          </cell>
          <cell r="AX233">
            <v>4</v>
          </cell>
          <cell r="AY233">
            <v>3</v>
          </cell>
          <cell r="AZ233">
            <v>3</v>
          </cell>
          <cell r="BA233" t="str">
            <v>FORTES ENGENHARIA</v>
          </cell>
          <cell r="BB233">
            <v>45083</v>
          </cell>
          <cell r="BG233">
            <v>45082</v>
          </cell>
        </row>
        <row r="234">
          <cell r="A234">
            <v>621</v>
          </cell>
          <cell r="B234">
            <v>240</v>
          </cell>
          <cell r="C234" t="str">
            <v>PN-A206/ PN-A207/ PN-A208/ PN-A209/ PN-A210</v>
          </cell>
          <cell r="D234">
            <v>3</v>
          </cell>
          <cell r="E234">
            <v>40</v>
          </cell>
          <cell r="F234">
            <v>15</v>
          </cell>
          <cell r="G234">
            <v>40</v>
          </cell>
          <cell r="H234">
            <v>0</v>
          </cell>
          <cell r="I234" t="str">
            <v>-</v>
          </cell>
          <cell r="J234" t="str">
            <v>650/650</v>
          </cell>
          <cell r="K234" t="str">
            <v xml:space="preserve">CPIII 40 RS </v>
          </cell>
          <cell r="L234" t="str">
            <v>CP V</v>
          </cell>
          <cell r="M234" t="str">
            <v>SUPER PLASTIFICANTE</v>
          </cell>
          <cell r="N234" t="str">
            <v>AIMORÉS - MUROS DE VEDAÇÃO</v>
          </cell>
          <cell r="O234" t="str">
            <v>FORTANKS</v>
          </cell>
          <cell r="P234">
            <v>495</v>
          </cell>
          <cell r="Q234" t="str">
            <v>Gean</v>
          </cell>
          <cell r="R234">
            <v>45082</v>
          </cell>
          <cell r="S234">
            <v>0.65277777777777779</v>
          </cell>
          <cell r="T234">
            <v>0.64277777777777778</v>
          </cell>
          <cell r="U234" t="str">
            <v>X</v>
          </cell>
          <cell r="V234">
            <v>0.35416666666666669</v>
          </cell>
          <cell r="W234">
            <v>20.81</v>
          </cell>
          <cell r="X234">
            <v>21.56</v>
          </cell>
          <cell r="Y234">
            <v>0.41666666666666669</v>
          </cell>
          <cell r="Z234">
            <v>78.510000000000005</v>
          </cell>
          <cell r="AA234">
            <v>80.150000000000006</v>
          </cell>
          <cell r="AW234">
            <v>3</v>
          </cell>
          <cell r="AX234">
            <v>2</v>
          </cell>
          <cell r="AY234">
            <v>4</v>
          </cell>
          <cell r="AZ234">
            <v>3</v>
          </cell>
          <cell r="BA234" t="str">
            <v>FORTES ENGENHARIA</v>
          </cell>
          <cell r="BB234">
            <v>45083</v>
          </cell>
          <cell r="BG234">
            <v>45082</v>
          </cell>
        </row>
        <row r="235">
          <cell r="A235">
            <v>622</v>
          </cell>
          <cell r="B235">
            <v>241</v>
          </cell>
          <cell r="C235" t="str">
            <v>PN-01 / PN-02/ PN-03 (30%)</v>
          </cell>
          <cell r="D235">
            <v>8.5</v>
          </cell>
          <cell r="E235">
            <v>40</v>
          </cell>
          <cell r="F235">
            <v>24</v>
          </cell>
          <cell r="G235">
            <v>40</v>
          </cell>
          <cell r="H235">
            <v>0</v>
          </cell>
          <cell r="I235" t="str">
            <v>-</v>
          </cell>
          <cell r="J235" t="str">
            <v>670/660</v>
          </cell>
          <cell r="K235" t="str">
            <v xml:space="preserve">CPIII 40 RS </v>
          </cell>
          <cell r="L235" t="str">
            <v>CP V</v>
          </cell>
          <cell r="M235" t="str">
            <v>SUPER PLASTIFICANTE</v>
          </cell>
          <cell r="N235" t="str">
            <v>EFLUENTE TRATADO ETE SUL</v>
          </cell>
          <cell r="O235" t="str">
            <v>FORTANKS</v>
          </cell>
          <cell r="P235">
            <v>21</v>
          </cell>
          <cell r="Q235" t="str">
            <v>Gean</v>
          </cell>
          <cell r="R235">
            <v>45086</v>
          </cell>
          <cell r="S235">
            <v>0.43055555555555558</v>
          </cell>
          <cell r="T235">
            <v>0.42055555555555557</v>
          </cell>
          <cell r="U235" t="str">
            <v>X</v>
          </cell>
          <cell r="V235">
            <v>0.33333333333333331</v>
          </cell>
          <cell r="W235">
            <v>31.35</v>
          </cell>
          <cell r="X235">
            <v>31.09</v>
          </cell>
          <cell r="Y235">
            <v>0.41666666666666669</v>
          </cell>
          <cell r="Z235">
            <v>94.04</v>
          </cell>
          <cell r="AA235">
            <v>92</v>
          </cell>
          <cell r="AW235">
            <v>4</v>
          </cell>
          <cell r="AX235">
            <v>4</v>
          </cell>
          <cell r="AY235">
            <v>4</v>
          </cell>
          <cell r="AZ235">
            <v>3</v>
          </cell>
          <cell r="BA235" t="str">
            <v>VALE</v>
          </cell>
          <cell r="BB235">
            <v>45087</v>
          </cell>
          <cell r="BG235">
            <v>45086</v>
          </cell>
        </row>
        <row r="236">
          <cell r="A236">
            <v>623</v>
          </cell>
          <cell r="B236">
            <v>242</v>
          </cell>
          <cell r="C236" t="str">
            <v>PN-03 (70%) / PN-04 / PN-05 (40%)</v>
          </cell>
          <cell r="D236">
            <v>8.5</v>
          </cell>
          <cell r="E236">
            <v>40</v>
          </cell>
          <cell r="F236">
            <v>24</v>
          </cell>
          <cell r="G236">
            <v>40</v>
          </cell>
          <cell r="H236">
            <v>0</v>
          </cell>
          <cell r="I236" t="str">
            <v>-</v>
          </cell>
          <cell r="J236" t="str">
            <v>660/670</v>
          </cell>
          <cell r="K236" t="str">
            <v xml:space="preserve">CPIII 40 RS </v>
          </cell>
          <cell r="L236" t="str">
            <v>CP V</v>
          </cell>
          <cell r="M236" t="str">
            <v>SUPER PLASTIFICANTE</v>
          </cell>
          <cell r="N236" t="str">
            <v>EFLUENTE TRATADO ETE SUL</v>
          </cell>
          <cell r="O236" t="str">
            <v>FORTANKS</v>
          </cell>
          <cell r="P236" t="str">
            <v>01</v>
          </cell>
          <cell r="Q236" t="str">
            <v>Gean</v>
          </cell>
          <cell r="R236">
            <v>45086</v>
          </cell>
          <cell r="S236">
            <v>0.44444444444444442</v>
          </cell>
          <cell r="T236">
            <v>0.43444444444444441</v>
          </cell>
          <cell r="U236" t="str">
            <v>X</v>
          </cell>
          <cell r="V236">
            <v>0.34375</v>
          </cell>
          <cell r="W236">
            <v>36.409999999999997</v>
          </cell>
          <cell r="X236">
            <v>34.78</v>
          </cell>
          <cell r="Y236">
            <v>0.41666666666666669</v>
          </cell>
          <cell r="Z236">
            <v>92.71</v>
          </cell>
          <cell r="AA236">
            <v>92.74</v>
          </cell>
          <cell r="AW236">
            <v>3</v>
          </cell>
          <cell r="AX236">
            <v>4</v>
          </cell>
          <cell r="AY236">
            <v>3</v>
          </cell>
          <cell r="AZ236">
            <v>4</v>
          </cell>
          <cell r="BA236" t="str">
            <v>VALE</v>
          </cell>
          <cell r="BB236">
            <v>45087</v>
          </cell>
          <cell r="BG236">
            <v>45086</v>
          </cell>
        </row>
        <row r="237">
          <cell r="A237">
            <v>624</v>
          </cell>
          <cell r="B237">
            <v>243</v>
          </cell>
          <cell r="C237" t="str">
            <v>PN-05 (60%) /PN-06/ PN-07</v>
          </cell>
          <cell r="D237">
            <v>9</v>
          </cell>
          <cell r="E237">
            <v>40</v>
          </cell>
          <cell r="F237">
            <v>24</v>
          </cell>
          <cell r="G237">
            <v>40</v>
          </cell>
          <cell r="H237">
            <v>0</v>
          </cell>
          <cell r="I237" t="str">
            <v>-</v>
          </cell>
          <cell r="J237" t="str">
            <v>670/670</v>
          </cell>
          <cell r="K237" t="str">
            <v xml:space="preserve">CPIII 40 RS </v>
          </cell>
          <cell r="L237" t="str">
            <v>CP V</v>
          </cell>
          <cell r="M237" t="str">
            <v>SUPER PLASTIFICANTE</v>
          </cell>
          <cell r="N237" t="str">
            <v>EFLUENTE TRATADO ETE SUL</v>
          </cell>
          <cell r="O237" t="str">
            <v>FORTANKS</v>
          </cell>
          <cell r="P237">
            <v>21</v>
          </cell>
          <cell r="Q237" t="str">
            <v>Gean</v>
          </cell>
          <cell r="R237">
            <v>45086</v>
          </cell>
          <cell r="S237">
            <v>0.51388888888888895</v>
          </cell>
          <cell r="T237">
            <v>0.50388888888888894</v>
          </cell>
          <cell r="U237" t="str">
            <v>X</v>
          </cell>
          <cell r="V237">
            <v>0.35416666666666669</v>
          </cell>
          <cell r="W237">
            <v>24.26</v>
          </cell>
          <cell r="X237">
            <v>24.37</v>
          </cell>
          <cell r="Y237">
            <v>0.41666666666666669</v>
          </cell>
          <cell r="Z237">
            <v>92.89</v>
          </cell>
          <cell r="AA237">
            <v>90.85</v>
          </cell>
          <cell r="AW237">
            <v>4</v>
          </cell>
          <cell r="AX237">
            <v>4</v>
          </cell>
          <cell r="AY237">
            <v>3</v>
          </cell>
          <cell r="AZ237">
            <v>3</v>
          </cell>
          <cell r="BA237" t="str">
            <v>VALE</v>
          </cell>
          <cell r="BB237">
            <v>45087</v>
          </cell>
          <cell r="BG237">
            <v>45086</v>
          </cell>
        </row>
        <row r="238">
          <cell r="A238">
            <v>625</v>
          </cell>
          <cell r="B238">
            <v>244</v>
          </cell>
          <cell r="C238" t="str">
            <v>PN-A211/ PN-A212/ PN-A213/ PN-A214/ PN-A215/ PN-A216/ PN-A217/ PN-A218/ PN-A219/ PN-A220</v>
          </cell>
          <cell r="D238">
            <v>6</v>
          </cell>
          <cell r="E238">
            <v>40</v>
          </cell>
          <cell r="F238">
            <v>15</v>
          </cell>
          <cell r="G238">
            <v>40</v>
          </cell>
          <cell r="H238">
            <v>0</v>
          </cell>
          <cell r="I238" t="str">
            <v>-</v>
          </cell>
          <cell r="J238" t="str">
            <v>650/650</v>
          </cell>
          <cell r="K238" t="str">
            <v xml:space="preserve">CPIII 40 RS </v>
          </cell>
          <cell r="L238" t="str">
            <v>CP V</v>
          </cell>
          <cell r="M238" t="str">
            <v>SUPER PLASTIFICANTE</v>
          </cell>
          <cell r="N238" t="str">
            <v>AIMORÉS - MUROS DE VEDAÇÃO</v>
          </cell>
          <cell r="O238" t="str">
            <v>FORTANKS</v>
          </cell>
          <cell r="P238">
            <v>1</v>
          </cell>
          <cell r="Q238" t="str">
            <v>Gean</v>
          </cell>
          <cell r="R238">
            <v>45086</v>
          </cell>
          <cell r="S238">
            <v>0.60416666666666663</v>
          </cell>
          <cell r="T238">
            <v>0.59416666666666662</v>
          </cell>
          <cell r="U238" t="str">
            <v>X</v>
          </cell>
          <cell r="V238">
            <v>0.33333333333333331</v>
          </cell>
          <cell r="W238">
            <v>15.96</v>
          </cell>
          <cell r="X238">
            <v>15.3</v>
          </cell>
          <cell r="Y238">
            <v>0.41666666666666669</v>
          </cell>
          <cell r="Z238">
            <v>92.62</v>
          </cell>
          <cell r="AA238">
            <v>94.5</v>
          </cell>
          <cell r="AW238">
            <v>3</v>
          </cell>
          <cell r="AX238">
            <v>4</v>
          </cell>
          <cell r="AY238">
            <v>4</v>
          </cell>
          <cell r="AZ238">
            <v>4</v>
          </cell>
          <cell r="BA238" t="str">
            <v>FORTES ENGENHARIA</v>
          </cell>
          <cell r="BB238">
            <v>45087</v>
          </cell>
          <cell r="BG238">
            <v>45086</v>
          </cell>
        </row>
        <row r="239">
          <cell r="A239">
            <v>626</v>
          </cell>
          <cell r="B239">
            <v>245</v>
          </cell>
          <cell r="C239" t="str">
            <v>PN-A221/ PN-A222/ PN-A223/ PN-A224/ PN-A225</v>
          </cell>
          <cell r="D239">
            <v>3</v>
          </cell>
          <cell r="E239">
            <v>40</v>
          </cell>
          <cell r="F239">
            <v>15</v>
          </cell>
          <cell r="G239">
            <v>40</v>
          </cell>
          <cell r="H239">
            <v>0</v>
          </cell>
          <cell r="I239" t="str">
            <v>-</v>
          </cell>
          <cell r="J239" t="str">
            <v>660/650</v>
          </cell>
          <cell r="K239" t="str">
            <v xml:space="preserve">CPIII 40 RS </v>
          </cell>
          <cell r="L239" t="str">
            <v>CP V</v>
          </cell>
          <cell r="M239" t="str">
            <v>SUPER PLASTIFICANTE</v>
          </cell>
          <cell r="N239" t="str">
            <v>AIMORÉS - MUROS DE VEDAÇÃO</v>
          </cell>
          <cell r="O239" t="str">
            <v>FORTANKS</v>
          </cell>
          <cell r="P239">
            <v>21</v>
          </cell>
          <cell r="Q239" t="str">
            <v>Gean</v>
          </cell>
          <cell r="R239">
            <v>45086</v>
          </cell>
          <cell r="S239">
            <v>0.54166666666666663</v>
          </cell>
          <cell r="T239">
            <v>0.53166666666666662</v>
          </cell>
          <cell r="U239" t="str">
            <v>X</v>
          </cell>
          <cell r="V239">
            <v>0.33333333333333331</v>
          </cell>
          <cell r="W239">
            <v>15.05</v>
          </cell>
          <cell r="X239">
            <v>15.28</v>
          </cell>
          <cell r="Y239">
            <v>0.41666666666666669</v>
          </cell>
          <cell r="Z239">
            <v>90.37</v>
          </cell>
          <cell r="AA239">
            <v>88.58</v>
          </cell>
          <cell r="AW239">
            <v>3</v>
          </cell>
          <cell r="AX239">
            <v>4</v>
          </cell>
          <cell r="AY239">
            <v>4</v>
          </cell>
          <cell r="AZ239">
            <v>4</v>
          </cell>
          <cell r="BA239" t="str">
            <v>FORTES ENGENHARIA</v>
          </cell>
          <cell r="BB239">
            <v>45087</v>
          </cell>
          <cell r="BG239">
            <v>45086</v>
          </cell>
        </row>
        <row r="240">
          <cell r="A240">
            <v>627</v>
          </cell>
          <cell r="B240">
            <v>247</v>
          </cell>
          <cell r="C240" t="str">
            <v>PN-A226/ PN-A227/ PN-A228/ PN-A229/ PN-A230/ PN-A231/ PN-A232/ PN-A233/ PN-A234/ PN-A235/ PN-A236</v>
          </cell>
          <cell r="D240">
            <v>7</v>
          </cell>
          <cell r="E240">
            <v>40</v>
          </cell>
          <cell r="F240">
            <v>15</v>
          </cell>
          <cell r="G240">
            <v>40</v>
          </cell>
          <cell r="H240">
            <v>0</v>
          </cell>
          <cell r="I240" t="str">
            <v>-</v>
          </cell>
          <cell r="J240" t="str">
            <v>660/660</v>
          </cell>
          <cell r="K240" t="str">
            <v xml:space="preserve">CPIII 40 RS </v>
          </cell>
          <cell r="L240" t="str">
            <v>CP V</v>
          </cell>
          <cell r="M240" t="str">
            <v>SUPER PLASTIFICANTE</v>
          </cell>
          <cell r="N240" t="str">
            <v>AIMORÉS - MUROS DE VEDAÇÃO</v>
          </cell>
          <cell r="O240" t="str">
            <v>FORTANKS</v>
          </cell>
          <cell r="P240">
            <v>21</v>
          </cell>
          <cell r="Q240" t="str">
            <v>Gean</v>
          </cell>
          <cell r="R240">
            <v>45089</v>
          </cell>
          <cell r="S240">
            <v>0.58333333333333337</v>
          </cell>
          <cell r="T240">
            <v>0.57333333333333336</v>
          </cell>
          <cell r="U240" t="str">
            <v>X</v>
          </cell>
          <cell r="V240">
            <v>0.35416666666666669</v>
          </cell>
          <cell r="W240">
            <v>14.94</v>
          </cell>
          <cell r="X240">
            <v>15.62</v>
          </cell>
          <cell r="Y240">
            <v>0.41666666666666669</v>
          </cell>
          <cell r="Z240">
            <v>92.9</v>
          </cell>
          <cell r="AA240">
            <v>92.15</v>
          </cell>
          <cell r="AW240">
            <v>3</v>
          </cell>
          <cell r="AX240">
            <v>4</v>
          </cell>
          <cell r="AY240">
            <v>3</v>
          </cell>
          <cell r="AZ240">
            <v>3</v>
          </cell>
          <cell r="BA240" t="str">
            <v>FORTES ENGENHARIA</v>
          </cell>
          <cell r="BB240">
            <v>45090</v>
          </cell>
          <cell r="BG240">
            <v>45089</v>
          </cell>
        </row>
        <row r="241">
          <cell r="A241">
            <v>628</v>
          </cell>
          <cell r="B241">
            <v>248</v>
          </cell>
          <cell r="C241" t="str">
            <v>PN-14 / PN-15</v>
          </cell>
          <cell r="D241">
            <v>7.5</v>
          </cell>
          <cell r="E241">
            <v>40</v>
          </cell>
          <cell r="F241">
            <v>24</v>
          </cell>
          <cell r="G241">
            <v>40</v>
          </cell>
          <cell r="H241">
            <v>0</v>
          </cell>
          <cell r="I241" t="str">
            <v>-</v>
          </cell>
          <cell r="J241" t="str">
            <v>670/680</v>
          </cell>
          <cell r="K241" t="str">
            <v xml:space="preserve">CPIII 40 RS </v>
          </cell>
          <cell r="L241" t="str">
            <v>CP V</v>
          </cell>
          <cell r="M241" t="str">
            <v>SUPER PLASTIFICANTE</v>
          </cell>
          <cell r="N241" t="str">
            <v>EFLUENTE TRATADO ETE SUL</v>
          </cell>
          <cell r="O241" t="str">
            <v>FORTANKS</v>
          </cell>
          <cell r="P241" t="str">
            <v>01</v>
          </cell>
          <cell r="Q241" t="str">
            <v>Gean</v>
          </cell>
          <cell r="R241">
            <v>45089</v>
          </cell>
          <cell r="S241">
            <v>0.61458333333333337</v>
          </cell>
          <cell r="T241">
            <v>0.60458333333333336</v>
          </cell>
          <cell r="U241" t="str">
            <v>X</v>
          </cell>
          <cell r="V241">
            <v>0.5</v>
          </cell>
          <cell r="W241">
            <v>28.02</v>
          </cell>
          <cell r="X241">
            <v>27.8</v>
          </cell>
          <cell r="Y241">
            <v>0.41666666666666669</v>
          </cell>
          <cell r="Z241">
            <v>93.07</v>
          </cell>
          <cell r="AA241">
            <v>92.87</v>
          </cell>
          <cell r="AW241">
            <v>4</v>
          </cell>
          <cell r="AX241">
            <v>4</v>
          </cell>
          <cell r="AY241">
            <v>4</v>
          </cell>
          <cell r="AZ241">
            <v>4</v>
          </cell>
          <cell r="BA241" t="str">
            <v>VALE</v>
          </cell>
          <cell r="BB241">
            <v>45090</v>
          </cell>
          <cell r="BG241">
            <v>45089</v>
          </cell>
        </row>
        <row r="242">
          <cell r="A242">
            <v>629</v>
          </cell>
          <cell r="B242">
            <v>249</v>
          </cell>
          <cell r="C242" t="str">
            <v>PN-12 / PN-13</v>
          </cell>
          <cell r="D242">
            <v>7.5</v>
          </cell>
          <cell r="E242">
            <v>40</v>
          </cell>
          <cell r="F242">
            <v>24</v>
          </cell>
          <cell r="G242">
            <v>40</v>
          </cell>
          <cell r="H242">
            <v>0</v>
          </cell>
          <cell r="I242" t="str">
            <v>-</v>
          </cell>
          <cell r="J242" t="str">
            <v>670/660</v>
          </cell>
          <cell r="K242" t="str">
            <v xml:space="preserve">CPIII 40 RS </v>
          </cell>
          <cell r="L242" t="str">
            <v>CP V</v>
          </cell>
          <cell r="M242" t="str">
            <v>SUPER PLASTIFICANTE</v>
          </cell>
          <cell r="N242" t="str">
            <v>EFLUENTE TRATADO ETE SUL</v>
          </cell>
          <cell r="O242" t="str">
            <v>FORTANKS</v>
          </cell>
          <cell r="P242">
            <v>21</v>
          </cell>
          <cell r="Q242" t="str">
            <v>Gean</v>
          </cell>
          <cell r="R242">
            <v>45089</v>
          </cell>
          <cell r="S242">
            <v>0.63194444444444442</v>
          </cell>
          <cell r="T242">
            <v>0.62194444444444441</v>
          </cell>
          <cell r="U242" t="str">
            <v>X</v>
          </cell>
          <cell r="V242">
            <v>0.50694444444444442</v>
          </cell>
          <cell r="W242">
            <v>27.26</v>
          </cell>
          <cell r="X242">
            <v>27.17</v>
          </cell>
          <cell r="Y242">
            <v>0.41666666666666669</v>
          </cell>
          <cell r="Z242">
            <v>91.43</v>
          </cell>
          <cell r="AA242">
            <v>89.72</v>
          </cell>
          <cell r="AW242">
            <v>4</v>
          </cell>
          <cell r="AX242">
            <v>4</v>
          </cell>
          <cell r="AY242">
            <v>3</v>
          </cell>
          <cell r="AZ242">
            <v>3</v>
          </cell>
          <cell r="BA242" t="str">
            <v>VALE</v>
          </cell>
          <cell r="BB242">
            <v>45090</v>
          </cell>
          <cell r="BG242">
            <v>45089</v>
          </cell>
        </row>
        <row r="243">
          <cell r="A243">
            <v>630</v>
          </cell>
          <cell r="B243">
            <v>250</v>
          </cell>
          <cell r="C243" t="str">
            <v xml:space="preserve">PN-10 / PN-11 </v>
          </cell>
          <cell r="D243">
            <v>7.5</v>
          </cell>
          <cell r="E243">
            <v>40</v>
          </cell>
          <cell r="F243">
            <v>24</v>
          </cell>
          <cell r="G243">
            <v>40</v>
          </cell>
          <cell r="H243">
            <v>0</v>
          </cell>
          <cell r="I243" t="str">
            <v>-</v>
          </cell>
          <cell r="J243" t="str">
            <v>670/670</v>
          </cell>
          <cell r="K243" t="str">
            <v xml:space="preserve">CPIII 40 RS </v>
          </cell>
          <cell r="L243" t="str">
            <v>CP V</v>
          </cell>
          <cell r="M243" t="str">
            <v>SUPER PLASTIFICANTE</v>
          </cell>
          <cell r="N243" t="str">
            <v>EFLUENTE TRATADO ETE SUL</v>
          </cell>
          <cell r="O243" t="str">
            <v>FORTANKS</v>
          </cell>
          <cell r="P243" t="str">
            <v>01</v>
          </cell>
          <cell r="Q243" t="str">
            <v>Gean</v>
          </cell>
          <cell r="R243">
            <v>45089</v>
          </cell>
          <cell r="S243">
            <v>0.68402777777777779</v>
          </cell>
          <cell r="T243">
            <v>0.67402777777777778</v>
          </cell>
          <cell r="U243" t="str">
            <v>X</v>
          </cell>
          <cell r="V243">
            <v>0.51388888888888895</v>
          </cell>
          <cell r="W243">
            <v>27.26</v>
          </cell>
          <cell r="X243">
            <v>27.43</v>
          </cell>
          <cell r="Y243">
            <v>0.41666666666666669</v>
          </cell>
          <cell r="Z243">
            <v>86.43</v>
          </cell>
          <cell r="AA243">
            <v>87.6</v>
          </cell>
          <cell r="AW243">
            <v>3</v>
          </cell>
          <cell r="AX243">
            <v>3</v>
          </cell>
          <cell r="AY243">
            <v>4</v>
          </cell>
          <cell r="AZ243">
            <v>4</v>
          </cell>
          <cell r="BA243" t="str">
            <v>VALE</v>
          </cell>
          <cell r="BB243">
            <v>45090</v>
          </cell>
          <cell r="BG243">
            <v>45089</v>
          </cell>
        </row>
        <row r="244">
          <cell r="A244">
            <v>631</v>
          </cell>
          <cell r="B244">
            <v>251</v>
          </cell>
          <cell r="C244" t="str">
            <v>PN-09</v>
          </cell>
          <cell r="D244">
            <v>3.5</v>
          </cell>
          <cell r="E244">
            <v>40</v>
          </cell>
          <cell r="F244">
            <v>24</v>
          </cell>
          <cell r="G244">
            <v>40</v>
          </cell>
          <cell r="H244">
            <v>0</v>
          </cell>
          <cell r="I244" t="str">
            <v>-</v>
          </cell>
          <cell r="J244" t="str">
            <v>670/650</v>
          </cell>
          <cell r="K244" t="str">
            <v xml:space="preserve">CPIII 40 RS </v>
          </cell>
          <cell r="L244" t="str">
            <v>CP V</v>
          </cell>
          <cell r="M244" t="str">
            <v>SUPER PLASTIFICANTE</v>
          </cell>
          <cell r="N244" t="str">
            <v>EFLUENTE TRATADO ETE SUL</v>
          </cell>
          <cell r="O244" t="str">
            <v>FORTANKS</v>
          </cell>
          <cell r="P244">
            <v>21</v>
          </cell>
          <cell r="Q244" t="str">
            <v>Gean</v>
          </cell>
          <cell r="R244">
            <v>45089</v>
          </cell>
          <cell r="S244">
            <v>0.71527777777777779</v>
          </cell>
          <cell r="T244">
            <v>0.70527777777777778</v>
          </cell>
          <cell r="U244" t="str">
            <v>X</v>
          </cell>
          <cell r="V244">
            <v>0.52083333333333337</v>
          </cell>
          <cell r="W244">
            <v>24.91</v>
          </cell>
          <cell r="X244">
            <v>24.21</v>
          </cell>
          <cell r="Y244">
            <v>0.41666666666666669</v>
          </cell>
          <cell r="Z244">
            <v>93.16</v>
          </cell>
          <cell r="AA244">
            <v>92.32</v>
          </cell>
          <cell r="AW244">
            <v>3</v>
          </cell>
          <cell r="AX244">
            <v>2</v>
          </cell>
          <cell r="AY244">
            <v>4</v>
          </cell>
          <cell r="AZ244">
            <v>4</v>
          </cell>
          <cell r="BA244" t="str">
            <v>VALE</v>
          </cell>
          <cell r="BB244">
            <v>45090</v>
          </cell>
          <cell r="BG244">
            <v>45089</v>
          </cell>
        </row>
        <row r="245">
          <cell r="A245">
            <v>632</v>
          </cell>
          <cell r="B245">
            <v>252</v>
          </cell>
          <cell r="C245" t="str">
            <v>PN-A237/ PN-A238/ PN-A239/ PN-A240</v>
          </cell>
          <cell r="D245">
            <v>2.5</v>
          </cell>
          <cell r="E245">
            <v>40</v>
          </cell>
          <cell r="F245">
            <v>15</v>
          </cell>
          <cell r="G245">
            <v>40</v>
          </cell>
          <cell r="H245">
            <v>0</v>
          </cell>
          <cell r="I245" t="str">
            <v>-</v>
          </cell>
          <cell r="J245" t="str">
            <v>670/680</v>
          </cell>
          <cell r="K245" t="str">
            <v xml:space="preserve">CPIII 40 RS </v>
          </cell>
          <cell r="L245" t="str">
            <v>CP V</v>
          </cell>
          <cell r="M245" t="str">
            <v>SUPER PLASTIFICANTE</v>
          </cell>
          <cell r="N245" t="str">
            <v>AIMORÉS - MUROS DE VEDAÇÃO</v>
          </cell>
          <cell r="O245" t="str">
            <v>FORTANKS</v>
          </cell>
          <cell r="P245">
            <v>21</v>
          </cell>
          <cell r="Q245" t="str">
            <v>Gean</v>
          </cell>
          <cell r="R245">
            <v>45090</v>
          </cell>
          <cell r="S245">
            <v>0.33333333333333331</v>
          </cell>
          <cell r="T245">
            <v>0.32333333333333331</v>
          </cell>
          <cell r="U245" t="str">
            <v>X</v>
          </cell>
          <cell r="V245">
            <v>0.41666666666666669</v>
          </cell>
          <cell r="W245">
            <v>21.41</v>
          </cell>
          <cell r="X245">
            <v>22.03</v>
          </cell>
          <cell r="Y245">
            <v>0.41666666666666669</v>
          </cell>
          <cell r="Z245">
            <v>86.74</v>
          </cell>
          <cell r="AA245">
            <v>86.89</v>
          </cell>
          <cell r="AW245">
            <v>3</v>
          </cell>
          <cell r="AX245">
            <v>4</v>
          </cell>
          <cell r="AY245">
            <v>1</v>
          </cell>
          <cell r="AZ245">
            <v>1</v>
          </cell>
          <cell r="BA245" t="str">
            <v>FORTES ENGENHARIA</v>
          </cell>
          <cell r="BB245">
            <v>45091</v>
          </cell>
          <cell r="BG245">
            <v>45090</v>
          </cell>
        </row>
        <row r="246">
          <cell r="A246">
            <v>633</v>
          </cell>
          <cell r="B246">
            <v>253</v>
          </cell>
          <cell r="C246" t="str">
            <v>PN-16 / PN-17</v>
          </cell>
          <cell r="D246">
            <v>7</v>
          </cell>
          <cell r="E246">
            <v>40</v>
          </cell>
          <cell r="F246">
            <v>24</v>
          </cell>
          <cell r="G246">
            <v>40</v>
          </cell>
          <cell r="H246">
            <v>0</v>
          </cell>
          <cell r="I246" t="str">
            <v>-</v>
          </cell>
          <cell r="J246" t="str">
            <v>650/650</v>
          </cell>
          <cell r="K246" t="str">
            <v xml:space="preserve">CPIII 40 RS </v>
          </cell>
          <cell r="L246" t="str">
            <v>CP V</v>
          </cell>
          <cell r="M246" t="str">
            <v>SUPER PLASTIFICANTE</v>
          </cell>
          <cell r="N246" t="str">
            <v>EFLUENTE TRATADO ETE SUL</v>
          </cell>
          <cell r="O246" t="str">
            <v>FORTANKS</v>
          </cell>
          <cell r="P246">
            <v>21</v>
          </cell>
          <cell r="Q246" t="str">
            <v>Gean</v>
          </cell>
          <cell r="R246">
            <v>45092</v>
          </cell>
          <cell r="S246">
            <v>0.38194444444444442</v>
          </cell>
          <cell r="T246">
            <v>0.37194444444444441</v>
          </cell>
          <cell r="U246" t="str">
            <v>X</v>
          </cell>
          <cell r="V246">
            <v>0.3611111111111111</v>
          </cell>
          <cell r="W246">
            <v>42.15</v>
          </cell>
          <cell r="X246">
            <v>43.53</v>
          </cell>
          <cell r="Y246">
            <v>0.41666666666666669</v>
          </cell>
          <cell r="Z246">
            <v>87.91</v>
          </cell>
          <cell r="AA246">
            <v>88.39</v>
          </cell>
          <cell r="AW246">
            <v>3</v>
          </cell>
          <cell r="AX246">
            <v>4</v>
          </cell>
          <cell r="AY246">
            <v>3</v>
          </cell>
          <cell r="AZ246">
            <v>4</v>
          </cell>
          <cell r="BA246" t="str">
            <v>VALE</v>
          </cell>
          <cell r="BB246">
            <v>45093</v>
          </cell>
          <cell r="BG246">
            <v>45092</v>
          </cell>
        </row>
        <row r="247">
          <cell r="A247">
            <v>634</v>
          </cell>
          <cell r="B247">
            <v>254</v>
          </cell>
          <cell r="C247" t="str">
            <v>PN-18 / PN-19</v>
          </cell>
          <cell r="D247">
            <v>7.5</v>
          </cell>
          <cell r="E247">
            <v>40</v>
          </cell>
          <cell r="F247">
            <v>24</v>
          </cell>
          <cell r="G247">
            <v>40</v>
          </cell>
          <cell r="H247">
            <v>0</v>
          </cell>
          <cell r="I247" t="str">
            <v>-</v>
          </cell>
          <cell r="J247" t="str">
            <v>660/670</v>
          </cell>
          <cell r="K247" t="str">
            <v xml:space="preserve">CPIII 40 RS </v>
          </cell>
          <cell r="L247" t="str">
            <v>CP V</v>
          </cell>
          <cell r="M247" t="str">
            <v>SUPER PLASTIFICANTE</v>
          </cell>
          <cell r="N247" t="str">
            <v>EFLUENTE TRATADO ETE SUL</v>
          </cell>
          <cell r="O247" t="str">
            <v>FORTANKS</v>
          </cell>
          <cell r="P247">
            <v>31</v>
          </cell>
          <cell r="Q247" t="str">
            <v>Gean</v>
          </cell>
          <cell r="R247">
            <v>45092</v>
          </cell>
          <cell r="S247">
            <v>0.40625</v>
          </cell>
          <cell r="T247">
            <v>0.39624999999999999</v>
          </cell>
          <cell r="U247" t="str">
            <v>X</v>
          </cell>
          <cell r="V247">
            <v>0.36458333333333331</v>
          </cell>
          <cell r="W247">
            <v>38.840000000000003</v>
          </cell>
          <cell r="X247">
            <v>43.13</v>
          </cell>
          <cell r="Y247">
            <v>0.41666666666666669</v>
          </cell>
          <cell r="Z247">
            <v>93.04</v>
          </cell>
          <cell r="AA247">
            <v>92.05</v>
          </cell>
          <cell r="AW247">
            <v>4</v>
          </cell>
          <cell r="AX247">
            <v>3</v>
          </cell>
          <cell r="AY247">
            <v>3</v>
          </cell>
          <cell r="AZ247">
            <v>4</v>
          </cell>
          <cell r="BA247" t="str">
            <v>VALE</v>
          </cell>
          <cell r="BB247">
            <v>45093</v>
          </cell>
          <cell r="BG247">
            <v>45092</v>
          </cell>
        </row>
        <row r="248">
          <cell r="A248">
            <v>635</v>
          </cell>
          <cell r="B248">
            <v>255</v>
          </cell>
          <cell r="C248" t="str">
            <v>PN-20 / PN-22</v>
          </cell>
          <cell r="D248">
            <v>7.5</v>
          </cell>
          <cell r="E248">
            <v>40</v>
          </cell>
          <cell r="F248">
            <v>24</v>
          </cell>
          <cell r="G248">
            <v>40</v>
          </cell>
          <cell r="H248">
            <v>0</v>
          </cell>
          <cell r="I248" t="str">
            <v>-</v>
          </cell>
          <cell r="J248" t="str">
            <v>660/660</v>
          </cell>
          <cell r="K248" t="str">
            <v xml:space="preserve">CPIII 40 RS </v>
          </cell>
          <cell r="L248" t="str">
            <v>CP V</v>
          </cell>
          <cell r="M248" t="str">
            <v>SUPER PLASTIFICANTE</v>
          </cell>
          <cell r="N248" t="str">
            <v>EFLUENTE TRATADO ETE SUL</v>
          </cell>
          <cell r="O248" t="str">
            <v>FORTANKS</v>
          </cell>
          <cell r="P248">
            <v>21</v>
          </cell>
          <cell r="Q248" t="str">
            <v>Gean</v>
          </cell>
          <cell r="R248">
            <v>45092</v>
          </cell>
          <cell r="S248">
            <v>0.4375</v>
          </cell>
          <cell r="T248">
            <v>0.42749999999999999</v>
          </cell>
          <cell r="U248" t="str">
            <v>X</v>
          </cell>
          <cell r="V248">
            <v>0.3576388888888889</v>
          </cell>
          <cell r="W248">
            <v>38.76</v>
          </cell>
          <cell r="X248">
            <v>35.020000000000003</v>
          </cell>
          <cell r="Y248">
            <v>0.41666666666666669</v>
          </cell>
          <cell r="Z248">
            <v>95.02</v>
          </cell>
          <cell r="AA248">
            <v>93.94</v>
          </cell>
          <cell r="AW248">
            <v>4</v>
          </cell>
          <cell r="AX248">
            <v>4</v>
          </cell>
          <cell r="AY248">
            <v>4</v>
          </cell>
          <cell r="AZ248">
            <v>4</v>
          </cell>
          <cell r="BA248" t="str">
            <v>VALE</v>
          </cell>
          <cell r="BB248">
            <v>45093</v>
          </cell>
          <cell r="BG248">
            <v>45092</v>
          </cell>
        </row>
        <row r="249">
          <cell r="A249">
            <v>636</v>
          </cell>
          <cell r="B249">
            <v>256</v>
          </cell>
          <cell r="C249" t="str">
            <v>PN-23</v>
          </cell>
          <cell r="D249">
            <v>4</v>
          </cell>
          <cell r="E249">
            <v>40</v>
          </cell>
          <cell r="F249">
            <v>24</v>
          </cell>
          <cell r="G249">
            <v>40</v>
          </cell>
          <cell r="H249">
            <v>0</v>
          </cell>
          <cell r="I249" t="str">
            <v>-</v>
          </cell>
          <cell r="J249" t="str">
            <v>660/660</v>
          </cell>
          <cell r="K249" t="str">
            <v xml:space="preserve">CPIII 40 RS </v>
          </cell>
          <cell r="L249" t="str">
            <v>CP V</v>
          </cell>
          <cell r="M249" t="str">
            <v>SUPER PLASTIFICANTE</v>
          </cell>
          <cell r="N249" t="str">
            <v>EFLUENTE TRATADO ETE SUL</v>
          </cell>
          <cell r="O249" t="str">
            <v>FORTANKS</v>
          </cell>
          <cell r="P249">
            <v>31</v>
          </cell>
          <cell r="Q249" t="str">
            <v>Gean</v>
          </cell>
          <cell r="R249">
            <v>45092</v>
          </cell>
          <cell r="S249">
            <v>0.46527777777777773</v>
          </cell>
          <cell r="T249">
            <v>0.45527777777777773</v>
          </cell>
          <cell r="U249" t="str">
            <v>X</v>
          </cell>
          <cell r="V249">
            <v>0.35416666666666669</v>
          </cell>
          <cell r="W249">
            <v>33.590000000000003</v>
          </cell>
          <cell r="X249">
            <v>31.03</v>
          </cell>
          <cell r="Y249">
            <v>0.41666666666666669</v>
          </cell>
          <cell r="Z249">
            <v>92.93</v>
          </cell>
          <cell r="AA249">
            <v>93.39</v>
          </cell>
          <cell r="AW249">
            <v>4</v>
          </cell>
          <cell r="AX249">
            <v>4</v>
          </cell>
          <cell r="AY249">
            <v>3</v>
          </cell>
          <cell r="AZ249">
            <v>4</v>
          </cell>
          <cell r="BA249" t="str">
            <v>VALE</v>
          </cell>
          <cell r="BB249">
            <v>45093</v>
          </cell>
          <cell r="BG249">
            <v>45092</v>
          </cell>
        </row>
        <row r="250">
          <cell r="A250">
            <v>637</v>
          </cell>
          <cell r="B250">
            <v>257</v>
          </cell>
          <cell r="C250" t="str">
            <v>PN-A241/ PN-A242/ PN-A243/ PN-A244/ PN-A245/ PN-A246/ PN-A247/ PN-A248/ PN-A249/ PN-A250/ PN-A251/ PN-A252/ PN-A253/ PN-A254/ PN-A255</v>
          </cell>
          <cell r="D250">
            <v>8</v>
          </cell>
          <cell r="E250">
            <v>40</v>
          </cell>
          <cell r="F250">
            <v>15</v>
          </cell>
          <cell r="G250">
            <v>40</v>
          </cell>
          <cell r="H250">
            <v>0</v>
          </cell>
          <cell r="I250" t="str">
            <v>-</v>
          </cell>
          <cell r="J250" t="str">
            <v>670/680</v>
          </cell>
          <cell r="K250" t="str">
            <v xml:space="preserve">CPIII 40 RS </v>
          </cell>
          <cell r="L250" t="str">
            <v>CP V</v>
          </cell>
          <cell r="M250" t="str">
            <v>SUPER PLASTIFICANTE</v>
          </cell>
          <cell r="N250" t="str">
            <v>AIMORÉS - MUROS DE VEDAÇÃO</v>
          </cell>
          <cell r="O250" t="str">
            <v>FORTANKS</v>
          </cell>
          <cell r="P250">
            <v>21</v>
          </cell>
          <cell r="Q250" t="str">
            <v>Gean</v>
          </cell>
          <cell r="R250">
            <v>45092</v>
          </cell>
          <cell r="S250">
            <v>0.5625</v>
          </cell>
          <cell r="T250">
            <v>0.55249999999999999</v>
          </cell>
          <cell r="U250" t="str">
            <v>X</v>
          </cell>
          <cell r="V250">
            <v>0.5625</v>
          </cell>
          <cell r="W250">
            <v>15.05</v>
          </cell>
          <cell r="X250">
            <v>16.16</v>
          </cell>
          <cell r="Y250">
            <v>0.41666666666666669</v>
          </cell>
          <cell r="Z250">
            <v>93.35</v>
          </cell>
          <cell r="AA250">
            <v>92.15</v>
          </cell>
          <cell r="AW250">
            <v>4</v>
          </cell>
          <cell r="AX250">
            <v>4</v>
          </cell>
          <cell r="AY250">
            <v>4</v>
          </cell>
          <cell r="AZ250">
            <v>4</v>
          </cell>
          <cell r="BA250" t="str">
            <v>FORTES ENGENHARIA</v>
          </cell>
          <cell r="BB250">
            <v>45093</v>
          </cell>
          <cell r="BG250">
            <v>45092</v>
          </cell>
        </row>
        <row r="251">
          <cell r="A251">
            <v>638</v>
          </cell>
          <cell r="B251">
            <v>258</v>
          </cell>
          <cell r="C251" t="str">
            <v>PN-30 / PN-31</v>
          </cell>
          <cell r="D251">
            <v>7.5</v>
          </cell>
          <cell r="E251">
            <v>40</v>
          </cell>
          <cell r="F251">
            <v>24</v>
          </cell>
          <cell r="G251">
            <v>40</v>
          </cell>
          <cell r="H251">
            <v>0</v>
          </cell>
          <cell r="I251" t="str">
            <v>-</v>
          </cell>
          <cell r="J251" t="str">
            <v>660/660</v>
          </cell>
          <cell r="K251" t="str">
            <v xml:space="preserve">CPIII 40 RS </v>
          </cell>
          <cell r="L251" t="str">
            <v>CP V</v>
          </cell>
          <cell r="M251" t="str">
            <v>SUPER PLASTIFICANTE</v>
          </cell>
          <cell r="N251" t="str">
            <v>EFLUENTE TRATADO ETE SUL</v>
          </cell>
          <cell r="O251" t="str">
            <v>FORTANKS</v>
          </cell>
          <cell r="P251">
            <v>21</v>
          </cell>
          <cell r="Q251" t="str">
            <v>Gean</v>
          </cell>
          <cell r="R251">
            <v>45094</v>
          </cell>
          <cell r="S251">
            <v>0.5625</v>
          </cell>
          <cell r="T251">
            <v>0.55249999999999999</v>
          </cell>
          <cell r="U251" t="str">
            <v>X</v>
          </cell>
          <cell r="V251">
            <v>0.33333333333333331</v>
          </cell>
          <cell r="W251">
            <v>48.16</v>
          </cell>
          <cell r="X251">
            <v>51.4</v>
          </cell>
          <cell r="Y251">
            <v>0.41666666666666669</v>
          </cell>
          <cell r="Z251">
            <v>93.54</v>
          </cell>
          <cell r="AA251">
            <v>92</v>
          </cell>
          <cell r="AW251">
            <v>4</v>
          </cell>
          <cell r="AX251">
            <v>4</v>
          </cell>
          <cell r="AY251">
            <v>3</v>
          </cell>
          <cell r="AZ251">
            <v>4</v>
          </cell>
          <cell r="BA251" t="str">
            <v>VALE</v>
          </cell>
          <cell r="BB251">
            <v>45095</v>
          </cell>
          <cell r="BG251">
            <v>45094</v>
          </cell>
        </row>
        <row r="252">
          <cell r="A252">
            <v>639</v>
          </cell>
          <cell r="B252">
            <v>259</v>
          </cell>
          <cell r="C252" t="str">
            <v>PN-28 / PN-29</v>
          </cell>
          <cell r="D252">
            <v>7.5</v>
          </cell>
          <cell r="E252">
            <v>40</v>
          </cell>
          <cell r="F252">
            <v>24</v>
          </cell>
          <cell r="G252">
            <v>40</v>
          </cell>
          <cell r="H252">
            <v>0</v>
          </cell>
          <cell r="I252" t="str">
            <v>-</v>
          </cell>
          <cell r="J252" t="str">
            <v>660/650</v>
          </cell>
          <cell r="K252" t="str">
            <v xml:space="preserve">CPIII 40 RS </v>
          </cell>
          <cell r="L252" t="str">
            <v>CP V</v>
          </cell>
          <cell r="M252" t="str">
            <v>SUPER PLASTIFICANTE</v>
          </cell>
          <cell r="N252" t="str">
            <v>EFLUENTE TRATADO ETE SUL</v>
          </cell>
          <cell r="O252" t="str">
            <v>FORTANKS</v>
          </cell>
          <cell r="P252">
            <v>31</v>
          </cell>
          <cell r="Q252" t="str">
            <v>Gean</v>
          </cell>
          <cell r="R252">
            <v>45094</v>
          </cell>
          <cell r="S252">
            <v>0.58333333333333337</v>
          </cell>
          <cell r="T252">
            <v>0.57333333333333336</v>
          </cell>
          <cell r="U252" t="str">
            <v>X</v>
          </cell>
          <cell r="V252">
            <v>0.34027777777777773</v>
          </cell>
          <cell r="W252">
            <v>49.05</v>
          </cell>
          <cell r="X252">
            <v>49.1</v>
          </cell>
          <cell r="Y252">
            <v>0.41666666666666669</v>
          </cell>
          <cell r="Z252">
            <v>93.99</v>
          </cell>
          <cell r="AA252">
            <v>93.38</v>
          </cell>
          <cell r="AW252">
            <v>4</v>
          </cell>
          <cell r="AX252">
            <v>4</v>
          </cell>
          <cell r="AY252">
            <v>4</v>
          </cell>
          <cell r="AZ252">
            <v>4</v>
          </cell>
          <cell r="BA252" t="str">
            <v>VALE</v>
          </cell>
          <cell r="BB252">
            <v>45095</v>
          </cell>
          <cell r="BG252">
            <v>45094</v>
          </cell>
        </row>
        <row r="253">
          <cell r="A253">
            <v>640</v>
          </cell>
          <cell r="B253">
            <v>260</v>
          </cell>
          <cell r="C253" t="str">
            <v>PN-25/ PN-26</v>
          </cell>
          <cell r="D253">
            <v>7.5</v>
          </cell>
          <cell r="E253">
            <v>40</v>
          </cell>
          <cell r="F253">
            <v>24</v>
          </cell>
          <cell r="G253">
            <v>40</v>
          </cell>
          <cell r="H253">
            <v>0</v>
          </cell>
          <cell r="I253" t="str">
            <v>-</v>
          </cell>
          <cell r="J253" t="str">
            <v>660/670</v>
          </cell>
          <cell r="K253" t="str">
            <v xml:space="preserve">CPIII 40 RS </v>
          </cell>
          <cell r="L253" t="str">
            <v>CP V</v>
          </cell>
          <cell r="M253" t="str">
            <v>SUPER PLASTIFICANTE</v>
          </cell>
          <cell r="N253" t="str">
            <v>EFLUENTE TRATADO ETE SUL</v>
          </cell>
          <cell r="O253" t="str">
            <v>FORTANKS</v>
          </cell>
          <cell r="P253">
            <v>21</v>
          </cell>
          <cell r="Q253" t="str">
            <v>Gean</v>
          </cell>
          <cell r="R253">
            <v>45094</v>
          </cell>
          <cell r="S253">
            <v>0.63888888888888895</v>
          </cell>
          <cell r="T253">
            <v>0.62888888888888894</v>
          </cell>
          <cell r="U253" t="str">
            <v>X</v>
          </cell>
          <cell r="V253">
            <v>0.34375</v>
          </cell>
          <cell r="W253">
            <v>47.61</v>
          </cell>
          <cell r="X253">
            <v>48.99</v>
          </cell>
          <cell r="Y253">
            <v>0.41666666666666669</v>
          </cell>
          <cell r="Z253">
            <v>93.38</v>
          </cell>
          <cell r="AA253">
            <v>92.87</v>
          </cell>
          <cell r="AW253">
            <v>4</v>
          </cell>
          <cell r="AX253">
            <v>4</v>
          </cell>
          <cell r="AY253">
            <v>3</v>
          </cell>
          <cell r="AZ253">
            <v>3</v>
          </cell>
          <cell r="BA253" t="str">
            <v>VALE</v>
          </cell>
          <cell r="BB253">
            <v>45095</v>
          </cell>
          <cell r="BG253">
            <v>45094</v>
          </cell>
        </row>
        <row r="254">
          <cell r="A254">
            <v>641</v>
          </cell>
          <cell r="B254">
            <v>261</v>
          </cell>
          <cell r="C254" t="str">
            <v>PN-24</v>
          </cell>
          <cell r="D254">
            <v>7.5</v>
          </cell>
          <cell r="E254">
            <v>40</v>
          </cell>
          <cell r="F254">
            <v>24</v>
          </cell>
          <cell r="G254">
            <v>40</v>
          </cell>
          <cell r="H254">
            <v>0</v>
          </cell>
          <cell r="I254" t="str">
            <v>-</v>
          </cell>
          <cell r="J254" t="str">
            <v>680/670</v>
          </cell>
          <cell r="K254" t="str">
            <v xml:space="preserve">CPIII 40 RS </v>
          </cell>
          <cell r="L254" t="str">
            <v>CP V</v>
          </cell>
          <cell r="M254" t="str">
            <v>SUPER PLASTIFICANTE</v>
          </cell>
          <cell r="N254" t="str">
            <v>EFLUENTE TRATADO ETE SUL</v>
          </cell>
          <cell r="O254" t="str">
            <v>FORTANKS</v>
          </cell>
          <cell r="P254">
            <v>31</v>
          </cell>
          <cell r="Q254" t="str">
            <v>Gean</v>
          </cell>
          <cell r="R254">
            <v>45094</v>
          </cell>
          <cell r="S254">
            <v>0.64236111111111105</v>
          </cell>
          <cell r="T254">
            <v>0.63236111111111104</v>
          </cell>
          <cell r="U254" t="str">
            <v>X</v>
          </cell>
          <cell r="V254">
            <v>0.34722222222222227</v>
          </cell>
          <cell r="W254">
            <v>45.26</v>
          </cell>
          <cell r="X254">
            <v>43.82</v>
          </cell>
          <cell r="Y254">
            <v>0.41666666666666669</v>
          </cell>
          <cell r="Z254">
            <v>89.6</v>
          </cell>
          <cell r="AA254">
            <v>88.58</v>
          </cell>
          <cell r="AW254">
            <v>4</v>
          </cell>
          <cell r="AX254">
            <v>3</v>
          </cell>
          <cell r="AY254">
            <v>4</v>
          </cell>
          <cell r="AZ254">
            <v>4</v>
          </cell>
          <cell r="BA254" t="str">
            <v>VALE</v>
          </cell>
          <cell r="BB254">
            <v>45095</v>
          </cell>
          <cell r="BG254">
            <v>45094</v>
          </cell>
        </row>
        <row r="255">
          <cell r="A255">
            <v>642</v>
          </cell>
          <cell r="B255">
            <v>262</v>
          </cell>
          <cell r="C255" t="str">
            <v>PN-39 / PN-40</v>
          </cell>
          <cell r="D255">
            <v>7.5</v>
          </cell>
          <cell r="E255">
            <v>40</v>
          </cell>
          <cell r="F255">
            <v>24</v>
          </cell>
          <cell r="G255">
            <v>40</v>
          </cell>
          <cell r="H255">
            <v>0</v>
          </cell>
          <cell r="I255" t="str">
            <v>-</v>
          </cell>
          <cell r="J255" t="str">
            <v>680/680</v>
          </cell>
          <cell r="K255" t="str">
            <v xml:space="preserve">CPIII 40 RS </v>
          </cell>
          <cell r="L255" t="str">
            <v>CP V</v>
          </cell>
          <cell r="M255" t="str">
            <v>SUPER PLASTIFICANTE</v>
          </cell>
          <cell r="N255" t="str">
            <v>EFLUENTE TRATADO ETE SUL</v>
          </cell>
          <cell r="O255" t="str">
            <v>FORTANKS</v>
          </cell>
          <cell r="P255">
            <v>31</v>
          </cell>
          <cell r="Q255" t="str">
            <v>Gean</v>
          </cell>
          <cell r="R255">
            <v>45097</v>
          </cell>
          <cell r="S255">
            <v>0.5625</v>
          </cell>
          <cell r="T255">
            <v>0.55249999999999999</v>
          </cell>
          <cell r="U255" t="str">
            <v>X</v>
          </cell>
          <cell r="V255">
            <v>0.35416666666666669</v>
          </cell>
          <cell r="W255">
            <v>26.62</v>
          </cell>
          <cell r="X255">
            <v>26.27</v>
          </cell>
          <cell r="Y255">
            <v>0.41666666666666669</v>
          </cell>
          <cell r="Z255">
            <v>93.56</v>
          </cell>
          <cell r="AA255">
            <v>94.57</v>
          </cell>
          <cell r="AW255">
            <v>4</v>
          </cell>
          <cell r="AX255">
            <v>3</v>
          </cell>
          <cell r="AY255">
            <v>4</v>
          </cell>
          <cell r="AZ255">
            <v>4</v>
          </cell>
          <cell r="BA255" t="str">
            <v>VALE</v>
          </cell>
          <cell r="BB255">
            <v>45098</v>
          </cell>
          <cell r="BG255">
            <v>45097</v>
          </cell>
        </row>
        <row r="256">
          <cell r="A256">
            <v>643</v>
          </cell>
          <cell r="B256">
            <v>263</v>
          </cell>
          <cell r="C256" t="str">
            <v>PN-37/ PN-38</v>
          </cell>
          <cell r="D256">
            <v>7.5</v>
          </cell>
          <cell r="E256">
            <v>40</v>
          </cell>
          <cell r="F256">
            <v>24</v>
          </cell>
          <cell r="G256">
            <v>40</v>
          </cell>
          <cell r="H256">
            <v>0</v>
          </cell>
          <cell r="I256" t="str">
            <v>-</v>
          </cell>
          <cell r="J256" t="str">
            <v>670/680</v>
          </cell>
          <cell r="K256" t="str">
            <v xml:space="preserve">CPIII 40 RS </v>
          </cell>
          <cell r="L256" t="str">
            <v>CP V</v>
          </cell>
          <cell r="M256" t="str">
            <v>SUPER PLASTIFICANTE</v>
          </cell>
          <cell r="N256" t="str">
            <v>EFLUENTE TRATADO ETE SUL</v>
          </cell>
          <cell r="O256" t="str">
            <v>FORTANKS</v>
          </cell>
          <cell r="P256">
            <v>21</v>
          </cell>
          <cell r="Q256" t="str">
            <v>Gean</v>
          </cell>
          <cell r="R256">
            <v>45097</v>
          </cell>
          <cell r="S256">
            <v>0.56805555555555554</v>
          </cell>
          <cell r="T256">
            <v>0.55805555555555553</v>
          </cell>
          <cell r="U256" t="str">
            <v>X</v>
          </cell>
          <cell r="V256">
            <v>0.45833333333333331</v>
          </cell>
          <cell r="W256">
            <v>25.79</v>
          </cell>
          <cell r="X256">
            <v>26.9</v>
          </cell>
          <cell r="Y256">
            <v>0.41666666666666669</v>
          </cell>
          <cell r="Z256">
            <v>93.34</v>
          </cell>
          <cell r="AA256">
            <v>94.47</v>
          </cell>
          <cell r="AW256">
            <v>4</v>
          </cell>
          <cell r="AX256">
            <v>4</v>
          </cell>
          <cell r="AY256">
            <v>4</v>
          </cell>
          <cell r="AZ256">
            <v>3</v>
          </cell>
          <cell r="BA256" t="str">
            <v>VALE</v>
          </cell>
          <cell r="BB256">
            <v>45098</v>
          </cell>
          <cell r="BG256">
            <v>45097</v>
          </cell>
        </row>
        <row r="257">
          <cell r="A257">
            <v>644</v>
          </cell>
          <cell r="B257">
            <v>264</v>
          </cell>
          <cell r="C257" t="str">
            <v>PN-33 / PN-35</v>
          </cell>
          <cell r="D257">
            <v>7.5</v>
          </cell>
          <cell r="E257">
            <v>40</v>
          </cell>
          <cell r="F257">
            <v>24</v>
          </cell>
          <cell r="G257">
            <v>40</v>
          </cell>
          <cell r="H257">
            <v>0</v>
          </cell>
          <cell r="I257" t="str">
            <v>-</v>
          </cell>
          <cell r="J257" t="str">
            <v>660/660</v>
          </cell>
          <cell r="K257" t="str">
            <v xml:space="preserve">CPIII 40 RS </v>
          </cell>
          <cell r="L257" t="str">
            <v>CP V</v>
          </cell>
          <cell r="M257" t="str">
            <v>SUPER PLASTIFICANTE</v>
          </cell>
          <cell r="N257" t="str">
            <v>EFLUENTE TRATADO ETE SUL</v>
          </cell>
          <cell r="O257" t="str">
            <v>FORTANKS</v>
          </cell>
          <cell r="P257">
            <v>21</v>
          </cell>
          <cell r="Q257" t="str">
            <v>Gean</v>
          </cell>
          <cell r="R257">
            <v>45097</v>
          </cell>
          <cell r="S257">
            <v>0.62152777777777779</v>
          </cell>
          <cell r="T257">
            <v>0.61152777777777778</v>
          </cell>
          <cell r="U257" t="str">
            <v>X</v>
          </cell>
          <cell r="V257">
            <v>0.54166666666666663</v>
          </cell>
          <cell r="W257">
            <v>24.48</v>
          </cell>
          <cell r="X257">
            <v>26.81</v>
          </cell>
          <cell r="Y257">
            <v>0.41666666666666669</v>
          </cell>
          <cell r="Z257">
            <v>88.7</v>
          </cell>
          <cell r="AA257">
            <v>87.16</v>
          </cell>
          <cell r="AW257">
            <v>4</v>
          </cell>
          <cell r="AX257">
            <v>3</v>
          </cell>
          <cell r="AY257">
            <v>3</v>
          </cell>
          <cell r="AZ257">
            <v>4</v>
          </cell>
          <cell r="BA257" t="str">
            <v>VALE</v>
          </cell>
          <cell r="BB257">
            <v>45098</v>
          </cell>
          <cell r="BG257">
            <v>45097</v>
          </cell>
        </row>
        <row r="258">
          <cell r="A258">
            <v>645</v>
          </cell>
          <cell r="B258">
            <v>265</v>
          </cell>
          <cell r="C258" t="str">
            <v>PN-32</v>
          </cell>
          <cell r="D258">
            <v>3.5</v>
          </cell>
          <cell r="E258">
            <v>40</v>
          </cell>
          <cell r="F258">
            <v>24</v>
          </cell>
          <cell r="G258">
            <v>40</v>
          </cell>
          <cell r="H258">
            <v>0</v>
          </cell>
          <cell r="I258" t="str">
            <v>-</v>
          </cell>
          <cell r="J258" t="str">
            <v>650/650</v>
          </cell>
          <cell r="K258" t="str">
            <v xml:space="preserve">CPIII 40 RS </v>
          </cell>
          <cell r="L258" t="str">
            <v>CP V</v>
          </cell>
          <cell r="M258" t="str">
            <v>SUPER PLASTIFICANTE</v>
          </cell>
          <cell r="N258" t="str">
            <v>EFLUENTE TRATADO ETE SUL</v>
          </cell>
          <cell r="O258" t="str">
            <v>FORTANKS</v>
          </cell>
          <cell r="P258">
            <v>31</v>
          </cell>
          <cell r="Q258" t="str">
            <v>Gean</v>
          </cell>
          <cell r="R258">
            <v>45097</v>
          </cell>
          <cell r="S258">
            <v>0.63541666666666663</v>
          </cell>
          <cell r="T258">
            <v>0.62541666666666662</v>
          </cell>
          <cell r="U258" t="str">
            <v>X</v>
          </cell>
          <cell r="V258">
            <v>0.54166666666666663</v>
          </cell>
          <cell r="W258">
            <v>26.34</v>
          </cell>
          <cell r="X258">
            <v>25.61</v>
          </cell>
          <cell r="Y258">
            <v>0.41666666666666669</v>
          </cell>
          <cell r="Z258">
            <v>85.19</v>
          </cell>
          <cell r="AA258">
            <v>85.92</v>
          </cell>
          <cell r="AW258">
            <v>3</v>
          </cell>
          <cell r="AX258">
            <v>4</v>
          </cell>
          <cell r="AY258">
            <v>2</v>
          </cell>
          <cell r="AZ258">
            <v>2</v>
          </cell>
          <cell r="BA258" t="str">
            <v>VALE</v>
          </cell>
          <cell r="BB258">
            <v>45098</v>
          </cell>
          <cell r="BG258">
            <v>45097</v>
          </cell>
        </row>
        <row r="259">
          <cell r="A259">
            <v>646</v>
          </cell>
          <cell r="B259">
            <v>266</v>
          </cell>
          <cell r="C259" t="str">
            <v>PN-A256/ PN-A257/ PN-A258/ PN-A259/ PN-A260</v>
          </cell>
          <cell r="D259">
            <v>3</v>
          </cell>
          <cell r="E259">
            <v>40</v>
          </cell>
          <cell r="F259">
            <v>15</v>
          </cell>
          <cell r="G259">
            <v>40</v>
          </cell>
          <cell r="H259">
            <v>0</v>
          </cell>
          <cell r="I259" t="str">
            <v>-</v>
          </cell>
          <cell r="J259" t="str">
            <v>650/650</v>
          </cell>
          <cell r="K259" t="str">
            <v xml:space="preserve">CPIII 40 RS </v>
          </cell>
          <cell r="L259" t="str">
            <v>CP V</v>
          </cell>
          <cell r="M259" t="str">
            <v>SUPER PLASTIFICANTE</v>
          </cell>
          <cell r="N259" t="str">
            <v>AIMORÉS - MUROS DE VEDAÇÃO</v>
          </cell>
          <cell r="O259" t="str">
            <v>FORTANKS</v>
          </cell>
          <cell r="P259">
            <v>21</v>
          </cell>
          <cell r="Q259" t="str">
            <v>Gean</v>
          </cell>
          <cell r="R259">
            <v>45098</v>
          </cell>
          <cell r="S259">
            <v>0.5625</v>
          </cell>
          <cell r="T259">
            <v>0.55249999999999999</v>
          </cell>
          <cell r="U259" t="str">
            <v>X</v>
          </cell>
          <cell r="V259">
            <v>0.33333333333333331</v>
          </cell>
          <cell r="W259">
            <v>17.920000000000002</v>
          </cell>
          <cell r="X259">
            <v>18.57</v>
          </cell>
          <cell r="Y259">
            <v>0.41666666666666669</v>
          </cell>
          <cell r="Z259">
            <v>91.97</v>
          </cell>
          <cell r="AA259">
            <v>92.14</v>
          </cell>
          <cell r="AW259">
            <v>3</v>
          </cell>
          <cell r="AX259">
            <v>4</v>
          </cell>
          <cell r="AY259">
            <v>3</v>
          </cell>
          <cell r="AZ259">
            <v>4</v>
          </cell>
          <cell r="BA259" t="str">
            <v>FORTES ENGENHARIA</v>
          </cell>
          <cell r="BB259">
            <v>45099</v>
          </cell>
          <cell r="BG259">
            <v>45098</v>
          </cell>
        </row>
        <row r="260">
          <cell r="A260">
            <v>647</v>
          </cell>
          <cell r="B260">
            <v>267</v>
          </cell>
          <cell r="C260" t="str">
            <v>PN-A261/ PN-A262/ PN-A263/ PN-A264/ PN-A265/ PN-A266/ PN-A267/ PN-A268/ PN-A269/ PN-A270</v>
          </cell>
          <cell r="D260">
            <v>6</v>
          </cell>
          <cell r="E260">
            <v>40</v>
          </cell>
          <cell r="F260">
            <v>15</v>
          </cell>
          <cell r="G260">
            <v>40</v>
          </cell>
          <cell r="H260">
            <v>0</v>
          </cell>
          <cell r="I260" t="str">
            <v>-</v>
          </cell>
          <cell r="J260" t="str">
            <v>680/680</v>
          </cell>
          <cell r="K260" t="str">
            <v xml:space="preserve">CPIII 40 RS </v>
          </cell>
          <cell r="L260" t="str">
            <v>CP V</v>
          </cell>
          <cell r="M260" t="str">
            <v>SUPER PLASTIFICANTE</v>
          </cell>
          <cell r="N260" t="str">
            <v>AIMORÉS - MUROS DE VEDAÇÃO</v>
          </cell>
          <cell r="O260" t="str">
            <v>FORTANKS</v>
          </cell>
          <cell r="P260">
            <v>31</v>
          </cell>
          <cell r="Q260" t="str">
            <v>Gean</v>
          </cell>
          <cell r="R260">
            <v>45098</v>
          </cell>
          <cell r="S260">
            <v>0.33333333333333331</v>
          </cell>
          <cell r="T260">
            <v>0.32333333333333331</v>
          </cell>
          <cell r="U260" t="str">
            <v>X</v>
          </cell>
          <cell r="V260">
            <v>0.33333333333333331</v>
          </cell>
          <cell r="W260">
            <v>27.17</v>
          </cell>
          <cell r="X260">
            <v>27.43</v>
          </cell>
          <cell r="Y260">
            <v>0.41666666666666669</v>
          </cell>
          <cell r="Z260">
            <v>90.14</v>
          </cell>
          <cell r="AA260">
            <v>90.81</v>
          </cell>
          <cell r="AW260">
            <v>4</v>
          </cell>
          <cell r="AX260">
            <v>4</v>
          </cell>
          <cell r="AY260">
            <v>3</v>
          </cell>
          <cell r="AZ260">
            <v>4</v>
          </cell>
          <cell r="BA260" t="str">
            <v>FORTES ENGENHARIA</v>
          </cell>
          <cell r="BB260">
            <v>45099</v>
          </cell>
          <cell r="BG260">
            <v>45098</v>
          </cell>
        </row>
        <row r="261">
          <cell r="A261">
            <v>648</v>
          </cell>
          <cell r="B261">
            <v>268</v>
          </cell>
          <cell r="C261" t="str">
            <v>PN-46 / PN-47</v>
          </cell>
          <cell r="D261">
            <v>7.5</v>
          </cell>
          <cell r="E261">
            <v>40</v>
          </cell>
          <cell r="F261">
            <v>24</v>
          </cell>
          <cell r="G261">
            <v>40</v>
          </cell>
          <cell r="H261">
            <v>0</v>
          </cell>
          <cell r="I261" t="str">
            <v>-</v>
          </cell>
          <cell r="J261" t="str">
            <v>660/660</v>
          </cell>
          <cell r="K261" t="str">
            <v xml:space="preserve">CPIII 40 RS </v>
          </cell>
          <cell r="L261" t="str">
            <v>CP V</v>
          </cell>
          <cell r="M261" t="str">
            <v>SUPER PLASTIFICANTE</v>
          </cell>
          <cell r="N261" t="str">
            <v>EFLUENTE TRATADO ETE SUL</v>
          </cell>
          <cell r="O261" t="str">
            <v>FORTANKS</v>
          </cell>
          <cell r="P261">
            <v>21</v>
          </cell>
          <cell r="Q261" t="str">
            <v>Gean</v>
          </cell>
          <cell r="R261">
            <v>45100</v>
          </cell>
          <cell r="S261">
            <v>0.3611111111111111</v>
          </cell>
          <cell r="T261">
            <v>0.3511111111111111</v>
          </cell>
          <cell r="U261" t="str">
            <v>X</v>
          </cell>
          <cell r="V261">
            <v>0.47916666666666669</v>
          </cell>
          <cell r="W261">
            <v>28.81</v>
          </cell>
          <cell r="X261">
            <v>25.56</v>
          </cell>
          <cell r="Y261">
            <v>0.41666666666666669</v>
          </cell>
          <cell r="Z261">
            <v>91.99</v>
          </cell>
          <cell r="AA261">
            <v>92.57</v>
          </cell>
          <cell r="AW261">
            <v>2</v>
          </cell>
          <cell r="AX261">
            <v>4</v>
          </cell>
          <cell r="AY261">
            <v>4</v>
          </cell>
          <cell r="AZ261">
            <v>3</v>
          </cell>
          <cell r="BA261" t="str">
            <v>VALE</v>
          </cell>
          <cell r="BB261">
            <v>45101</v>
          </cell>
          <cell r="BG261">
            <v>45100</v>
          </cell>
        </row>
        <row r="262">
          <cell r="A262">
            <v>649</v>
          </cell>
          <cell r="B262">
            <v>269</v>
          </cell>
          <cell r="C262" t="str">
            <v>PN-44 / PN-45</v>
          </cell>
          <cell r="D262">
            <v>7.5</v>
          </cell>
          <cell r="E262">
            <v>40</v>
          </cell>
          <cell r="F262">
            <v>24</v>
          </cell>
          <cell r="G262">
            <v>40</v>
          </cell>
          <cell r="H262">
            <v>0</v>
          </cell>
          <cell r="I262" t="str">
            <v>-</v>
          </cell>
          <cell r="J262" t="str">
            <v>660/650</v>
          </cell>
          <cell r="K262" t="str">
            <v xml:space="preserve">CPIII 40 RS </v>
          </cell>
          <cell r="L262" t="str">
            <v>CP V</v>
          </cell>
          <cell r="M262" t="str">
            <v>SUPER PLASTIFICANTE</v>
          </cell>
          <cell r="N262" t="str">
            <v>EFLUENTE TRATADO ETE SUL</v>
          </cell>
          <cell r="O262" t="str">
            <v>FORTANKS</v>
          </cell>
          <cell r="P262">
            <v>31</v>
          </cell>
          <cell r="Q262" t="str">
            <v>Gean</v>
          </cell>
          <cell r="R262">
            <v>45100</v>
          </cell>
          <cell r="S262">
            <v>0.39583333333333331</v>
          </cell>
          <cell r="T262">
            <v>0.38583333333333331</v>
          </cell>
          <cell r="U262" t="str">
            <v>X</v>
          </cell>
          <cell r="V262">
            <v>0.4826388888888889</v>
          </cell>
          <cell r="W262">
            <v>25.63</v>
          </cell>
          <cell r="X262">
            <v>25.4</v>
          </cell>
          <cell r="Y262">
            <v>0.41666666666666669</v>
          </cell>
          <cell r="Z262">
            <v>93.11</v>
          </cell>
          <cell r="AA262">
            <v>92.71</v>
          </cell>
          <cell r="AW262">
            <v>4</v>
          </cell>
          <cell r="AX262">
            <v>3</v>
          </cell>
          <cell r="AY262">
            <v>3</v>
          </cell>
          <cell r="AZ262">
            <v>4</v>
          </cell>
          <cell r="BA262" t="str">
            <v>VALE</v>
          </cell>
          <cell r="BB262">
            <v>45101</v>
          </cell>
          <cell r="BG262">
            <v>45100</v>
          </cell>
        </row>
        <row r="263">
          <cell r="A263">
            <v>650</v>
          </cell>
          <cell r="B263">
            <v>270</v>
          </cell>
          <cell r="C263" t="str">
            <v>PN-42 / PN-43</v>
          </cell>
          <cell r="D263">
            <v>7.5</v>
          </cell>
          <cell r="E263">
            <v>40</v>
          </cell>
          <cell r="F263">
            <v>24</v>
          </cell>
          <cell r="G263">
            <v>40</v>
          </cell>
          <cell r="H263">
            <v>0</v>
          </cell>
          <cell r="I263" t="str">
            <v>-</v>
          </cell>
          <cell r="J263" t="str">
            <v>680/660</v>
          </cell>
          <cell r="K263" t="str">
            <v xml:space="preserve">CPIII 40 RS </v>
          </cell>
          <cell r="L263" t="str">
            <v>CP V</v>
          </cell>
          <cell r="M263" t="str">
            <v>SUPER PLASTIFICANTE</v>
          </cell>
          <cell r="N263" t="str">
            <v>EFLUENTE TRATADO ETE SUL</v>
          </cell>
          <cell r="O263" t="str">
            <v>FORTANKS</v>
          </cell>
          <cell r="P263">
            <v>21</v>
          </cell>
          <cell r="Q263" t="str">
            <v>Gean</v>
          </cell>
          <cell r="R263">
            <v>45100</v>
          </cell>
          <cell r="S263">
            <v>0.4513888888888889</v>
          </cell>
          <cell r="T263">
            <v>0.44138888888888889</v>
          </cell>
          <cell r="U263" t="str">
            <v>X</v>
          </cell>
          <cell r="V263">
            <v>0.4861111111111111</v>
          </cell>
          <cell r="W263">
            <v>26.17</v>
          </cell>
          <cell r="X263">
            <v>25.47</v>
          </cell>
          <cell r="Y263">
            <v>0.41666666666666669</v>
          </cell>
          <cell r="Z263">
            <v>92.98</v>
          </cell>
          <cell r="AA263">
            <v>94.1</v>
          </cell>
          <cell r="AW263">
            <v>4</v>
          </cell>
          <cell r="AX263">
            <v>4</v>
          </cell>
          <cell r="AY263">
            <v>3</v>
          </cell>
          <cell r="AZ263">
            <v>4</v>
          </cell>
          <cell r="BA263" t="str">
            <v>VALE</v>
          </cell>
          <cell r="BB263">
            <v>45101</v>
          </cell>
          <cell r="BG263">
            <v>45100</v>
          </cell>
        </row>
        <row r="264">
          <cell r="A264">
            <v>651</v>
          </cell>
          <cell r="B264">
            <v>271</v>
          </cell>
          <cell r="C264" t="str">
            <v>PN-41</v>
          </cell>
          <cell r="D264">
            <v>3.5</v>
          </cell>
          <cell r="E264">
            <v>40</v>
          </cell>
          <cell r="F264">
            <v>24</v>
          </cell>
          <cell r="G264">
            <v>40</v>
          </cell>
          <cell r="H264">
            <v>0</v>
          </cell>
          <cell r="I264" t="str">
            <v>-</v>
          </cell>
          <cell r="J264" t="str">
            <v>660/660</v>
          </cell>
          <cell r="K264" t="str">
            <v xml:space="preserve">CPIII 40 RS </v>
          </cell>
          <cell r="L264" t="str">
            <v>CP V</v>
          </cell>
          <cell r="M264" t="str">
            <v>SUPER PLASTIFICANTE</v>
          </cell>
          <cell r="N264" t="str">
            <v>EFLUENTE TRATADO ETE SUL</v>
          </cell>
          <cell r="O264" t="str">
            <v>FORTANKS</v>
          </cell>
          <cell r="P264">
            <v>31</v>
          </cell>
          <cell r="Q264" t="str">
            <v>Gean</v>
          </cell>
          <cell r="R264">
            <v>45100</v>
          </cell>
          <cell r="S264">
            <v>0.47222222222222227</v>
          </cell>
          <cell r="T264">
            <v>0.46222222222222226</v>
          </cell>
          <cell r="U264" t="str">
            <v>X</v>
          </cell>
          <cell r="V264">
            <v>0.49305555555555558</v>
          </cell>
          <cell r="W264">
            <v>30.76</v>
          </cell>
          <cell r="X264">
            <v>28.61</v>
          </cell>
          <cell r="Y264">
            <v>0.41666666666666669</v>
          </cell>
          <cell r="Z264">
            <v>94.5</v>
          </cell>
          <cell r="AA264">
            <v>93.75</v>
          </cell>
          <cell r="AW264">
            <v>4</v>
          </cell>
          <cell r="AX264">
            <v>4</v>
          </cell>
          <cell r="AY264">
            <v>3</v>
          </cell>
          <cell r="AZ264">
            <v>4</v>
          </cell>
          <cell r="BA264" t="str">
            <v>VALE</v>
          </cell>
          <cell r="BB264">
            <v>45101</v>
          </cell>
          <cell r="BG264">
            <v>45100</v>
          </cell>
        </row>
        <row r="265">
          <cell r="A265">
            <v>652</v>
          </cell>
          <cell r="B265">
            <v>272</v>
          </cell>
          <cell r="C265" t="str">
            <v>PN-A271/ PN-A272 / PN-A273/ PN-A274/ PN-A275/ PN-A276/ PN-A277/ PN-A278/ PN-A279/ PN-A280</v>
          </cell>
          <cell r="D265">
            <v>6</v>
          </cell>
          <cell r="E265">
            <v>40</v>
          </cell>
          <cell r="F265">
            <v>15</v>
          </cell>
          <cell r="G265">
            <v>40</v>
          </cell>
          <cell r="H265">
            <v>0</v>
          </cell>
          <cell r="I265" t="str">
            <v>-</v>
          </cell>
          <cell r="J265" t="str">
            <v>670/670</v>
          </cell>
          <cell r="K265" t="str">
            <v xml:space="preserve">CPIII 40 RS </v>
          </cell>
          <cell r="L265" t="str">
            <v>CP V</v>
          </cell>
          <cell r="M265" t="str">
            <v>SUPER PLASTIFICANTE</v>
          </cell>
          <cell r="N265" t="str">
            <v>AIMORÉS - MUROS DE VEDAÇÃO</v>
          </cell>
          <cell r="O265" t="str">
            <v>FORTANKS</v>
          </cell>
          <cell r="P265">
            <v>21</v>
          </cell>
          <cell r="Q265" t="str">
            <v>Gean</v>
          </cell>
          <cell r="R265">
            <v>45100</v>
          </cell>
          <cell r="S265">
            <v>0.59027777777777779</v>
          </cell>
          <cell r="T265">
            <v>0.58027777777777778</v>
          </cell>
          <cell r="U265" t="str">
            <v>X</v>
          </cell>
          <cell r="V265">
            <v>0.49305555555555558</v>
          </cell>
          <cell r="W265">
            <v>15.96</v>
          </cell>
          <cell r="X265">
            <v>15.55</v>
          </cell>
          <cell r="Y265">
            <v>0.41666666666666669</v>
          </cell>
          <cell r="Z265">
            <v>73.790000000000006</v>
          </cell>
          <cell r="AA265">
            <v>75.06</v>
          </cell>
          <cell r="AW265">
            <v>3</v>
          </cell>
          <cell r="AX265">
            <v>4</v>
          </cell>
          <cell r="AY265">
            <v>4</v>
          </cell>
          <cell r="AZ265">
            <v>3</v>
          </cell>
          <cell r="BA265" t="str">
            <v>FORTES ENGENHARIA</v>
          </cell>
          <cell r="BB265">
            <v>45101</v>
          </cell>
          <cell r="BG265">
            <v>45100</v>
          </cell>
        </row>
        <row r="266">
          <cell r="A266">
            <v>653</v>
          </cell>
          <cell r="B266">
            <v>273</v>
          </cell>
          <cell r="C266" t="str">
            <v>PN-A281/ PN-A282/ PN-A283/ PN-A284/ PN-A285/ PN-A286/ PN-A287/ PN-A288/ PN-A289/ PN-A290</v>
          </cell>
          <cell r="D266">
            <v>6</v>
          </cell>
          <cell r="E266">
            <v>40</v>
          </cell>
          <cell r="F266">
            <v>15</v>
          </cell>
          <cell r="G266">
            <v>40</v>
          </cell>
          <cell r="H266">
            <v>0</v>
          </cell>
          <cell r="I266" t="str">
            <v>-</v>
          </cell>
          <cell r="J266" t="str">
            <v>670/670</v>
          </cell>
          <cell r="K266" t="str">
            <v xml:space="preserve">CPIII 40 RS </v>
          </cell>
          <cell r="L266" t="str">
            <v>CP V</v>
          </cell>
          <cell r="M266" t="str">
            <v>SUPER PLASTIFICANTE</v>
          </cell>
          <cell r="N266" t="str">
            <v>AIMORÉS - MUROS DE VEDAÇÃO</v>
          </cell>
          <cell r="O266" t="str">
            <v>FORTANKS</v>
          </cell>
          <cell r="P266">
            <v>31</v>
          </cell>
          <cell r="Q266" t="str">
            <v>Gean</v>
          </cell>
          <cell r="R266">
            <v>45103</v>
          </cell>
          <cell r="S266">
            <v>0.56944444444444442</v>
          </cell>
          <cell r="T266">
            <v>0.55944444444444441</v>
          </cell>
          <cell r="U266" t="str">
            <v>X</v>
          </cell>
          <cell r="V266">
            <v>0.54166666666666663</v>
          </cell>
          <cell r="W266">
            <v>16.5</v>
          </cell>
          <cell r="X266">
            <v>15.68</v>
          </cell>
          <cell r="Y266">
            <v>0.41666666666666669</v>
          </cell>
          <cell r="Z266">
            <v>87.42</v>
          </cell>
          <cell r="AA266">
            <v>89.61</v>
          </cell>
          <cell r="AW266">
            <v>3</v>
          </cell>
          <cell r="AX266">
            <v>4</v>
          </cell>
          <cell r="AY266">
            <v>3</v>
          </cell>
          <cell r="AZ266">
            <v>4</v>
          </cell>
          <cell r="BA266" t="str">
            <v>VALE</v>
          </cell>
          <cell r="BB266">
            <v>45104</v>
          </cell>
          <cell r="BG266">
            <v>45103</v>
          </cell>
        </row>
        <row r="267">
          <cell r="A267">
            <v>654</v>
          </cell>
          <cell r="B267">
            <v>274</v>
          </cell>
          <cell r="C267" t="str">
            <v>PN-52 / PN-53</v>
          </cell>
          <cell r="D267">
            <v>7.5</v>
          </cell>
          <cell r="E267">
            <v>40</v>
          </cell>
          <cell r="F267">
            <v>24</v>
          </cell>
          <cell r="G267">
            <v>40</v>
          </cell>
          <cell r="H267">
            <v>0</v>
          </cell>
          <cell r="I267" t="str">
            <v>-</v>
          </cell>
          <cell r="J267" t="str">
            <v>670/650</v>
          </cell>
          <cell r="K267" t="str">
            <v xml:space="preserve">CPIII 40 RS </v>
          </cell>
          <cell r="L267" t="str">
            <v>CP V</v>
          </cell>
          <cell r="M267" t="str">
            <v>SUPER PLASTIFICANTE</v>
          </cell>
          <cell r="N267" t="str">
            <v>EFLUENTE TRATADO ETE SUL</v>
          </cell>
          <cell r="O267" t="str">
            <v>FORTANKS</v>
          </cell>
          <cell r="P267">
            <v>37</v>
          </cell>
          <cell r="Q267" t="str">
            <v>Gean</v>
          </cell>
          <cell r="R267">
            <v>45105</v>
          </cell>
          <cell r="S267">
            <v>0.38194444444444442</v>
          </cell>
          <cell r="T267">
            <v>0.37194444444444441</v>
          </cell>
          <cell r="U267" t="str">
            <v>X</v>
          </cell>
          <cell r="V267">
            <v>0.5625</v>
          </cell>
          <cell r="W267">
            <v>36.020000000000003</v>
          </cell>
          <cell r="X267">
            <v>34.93</v>
          </cell>
          <cell r="Y267">
            <v>0.41666666666666669</v>
          </cell>
          <cell r="Z267">
            <v>92.52</v>
          </cell>
          <cell r="AA267">
            <v>91.4</v>
          </cell>
          <cell r="AW267">
            <v>3</v>
          </cell>
          <cell r="AX267">
            <v>4</v>
          </cell>
          <cell r="AY267">
            <v>3</v>
          </cell>
          <cell r="AZ267">
            <v>3</v>
          </cell>
          <cell r="BA267" t="str">
            <v>VALE</v>
          </cell>
          <cell r="BB267">
            <v>45106</v>
          </cell>
          <cell r="BG267">
            <v>45105</v>
          </cell>
        </row>
        <row r="268">
          <cell r="A268">
            <v>655</v>
          </cell>
          <cell r="B268">
            <v>275</v>
          </cell>
          <cell r="C268" t="str">
            <v>PN-50 / PN-51</v>
          </cell>
          <cell r="D268">
            <v>7.5</v>
          </cell>
          <cell r="E268">
            <v>40</v>
          </cell>
          <cell r="F268">
            <v>24</v>
          </cell>
          <cell r="G268">
            <v>40</v>
          </cell>
          <cell r="H268">
            <v>0</v>
          </cell>
          <cell r="I268" t="str">
            <v>-</v>
          </cell>
          <cell r="J268" t="str">
            <v>660/660</v>
          </cell>
          <cell r="K268" t="str">
            <v xml:space="preserve">CPIII 40 RS </v>
          </cell>
          <cell r="L268" t="str">
            <v>CP V</v>
          </cell>
          <cell r="M268" t="str">
            <v>SUPER PLASTIFICANTE</v>
          </cell>
          <cell r="N268" t="str">
            <v>EFLUENTE TRATADO ETE SUL</v>
          </cell>
          <cell r="O268" t="str">
            <v>FORTANKS</v>
          </cell>
          <cell r="P268">
            <v>31</v>
          </cell>
          <cell r="Q268" t="str">
            <v>Gean</v>
          </cell>
          <cell r="R268">
            <v>45105</v>
          </cell>
          <cell r="S268">
            <v>0.40625</v>
          </cell>
          <cell r="T268">
            <v>0.39624999999999999</v>
          </cell>
          <cell r="U268" t="str">
            <v>X</v>
          </cell>
          <cell r="V268">
            <v>0.56597222222222221</v>
          </cell>
          <cell r="W268">
            <v>38.35</v>
          </cell>
          <cell r="X268">
            <v>41.21</v>
          </cell>
          <cell r="Y268">
            <v>0.41666666666666669</v>
          </cell>
          <cell r="Z268">
            <v>92.71</v>
          </cell>
          <cell r="AA268">
            <v>93.01</v>
          </cell>
          <cell r="AW268">
            <v>3</v>
          </cell>
          <cell r="AX268">
            <v>4</v>
          </cell>
          <cell r="AY268">
            <v>3</v>
          </cell>
          <cell r="AZ268">
            <v>4</v>
          </cell>
          <cell r="BA268" t="str">
            <v>VALE</v>
          </cell>
          <cell r="BB268">
            <v>45106</v>
          </cell>
          <cell r="BG268">
            <v>45105</v>
          </cell>
        </row>
        <row r="269">
          <cell r="A269">
            <v>656</v>
          </cell>
          <cell r="B269">
            <v>276</v>
          </cell>
          <cell r="C269" t="str">
            <v>PN-48 / PN-49</v>
          </cell>
          <cell r="D269">
            <v>7.5</v>
          </cell>
          <cell r="E269">
            <v>40</v>
          </cell>
          <cell r="F269">
            <v>24</v>
          </cell>
          <cell r="G269">
            <v>40</v>
          </cell>
          <cell r="H269">
            <v>0</v>
          </cell>
          <cell r="I269" t="str">
            <v>-</v>
          </cell>
          <cell r="J269" t="str">
            <v>680/680</v>
          </cell>
          <cell r="K269" t="str">
            <v xml:space="preserve">CPIII 40 RS </v>
          </cell>
          <cell r="L269" t="str">
            <v>CP V</v>
          </cell>
          <cell r="M269" t="str">
            <v>SUPER PLASTIFICANTE</v>
          </cell>
          <cell r="N269" t="str">
            <v>EFLUENTE TRATADO ETE SUL</v>
          </cell>
          <cell r="O269" t="str">
            <v>FORTANKS</v>
          </cell>
          <cell r="P269">
            <v>37</v>
          </cell>
          <cell r="Q269" t="str">
            <v>Gean</v>
          </cell>
          <cell r="R269">
            <v>45105</v>
          </cell>
          <cell r="S269">
            <v>0.44444444444444442</v>
          </cell>
          <cell r="T269">
            <v>0.43444444444444441</v>
          </cell>
          <cell r="U269" t="str">
            <v>X</v>
          </cell>
          <cell r="V269">
            <v>0.33333333333333331</v>
          </cell>
          <cell r="W269">
            <v>28.37</v>
          </cell>
          <cell r="X269">
            <v>29.39</v>
          </cell>
          <cell r="Y269">
            <v>0.41666666666666669</v>
          </cell>
          <cell r="Z269">
            <v>93.43</v>
          </cell>
          <cell r="AA269">
            <v>92.05</v>
          </cell>
          <cell r="AW269">
            <v>3</v>
          </cell>
          <cell r="AX269">
            <v>4</v>
          </cell>
          <cell r="AY269">
            <v>4</v>
          </cell>
          <cell r="AZ269">
            <v>3</v>
          </cell>
          <cell r="BA269" t="str">
            <v>VALE</v>
          </cell>
          <cell r="BB269">
            <v>45106</v>
          </cell>
          <cell r="BG269">
            <v>45105</v>
          </cell>
        </row>
        <row r="270">
          <cell r="A270">
            <v>657</v>
          </cell>
          <cell r="B270">
            <v>277</v>
          </cell>
          <cell r="C270" t="str">
            <v>PE-27</v>
          </cell>
          <cell r="D270">
            <v>3.5</v>
          </cell>
          <cell r="E270">
            <v>40</v>
          </cell>
          <cell r="F270">
            <v>24</v>
          </cell>
          <cell r="G270">
            <v>40</v>
          </cell>
          <cell r="H270">
            <v>0</v>
          </cell>
          <cell r="I270" t="str">
            <v>-</v>
          </cell>
          <cell r="J270" t="str">
            <v>670/670</v>
          </cell>
          <cell r="K270" t="str">
            <v xml:space="preserve">CPIII 40 RS </v>
          </cell>
          <cell r="L270" t="str">
            <v>CP V</v>
          </cell>
          <cell r="M270" t="str">
            <v>SUPER PLASTIFICANTE</v>
          </cell>
          <cell r="N270" t="str">
            <v>EFLUENTE TRATADO ETE SUL</v>
          </cell>
          <cell r="O270" t="str">
            <v>FORTANKS</v>
          </cell>
          <cell r="P270">
            <v>31</v>
          </cell>
          <cell r="Q270" t="str">
            <v>Gean</v>
          </cell>
          <cell r="R270">
            <v>45105</v>
          </cell>
          <cell r="S270">
            <v>0.49652777777777773</v>
          </cell>
          <cell r="T270">
            <v>0.48652777777777773</v>
          </cell>
          <cell r="U270" t="str">
            <v>X</v>
          </cell>
          <cell r="V270">
            <v>0.5625</v>
          </cell>
          <cell r="W270">
            <v>31.8</v>
          </cell>
          <cell r="X270">
            <v>31.84</v>
          </cell>
          <cell r="Y270">
            <v>0.41666666666666669</v>
          </cell>
          <cell r="Z270">
            <v>88.42</v>
          </cell>
          <cell r="AA270">
            <v>91.75</v>
          </cell>
          <cell r="AW270">
            <v>3</v>
          </cell>
          <cell r="AX270">
            <v>4</v>
          </cell>
          <cell r="AY270">
            <v>4</v>
          </cell>
          <cell r="AZ270">
            <v>3</v>
          </cell>
          <cell r="BA270" t="str">
            <v>VALE</v>
          </cell>
          <cell r="BB270">
            <v>45106</v>
          </cell>
          <cell r="BG270">
            <v>45105</v>
          </cell>
        </row>
        <row r="271">
          <cell r="A271">
            <v>658</v>
          </cell>
          <cell r="B271">
            <v>278</v>
          </cell>
          <cell r="C271" t="str">
            <v>PN-A291/ PN-A292/ PN-A293/ PN-A294/ PN-A295</v>
          </cell>
          <cell r="D271">
            <v>3</v>
          </cell>
          <cell r="E271">
            <v>40</v>
          </cell>
          <cell r="F271">
            <v>15</v>
          </cell>
          <cell r="G271">
            <v>40</v>
          </cell>
          <cell r="H271">
            <v>0</v>
          </cell>
          <cell r="I271" t="str">
            <v>-</v>
          </cell>
          <cell r="J271" t="str">
            <v>680/680</v>
          </cell>
          <cell r="K271" t="str">
            <v xml:space="preserve">CPIII 40 RS </v>
          </cell>
          <cell r="L271" t="str">
            <v>CP V</v>
          </cell>
          <cell r="M271" t="str">
            <v>SUPER PLASTIFICANTE</v>
          </cell>
          <cell r="N271" t="str">
            <v>AIMORÉS - MUROS DE VEDAÇÃO</v>
          </cell>
          <cell r="O271" t="str">
            <v>FORTANKS</v>
          </cell>
          <cell r="P271">
            <v>31</v>
          </cell>
          <cell r="Q271" t="str">
            <v>Gean</v>
          </cell>
          <cell r="R271">
            <v>45106</v>
          </cell>
          <cell r="S271">
            <v>0.58333333333333337</v>
          </cell>
          <cell r="T271">
            <v>0.57333333333333336</v>
          </cell>
          <cell r="U271" t="str">
            <v>X</v>
          </cell>
          <cell r="V271">
            <v>0.58333333333333337</v>
          </cell>
          <cell r="W271">
            <v>15.21</v>
          </cell>
          <cell r="X271">
            <v>15.07</v>
          </cell>
          <cell r="Y271">
            <v>0.41666666666666669</v>
          </cell>
          <cell r="Z271">
            <v>93.92</v>
          </cell>
          <cell r="AA271">
            <v>95.79</v>
          </cell>
          <cell r="AW271">
            <v>3</v>
          </cell>
          <cell r="AX271">
            <v>3</v>
          </cell>
          <cell r="AY271">
            <v>3</v>
          </cell>
          <cell r="AZ271">
            <v>4</v>
          </cell>
          <cell r="BA271" t="str">
            <v>FORTES ENGENHARIA</v>
          </cell>
          <cell r="BB271">
            <v>45107</v>
          </cell>
          <cell r="BG271">
            <v>45106</v>
          </cell>
        </row>
        <row r="272">
          <cell r="A272">
            <v>659</v>
          </cell>
          <cell r="B272">
            <v>279</v>
          </cell>
          <cell r="C272" t="str">
            <v>PN-A296/ PN-A297/ PN-A298/ PN-A299/ PN-A300/ PN-A301/ PN-A302/ PN-A303/ PN-A304/ PN-A305</v>
          </cell>
          <cell r="D272">
            <v>6</v>
          </cell>
          <cell r="E272">
            <v>40</v>
          </cell>
          <cell r="F272">
            <v>15</v>
          </cell>
          <cell r="G272">
            <v>40</v>
          </cell>
          <cell r="H272">
            <v>0</v>
          </cell>
          <cell r="I272" t="str">
            <v>-</v>
          </cell>
          <cell r="J272" t="str">
            <v>680/670</v>
          </cell>
          <cell r="K272" t="str">
            <v xml:space="preserve">CPIII 40 RS </v>
          </cell>
          <cell r="L272" t="str">
            <v>CP V</v>
          </cell>
          <cell r="M272" t="str">
            <v>SUPER PLASTIFICANTE</v>
          </cell>
          <cell r="N272" t="str">
            <v>AIMORÉS - MUROS DE VEDAÇÃO</v>
          </cell>
          <cell r="O272" t="str">
            <v>FORTANKS</v>
          </cell>
          <cell r="P272">
            <v>99</v>
          </cell>
          <cell r="Q272" t="str">
            <v>Gean</v>
          </cell>
          <cell r="R272">
            <v>45106</v>
          </cell>
          <cell r="S272">
            <v>0.63194444444444442</v>
          </cell>
          <cell r="T272">
            <v>0.62194444444444441</v>
          </cell>
          <cell r="U272" t="str">
            <v>X</v>
          </cell>
          <cell r="V272">
            <v>0.33333333333333331</v>
          </cell>
          <cell r="W272">
            <v>16.5</v>
          </cell>
          <cell r="X272">
            <v>17.3</v>
          </cell>
          <cell r="Y272">
            <v>0.41666666666666669</v>
          </cell>
          <cell r="Z272">
            <v>90.21</v>
          </cell>
          <cell r="AA272">
            <v>90.81</v>
          </cell>
          <cell r="AW272">
            <v>3</v>
          </cell>
          <cell r="AX272">
            <v>4</v>
          </cell>
          <cell r="AY272">
            <v>4</v>
          </cell>
          <cell r="AZ272">
            <v>2</v>
          </cell>
          <cell r="BA272" t="str">
            <v>FORTES ENGENHARIA</v>
          </cell>
          <cell r="BB272">
            <v>45107</v>
          </cell>
          <cell r="BG272">
            <v>45106</v>
          </cell>
        </row>
        <row r="273">
          <cell r="A273">
            <v>660</v>
          </cell>
          <cell r="B273">
            <v>280</v>
          </cell>
          <cell r="C273" t="str">
            <v>PF-08</v>
          </cell>
          <cell r="D273">
            <v>5.5</v>
          </cell>
          <cell r="E273">
            <v>40</v>
          </cell>
          <cell r="F273">
            <v>24</v>
          </cell>
          <cell r="G273">
            <v>40</v>
          </cell>
          <cell r="H273">
            <v>0</v>
          </cell>
          <cell r="I273" t="str">
            <v>-</v>
          </cell>
          <cell r="J273" t="str">
            <v>660/670</v>
          </cell>
          <cell r="K273" t="str">
            <v xml:space="preserve">CPIII 40 RS </v>
          </cell>
          <cell r="L273" t="str">
            <v>CP V</v>
          </cell>
          <cell r="M273" t="str">
            <v>SUPER PLASTIFICANTE</v>
          </cell>
          <cell r="N273" t="str">
            <v>EFLUENTE TRATADO ETE SUL</v>
          </cell>
          <cell r="O273" t="str">
            <v>FORTANKS</v>
          </cell>
          <cell r="P273">
            <v>31</v>
          </cell>
          <cell r="Q273" t="str">
            <v>Gean</v>
          </cell>
          <cell r="R273">
            <v>45111</v>
          </cell>
          <cell r="S273">
            <v>0.375</v>
          </cell>
          <cell r="T273">
            <v>0.36499999999999999</v>
          </cell>
          <cell r="U273" t="str">
            <v>X</v>
          </cell>
          <cell r="V273">
            <v>0.35416666666666669</v>
          </cell>
          <cell r="W273">
            <v>31.71</v>
          </cell>
          <cell r="X273">
            <v>29.28</v>
          </cell>
          <cell r="Y273">
            <v>0.41666666666666669</v>
          </cell>
          <cell r="Z273">
            <v>92.92</v>
          </cell>
          <cell r="AA273">
            <v>93.45</v>
          </cell>
          <cell r="AW273">
            <v>3</v>
          </cell>
          <cell r="AX273">
            <v>3</v>
          </cell>
          <cell r="AY273">
            <v>4</v>
          </cell>
          <cell r="AZ273">
            <v>3</v>
          </cell>
          <cell r="BA273" t="str">
            <v>VALE</v>
          </cell>
          <cell r="BB273">
            <v>45112</v>
          </cell>
          <cell r="BG273">
            <v>45111</v>
          </cell>
        </row>
        <row r="274">
          <cell r="A274">
            <v>661</v>
          </cell>
          <cell r="B274">
            <v>281</v>
          </cell>
          <cell r="C274" t="str">
            <v>PN-A306/ PN-A307/ PN-A308/ PN-A309/ PN-A310</v>
          </cell>
          <cell r="D274">
            <v>3</v>
          </cell>
          <cell r="E274">
            <v>40</v>
          </cell>
          <cell r="F274">
            <v>15</v>
          </cell>
          <cell r="G274">
            <v>40</v>
          </cell>
          <cell r="H274">
            <v>0</v>
          </cell>
          <cell r="I274" t="str">
            <v>-</v>
          </cell>
          <cell r="J274" t="str">
            <v>660/670</v>
          </cell>
          <cell r="K274" t="str">
            <v xml:space="preserve">CPIII 40 RS </v>
          </cell>
          <cell r="L274" t="str">
            <v>CP V</v>
          </cell>
          <cell r="M274" t="str">
            <v>SUPER PLASTIFICANTE</v>
          </cell>
          <cell r="N274" t="str">
            <v>AIMORÉS - MUROS DE VEDAÇÃO</v>
          </cell>
          <cell r="O274" t="str">
            <v>FORTANKS</v>
          </cell>
          <cell r="P274">
            <v>1</v>
          </cell>
          <cell r="Q274" t="str">
            <v>Gean</v>
          </cell>
          <cell r="R274">
            <v>45111</v>
          </cell>
          <cell r="S274">
            <v>0.57291666666666663</v>
          </cell>
          <cell r="T274">
            <v>0.56291666666666662</v>
          </cell>
          <cell r="U274" t="str">
            <v>X</v>
          </cell>
          <cell r="V274">
            <v>0.375</v>
          </cell>
          <cell r="W274">
            <v>14.93</v>
          </cell>
          <cell r="X274">
            <v>15.65</v>
          </cell>
          <cell r="Y274">
            <v>0.41666666666666669</v>
          </cell>
          <cell r="Z274">
            <v>90.74</v>
          </cell>
          <cell r="AA274">
            <v>90.52</v>
          </cell>
          <cell r="AW274">
            <v>3</v>
          </cell>
          <cell r="AX274">
            <v>4</v>
          </cell>
          <cell r="AY274">
            <v>4</v>
          </cell>
          <cell r="AZ274">
            <v>3</v>
          </cell>
          <cell r="BA274" t="str">
            <v>FORTES ENGENHARIA</v>
          </cell>
          <cell r="BB274">
            <v>45112</v>
          </cell>
          <cell r="BG274">
            <v>45111</v>
          </cell>
        </row>
        <row r="275">
          <cell r="A275">
            <v>662</v>
          </cell>
          <cell r="B275">
            <v>282</v>
          </cell>
          <cell r="C275" t="str">
            <v>PN-A311/ PN-A312/ PN-A313/ PN-A314/ PN-A315/ PN-A316/ PN-A317/ PN-A318/ PN-A319/ PN-A320</v>
          </cell>
          <cell r="D275">
            <v>6</v>
          </cell>
          <cell r="E275">
            <v>40</v>
          </cell>
          <cell r="F275">
            <v>15</v>
          </cell>
          <cell r="G275">
            <v>40</v>
          </cell>
          <cell r="H275">
            <v>0</v>
          </cell>
          <cell r="I275" t="str">
            <v>-</v>
          </cell>
          <cell r="J275" t="str">
            <v>680/680</v>
          </cell>
          <cell r="K275" t="str">
            <v xml:space="preserve">CPIII 40 RS </v>
          </cell>
          <cell r="L275" t="str">
            <v>CP V</v>
          </cell>
          <cell r="M275" t="str">
            <v>SUPER PLASTIFICANTE</v>
          </cell>
          <cell r="N275" t="str">
            <v>AIMORÉS - MUROS DE VEDAÇÃO</v>
          </cell>
          <cell r="O275" t="str">
            <v>FORTANKS</v>
          </cell>
          <cell r="P275">
            <v>31</v>
          </cell>
          <cell r="Q275" t="str">
            <v>Gean</v>
          </cell>
          <cell r="R275">
            <v>45111</v>
          </cell>
          <cell r="S275">
            <v>0.63194444444444442</v>
          </cell>
          <cell r="T275">
            <v>0.62194444444444441</v>
          </cell>
          <cell r="U275" t="str">
            <v>X</v>
          </cell>
          <cell r="V275">
            <v>0.375</v>
          </cell>
          <cell r="W275">
            <v>25.9</v>
          </cell>
          <cell r="X275">
            <v>26.32</v>
          </cell>
          <cell r="Y275">
            <v>0.41666666666666669</v>
          </cell>
          <cell r="Z275">
            <v>93.96</v>
          </cell>
          <cell r="AA275">
            <v>92.6</v>
          </cell>
          <cell r="AW275">
            <v>3</v>
          </cell>
          <cell r="AX275">
            <v>3</v>
          </cell>
          <cell r="AY275">
            <v>2</v>
          </cell>
          <cell r="AZ275">
            <v>2</v>
          </cell>
          <cell r="BA275" t="str">
            <v>FORTES ENGENHARIA</v>
          </cell>
          <cell r="BB275">
            <v>45112</v>
          </cell>
          <cell r="BG275">
            <v>45111</v>
          </cell>
        </row>
        <row r="276">
          <cell r="A276">
            <v>663</v>
          </cell>
          <cell r="B276">
            <v>283</v>
          </cell>
          <cell r="C276" t="str">
            <v>PF-36</v>
          </cell>
          <cell r="D276">
            <v>8</v>
          </cell>
          <cell r="E276">
            <v>40</v>
          </cell>
          <cell r="F276">
            <v>24</v>
          </cell>
          <cell r="G276">
            <v>40</v>
          </cell>
          <cell r="H276">
            <v>0</v>
          </cell>
          <cell r="I276" t="str">
            <v>-</v>
          </cell>
          <cell r="J276" t="str">
            <v>660/660</v>
          </cell>
          <cell r="K276" t="str">
            <v xml:space="preserve">CPIII 40 RS </v>
          </cell>
          <cell r="L276" t="str">
            <v>CP V</v>
          </cell>
          <cell r="M276" t="str">
            <v>SUPER PLASTIFICANTE</v>
          </cell>
          <cell r="N276" t="str">
            <v>EFLUENTE TRATADO ETE SUL</v>
          </cell>
          <cell r="O276" t="str">
            <v>FORTANKS</v>
          </cell>
          <cell r="P276">
            <v>99</v>
          </cell>
          <cell r="Q276" t="str">
            <v>Gean</v>
          </cell>
          <cell r="R276">
            <v>45113</v>
          </cell>
          <cell r="S276">
            <v>0.56944444444444442</v>
          </cell>
          <cell r="T276">
            <v>0.55944444444444441</v>
          </cell>
          <cell r="U276" t="str">
            <v>X</v>
          </cell>
          <cell r="V276">
            <v>0.41666666666666669</v>
          </cell>
          <cell r="W276">
            <v>25.12</v>
          </cell>
          <cell r="X276">
            <v>26.08</v>
          </cell>
          <cell r="Y276">
            <v>0.41666666666666669</v>
          </cell>
          <cell r="Z276">
            <v>91.59</v>
          </cell>
          <cell r="AA276">
            <v>92.1</v>
          </cell>
          <cell r="AW276">
            <v>4</v>
          </cell>
          <cell r="AX276">
            <v>4</v>
          </cell>
          <cell r="AY276">
            <v>4</v>
          </cell>
          <cell r="AZ276">
            <v>3</v>
          </cell>
          <cell r="BA276" t="str">
            <v>VALE</v>
          </cell>
          <cell r="BB276">
            <v>45114</v>
          </cell>
          <cell r="BG276">
            <v>45113</v>
          </cell>
        </row>
        <row r="277">
          <cell r="A277">
            <v>664</v>
          </cell>
          <cell r="B277">
            <v>284</v>
          </cell>
          <cell r="C277" t="str">
            <v>PN-A321/ PN-A322/ PN-A323/ PN-A324/ PN-A325/ PN-A326/ PN-A327/ PN-A328/ PN-A329/ PN-A330/ PN-A331/ PN-A332/ PN-A333/ PN-A334/ PN-A335</v>
          </cell>
          <cell r="D277">
            <v>8.5</v>
          </cell>
          <cell r="E277">
            <v>40</v>
          </cell>
          <cell r="F277">
            <v>15</v>
          </cell>
          <cell r="G277">
            <v>40</v>
          </cell>
          <cell r="H277">
            <v>0</v>
          </cell>
          <cell r="I277" t="str">
            <v>-</v>
          </cell>
          <cell r="J277" t="str">
            <v>660/670</v>
          </cell>
          <cell r="K277" t="str">
            <v xml:space="preserve">CPIII 40 RS </v>
          </cell>
          <cell r="L277" t="str">
            <v>CP V</v>
          </cell>
          <cell r="M277" t="str">
            <v>SUPER PLASTIFICANTE</v>
          </cell>
          <cell r="N277" t="str">
            <v>AIMORÉS - MUROS DE VEDAÇÃO</v>
          </cell>
          <cell r="O277" t="str">
            <v>FORTANKS</v>
          </cell>
          <cell r="P277">
            <v>31</v>
          </cell>
          <cell r="Q277" t="str">
            <v>Gean</v>
          </cell>
          <cell r="R277">
            <v>45113</v>
          </cell>
          <cell r="S277">
            <v>0.59722222222222221</v>
          </cell>
          <cell r="T277">
            <v>0.5872222222222222</v>
          </cell>
          <cell r="U277" t="str">
            <v>X</v>
          </cell>
          <cell r="V277">
            <v>0.375</v>
          </cell>
          <cell r="W277">
            <v>12.81</v>
          </cell>
          <cell r="X277">
            <v>15.68</v>
          </cell>
          <cell r="Y277">
            <v>0.41666666666666669</v>
          </cell>
          <cell r="Z277">
            <v>91.7</v>
          </cell>
          <cell r="AA277">
            <v>92.5</v>
          </cell>
          <cell r="AW277">
            <v>3</v>
          </cell>
          <cell r="AX277">
            <v>3</v>
          </cell>
          <cell r="AY277">
            <v>3</v>
          </cell>
          <cell r="AZ277">
            <v>3</v>
          </cell>
          <cell r="BA277" t="str">
            <v>FORTES ENGENHARIA</v>
          </cell>
          <cell r="BB277">
            <v>45114</v>
          </cell>
          <cell r="BG277">
            <v>45113</v>
          </cell>
        </row>
        <row r="278">
          <cell r="A278">
            <v>665</v>
          </cell>
          <cell r="B278">
            <v>285</v>
          </cell>
          <cell r="C278" t="str">
            <v>PN-A336/ PN-A337/ PN-A338/ PN-A339/ PN-A340/ PN-A341/ PN-A342</v>
          </cell>
          <cell r="D278">
            <v>5</v>
          </cell>
          <cell r="E278">
            <v>40</v>
          </cell>
          <cell r="F278">
            <v>15</v>
          </cell>
          <cell r="G278">
            <v>40</v>
          </cell>
          <cell r="H278">
            <v>0</v>
          </cell>
          <cell r="I278" t="str">
            <v>-</v>
          </cell>
          <cell r="J278" t="str">
            <v>660/660</v>
          </cell>
          <cell r="K278" t="str">
            <v xml:space="preserve">CPIII 40 RS </v>
          </cell>
          <cell r="L278" t="str">
            <v>CP V</v>
          </cell>
          <cell r="M278" t="str">
            <v>SUPER PLASTIFICANTE</v>
          </cell>
          <cell r="N278" t="str">
            <v>AIMORÉS - MUROS DE VEDAÇÃO</v>
          </cell>
          <cell r="O278" t="str">
            <v>FORTANKS</v>
          </cell>
          <cell r="P278">
            <v>99</v>
          </cell>
          <cell r="Q278" t="str">
            <v>Gean</v>
          </cell>
          <cell r="R278">
            <v>45117</v>
          </cell>
          <cell r="S278">
            <v>0.375</v>
          </cell>
          <cell r="T278">
            <v>0.36499999999999999</v>
          </cell>
          <cell r="U278" t="str">
            <v>X</v>
          </cell>
          <cell r="V278">
            <v>0.375</v>
          </cell>
          <cell r="W278">
            <v>24.57</v>
          </cell>
          <cell r="X278">
            <v>23.44</v>
          </cell>
          <cell r="Y278">
            <v>0.41666666666666669</v>
          </cell>
          <cell r="Z278">
            <v>92.24</v>
          </cell>
          <cell r="AA278">
            <v>93.39</v>
          </cell>
          <cell r="AW278">
            <v>3</v>
          </cell>
          <cell r="AX278">
            <v>4</v>
          </cell>
          <cell r="AY278">
            <v>4</v>
          </cell>
          <cell r="AZ278">
            <v>4</v>
          </cell>
          <cell r="BA278" t="str">
            <v>FORTES ENGENHARIA</v>
          </cell>
          <cell r="BB278">
            <v>45118</v>
          </cell>
          <cell r="BG278">
            <v>45117</v>
          </cell>
        </row>
        <row r="279">
          <cell r="A279">
            <v>666</v>
          </cell>
          <cell r="B279">
            <v>286</v>
          </cell>
          <cell r="C279" t="str">
            <v>PN-A343/ PN-A344/ PN-A345/ PN-A346/ PN-A347/ PN-A348/ PN-A349/ PN-A350</v>
          </cell>
          <cell r="D279">
            <v>4</v>
          </cell>
          <cell r="E279">
            <v>40</v>
          </cell>
          <cell r="F279">
            <v>15</v>
          </cell>
          <cell r="G279">
            <v>40</v>
          </cell>
          <cell r="H279">
            <v>0</v>
          </cell>
          <cell r="I279" t="str">
            <v>-</v>
          </cell>
          <cell r="J279" t="str">
            <v>670/660</v>
          </cell>
          <cell r="K279" t="str">
            <v xml:space="preserve">CPIII 40 RS </v>
          </cell>
          <cell r="L279" t="str">
            <v>CP V</v>
          </cell>
          <cell r="M279" t="str">
            <v>SUPER PLASTIFICANTE</v>
          </cell>
          <cell r="N279" t="str">
            <v>AIMORÉS - MUROS DE VEDAÇÃO</v>
          </cell>
          <cell r="O279" t="str">
            <v>FORTANKS</v>
          </cell>
          <cell r="P279">
            <v>31</v>
          </cell>
          <cell r="Q279" t="str">
            <v>Gean</v>
          </cell>
          <cell r="R279">
            <v>45117</v>
          </cell>
          <cell r="S279">
            <v>0.41666666666666669</v>
          </cell>
          <cell r="T279">
            <v>0.40666666666666668</v>
          </cell>
          <cell r="U279" t="str">
            <v>X</v>
          </cell>
          <cell r="V279">
            <v>0.38541666666666669</v>
          </cell>
          <cell r="W279">
            <v>23.22</v>
          </cell>
          <cell r="X279">
            <v>22.46</v>
          </cell>
          <cell r="Y279">
            <v>0.41666666666666669</v>
          </cell>
          <cell r="Z279">
            <v>89.66</v>
          </cell>
          <cell r="AA279">
            <v>88.79</v>
          </cell>
          <cell r="AW279">
            <v>3</v>
          </cell>
          <cell r="AX279">
            <v>3</v>
          </cell>
          <cell r="AY279">
            <v>3</v>
          </cell>
          <cell r="AZ279">
            <v>4</v>
          </cell>
          <cell r="BA279" t="str">
            <v>FORTES ENGENHARIA</v>
          </cell>
          <cell r="BB279">
            <v>45118</v>
          </cell>
          <cell r="BG279">
            <v>45117</v>
          </cell>
        </row>
        <row r="280">
          <cell r="A280">
            <v>667</v>
          </cell>
          <cell r="B280">
            <v>287</v>
          </cell>
          <cell r="C280" t="str">
            <v>PN-A351/ PN-A352/ PN-A353/ PN-A354/ PN-A355/ PN-A356/ PN-A357/ PN-A358</v>
          </cell>
          <cell r="D280">
            <v>5</v>
          </cell>
          <cell r="E280">
            <v>40</v>
          </cell>
          <cell r="F280">
            <v>15</v>
          </cell>
          <cell r="G280">
            <v>40</v>
          </cell>
          <cell r="H280">
            <v>0</v>
          </cell>
          <cell r="I280" t="str">
            <v>-</v>
          </cell>
          <cell r="J280" t="str">
            <v>650/660</v>
          </cell>
          <cell r="K280" t="str">
            <v xml:space="preserve">CPIII 40 RS </v>
          </cell>
          <cell r="L280" t="str">
            <v>CP V</v>
          </cell>
          <cell r="M280" t="str">
            <v>SUPER PLASTIFICANTE</v>
          </cell>
          <cell r="N280" t="str">
            <v>AIMORÉS - MUROS DE VEDAÇÃO</v>
          </cell>
          <cell r="O280" t="str">
            <v>FORTANKS</v>
          </cell>
          <cell r="P280">
            <v>99</v>
          </cell>
          <cell r="Q280" t="str">
            <v>Gean</v>
          </cell>
          <cell r="R280">
            <v>45119</v>
          </cell>
          <cell r="S280">
            <v>0.55208333333333337</v>
          </cell>
          <cell r="T280">
            <v>0.54208333333333336</v>
          </cell>
          <cell r="U280" t="str">
            <v>X</v>
          </cell>
          <cell r="V280">
            <v>0.35416666666666669</v>
          </cell>
          <cell r="W280">
            <v>18.010000000000002</v>
          </cell>
          <cell r="X280">
            <v>19.27</v>
          </cell>
          <cell r="Y280">
            <v>0.41666666666666669</v>
          </cell>
          <cell r="Z280">
            <v>91.35</v>
          </cell>
          <cell r="AA280">
            <v>90.5</v>
          </cell>
          <cell r="AW280">
            <v>3</v>
          </cell>
          <cell r="AX280">
            <v>4</v>
          </cell>
          <cell r="AY280">
            <v>4</v>
          </cell>
          <cell r="AZ280">
            <v>4</v>
          </cell>
          <cell r="BA280" t="str">
            <v>FORTES ENGENHARIA</v>
          </cell>
          <cell r="BB280">
            <v>45120</v>
          </cell>
          <cell r="BG280">
            <v>45119</v>
          </cell>
        </row>
        <row r="281">
          <cell r="A281">
            <v>668</v>
          </cell>
          <cell r="B281">
            <v>288</v>
          </cell>
          <cell r="C281" t="str">
            <v>PN-A359/ PN-A360/ PN-A361/ PN-A362/ PN-A363/ PN-A364/ PN-A365</v>
          </cell>
          <cell r="D281">
            <v>4</v>
          </cell>
          <cell r="E281">
            <v>40</v>
          </cell>
          <cell r="F281">
            <v>15</v>
          </cell>
          <cell r="G281">
            <v>40</v>
          </cell>
          <cell r="H281">
            <v>0</v>
          </cell>
          <cell r="I281" t="str">
            <v>-</v>
          </cell>
          <cell r="J281" t="str">
            <v>650/650</v>
          </cell>
          <cell r="K281" t="str">
            <v xml:space="preserve">CPIII 40 RS </v>
          </cell>
          <cell r="L281" t="str">
            <v>CP V</v>
          </cell>
          <cell r="M281" t="str">
            <v>SUPER PLASTIFICANTE</v>
          </cell>
          <cell r="N281" t="str">
            <v>AIMORÉS - MUROS DE VEDAÇÃO</v>
          </cell>
          <cell r="O281" t="str">
            <v>FORTANKS</v>
          </cell>
          <cell r="P281">
            <v>31</v>
          </cell>
          <cell r="Q281" t="str">
            <v>Gean</v>
          </cell>
          <cell r="R281">
            <v>45119</v>
          </cell>
          <cell r="S281">
            <v>0.61111111111111105</v>
          </cell>
          <cell r="T281">
            <v>0.60111111111111104</v>
          </cell>
          <cell r="U281" t="str">
            <v>X</v>
          </cell>
          <cell r="V281">
            <v>0.35416666666666669</v>
          </cell>
          <cell r="W281">
            <v>18.23</v>
          </cell>
          <cell r="X281">
            <v>18.190000000000001</v>
          </cell>
          <cell r="Y281">
            <v>0.41666666666666669</v>
          </cell>
          <cell r="Z281">
            <v>87.08</v>
          </cell>
          <cell r="AA281">
            <v>88.12</v>
          </cell>
          <cell r="AW281">
            <v>4</v>
          </cell>
          <cell r="AX281">
            <v>4</v>
          </cell>
          <cell r="AY281">
            <v>4</v>
          </cell>
          <cell r="AZ281">
            <v>4</v>
          </cell>
          <cell r="BA281" t="str">
            <v>FORTES ENGENHARIA</v>
          </cell>
          <cell r="BB281">
            <v>45120</v>
          </cell>
          <cell r="BG281">
            <v>45119</v>
          </cell>
        </row>
        <row r="282">
          <cell r="A282">
            <v>669</v>
          </cell>
          <cell r="B282">
            <v>289</v>
          </cell>
          <cell r="C282" t="str">
            <v>PN-A366/ PN-A367/ PN-A368/ PN-A369/ PN-A370/ PN-A371/ PN-A372/ PN-A373/ PN-A374/ PN-A375</v>
          </cell>
          <cell r="D282">
            <v>6</v>
          </cell>
          <cell r="E282">
            <v>40</v>
          </cell>
          <cell r="F282">
            <v>15</v>
          </cell>
          <cell r="G282">
            <v>40</v>
          </cell>
          <cell r="H282">
            <v>0</v>
          </cell>
          <cell r="I282" t="str">
            <v>-</v>
          </cell>
          <cell r="J282" t="str">
            <v>650/660</v>
          </cell>
          <cell r="K282" t="str">
            <v xml:space="preserve">CPIII 40 RS </v>
          </cell>
          <cell r="L282" t="str">
            <v>CP V</v>
          </cell>
          <cell r="M282" t="str">
            <v>SUPER PLASTIFICANTE</v>
          </cell>
          <cell r="N282" t="str">
            <v>AIMORÉS - MUROS DE VEDAÇÃO</v>
          </cell>
          <cell r="O282" t="str">
            <v>FORTANKS</v>
          </cell>
          <cell r="P282">
            <v>99</v>
          </cell>
          <cell r="Q282" t="str">
            <v>Gean</v>
          </cell>
          <cell r="R282">
            <v>45121</v>
          </cell>
          <cell r="S282">
            <v>0.55208333333333337</v>
          </cell>
          <cell r="T282">
            <v>0.54208333333333336</v>
          </cell>
          <cell r="U282" t="str">
            <v>X</v>
          </cell>
          <cell r="V282">
            <v>0.33333333333333331</v>
          </cell>
          <cell r="W282">
            <v>16.03</v>
          </cell>
          <cell r="X282">
            <v>15.14</v>
          </cell>
          <cell r="Y282">
            <v>0.41666666666666669</v>
          </cell>
          <cell r="Z282">
            <v>92.68</v>
          </cell>
          <cell r="AA282">
            <v>93.15</v>
          </cell>
          <cell r="AW282">
            <v>3</v>
          </cell>
          <cell r="AX282">
            <v>4</v>
          </cell>
          <cell r="AY282">
            <v>3</v>
          </cell>
          <cell r="AZ282">
            <v>4</v>
          </cell>
          <cell r="BA282" t="str">
            <v>FORTES ENGENHARIA</v>
          </cell>
          <cell r="BB282">
            <v>45122</v>
          </cell>
          <cell r="BG282">
            <v>45121</v>
          </cell>
        </row>
        <row r="283">
          <cell r="A283">
            <v>670</v>
          </cell>
          <cell r="B283">
            <v>290</v>
          </cell>
          <cell r="C283" t="str">
            <v>PN-A376/ PN-A377/ PN-A378/ PN-A379/ PN-A380/ PN-A381/ PN-A382/ PN-A383/ PN-A384/ PN-A385</v>
          </cell>
          <cell r="D283">
            <v>6</v>
          </cell>
          <cell r="E283">
            <v>40</v>
          </cell>
          <cell r="F283">
            <v>15</v>
          </cell>
          <cell r="G283">
            <v>40</v>
          </cell>
          <cell r="H283">
            <v>0</v>
          </cell>
          <cell r="I283" t="str">
            <v>-</v>
          </cell>
          <cell r="J283" t="str">
            <v>670/670</v>
          </cell>
          <cell r="K283" t="str">
            <v xml:space="preserve">CPIII 40 RS </v>
          </cell>
          <cell r="L283" t="str">
            <v>CP V</v>
          </cell>
          <cell r="M283" t="str">
            <v>SUPER PLASTIFICANTE</v>
          </cell>
          <cell r="N283" t="str">
            <v>AIMORÉS - MUROS DE VEDAÇÃO</v>
          </cell>
          <cell r="O283" t="str">
            <v>FORTANKS</v>
          </cell>
          <cell r="P283">
            <v>31</v>
          </cell>
          <cell r="Q283" t="str">
            <v>Gean</v>
          </cell>
          <cell r="R283">
            <v>45125</v>
          </cell>
          <cell r="S283">
            <v>0.35069444444444442</v>
          </cell>
          <cell r="T283">
            <v>0.34069444444444441</v>
          </cell>
          <cell r="U283" t="str">
            <v>X</v>
          </cell>
          <cell r="V283">
            <v>0.375</v>
          </cell>
          <cell r="W283">
            <v>29.95</v>
          </cell>
          <cell r="X283">
            <v>30.25</v>
          </cell>
          <cell r="Y283">
            <v>0.41666666666666669</v>
          </cell>
          <cell r="Z283">
            <v>91.65</v>
          </cell>
          <cell r="AA283">
            <v>89.61</v>
          </cell>
          <cell r="AW283">
            <v>4</v>
          </cell>
          <cell r="AX283">
            <v>3</v>
          </cell>
          <cell r="AY283">
            <v>3</v>
          </cell>
          <cell r="AZ283">
            <v>4</v>
          </cell>
          <cell r="BA283" t="str">
            <v>FORTES ENGENHARIA</v>
          </cell>
          <cell r="BB283">
            <v>45126</v>
          </cell>
          <cell r="BG283">
            <v>45125</v>
          </cell>
        </row>
        <row r="284">
          <cell r="A284">
            <v>671</v>
          </cell>
          <cell r="B284">
            <v>291</v>
          </cell>
          <cell r="C284" t="str">
            <v>PN-A386/ PN-A387/ PN-A388/ PN-A389/ PN-A390</v>
          </cell>
          <cell r="D284">
            <v>3</v>
          </cell>
          <cell r="E284">
            <v>40</v>
          </cell>
          <cell r="F284">
            <v>15</v>
          </cell>
          <cell r="G284">
            <v>40</v>
          </cell>
          <cell r="H284">
            <v>0</v>
          </cell>
          <cell r="I284" t="str">
            <v>-</v>
          </cell>
          <cell r="J284" t="str">
            <v>660/660</v>
          </cell>
          <cell r="K284" t="str">
            <v xml:space="preserve">CPIII 40 RS </v>
          </cell>
          <cell r="L284" t="str">
            <v>CP V</v>
          </cell>
          <cell r="M284" t="str">
            <v>SUPER PLASTIFICANTE</v>
          </cell>
          <cell r="N284" t="str">
            <v>AIMORÉS - MUROS DE VEDAÇÃO</v>
          </cell>
          <cell r="O284" t="str">
            <v>FORTANKS</v>
          </cell>
          <cell r="P284">
            <v>31</v>
          </cell>
          <cell r="Q284" t="str">
            <v>Gean</v>
          </cell>
          <cell r="R284">
            <v>45125</v>
          </cell>
          <cell r="S284">
            <v>0.4375</v>
          </cell>
          <cell r="T284">
            <v>0.42749999999999999</v>
          </cell>
          <cell r="U284" t="str">
            <v>X</v>
          </cell>
          <cell r="V284">
            <v>0.41666666666666669</v>
          </cell>
          <cell r="W284">
            <v>25.89</v>
          </cell>
          <cell r="X284">
            <v>27.69</v>
          </cell>
          <cell r="Y284">
            <v>0.41666666666666669</v>
          </cell>
          <cell r="Z284">
            <v>94.26</v>
          </cell>
          <cell r="AA284">
            <v>93.47</v>
          </cell>
          <cell r="AW284">
            <v>3</v>
          </cell>
          <cell r="AX284">
            <v>4</v>
          </cell>
          <cell r="AY284">
            <v>4</v>
          </cell>
          <cell r="AZ284">
            <v>3</v>
          </cell>
          <cell r="BA284" t="str">
            <v>FORTES ENGENHARIA</v>
          </cell>
          <cell r="BB284">
            <v>45126</v>
          </cell>
          <cell r="BG284">
            <v>45125</v>
          </cell>
        </row>
        <row r="285">
          <cell r="A285">
            <v>672</v>
          </cell>
          <cell r="B285">
            <v>292</v>
          </cell>
          <cell r="C285" t="str">
            <v>PN-A391/ PN-A392/ PN-A393/ PN-A394/ PN-A395/ PN-A396/ PN-A397/ PN-A398</v>
          </cell>
          <cell r="D285">
            <v>5</v>
          </cell>
          <cell r="E285">
            <v>40</v>
          </cell>
          <cell r="F285">
            <v>15</v>
          </cell>
          <cell r="G285">
            <v>40</v>
          </cell>
          <cell r="H285">
            <v>0</v>
          </cell>
          <cell r="I285" t="str">
            <v>-</v>
          </cell>
          <cell r="J285" t="str">
            <v>650/660</v>
          </cell>
          <cell r="K285" t="str">
            <v xml:space="preserve">CPIII 40 RS </v>
          </cell>
          <cell r="L285" t="str">
            <v>CP V</v>
          </cell>
          <cell r="M285" t="str">
            <v>SUPER PLASTIFICANTE</v>
          </cell>
          <cell r="N285" t="str">
            <v>AIMORÉS - MUROS DE VEDAÇÃO</v>
          </cell>
          <cell r="O285" t="str">
            <v>FORTANKS</v>
          </cell>
          <cell r="P285">
            <v>31</v>
          </cell>
          <cell r="Q285" t="str">
            <v>Gean</v>
          </cell>
          <cell r="R285">
            <v>45127</v>
          </cell>
          <cell r="S285">
            <v>0.60069444444444442</v>
          </cell>
          <cell r="T285">
            <v>0.59069444444444441</v>
          </cell>
          <cell r="U285" t="str">
            <v>X</v>
          </cell>
          <cell r="V285">
            <v>0.375</v>
          </cell>
          <cell r="W285">
            <v>18.420000000000002</v>
          </cell>
          <cell r="X285">
            <v>19.100000000000001</v>
          </cell>
          <cell r="Y285">
            <v>0.41666666666666669</v>
          </cell>
          <cell r="Z285">
            <v>93.05</v>
          </cell>
          <cell r="AA285">
            <v>93.06</v>
          </cell>
          <cell r="AW285">
            <v>3</v>
          </cell>
          <cell r="AX285">
            <v>3</v>
          </cell>
          <cell r="AY285">
            <v>4</v>
          </cell>
          <cell r="AZ285">
            <v>4</v>
          </cell>
          <cell r="BA285" t="str">
            <v>FORTES ENGENHARIA</v>
          </cell>
          <cell r="BB285">
            <v>45128</v>
          </cell>
          <cell r="BG285">
            <v>45127</v>
          </cell>
        </row>
        <row r="286">
          <cell r="A286">
            <v>673</v>
          </cell>
          <cell r="B286">
            <v>293</v>
          </cell>
          <cell r="C286" t="str">
            <v>PN-A399/ PN-A400/ PN-A401/ PN-A402/ PN-A403/ PN-A404</v>
          </cell>
          <cell r="D286">
            <v>4</v>
          </cell>
          <cell r="E286">
            <v>40</v>
          </cell>
          <cell r="F286">
            <v>15</v>
          </cell>
          <cell r="G286">
            <v>40</v>
          </cell>
          <cell r="H286">
            <v>0</v>
          </cell>
          <cell r="I286" t="str">
            <v>-</v>
          </cell>
          <cell r="J286" t="str">
            <v>660/660</v>
          </cell>
          <cell r="K286" t="str">
            <v xml:space="preserve">CPIII 40 RS </v>
          </cell>
          <cell r="L286" t="str">
            <v>CP V</v>
          </cell>
          <cell r="M286" t="str">
            <v>SUPER PLASTIFICANTE</v>
          </cell>
          <cell r="N286" t="str">
            <v>AIMORÉS - MUROS DE VEDAÇÃO</v>
          </cell>
          <cell r="O286" t="str">
            <v>FORTANKS</v>
          </cell>
          <cell r="P286">
            <v>99</v>
          </cell>
          <cell r="Q286" t="str">
            <v>Gean</v>
          </cell>
          <cell r="R286">
            <v>45127</v>
          </cell>
          <cell r="S286">
            <v>0.61458333333333337</v>
          </cell>
          <cell r="T286">
            <v>0.60458333333333336</v>
          </cell>
          <cell r="U286" t="str">
            <v>X</v>
          </cell>
          <cell r="V286">
            <v>0.375</v>
          </cell>
          <cell r="W286">
            <v>17.87</v>
          </cell>
          <cell r="X286">
            <v>17.16</v>
          </cell>
          <cell r="Y286">
            <v>0.41666666666666669</v>
          </cell>
          <cell r="Z286">
            <v>92.18</v>
          </cell>
          <cell r="AA286">
            <v>90.9</v>
          </cell>
          <cell r="AW286">
            <v>3</v>
          </cell>
          <cell r="AX286">
            <v>3</v>
          </cell>
          <cell r="AY286">
            <v>3</v>
          </cell>
          <cell r="AZ286">
            <v>3</v>
          </cell>
          <cell r="BA286" t="str">
            <v>FORTES ENGENHARIA</v>
          </cell>
          <cell r="BB286">
            <v>45128</v>
          </cell>
          <cell r="BG286">
            <v>45127</v>
          </cell>
        </row>
        <row r="287">
          <cell r="A287">
            <v>674</v>
          </cell>
          <cell r="B287">
            <v>294</v>
          </cell>
          <cell r="C287" t="str">
            <v>PN-A405/ PN-A406/ PN-A407/ PN-A408/ PN-A409/ PN-A410/ PN-A411/ PN-A412</v>
          </cell>
          <cell r="D287">
            <v>5</v>
          </cell>
          <cell r="E287">
            <v>40</v>
          </cell>
          <cell r="F287">
            <v>15</v>
          </cell>
          <cell r="G287">
            <v>40</v>
          </cell>
          <cell r="H287">
            <v>0</v>
          </cell>
          <cell r="I287" t="str">
            <v>-</v>
          </cell>
          <cell r="J287" t="str">
            <v>670/670</v>
          </cell>
          <cell r="K287" t="str">
            <v xml:space="preserve">CPIII 40 RS </v>
          </cell>
          <cell r="L287" t="str">
            <v>CP V</v>
          </cell>
          <cell r="M287" t="str">
            <v>SUPER PLASTIFICANTE</v>
          </cell>
          <cell r="N287" t="str">
            <v>AIMORÉS - MUROS DE VEDAÇÃO</v>
          </cell>
          <cell r="O287" t="str">
            <v>FORTANKS</v>
          </cell>
          <cell r="P287">
            <v>31</v>
          </cell>
          <cell r="Q287" t="str">
            <v>Gean</v>
          </cell>
          <cell r="R287">
            <v>45131</v>
          </cell>
          <cell r="S287">
            <v>0.375</v>
          </cell>
          <cell r="T287">
            <v>0.36499999999999999</v>
          </cell>
          <cell r="U287" t="str">
            <v>X</v>
          </cell>
          <cell r="V287">
            <v>0.375</v>
          </cell>
          <cell r="W287">
            <v>22.45</v>
          </cell>
          <cell r="X287">
            <v>23.23</v>
          </cell>
          <cell r="Y287">
            <v>0.41666666666666669</v>
          </cell>
          <cell r="Z287">
            <v>93.16</v>
          </cell>
          <cell r="AA287">
            <v>91.96</v>
          </cell>
          <cell r="AW287">
            <v>4</v>
          </cell>
          <cell r="AX287">
            <v>4</v>
          </cell>
          <cell r="AY287">
            <v>4</v>
          </cell>
          <cell r="AZ287">
            <v>4</v>
          </cell>
          <cell r="BA287" t="str">
            <v>FORTES ENGENHARIA</v>
          </cell>
          <cell r="BB287">
            <v>45132</v>
          </cell>
          <cell r="BG287">
            <v>45131</v>
          </cell>
        </row>
        <row r="288">
          <cell r="A288">
            <v>675</v>
          </cell>
          <cell r="B288">
            <v>295</v>
          </cell>
          <cell r="C288" t="str">
            <v>PN-A413/ PN-A414/ PN-A415/ PN-A416/ PN-A417/ PN-A418/ PN-A419</v>
          </cell>
          <cell r="D288">
            <v>4</v>
          </cell>
          <cell r="E288">
            <v>40</v>
          </cell>
          <cell r="F288">
            <v>15</v>
          </cell>
          <cell r="G288">
            <v>40</v>
          </cell>
          <cell r="H288">
            <v>0</v>
          </cell>
          <cell r="I288" t="str">
            <v>-</v>
          </cell>
          <cell r="J288" t="str">
            <v>660/670</v>
          </cell>
          <cell r="K288" t="str">
            <v xml:space="preserve">CPIII 40 RS </v>
          </cell>
          <cell r="L288" t="str">
            <v>CP V</v>
          </cell>
          <cell r="M288" t="str">
            <v>SUPER PLASTIFICANTE</v>
          </cell>
          <cell r="N288" t="str">
            <v>AIMORÉS - MUROS DE VEDAÇÃO</v>
          </cell>
          <cell r="O288" t="str">
            <v>FORTANKS</v>
          </cell>
          <cell r="P288">
            <v>31</v>
          </cell>
          <cell r="Q288" t="str">
            <v>Gean</v>
          </cell>
          <cell r="R288">
            <v>45131</v>
          </cell>
          <cell r="S288">
            <v>0.57638888888888895</v>
          </cell>
          <cell r="T288">
            <v>0.56638888888888894</v>
          </cell>
          <cell r="U288" t="str">
            <v>X</v>
          </cell>
          <cell r="V288">
            <v>0.375</v>
          </cell>
          <cell r="W288">
            <v>15</v>
          </cell>
          <cell r="X288">
            <v>15.23</v>
          </cell>
          <cell r="Y288">
            <v>0.41666666666666669</v>
          </cell>
          <cell r="Z288">
            <v>92.62</v>
          </cell>
          <cell r="AA288">
            <v>90.83</v>
          </cell>
          <cell r="AW288">
            <v>4</v>
          </cell>
          <cell r="AX288">
            <v>4</v>
          </cell>
          <cell r="AY288">
            <v>3</v>
          </cell>
          <cell r="AZ288">
            <v>3</v>
          </cell>
          <cell r="BA288" t="str">
            <v>FORTES ENGENHARIA</v>
          </cell>
          <cell r="BB288">
            <v>45132</v>
          </cell>
          <cell r="BG288">
            <v>45131</v>
          </cell>
        </row>
        <row r="289">
          <cell r="A289">
            <v>676</v>
          </cell>
          <cell r="B289">
            <v>296</v>
          </cell>
          <cell r="C289" t="str">
            <v>PN-A420/ PN-A421/ PN-A422/ PN-A423/ PN-A424/ PN-A425/ PN-A426/ PN-A427</v>
          </cell>
          <cell r="D289">
            <v>5</v>
          </cell>
          <cell r="E289">
            <v>40</v>
          </cell>
          <cell r="F289">
            <v>15</v>
          </cell>
          <cell r="G289">
            <v>40</v>
          </cell>
          <cell r="H289">
            <v>0</v>
          </cell>
          <cell r="I289" t="str">
            <v>-</v>
          </cell>
          <cell r="J289" t="str">
            <v>660/670</v>
          </cell>
          <cell r="K289" t="str">
            <v xml:space="preserve">CPIII 40 RS </v>
          </cell>
          <cell r="L289" t="str">
            <v>CP V</v>
          </cell>
          <cell r="M289" t="str">
            <v>SUPER PLASTIFICANTE</v>
          </cell>
          <cell r="N289" t="str">
            <v>AIMORÉS - MUROS DE VEDAÇÃO</v>
          </cell>
          <cell r="O289" t="str">
            <v>FORTANKS</v>
          </cell>
          <cell r="P289">
            <v>31</v>
          </cell>
          <cell r="Q289" t="str">
            <v>Gean</v>
          </cell>
          <cell r="R289">
            <v>45133</v>
          </cell>
          <cell r="S289">
            <v>0.37152777777777773</v>
          </cell>
          <cell r="T289">
            <v>0.36152777777777773</v>
          </cell>
          <cell r="U289" t="str">
            <v>X</v>
          </cell>
          <cell r="V289">
            <v>0.33333333333333331</v>
          </cell>
          <cell r="W289">
            <v>24.71</v>
          </cell>
          <cell r="X289">
            <v>26.65</v>
          </cell>
          <cell r="Y289">
            <v>0.41666666666666669</v>
          </cell>
          <cell r="Z289">
            <v>92.73</v>
          </cell>
          <cell r="AA289">
            <v>91.78</v>
          </cell>
          <cell r="AW289">
            <v>3</v>
          </cell>
          <cell r="AX289">
            <v>4</v>
          </cell>
          <cell r="AY289">
            <v>4</v>
          </cell>
          <cell r="AZ289">
            <v>3</v>
          </cell>
          <cell r="BA289" t="str">
            <v>FORTES ENGENHARIA</v>
          </cell>
          <cell r="BB289">
            <v>45134</v>
          </cell>
          <cell r="BG289">
            <v>45133</v>
          </cell>
        </row>
        <row r="290">
          <cell r="A290">
            <v>677</v>
          </cell>
          <cell r="B290">
            <v>297</v>
          </cell>
          <cell r="C290" t="str">
            <v>PN-A428/ PN-A429/ PN-A430/ PN-A431/ PN-A432/ PN-A433/ PN-A434</v>
          </cell>
          <cell r="D290">
            <v>4</v>
          </cell>
          <cell r="E290">
            <v>40</v>
          </cell>
          <cell r="F290">
            <v>15</v>
          </cell>
          <cell r="G290">
            <v>40</v>
          </cell>
          <cell r="H290">
            <v>0</v>
          </cell>
          <cell r="I290" t="str">
            <v>-</v>
          </cell>
          <cell r="J290" t="str">
            <v>650/650</v>
          </cell>
          <cell r="K290" t="str">
            <v xml:space="preserve">CPIII 40 RS </v>
          </cell>
          <cell r="L290" t="str">
            <v>CP V</v>
          </cell>
          <cell r="M290" t="str">
            <v>SUPER PLASTIFICANTE</v>
          </cell>
          <cell r="N290" t="str">
            <v>AIMORÉS - MUROS DE VEDAÇÃO</v>
          </cell>
          <cell r="O290" t="str">
            <v>FORTANKS</v>
          </cell>
          <cell r="P290">
            <v>31</v>
          </cell>
          <cell r="Q290" t="str">
            <v>Gean</v>
          </cell>
          <cell r="R290">
            <v>45133</v>
          </cell>
          <cell r="S290">
            <v>0.4236111111111111</v>
          </cell>
          <cell r="T290">
            <v>0.4136111111111111</v>
          </cell>
          <cell r="U290" t="str">
            <v>X</v>
          </cell>
          <cell r="V290">
            <v>0.35416666666666669</v>
          </cell>
          <cell r="W290">
            <v>25.5</v>
          </cell>
          <cell r="X290">
            <v>24.13</v>
          </cell>
          <cell r="Y290">
            <v>0.41666666666666669</v>
          </cell>
          <cell r="Z290">
            <v>94.56</v>
          </cell>
          <cell r="AA290">
            <v>93.6</v>
          </cell>
          <cell r="AW290">
            <v>4</v>
          </cell>
          <cell r="AX290">
            <v>4</v>
          </cell>
          <cell r="AY290">
            <v>4</v>
          </cell>
          <cell r="AZ290">
            <v>3</v>
          </cell>
          <cell r="BA290" t="str">
            <v>FORTES ENGENHARIA</v>
          </cell>
          <cell r="BB290">
            <v>45134</v>
          </cell>
          <cell r="BG290">
            <v>45133</v>
          </cell>
        </row>
        <row r="291">
          <cell r="A291">
            <v>678</v>
          </cell>
          <cell r="B291">
            <v>298</v>
          </cell>
          <cell r="C291" t="str">
            <v>PN-A435/ PN-A436/ PN-A437/ PN-A438/ PN-A439/ PN-A440/ PN-A441/ PN-A442</v>
          </cell>
          <cell r="D291">
            <v>5</v>
          </cell>
          <cell r="E291">
            <v>40</v>
          </cell>
          <cell r="F291">
            <v>15</v>
          </cell>
          <cell r="G291">
            <v>40</v>
          </cell>
          <cell r="H291">
            <v>0</v>
          </cell>
          <cell r="I291" t="str">
            <v>-</v>
          </cell>
          <cell r="J291" t="str">
            <v>660/660</v>
          </cell>
          <cell r="K291" t="str">
            <v xml:space="preserve">CPIII 40 RS </v>
          </cell>
          <cell r="L291" t="str">
            <v>CP V</v>
          </cell>
          <cell r="M291" t="str">
            <v>SUPER PLASTIFICANTE</v>
          </cell>
          <cell r="N291" t="str">
            <v>AIMORÉS - MUROS DE VEDAÇÃO</v>
          </cell>
          <cell r="O291" t="str">
            <v>FORTANKS</v>
          </cell>
          <cell r="P291">
            <v>31</v>
          </cell>
          <cell r="Q291" t="str">
            <v>Gean</v>
          </cell>
          <cell r="R291">
            <v>45134</v>
          </cell>
          <cell r="S291">
            <v>0.375</v>
          </cell>
          <cell r="T291">
            <v>0.36499999999999999</v>
          </cell>
          <cell r="U291" t="str">
            <v>X</v>
          </cell>
          <cell r="V291">
            <v>0.41666666666666669</v>
          </cell>
          <cell r="W291">
            <v>15.05</v>
          </cell>
          <cell r="X291">
            <v>15.24</v>
          </cell>
          <cell r="Y291">
            <v>0.41666666666666669</v>
          </cell>
          <cell r="Z291">
            <v>95.48</v>
          </cell>
          <cell r="AA291">
            <v>95.21</v>
          </cell>
          <cell r="AW291">
            <v>3</v>
          </cell>
          <cell r="AX291">
            <v>4</v>
          </cell>
          <cell r="AY291">
            <v>4</v>
          </cell>
          <cell r="AZ291">
            <v>4</v>
          </cell>
          <cell r="BA291" t="str">
            <v>FORTES ENGENHARIA</v>
          </cell>
          <cell r="BB291">
            <v>45135</v>
          </cell>
          <cell r="BG291">
            <v>45134</v>
          </cell>
        </row>
        <row r="292">
          <cell r="A292">
            <v>679</v>
          </cell>
          <cell r="B292">
            <v>299</v>
          </cell>
          <cell r="C292" t="str">
            <v>PN-A443/ PN-A444/ PN-A445/ PN-A446/ PN-A447/ PN-A448/ PN-A449</v>
          </cell>
          <cell r="D292">
            <v>4</v>
          </cell>
          <cell r="E292">
            <v>40</v>
          </cell>
          <cell r="F292">
            <v>15</v>
          </cell>
          <cell r="G292">
            <v>40</v>
          </cell>
          <cell r="H292">
            <v>0</v>
          </cell>
          <cell r="I292" t="str">
            <v>-</v>
          </cell>
          <cell r="J292" t="str">
            <v>660/670</v>
          </cell>
          <cell r="K292" t="str">
            <v xml:space="preserve">CPIII 40 RS </v>
          </cell>
          <cell r="L292" t="str">
            <v>CP V</v>
          </cell>
          <cell r="M292" t="str">
            <v>SUPER PLASTIFICANTE</v>
          </cell>
          <cell r="N292" t="str">
            <v>AIMORÉS - MUROS DE VEDAÇÃO</v>
          </cell>
          <cell r="O292" t="str">
            <v>FORTANKS</v>
          </cell>
          <cell r="P292">
            <v>31</v>
          </cell>
          <cell r="Q292" t="str">
            <v>Gean</v>
          </cell>
          <cell r="R292">
            <v>45134</v>
          </cell>
          <cell r="S292">
            <v>0.45833333333333331</v>
          </cell>
          <cell r="T292">
            <v>0.44833333333333331</v>
          </cell>
          <cell r="U292" t="str">
            <v>X</v>
          </cell>
          <cell r="V292">
            <v>0.45833333333333331</v>
          </cell>
          <cell r="W292">
            <v>15.25</v>
          </cell>
          <cell r="X292">
            <v>16.16</v>
          </cell>
          <cell r="Y292">
            <v>0.41666666666666669</v>
          </cell>
          <cell r="Z292">
            <v>91.77</v>
          </cell>
          <cell r="AA292">
            <v>91.96</v>
          </cell>
          <cell r="AW292">
            <v>3</v>
          </cell>
          <cell r="AX292">
            <v>4</v>
          </cell>
          <cell r="AY292">
            <v>3</v>
          </cell>
          <cell r="AZ292">
            <v>3</v>
          </cell>
          <cell r="BA292" t="str">
            <v>FORTES ENGENHARIA</v>
          </cell>
          <cell r="BB292">
            <v>45135</v>
          </cell>
          <cell r="BG292">
            <v>45134</v>
          </cell>
        </row>
        <row r="293">
          <cell r="A293">
            <v>680</v>
          </cell>
          <cell r="B293">
            <v>300</v>
          </cell>
          <cell r="C293" t="str">
            <v>PN-A450/ PN-A451/ PN-A452/ PN-A453/ PN-A454/ PN-A455/ PN-A456/ PN-A457</v>
          </cell>
          <cell r="D293">
            <v>5</v>
          </cell>
          <cell r="E293">
            <v>40</v>
          </cell>
          <cell r="F293">
            <v>15</v>
          </cell>
          <cell r="G293">
            <v>40</v>
          </cell>
          <cell r="H293">
            <v>0</v>
          </cell>
          <cell r="I293" t="str">
            <v>-</v>
          </cell>
          <cell r="J293" t="str">
            <v>660/670</v>
          </cell>
          <cell r="K293" t="str">
            <v xml:space="preserve">CPIII 40 RS </v>
          </cell>
          <cell r="L293" t="str">
            <v>CP V</v>
          </cell>
          <cell r="M293" t="str">
            <v>SUPER PLASTIFICANTE</v>
          </cell>
          <cell r="N293" t="str">
            <v>AIMORÉS - MUROS DE VEDAÇÃO</v>
          </cell>
          <cell r="O293" t="str">
            <v>FORTANKS</v>
          </cell>
          <cell r="P293">
            <v>99</v>
          </cell>
          <cell r="Q293" t="str">
            <v>Gean</v>
          </cell>
          <cell r="R293">
            <v>45135</v>
          </cell>
          <cell r="S293">
            <v>0.58333333333333337</v>
          </cell>
          <cell r="T293">
            <v>0.57333333333333336</v>
          </cell>
          <cell r="U293" t="str">
            <v>X</v>
          </cell>
          <cell r="V293">
            <v>0.33333333333333331</v>
          </cell>
          <cell r="W293">
            <v>15.11</v>
          </cell>
          <cell r="X293">
            <v>14.9</v>
          </cell>
          <cell r="Y293">
            <v>0.41666666666666669</v>
          </cell>
          <cell r="Z293">
            <v>92.99</v>
          </cell>
          <cell r="AA293">
            <v>91.99</v>
          </cell>
          <cell r="AW293">
            <v>4</v>
          </cell>
          <cell r="AX293">
            <v>4</v>
          </cell>
          <cell r="AY293">
            <v>3</v>
          </cell>
          <cell r="AZ293">
            <v>4</v>
          </cell>
          <cell r="BA293" t="str">
            <v>FORTES ENGENHARIA</v>
          </cell>
          <cell r="BB293">
            <v>45136</v>
          </cell>
          <cell r="BG293">
            <v>45135</v>
          </cell>
        </row>
        <row r="294">
          <cell r="A294">
            <v>681</v>
          </cell>
          <cell r="B294">
            <v>301</v>
          </cell>
          <cell r="C294" t="str">
            <v>PN-A458/ PN-A459/ PN-A460/ PN-A461/ PN-A462/ PN-A463/ PN-A464/ PN-A465</v>
          </cell>
          <cell r="D294">
            <v>5</v>
          </cell>
          <cell r="E294">
            <v>40</v>
          </cell>
          <cell r="F294">
            <v>15</v>
          </cell>
          <cell r="G294">
            <v>40</v>
          </cell>
          <cell r="H294">
            <v>0</v>
          </cell>
          <cell r="I294" t="str">
            <v>-</v>
          </cell>
          <cell r="J294" t="str">
            <v>670/670</v>
          </cell>
          <cell r="K294" t="str">
            <v xml:space="preserve">CPIII 40 RS </v>
          </cell>
          <cell r="L294" t="str">
            <v>CP V</v>
          </cell>
          <cell r="M294" t="str">
            <v>SUPER PLASTIFICANTE</v>
          </cell>
          <cell r="N294" t="str">
            <v>AIMORÉS - MUROS DE VEDAÇÃO</v>
          </cell>
          <cell r="O294" t="str">
            <v>FORTANKS</v>
          </cell>
          <cell r="P294">
            <v>99</v>
          </cell>
          <cell r="Q294" t="str">
            <v>Gean</v>
          </cell>
          <cell r="R294">
            <v>45138</v>
          </cell>
          <cell r="S294">
            <v>0.37152777777777773</v>
          </cell>
          <cell r="T294">
            <v>0.36152777777777773</v>
          </cell>
          <cell r="U294" t="str">
            <v>X</v>
          </cell>
          <cell r="V294">
            <v>0.33333333333333331</v>
          </cell>
          <cell r="W294">
            <v>19.25</v>
          </cell>
          <cell r="X294">
            <v>20.5</v>
          </cell>
          <cell r="Y294">
            <v>0.41666666666666669</v>
          </cell>
          <cell r="Z294">
            <v>93.77</v>
          </cell>
          <cell r="AA294">
            <v>92.62</v>
          </cell>
          <cell r="AW294">
            <v>4</v>
          </cell>
          <cell r="AX294">
            <v>4</v>
          </cell>
          <cell r="AY294">
            <v>4</v>
          </cell>
          <cell r="AZ294">
            <v>3</v>
          </cell>
          <cell r="BA294" t="str">
            <v>FORTES ENGENHARIA</v>
          </cell>
          <cell r="BB294">
            <v>45139</v>
          </cell>
          <cell r="BG294">
            <v>45138</v>
          </cell>
        </row>
        <row r="295">
          <cell r="A295">
            <v>682</v>
          </cell>
          <cell r="B295">
            <v>302</v>
          </cell>
          <cell r="C295" t="str">
            <v>PN-A466/ PN-A467/ PN-A468/ PN-A469/ PN-A470/ PN-A471/ PN-A472</v>
          </cell>
          <cell r="D295">
            <v>4</v>
          </cell>
          <cell r="E295">
            <v>40</v>
          </cell>
          <cell r="F295">
            <v>15</v>
          </cell>
          <cell r="G295">
            <v>40</v>
          </cell>
          <cell r="H295">
            <v>0</v>
          </cell>
          <cell r="I295" t="str">
            <v>-</v>
          </cell>
          <cell r="J295" t="str">
            <v>660/660</v>
          </cell>
          <cell r="K295" t="str">
            <v xml:space="preserve">CPIII 40 RS </v>
          </cell>
          <cell r="L295" t="str">
            <v>CP V</v>
          </cell>
          <cell r="M295" t="str">
            <v>SUPER PLASTIFICANTE</v>
          </cell>
          <cell r="N295" t="str">
            <v>AIMORÉS - MUROS DE VEDAÇÃO</v>
          </cell>
          <cell r="O295" t="str">
            <v>FORTANKS</v>
          </cell>
          <cell r="P295">
            <v>99</v>
          </cell>
          <cell r="Q295" t="str">
            <v>Gean</v>
          </cell>
          <cell r="R295">
            <v>45138</v>
          </cell>
          <cell r="S295">
            <v>0.44791666666666669</v>
          </cell>
          <cell r="T295">
            <v>0.43791666666666668</v>
          </cell>
          <cell r="U295" t="str">
            <v>X</v>
          </cell>
          <cell r="V295">
            <v>0.35416666666666669</v>
          </cell>
          <cell r="W295">
            <v>18.13</v>
          </cell>
          <cell r="X295">
            <v>18.23</v>
          </cell>
          <cell r="Y295">
            <v>0.41666666666666669</v>
          </cell>
          <cell r="Z295">
            <v>93</v>
          </cell>
          <cell r="AA295">
            <v>92.73</v>
          </cell>
          <cell r="AW295">
            <v>3</v>
          </cell>
          <cell r="AX295">
            <v>4</v>
          </cell>
          <cell r="AY295">
            <v>3</v>
          </cell>
          <cell r="AZ295">
            <v>4</v>
          </cell>
          <cell r="BA295" t="str">
            <v>FORTES ENGENHARIA</v>
          </cell>
          <cell r="BB295">
            <v>45139</v>
          </cell>
          <cell r="BG295">
            <v>45138</v>
          </cell>
        </row>
        <row r="296">
          <cell r="A296">
            <v>683</v>
          </cell>
          <cell r="B296">
            <v>303</v>
          </cell>
          <cell r="C296" t="str">
            <v>PN-A473/ PN-A474/ PN-A475/ PN-A476/ PN-A477/ PN-A478/ PN-A479/ PN-A480</v>
          </cell>
          <cell r="D296">
            <v>5</v>
          </cell>
          <cell r="E296">
            <v>40</v>
          </cell>
          <cell r="F296">
            <v>15</v>
          </cell>
          <cell r="G296">
            <v>40</v>
          </cell>
          <cell r="H296">
            <v>0</v>
          </cell>
          <cell r="I296" t="str">
            <v>-</v>
          </cell>
          <cell r="J296" t="str">
            <v>670/670</v>
          </cell>
          <cell r="K296" t="str">
            <v xml:space="preserve">CPIII 40 RS </v>
          </cell>
          <cell r="L296" t="str">
            <v>CP V</v>
          </cell>
          <cell r="M296" t="str">
            <v>SUPER PLASTIFICANTE</v>
          </cell>
          <cell r="N296" t="str">
            <v>AIMORÉS - MUROS DE VEDAÇÃO</v>
          </cell>
          <cell r="O296" t="str">
            <v>FORTANKS</v>
          </cell>
          <cell r="P296">
            <v>99</v>
          </cell>
          <cell r="Q296" t="str">
            <v>Gean</v>
          </cell>
          <cell r="R296">
            <v>45139</v>
          </cell>
          <cell r="S296">
            <v>0.375</v>
          </cell>
          <cell r="T296">
            <v>0.36499999999999999</v>
          </cell>
          <cell r="U296" t="str">
            <v>X</v>
          </cell>
          <cell r="V296">
            <v>0.375</v>
          </cell>
          <cell r="W296">
            <v>13.96</v>
          </cell>
          <cell r="X296">
            <v>15.05</v>
          </cell>
          <cell r="Y296">
            <v>0.41666666666666669</v>
          </cell>
          <cell r="Z296">
            <v>91.99</v>
          </cell>
          <cell r="AA296">
            <v>91.54</v>
          </cell>
          <cell r="AW296">
            <v>3</v>
          </cell>
          <cell r="AX296">
            <v>4</v>
          </cell>
          <cell r="AY296">
            <v>4</v>
          </cell>
          <cell r="AZ296">
            <v>3</v>
          </cell>
          <cell r="BA296" t="str">
            <v>FORTES ENGENHARIA</v>
          </cell>
          <cell r="BB296">
            <v>45140</v>
          </cell>
          <cell r="BG296">
            <v>45139</v>
          </cell>
        </row>
        <row r="297">
          <cell r="A297">
            <v>684</v>
          </cell>
          <cell r="B297">
            <v>304</v>
          </cell>
          <cell r="C297" t="str">
            <v>PN-A481/ PN-A482/ PN-A483/ PN-A484/ PN-A485/ PN-A486/ PN-A487</v>
          </cell>
          <cell r="D297">
            <v>4</v>
          </cell>
          <cell r="E297">
            <v>40</v>
          </cell>
          <cell r="F297">
            <v>15</v>
          </cell>
          <cell r="G297">
            <v>40</v>
          </cell>
          <cell r="H297">
            <v>0</v>
          </cell>
          <cell r="I297" t="str">
            <v>-</v>
          </cell>
          <cell r="J297" t="str">
            <v>670/680</v>
          </cell>
          <cell r="K297" t="str">
            <v xml:space="preserve">CPIII 40 RS </v>
          </cell>
          <cell r="L297" t="str">
            <v>CP V</v>
          </cell>
          <cell r="M297" t="str">
            <v>SUPER PLASTIFICANTE</v>
          </cell>
          <cell r="N297" t="str">
            <v>AIMORÉS - MUROS DE VEDAÇÃO</v>
          </cell>
          <cell r="O297" t="str">
            <v>FORTANKS</v>
          </cell>
          <cell r="P297">
            <v>99</v>
          </cell>
          <cell r="Q297" t="str">
            <v>Gean</v>
          </cell>
          <cell r="R297">
            <v>45139</v>
          </cell>
          <cell r="S297">
            <v>0.375</v>
          </cell>
          <cell r="T297">
            <v>0.36499999999999999</v>
          </cell>
          <cell r="U297" t="str">
            <v>X</v>
          </cell>
          <cell r="V297">
            <v>0.375</v>
          </cell>
          <cell r="W297">
            <v>18.78</v>
          </cell>
          <cell r="X297">
            <v>17.98</v>
          </cell>
          <cell r="Y297">
            <v>0.41666666666666669</v>
          </cell>
          <cell r="Z297">
            <v>92.84</v>
          </cell>
          <cell r="AA297">
            <v>91.54</v>
          </cell>
          <cell r="AW297">
            <v>4</v>
          </cell>
          <cell r="AX297">
            <v>4</v>
          </cell>
          <cell r="AY297">
            <v>3</v>
          </cell>
          <cell r="AZ297">
            <v>4</v>
          </cell>
          <cell r="BA297" t="str">
            <v>FORTES ENGENHARIA</v>
          </cell>
          <cell r="BB297">
            <v>45140</v>
          </cell>
          <cell r="BG297">
            <v>45139</v>
          </cell>
        </row>
        <row r="298">
          <cell r="A298">
            <v>685</v>
          </cell>
          <cell r="B298">
            <v>305</v>
          </cell>
          <cell r="C298" t="str">
            <v>PN-A488/ PN-A489/ PN-A490/ PN-A491/ PN-A492/ PN-A493/ PN-A494/ PN-A495</v>
          </cell>
          <cell r="D298">
            <v>5</v>
          </cell>
          <cell r="E298">
            <v>40</v>
          </cell>
          <cell r="F298">
            <v>15</v>
          </cell>
          <cell r="G298">
            <v>40</v>
          </cell>
          <cell r="H298">
            <v>0</v>
          </cell>
          <cell r="I298" t="str">
            <v>-</v>
          </cell>
          <cell r="J298" t="str">
            <v>670/680</v>
          </cell>
          <cell r="K298" t="str">
            <v xml:space="preserve">CPIII 40 RS </v>
          </cell>
          <cell r="L298" t="str">
            <v>CP V</v>
          </cell>
          <cell r="M298" t="str">
            <v>SUPER PLASTIFICANTE</v>
          </cell>
          <cell r="N298" t="str">
            <v>AIMORÉS - MUROS DE VEDAÇÃO</v>
          </cell>
          <cell r="O298" t="str">
            <v>FORTANKS</v>
          </cell>
          <cell r="P298">
            <v>99</v>
          </cell>
          <cell r="Q298" t="str">
            <v>Gean</v>
          </cell>
          <cell r="R298">
            <v>45140</v>
          </cell>
          <cell r="S298">
            <v>0.57291666666666663</v>
          </cell>
          <cell r="T298">
            <v>0.56291666666666662</v>
          </cell>
          <cell r="U298" t="str">
            <v>X</v>
          </cell>
          <cell r="V298">
            <v>0.35416666666666669</v>
          </cell>
          <cell r="W298">
            <v>15.05</v>
          </cell>
          <cell r="X298">
            <v>14.17</v>
          </cell>
          <cell r="Y298">
            <v>0.41666666666666669</v>
          </cell>
          <cell r="Z298">
            <v>87.16</v>
          </cell>
          <cell r="AA298">
            <v>88.58</v>
          </cell>
          <cell r="AW298">
            <v>4</v>
          </cell>
          <cell r="AX298">
            <v>3</v>
          </cell>
          <cell r="AY298">
            <v>4</v>
          </cell>
          <cell r="AZ298">
            <v>4</v>
          </cell>
          <cell r="BA298" t="str">
            <v>FORTES ENGENHARIA</v>
          </cell>
          <cell r="BB298">
            <v>45141</v>
          </cell>
          <cell r="BG298">
            <v>45140</v>
          </cell>
        </row>
        <row r="299">
          <cell r="A299">
            <v>686</v>
          </cell>
          <cell r="B299">
            <v>306</v>
          </cell>
          <cell r="C299" t="str">
            <v>PN-A496/ PN-A497/ PN-A498/ PN-A499/ PN-A500/ PN-A501/ PN-A502</v>
          </cell>
          <cell r="D299">
            <v>4</v>
          </cell>
          <cell r="E299">
            <v>40</v>
          </cell>
          <cell r="F299">
            <v>15</v>
          </cell>
          <cell r="G299">
            <v>40</v>
          </cell>
          <cell r="H299">
            <v>0</v>
          </cell>
          <cell r="I299" t="str">
            <v>-</v>
          </cell>
          <cell r="J299" t="str">
            <v>670/680</v>
          </cell>
          <cell r="K299" t="str">
            <v xml:space="preserve">CPIII 40 RS </v>
          </cell>
          <cell r="L299" t="str">
            <v>CP V</v>
          </cell>
          <cell r="M299" t="str">
            <v>SUPER PLASTIFICANTE</v>
          </cell>
          <cell r="N299" t="str">
            <v>AIMORÉS - MUROS DE VEDAÇÃO</v>
          </cell>
          <cell r="O299" t="str">
            <v>FORTANKS</v>
          </cell>
          <cell r="P299">
            <v>31</v>
          </cell>
          <cell r="Q299" t="str">
            <v>Gean</v>
          </cell>
          <cell r="R299">
            <v>45141</v>
          </cell>
          <cell r="S299">
            <v>0.43402777777777773</v>
          </cell>
          <cell r="T299">
            <v>0.42402777777777773</v>
          </cell>
          <cell r="U299" t="str">
            <v>X</v>
          </cell>
          <cell r="V299">
            <v>0.33333333333333331</v>
          </cell>
          <cell r="W299">
            <v>27.98</v>
          </cell>
          <cell r="X299">
            <v>24.3</v>
          </cell>
          <cell r="Y299">
            <v>0.41666666666666669</v>
          </cell>
          <cell r="Z299">
            <v>92.8</v>
          </cell>
          <cell r="AA299">
            <v>90.84</v>
          </cell>
          <cell r="AW299">
            <v>3</v>
          </cell>
          <cell r="AX299">
            <v>3</v>
          </cell>
          <cell r="AY299">
            <v>4</v>
          </cell>
          <cell r="AZ299">
            <v>4</v>
          </cell>
          <cell r="BA299" t="str">
            <v>FORTES ENGENHARIA</v>
          </cell>
          <cell r="BB299">
            <v>45142</v>
          </cell>
          <cell r="BG299">
            <v>45141</v>
          </cell>
        </row>
        <row r="300">
          <cell r="A300">
            <v>687</v>
          </cell>
          <cell r="B300">
            <v>307</v>
          </cell>
          <cell r="C300" t="str">
            <v>PN-A503/ PN-A504/ PN-A505/ PN-A506/ PN-A507/ PN-A508/ PN-A509/ PN-A510</v>
          </cell>
          <cell r="D300">
            <v>5</v>
          </cell>
          <cell r="E300">
            <v>40</v>
          </cell>
          <cell r="F300">
            <v>15</v>
          </cell>
          <cell r="G300">
            <v>40</v>
          </cell>
          <cell r="H300">
            <v>0</v>
          </cell>
          <cell r="I300" t="str">
            <v>-</v>
          </cell>
          <cell r="J300" t="str">
            <v>670/670</v>
          </cell>
          <cell r="K300" t="str">
            <v xml:space="preserve">CPIII 40 RS </v>
          </cell>
          <cell r="L300" t="str">
            <v>CP V</v>
          </cell>
          <cell r="M300" t="str">
            <v>SUPER PLASTIFICANTE</v>
          </cell>
          <cell r="N300" t="str">
            <v>AIMORÉS - MUROS DE VEDAÇÃO</v>
          </cell>
          <cell r="O300" t="str">
            <v>FORTANKS</v>
          </cell>
          <cell r="P300">
            <v>31</v>
          </cell>
          <cell r="Q300" t="str">
            <v>Gean</v>
          </cell>
          <cell r="R300">
            <v>45142</v>
          </cell>
          <cell r="S300">
            <v>0.375</v>
          </cell>
          <cell r="T300">
            <v>0.36499999999999999</v>
          </cell>
          <cell r="U300" t="str">
            <v>X</v>
          </cell>
          <cell r="V300">
            <v>0.33333333333333331</v>
          </cell>
          <cell r="W300">
            <v>21.83</v>
          </cell>
          <cell r="X300">
            <v>22.23</v>
          </cell>
          <cell r="Y300">
            <v>0.41666666666666669</v>
          </cell>
          <cell r="Z300">
            <v>92.49</v>
          </cell>
          <cell r="AA300">
            <v>90.51</v>
          </cell>
          <cell r="AW300">
            <v>3</v>
          </cell>
          <cell r="AX300">
            <v>4</v>
          </cell>
          <cell r="AY300">
            <v>3</v>
          </cell>
          <cell r="AZ300">
            <v>3</v>
          </cell>
          <cell r="BA300" t="str">
            <v>FORTES ENGENHARIA</v>
          </cell>
          <cell r="BB300">
            <v>45143</v>
          </cell>
          <cell r="BG300">
            <v>45142</v>
          </cell>
        </row>
        <row r="301">
          <cell r="A301">
            <v>688</v>
          </cell>
          <cell r="B301">
            <v>308</v>
          </cell>
          <cell r="C301" t="str">
            <v>PN-A511/ PN-A512/ PN-A513/ PN-A514/ PN-A515/ PN-A516/ PN-A517</v>
          </cell>
          <cell r="D301">
            <v>4</v>
          </cell>
          <cell r="E301">
            <v>40</v>
          </cell>
          <cell r="F301">
            <v>15</v>
          </cell>
          <cell r="G301">
            <v>40</v>
          </cell>
          <cell r="H301">
            <v>0</v>
          </cell>
          <cell r="I301" t="str">
            <v>-</v>
          </cell>
          <cell r="J301" t="str">
            <v>680/680</v>
          </cell>
          <cell r="K301" t="str">
            <v xml:space="preserve">CPIII 40 RS </v>
          </cell>
          <cell r="L301" t="str">
            <v>CP V</v>
          </cell>
          <cell r="M301" t="str">
            <v>SUPER PLASTIFICANTE</v>
          </cell>
          <cell r="N301" t="str">
            <v>AIMORÉS - MUROS DE VEDAÇÃO</v>
          </cell>
          <cell r="O301" t="str">
            <v>FORTANKS</v>
          </cell>
          <cell r="P301">
            <v>31</v>
          </cell>
          <cell r="Q301" t="str">
            <v>Gean</v>
          </cell>
          <cell r="R301">
            <v>45142</v>
          </cell>
          <cell r="S301">
            <v>0.41666666666666669</v>
          </cell>
          <cell r="T301">
            <v>0.40666666666666668</v>
          </cell>
          <cell r="U301" t="str">
            <v>X</v>
          </cell>
          <cell r="V301">
            <v>0.5</v>
          </cell>
          <cell r="W301">
            <v>15.07</v>
          </cell>
          <cell r="X301">
            <v>16.28</v>
          </cell>
          <cell r="Y301">
            <v>0.41666666666666669</v>
          </cell>
          <cell r="Z301">
            <v>94.73</v>
          </cell>
          <cell r="AA301">
            <v>93.9</v>
          </cell>
          <cell r="AW301">
            <v>4</v>
          </cell>
          <cell r="AX301">
            <v>3</v>
          </cell>
          <cell r="AY301">
            <v>4</v>
          </cell>
          <cell r="AZ301">
            <v>4</v>
          </cell>
          <cell r="BA301" t="str">
            <v>FORTES ENGENHARIA</v>
          </cell>
          <cell r="BB301">
            <v>45143</v>
          </cell>
          <cell r="BG301">
            <v>45142</v>
          </cell>
        </row>
        <row r="302">
          <cell r="A302">
            <v>689</v>
          </cell>
          <cell r="B302">
            <v>309</v>
          </cell>
          <cell r="C302" t="str">
            <v>PN-A518/ PN-A519/ PN-A520/ PN-A521/ PN-A522/ PN-A523/ PN-A524/ PN-A525</v>
          </cell>
          <cell r="D302">
            <v>5</v>
          </cell>
          <cell r="E302">
            <v>40</v>
          </cell>
          <cell r="F302">
            <v>15</v>
          </cell>
          <cell r="G302">
            <v>40</v>
          </cell>
          <cell r="H302">
            <v>0</v>
          </cell>
          <cell r="I302" t="str">
            <v>-</v>
          </cell>
          <cell r="J302" t="str">
            <v>670/660</v>
          </cell>
          <cell r="K302" t="str">
            <v xml:space="preserve">CPIII 40 RS </v>
          </cell>
          <cell r="L302" t="str">
            <v>CP V</v>
          </cell>
          <cell r="M302" t="str">
            <v>SUPER PLASTIFICANTE</v>
          </cell>
          <cell r="N302" t="str">
            <v>AIMORÉS - MUROS DE VEDAÇÃO</v>
          </cell>
          <cell r="O302" t="str">
            <v>FORTANKS</v>
          </cell>
          <cell r="P302">
            <v>31</v>
          </cell>
          <cell r="Q302" t="str">
            <v>Gean</v>
          </cell>
          <cell r="R302">
            <v>45143</v>
          </cell>
          <cell r="S302">
            <v>0.56944444444444442</v>
          </cell>
          <cell r="T302">
            <v>0.55944444444444441</v>
          </cell>
          <cell r="U302" t="str">
            <v>X</v>
          </cell>
          <cell r="V302">
            <v>0.3125</v>
          </cell>
          <cell r="W302">
            <v>41.82</v>
          </cell>
          <cell r="X302">
            <v>41.66</v>
          </cell>
          <cell r="Y302">
            <v>0.41666666666666669</v>
          </cell>
          <cell r="Z302">
            <v>93.42</v>
          </cell>
          <cell r="AA302">
            <v>91.99</v>
          </cell>
          <cell r="AW302">
            <v>3</v>
          </cell>
          <cell r="AX302">
            <v>3</v>
          </cell>
          <cell r="AY302">
            <v>4</v>
          </cell>
          <cell r="AZ302">
            <v>4</v>
          </cell>
          <cell r="BA302" t="str">
            <v>FORTES ENGENHARIA</v>
          </cell>
          <cell r="BB302">
            <v>45144</v>
          </cell>
          <cell r="BG302">
            <v>45143</v>
          </cell>
        </row>
        <row r="303">
          <cell r="A303">
            <v>690</v>
          </cell>
          <cell r="B303">
            <v>310</v>
          </cell>
          <cell r="C303" t="str">
            <v>PN-A526/ PN-A527/ PN-A528/ PN-A529/ PN-A530/ PN-A531/ PN-A532/ PN-A533/ PN-A534/ PN-A535</v>
          </cell>
          <cell r="D303">
            <v>6</v>
          </cell>
          <cell r="E303">
            <v>40</v>
          </cell>
          <cell r="F303">
            <v>15</v>
          </cell>
          <cell r="G303">
            <v>40</v>
          </cell>
          <cell r="H303">
            <v>0</v>
          </cell>
          <cell r="I303" t="str">
            <v>-</v>
          </cell>
          <cell r="J303" t="str">
            <v>650/650</v>
          </cell>
          <cell r="K303" t="str">
            <v xml:space="preserve">CPIII 40 RS </v>
          </cell>
          <cell r="L303" t="str">
            <v>CP V</v>
          </cell>
          <cell r="M303" t="str">
            <v>SUPER PLASTIFICANTE</v>
          </cell>
          <cell r="N303" t="str">
            <v>AIMORÉS - MUROS DE VEDAÇÃO</v>
          </cell>
          <cell r="O303" t="str">
            <v>FORTANKS</v>
          </cell>
          <cell r="P303">
            <v>17</v>
          </cell>
          <cell r="Q303" t="str">
            <v>Gean</v>
          </cell>
          <cell r="R303">
            <v>45145</v>
          </cell>
          <cell r="S303">
            <v>0.57291666666666663</v>
          </cell>
          <cell r="T303">
            <v>0.56291666666666662</v>
          </cell>
          <cell r="U303" t="str">
            <v>X</v>
          </cell>
          <cell r="V303">
            <v>0.3611111111111111</v>
          </cell>
          <cell r="W303">
            <v>13.45</v>
          </cell>
          <cell r="X303">
            <v>15</v>
          </cell>
          <cell r="Y303">
            <v>0.41666666666666669</v>
          </cell>
          <cell r="Z303">
            <v>93.42</v>
          </cell>
          <cell r="AA303">
            <v>93.3</v>
          </cell>
          <cell r="AW303">
            <v>3</v>
          </cell>
          <cell r="AX303">
            <v>4</v>
          </cell>
          <cell r="AY303">
            <v>4</v>
          </cell>
          <cell r="AZ303">
            <v>4</v>
          </cell>
          <cell r="BA303" t="str">
            <v>FORTES ENGENHARIA</v>
          </cell>
          <cell r="BB303">
            <v>45146</v>
          </cell>
          <cell r="BG303">
            <v>45145</v>
          </cell>
        </row>
        <row r="304">
          <cell r="A304">
            <v>691</v>
          </cell>
          <cell r="B304">
            <v>311</v>
          </cell>
          <cell r="C304" t="str">
            <v>PN-A536/ PN-A537/ PN-A538/ PN-A539/ PN-A540/ PN-A541/ PN-A542/ PN-A543</v>
          </cell>
          <cell r="D304">
            <v>5</v>
          </cell>
          <cell r="E304">
            <v>40</v>
          </cell>
          <cell r="F304">
            <v>15</v>
          </cell>
          <cell r="G304">
            <v>40</v>
          </cell>
          <cell r="H304">
            <v>0</v>
          </cell>
          <cell r="I304" t="str">
            <v>-</v>
          </cell>
          <cell r="J304" t="str">
            <v>660/670</v>
          </cell>
          <cell r="K304" t="str">
            <v xml:space="preserve">CPIII 40 RS </v>
          </cell>
          <cell r="L304" t="str">
            <v>CP V</v>
          </cell>
          <cell r="M304" t="str">
            <v>SUPER PLASTIFICANTE</v>
          </cell>
          <cell r="N304" t="str">
            <v>AIMORÉS - MUROS DE VEDAÇÃO</v>
          </cell>
          <cell r="O304" t="str">
            <v>FORTANKS</v>
          </cell>
          <cell r="P304">
            <v>99</v>
          </cell>
          <cell r="Q304" t="str">
            <v>Gean</v>
          </cell>
          <cell r="R304">
            <v>45146</v>
          </cell>
          <cell r="S304">
            <v>0.56944444444444442</v>
          </cell>
          <cell r="T304">
            <v>0.55944444444444441</v>
          </cell>
          <cell r="U304" t="str">
            <v>X</v>
          </cell>
          <cell r="V304">
            <v>0.41666666666666669</v>
          </cell>
          <cell r="W304">
            <v>15.06</v>
          </cell>
          <cell r="X304">
            <v>16.5</v>
          </cell>
          <cell r="Y304">
            <v>0.41666666666666669</v>
          </cell>
          <cell r="Z304">
            <v>93.25</v>
          </cell>
          <cell r="AA304">
            <v>92.94</v>
          </cell>
          <cell r="AW304">
            <v>3</v>
          </cell>
          <cell r="AX304">
            <v>3</v>
          </cell>
          <cell r="AY304">
            <v>3</v>
          </cell>
          <cell r="AZ304">
            <v>3</v>
          </cell>
          <cell r="BA304" t="str">
            <v>FORTES ENGENHARIA</v>
          </cell>
          <cell r="BB304">
            <v>45147</v>
          </cell>
          <cell r="BG304">
            <v>45146</v>
          </cell>
        </row>
        <row r="305">
          <cell r="A305">
            <v>692</v>
          </cell>
          <cell r="B305">
            <v>312</v>
          </cell>
          <cell r="C305" t="str">
            <v>PN-A544// PN-A545/ PN-A546/ PN-A547/ PN-A548/ PN-A549/ PN-A550</v>
          </cell>
          <cell r="D305">
            <v>4</v>
          </cell>
          <cell r="E305">
            <v>40</v>
          </cell>
          <cell r="F305">
            <v>15</v>
          </cell>
          <cell r="G305">
            <v>40</v>
          </cell>
          <cell r="H305">
            <v>0</v>
          </cell>
          <cell r="I305" t="str">
            <v>-</v>
          </cell>
          <cell r="J305" t="str">
            <v>670/670</v>
          </cell>
          <cell r="K305" t="str">
            <v xml:space="preserve">CPIII 40 RS </v>
          </cell>
          <cell r="L305" t="str">
            <v>CP V</v>
          </cell>
          <cell r="M305" t="str">
            <v>SUPER PLASTIFICANTE</v>
          </cell>
          <cell r="N305" t="str">
            <v>AIMORÉS - MUROS DE VEDAÇÃO</v>
          </cell>
          <cell r="O305" t="str">
            <v>FORTANKS</v>
          </cell>
          <cell r="P305">
            <v>99</v>
          </cell>
          <cell r="Q305" t="str">
            <v>Gean</v>
          </cell>
          <cell r="R305">
            <v>45146</v>
          </cell>
          <cell r="S305">
            <v>0.60416666666666663</v>
          </cell>
          <cell r="T305">
            <v>0.59416666666666662</v>
          </cell>
          <cell r="U305" t="str">
            <v>X</v>
          </cell>
          <cell r="V305">
            <v>0.4375</v>
          </cell>
          <cell r="W305">
            <v>14.69</v>
          </cell>
          <cell r="X305">
            <v>16.25</v>
          </cell>
          <cell r="Y305">
            <v>0.41666666666666669</v>
          </cell>
          <cell r="Z305">
            <v>87.64</v>
          </cell>
          <cell r="AA305">
            <v>86.54</v>
          </cell>
          <cell r="AW305">
            <v>3</v>
          </cell>
          <cell r="AX305">
            <v>4</v>
          </cell>
          <cell r="AY305">
            <v>4</v>
          </cell>
          <cell r="AZ305">
            <v>4</v>
          </cell>
          <cell r="BA305" t="str">
            <v>FORTES ENGENHARIA</v>
          </cell>
          <cell r="BB305">
            <v>45147</v>
          </cell>
          <cell r="BG305">
            <v>45146</v>
          </cell>
        </row>
        <row r="306">
          <cell r="A306">
            <v>693</v>
          </cell>
          <cell r="B306">
            <v>313</v>
          </cell>
          <cell r="C306" t="str">
            <v>PN-A551/ PN-A552/ PN-A553/ PN-A554/ PN-A555/ PN-A556</v>
          </cell>
          <cell r="D306">
            <v>4</v>
          </cell>
          <cell r="E306">
            <v>40</v>
          </cell>
          <cell r="F306">
            <v>15</v>
          </cell>
          <cell r="G306">
            <v>40</v>
          </cell>
          <cell r="H306">
            <v>0</v>
          </cell>
          <cell r="I306" t="str">
            <v>-</v>
          </cell>
          <cell r="J306" t="str">
            <v>660/660</v>
          </cell>
          <cell r="K306" t="str">
            <v xml:space="preserve">CPIII 40 RS </v>
          </cell>
          <cell r="L306" t="str">
            <v>CP V</v>
          </cell>
          <cell r="M306" t="str">
            <v>SUPER PLASTIFICANTE</v>
          </cell>
          <cell r="N306" t="str">
            <v>AIMORÉS - MUROS DE VEDAÇÃO</v>
          </cell>
          <cell r="O306" t="str">
            <v>FORTANKS</v>
          </cell>
          <cell r="P306">
            <v>99</v>
          </cell>
          <cell r="Q306" t="str">
            <v>Gean</v>
          </cell>
          <cell r="R306">
            <v>45147</v>
          </cell>
          <cell r="S306">
            <v>0.60069444444444442</v>
          </cell>
          <cell r="T306">
            <v>0.59069444444444441</v>
          </cell>
          <cell r="U306" t="str">
            <v>x</v>
          </cell>
          <cell r="V306">
            <v>0.45833333333333331</v>
          </cell>
          <cell r="W306">
            <v>19.04</v>
          </cell>
          <cell r="X306">
            <v>17.600000000000001</v>
          </cell>
          <cell r="Y306">
            <v>0.41666666666666669</v>
          </cell>
          <cell r="Z306">
            <v>90.84</v>
          </cell>
          <cell r="AA306">
            <v>89.92</v>
          </cell>
          <cell r="AW306">
            <v>3</v>
          </cell>
          <cell r="AX306">
            <v>3</v>
          </cell>
          <cell r="AY306">
            <v>4</v>
          </cell>
          <cell r="AZ306">
            <v>4</v>
          </cell>
          <cell r="BA306" t="str">
            <v>FORTES ENGENHARIA</v>
          </cell>
          <cell r="BB306">
            <v>45148</v>
          </cell>
          <cell r="BG306">
            <v>45147</v>
          </cell>
        </row>
        <row r="307">
          <cell r="A307">
            <v>694</v>
          </cell>
          <cell r="B307">
            <v>314</v>
          </cell>
          <cell r="C307" t="str">
            <v>PN-11(T2) / PN-45(E2)</v>
          </cell>
          <cell r="D307">
            <v>6.5</v>
          </cell>
          <cell r="E307">
            <v>40</v>
          </cell>
          <cell r="F307">
            <v>24</v>
          </cell>
          <cell r="G307">
            <v>40</v>
          </cell>
          <cell r="H307">
            <v>0</v>
          </cell>
          <cell r="I307" t="str">
            <v>-</v>
          </cell>
          <cell r="J307" t="str">
            <v>660/660</v>
          </cell>
          <cell r="K307" t="str">
            <v xml:space="preserve">CPIII 40 RS </v>
          </cell>
          <cell r="L307" t="str">
            <v>CP V</v>
          </cell>
          <cell r="M307" t="str">
            <v>SUPER PLASTIFICANTE</v>
          </cell>
          <cell r="N307" t="str">
            <v>PATIO K - TANQUES RA500TN/ RA501TN/ RA502TN/ RA503TN</v>
          </cell>
          <cell r="O307" t="str">
            <v>FORTANKS</v>
          </cell>
          <cell r="P307">
            <v>99</v>
          </cell>
          <cell r="Q307" t="str">
            <v>Gean</v>
          </cell>
          <cell r="R307">
            <v>45154</v>
          </cell>
          <cell r="S307">
            <v>0.3611111111111111</v>
          </cell>
          <cell r="T307">
            <v>0.3511111111111111</v>
          </cell>
          <cell r="U307" t="str">
            <v>X</v>
          </cell>
          <cell r="V307">
            <v>0.35416666666666669</v>
          </cell>
          <cell r="W307">
            <v>30.34</v>
          </cell>
          <cell r="X307">
            <v>29.69</v>
          </cell>
          <cell r="Y307">
            <v>0.41666666666666669</v>
          </cell>
          <cell r="Z307">
            <v>79.819999999999993</v>
          </cell>
          <cell r="AA307">
            <v>82.36</v>
          </cell>
          <cell r="AW307">
            <v>4</v>
          </cell>
          <cell r="AX307">
            <v>4</v>
          </cell>
          <cell r="AY307">
            <v>3</v>
          </cell>
          <cell r="AZ307">
            <v>4</v>
          </cell>
          <cell r="BA307" t="str">
            <v>VALE</v>
          </cell>
          <cell r="BB307">
            <v>45155</v>
          </cell>
          <cell r="BG307">
            <v>45154</v>
          </cell>
        </row>
        <row r="308">
          <cell r="A308">
            <v>695</v>
          </cell>
          <cell r="B308">
            <v>315</v>
          </cell>
          <cell r="C308" t="str">
            <v>PN-43(T3) / PN-09(E2)</v>
          </cell>
          <cell r="D308">
            <v>6</v>
          </cell>
          <cell r="E308">
            <v>40</v>
          </cell>
          <cell r="F308">
            <v>24</v>
          </cell>
          <cell r="G308">
            <v>40</v>
          </cell>
          <cell r="H308">
            <v>0</v>
          </cell>
          <cell r="I308" t="str">
            <v>-</v>
          </cell>
          <cell r="J308" t="str">
            <v>670/660</v>
          </cell>
          <cell r="K308" t="str">
            <v xml:space="preserve">CPIII 40 RS </v>
          </cell>
          <cell r="L308" t="str">
            <v>CP V</v>
          </cell>
          <cell r="M308" t="str">
            <v>SUPER PLASTIFICANTE</v>
          </cell>
          <cell r="N308" t="str">
            <v>PATIO K - TANQUES RA500TN/ RA501TN/ RA502TN/ RA503TN</v>
          </cell>
          <cell r="O308" t="str">
            <v>FORTANKS</v>
          </cell>
          <cell r="P308">
            <v>99</v>
          </cell>
          <cell r="Q308" t="str">
            <v>Gean</v>
          </cell>
          <cell r="R308">
            <v>45154</v>
          </cell>
          <cell r="S308">
            <v>0.3888888888888889</v>
          </cell>
          <cell r="T308">
            <v>0.37888888888888889</v>
          </cell>
          <cell r="U308" t="str">
            <v>X</v>
          </cell>
          <cell r="V308">
            <v>0.3611111111111111</v>
          </cell>
          <cell r="W308">
            <v>30.66</v>
          </cell>
          <cell r="X308">
            <v>31.19</v>
          </cell>
          <cell r="Y308">
            <v>0.41666666666666669</v>
          </cell>
          <cell r="Z308">
            <v>86.78</v>
          </cell>
          <cell r="AA308">
            <v>87.13</v>
          </cell>
          <cell r="AW308">
            <v>4</v>
          </cell>
          <cell r="AX308">
            <v>3</v>
          </cell>
          <cell r="AY308">
            <v>4</v>
          </cell>
          <cell r="AZ308">
            <v>4</v>
          </cell>
          <cell r="BA308" t="str">
            <v>VALE</v>
          </cell>
          <cell r="BB308">
            <v>45155</v>
          </cell>
          <cell r="BG308">
            <v>45154</v>
          </cell>
        </row>
        <row r="309">
          <cell r="A309">
            <v>696</v>
          </cell>
          <cell r="B309">
            <v>316</v>
          </cell>
          <cell r="C309" t="str">
            <v>PN-46(T4) / PN-49(T4)</v>
          </cell>
          <cell r="D309">
            <v>6</v>
          </cell>
          <cell r="E309">
            <v>40</v>
          </cell>
          <cell r="F309">
            <v>24</v>
          </cell>
          <cell r="G309">
            <v>40</v>
          </cell>
          <cell r="H309">
            <v>0</v>
          </cell>
          <cell r="I309" t="str">
            <v>-</v>
          </cell>
          <cell r="J309" t="str">
            <v>670/670</v>
          </cell>
          <cell r="K309" t="str">
            <v xml:space="preserve">CPIII 40 RS </v>
          </cell>
          <cell r="L309" t="str">
            <v>CP V</v>
          </cell>
          <cell r="M309" t="str">
            <v>SUPER PLASTIFICANTE</v>
          </cell>
          <cell r="N309" t="str">
            <v>PATIO K - TANQUES RA500TN/ RA501TN/ RA502TN/ RA503TN</v>
          </cell>
          <cell r="O309" t="str">
            <v>FORTANKS</v>
          </cell>
          <cell r="P309">
            <v>99</v>
          </cell>
          <cell r="Q309" t="str">
            <v>Gean</v>
          </cell>
          <cell r="R309">
            <v>45154</v>
          </cell>
          <cell r="S309">
            <v>0.36805555555555558</v>
          </cell>
          <cell r="T309">
            <v>0.35805555555555557</v>
          </cell>
          <cell r="U309" t="str">
            <v>X</v>
          </cell>
          <cell r="V309">
            <v>0.36805555555555558</v>
          </cell>
          <cell r="W309">
            <v>31.82</v>
          </cell>
          <cell r="X309">
            <v>32.770000000000003</v>
          </cell>
          <cell r="Y309">
            <v>0.41666666666666669</v>
          </cell>
          <cell r="Z309">
            <v>86.41</v>
          </cell>
          <cell r="AA309">
            <v>85.13</v>
          </cell>
          <cell r="AW309">
            <v>4</v>
          </cell>
          <cell r="AX309">
            <v>5</v>
          </cell>
          <cell r="AY309">
            <v>3</v>
          </cell>
          <cell r="AZ309">
            <v>3</v>
          </cell>
          <cell r="BA309" t="str">
            <v>VALE</v>
          </cell>
          <cell r="BB309">
            <v>45155</v>
          </cell>
          <cell r="BG309">
            <v>45154</v>
          </cell>
        </row>
        <row r="310">
          <cell r="A310">
            <v>697</v>
          </cell>
          <cell r="B310">
            <v>317</v>
          </cell>
          <cell r="C310" t="str">
            <v>PE-34 / PE-21</v>
          </cell>
          <cell r="D310">
            <v>7.5</v>
          </cell>
          <cell r="E310">
            <v>40</v>
          </cell>
          <cell r="F310">
            <v>24</v>
          </cell>
          <cell r="G310">
            <v>40</v>
          </cell>
          <cell r="H310">
            <v>0</v>
          </cell>
          <cell r="I310" t="str">
            <v>-</v>
          </cell>
          <cell r="J310" t="str">
            <v>680/670</v>
          </cell>
          <cell r="K310" t="str">
            <v xml:space="preserve">CPIII 40 RS </v>
          </cell>
          <cell r="L310" t="str">
            <v>CP V</v>
          </cell>
          <cell r="M310" t="str">
            <v>SUPER PLASTIFICANTE</v>
          </cell>
          <cell r="N310" t="str">
            <v>EFLUENTE TRATADO ETE SUL</v>
          </cell>
          <cell r="O310" t="str">
            <v>FORTANKS</v>
          </cell>
          <cell r="P310">
            <v>99</v>
          </cell>
          <cell r="Q310" t="str">
            <v>Gean</v>
          </cell>
          <cell r="R310">
            <v>45154</v>
          </cell>
          <cell r="S310">
            <v>0.66666666666666663</v>
          </cell>
          <cell r="T310">
            <v>0.65666666666666662</v>
          </cell>
          <cell r="U310" t="str">
            <v>X</v>
          </cell>
          <cell r="V310">
            <v>0.375</v>
          </cell>
          <cell r="W310">
            <v>30.61</v>
          </cell>
          <cell r="X310">
            <v>31.54</v>
          </cell>
          <cell r="Y310">
            <v>0.41666666666666669</v>
          </cell>
          <cell r="Z310">
            <v>79.22</v>
          </cell>
          <cell r="AA310">
            <v>80.28</v>
          </cell>
          <cell r="AW310">
            <v>3</v>
          </cell>
          <cell r="AX310">
            <v>4</v>
          </cell>
          <cell r="AY310">
            <v>3</v>
          </cell>
          <cell r="AZ310">
            <v>3</v>
          </cell>
          <cell r="BA310" t="str">
            <v>VALE</v>
          </cell>
          <cell r="BB310">
            <v>45155</v>
          </cell>
          <cell r="BG310">
            <v>45154</v>
          </cell>
        </row>
        <row r="311">
          <cell r="A311">
            <v>698</v>
          </cell>
          <cell r="B311">
            <v>318</v>
          </cell>
          <cell r="C311" t="str">
            <v>PE-06(D1 A D9) / PN-02(T1)</v>
          </cell>
          <cell r="D311">
            <v>6.5</v>
          </cell>
          <cell r="E311">
            <v>40</v>
          </cell>
          <cell r="F311">
            <v>24</v>
          </cell>
          <cell r="G311">
            <v>40</v>
          </cell>
          <cell r="H311">
            <v>0</v>
          </cell>
          <cell r="I311" t="str">
            <v>-</v>
          </cell>
          <cell r="J311" t="str">
            <v>670/670</v>
          </cell>
          <cell r="K311" t="str">
            <v xml:space="preserve">CPIII 40 RS </v>
          </cell>
          <cell r="L311" t="str">
            <v>CP V</v>
          </cell>
          <cell r="M311" t="str">
            <v>SUPER PLASTIFICANTE</v>
          </cell>
          <cell r="N311" t="str">
            <v>PATIO K - TANQUES RA500TN/ RA501TN/ RA502TN/ RA503TN</v>
          </cell>
          <cell r="O311" t="str">
            <v>FORTANKS</v>
          </cell>
          <cell r="P311">
            <v>1</v>
          </cell>
          <cell r="Q311" t="str">
            <v>Gean</v>
          </cell>
          <cell r="R311">
            <v>45206</v>
          </cell>
          <cell r="S311">
            <v>0.41666666666666669</v>
          </cell>
          <cell r="T311">
            <v>0.40666666666666668</v>
          </cell>
          <cell r="U311" t="str">
            <v>X</v>
          </cell>
          <cell r="V311">
            <v>0.30208333333333331</v>
          </cell>
          <cell r="W311">
            <v>52.33</v>
          </cell>
          <cell r="X311">
            <v>56.16</v>
          </cell>
          <cell r="Y311">
            <v>0.41666666666666669</v>
          </cell>
          <cell r="Z311">
            <v>92.05</v>
          </cell>
          <cell r="AA311">
            <v>92.24</v>
          </cell>
          <cell r="AW311">
            <v>4</v>
          </cell>
          <cell r="AX311">
            <v>4</v>
          </cell>
          <cell r="AY311">
            <v>4</v>
          </cell>
          <cell r="AZ311">
            <v>3</v>
          </cell>
          <cell r="BA311" t="str">
            <v>VALE</v>
          </cell>
          <cell r="BB311">
            <v>45207</v>
          </cell>
          <cell r="BG311">
            <v>45206</v>
          </cell>
        </row>
        <row r="312">
          <cell r="A312">
            <v>699</v>
          </cell>
          <cell r="B312">
            <v>319</v>
          </cell>
          <cell r="C312" t="str">
            <v>PN-05(T1) / PN-08(T1)</v>
          </cell>
          <cell r="D312">
            <v>6</v>
          </cell>
          <cell r="E312">
            <v>40</v>
          </cell>
          <cell r="F312">
            <v>24</v>
          </cell>
          <cell r="G312">
            <v>40</v>
          </cell>
          <cell r="H312">
            <v>0</v>
          </cell>
          <cell r="I312" t="str">
            <v>-</v>
          </cell>
          <cell r="J312" t="str">
            <v>660/650</v>
          </cell>
          <cell r="K312" t="str">
            <v xml:space="preserve">CPIII 40 RS </v>
          </cell>
          <cell r="L312" t="str">
            <v>CP V</v>
          </cell>
          <cell r="M312" t="str">
            <v>SUPER PLASTIFICANTE</v>
          </cell>
          <cell r="N312" t="str">
            <v>PATIO K - TANQUES RA500TN/ RA501TN/ RA502TN/ RA503TN</v>
          </cell>
          <cell r="O312" t="str">
            <v>FORTANKS</v>
          </cell>
          <cell r="P312">
            <v>1</v>
          </cell>
          <cell r="Q312" t="str">
            <v>Gean</v>
          </cell>
          <cell r="R312">
            <v>45206</v>
          </cell>
          <cell r="S312">
            <v>0.43055555555555558</v>
          </cell>
          <cell r="T312">
            <v>0.42055555555555557</v>
          </cell>
          <cell r="U312" t="str">
            <v>X</v>
          </cell>
          <cell r="V312">
            <v>0.30555555555555552</v>
          </cell>
          <cell r="W312">
            <v>51.81</v>
          </cell>
          <cell r="X312">
            <v>51.37</v>
          </cell>
          <cell r="Y312">
            <v>0.41666666666666669</v>
          </cell>
          <cell r="Z312">
            <v>88.51</v>
          </cell>
          <cell r="AA312">
            <v>89.56</v>
          </cell>
          <cell r="AW312">
            <v>1</v>
          </cell>
          <cell r="AX312">
            <v>4</v>
          </cell>
          <cell r="AY312">
            <v>4</v>
          </cell>
          <cell r="AZ312">
            <v>4</v>
          </cell>
          <cell r="BA312" t="str">
            <v>VALE</v>
          </cell>
          <cell r="BB312">
            <v>45207</v>
          </cell>
          <cell r="BG312">
            <v>45206</v>
          </cell>
        </row>
        <row r="313">
          <cell r="A313">
            <v>700</v>
          </cell>
          <cell r="B313">
            <v>320</v>
          </cell>
          <cell r="C313" t="str">
            <v>PN-01(E1)/ PN-03(E1)</v>
          </cell>
          <cell r="D313">
            <v>6</v>
          </cell>
          <cell r="E313">
            <v>40</v>
          </cell>
          <cell r="F313">
            <v>24</v>
          </cell>
          <cell r="G313">
            <v>40</v>
          </cell>
          <cell r="H313">
            <v>0</v>
          </cell>
          <cell r="I313" t="str">
            <v>-</v>
          </cell>
          <cell r="J313" t="str">
            <v>660/670</v>
          </cell>
          <cell r="K313" t="str">
            <v xml:space="preserve">CPIII 40 RS </v>
          </cell>
          <cell r="L313" t="str">
            <v>CP V</v>
          </cell>
          <cell r="M313" t="str">
            <v>SUPER PLASTIFICANTE</v>
          </cell>
          <cell r="N313" t="str">
            <v>PATIO K - TANQUES RA500TN/ RA501TN/ RA502TN/ RA503TN</v>
          </cell>
          <cell r="O313" t="str">
            <v>FORTANKS</v>
          </cell>
          <cell r="P313">
            <v>31</v>
          </cell>
          <cell r="Q313" t="str">
            <v>Gean</v>
          </cell>
          <cell r="R313">
            <v>45206</v>
          </cell>
          <cell r="S313">
            <v>0.47222222222222227</v>
          </cell>
          <cell r="T313">
            <v>0.46222222222222226</v>
          </cell>
          <cell r="U313" t="str">
            <v>X</v>
          </cell>
          <cell r="V313">
            <v>0.3125</v>
          </cell>
          <cell r="W313">
            <v>53.2</v>
          </cell>
          <cell r="X313">
            <v>54.9</v>
          </cell>
          <cell r="Y313">
            <v>0.41666666666666669</v>
          </cell>
          <cell r="Z313">
            <v>90.17</v>
          </cell>
          <cell r="AA313">
            <v>88.61</v>
          </cell>
          <cell r="AW313">
            <v>4</v>
          </cell>
          <cell r="AX313">
            <v>4</v>
          </cell>
          <cell r="AY313">
            <v>4</v>
          </cell>
          <cell r="AZ313">
            <v>4</v>
          </cell>
          <cell r="BA313" t="str">
            <v>VALE</v>
          </cell>
          <cell r="BB313">
            <v>45207</v>
          </cell>
          <cell r="BG313">
            <v>45206</v>
          </cell>
        </row>
        <row r="314">
          <cell r="A314">
            <v>701</v>
          </cell>
          <cell r="B314">
            <v>321</v>
          </cell>
          <cell r="C314" t="str">
            <v>PN-04(E1) / PN-07(E1) / PN-12(E1)</v>
          </cell>
          <cell r="D314">
            <v>8</v>
          </cell>
          <cell r="E314">
            <v>40</v>
          </cell>
          <cell r="F314">
            <v>24</v>
          </cell>
          <cell r="G314">
            <v>40</v>
          </cell>
          <cell r="H314">
            <v>0</v>
          </cell>
          <cell r="I314" t="str">
            <v>-</v>
          </cell>
          <cell r="J314" t="str">
            <v>650/650</v>
          </cell>
          <cell r="K314" t="str">
            <v xml:space="preserve">CPIII 40 RS </v>
          </cell>
          <cell r="L314" t="str">
            <v>CP V</v>
          </cell>
          <cell r="M314" t="str">
            <v>SUPER PLASTIFICANTE</v>
          </cell>
          <cell r="N314" t="str">
            <v>PATIO K - TANQUES RA500TN/ RA501TN/ RA502TN/ RA503TN</v>
          </cell>
          <cell r="O314" t="str">
            <v>FORTANKS</v>
          </cell>
          <cell r="P314">
            <v>1</v>
          </cell>
          <cell r="Q314" t="str">
            <v>Gean</v>
          </cell>
          <cell r="R314">
            <v>45206</v>
          </cell>
          <cell r="S314">
            <v>0.47916666666666669</v>
          </cell>
          <cell r="T314">
            <v>0.46916666666666668</v>
          </cell>
          <cell r="U314" t="str">
            <v>X</v>
          </cell>
          <cell r="V314">
            <v>0.31597222222222221</v>
          </cell>
          <cell r="W314">
            <v>51.3</v>
          </cell>
          <cell r="X314">
            <v>53.12</v>
          </cell>
          <cell r="Y314">
            <v>0.41666666666666669</v>
          </cell>
          <cell r="Z314">
            <v>87.65</v>
          </cell>
          <cell r="AA314">
            <v>89.44</v>
          </cell>
          <cell r="AW314">
            <v>4</v>
          </cell>
          <cell r="AX314">
            <v>3</v>
          </cell>
          <cell r="AY314">
            <v>3</v>
          </cell>
          <cell r="AZ314">
            <v>3</v>
          </cell>
          <cell r="BA314" t="str">
            <v>VALE</v>
          </cell>
          <cell r="BB314">
            <v>45207</v>
          </cell>
          <cell r="BG314">
            <v>45206</v>
          </cell>
        </row>
        <row r="315">
          <cell r="A315">
            <v>702</v>
          </cell>
          <cell r="B315">
            <v>322</v>
          </cell>
          <cell r="C315" t="str">
            <v>PE-142(D1 A D9) / PN-138(T1)</v>
          </cell>
          <cell r="D315">
            <v>6</v>
          </cell>
          <cell r="E315">
            <v>40</v>
          </cell>
          <cell r="F315">
            <v>24</v>
          </cell>
          <cell r="G315">
            <v>40</v>
          </cell>
          <cell r="H315">
            <v>0</v>
          </cell>
          <cell r="I315" t="str">
            <v>-</v>
          </cell>
          <cell r="J315" t="str">
            <v>670/670</v>
          </cell>
          <cell r="K315" t="str">
            <v xml:space="preserve">CPIII 40 RS </v>
          </cell>
          <cell r="L315" t="str">
            <v>CP V</v>
          </cell>
          <cell r="M315" t="str">
            <v>SUPER PLASTIFICANTE</v>
          </cell>
          <cell r="N315" t="str">
            <v>PATIO K - TANQUES RA500TN/ RA501TN/ RA502TN/ RA503TN</v>
          </cell>
          <cell r="O315" t="str">
            <v>FORTANKS</v>
          </cell>
          <cell r="P315">
            <v>1</v>
          </cell>
          <cell r="Q315" t="str">
            <v>Gean</v>
          </cell>
          <cell r="R315">
            <v>45208</v>
          </cell>
          <cell r="S315">
            <v>0.33333333333333331</v>
          </cell>
          <cell r="T315">
            <v>0.32333333333333331</v>
          </cell>
          <cell r="U315" t="str">
            <v>X</v>
          </cell>
          <cell r="V315">
            <v>0.41666666666666669</v>
          </cell>
          <cell r="W315">
            <v>26.66</v>
          </cell>
          <cell r="X315">
            <v>28.41</v>
          </cell>
          <cell r="Y315">
            <v>0.41666666666666669</v>
          </cell>
          <cell r="Z315">
            <v>88.42</v>
          </cell>
          <cell r="AA315">
            <v>88.58</v>
          </cell>
          <cell r="AW315">
            <v>4</v>
          </cell>
          <cell r="AX315">
            <v>3</v>
          </cell>
          <cell r="AY315">
            <v>4</v>
          </cell>
          <cell r="AZ315">
            <v>4</v>
          </cell>
          <cell r="BA315" t="str">
            <v>VALE</v>
          </cell>
          <cell r="BB315">
            <v>45209</v>
          </cell>
          <cell r="BG315">
            <v>45208</v>
          </cell>
        </row>
        <row r="316">
          <cell r="A316">
            <v>703</v>
          </cell>
          <cell r="B316">
            <v>323</v>
          </cell>
          <cell r="C316" t="str">
            <v>PN-141(T1) / PN-144(T1)</v>
          </cell>
          <cell r="D316">
            <v>6</v>
          </cell>
          <cell r="E316">
            <v>40</v>
          </cell>
          <cell r="F316">
            <v>24</v>
          </cell>
          <cell r="G316">
            <v>40</v>
          </cell>
          <cell r="H316">
            <v>0</v>
          </cell>
          <cell r="I316" t="str">
            <v>-</v>
          </cell>
          <cell r="J316" t="str">
            <v>670/680</v>
          </cell>
          <cell r="K316" t="str">
            <v xml:space="preserve">CPIII 40 RS </v>
          </cell>
          <cell r="L316" t="str">
            <v>CP V</v>
          </cell>
          <cell r="M316" t="str">
            <v>SUPER PLASTIFICANTE</v>
          </cell>
          <cell r="N316" t="str">
            <v>PATIO K - TANQUES RA500TN/ RA501TN/ RA502TN/ RA503TN</v>
          </cell>
          <cell r="O316" t="str">
            <v>FORTANKS</v>
          </cell>
          <cell r="P316">
            <v>2</v>
          </cell>
          <cell r="Q316" t="str">
            <v>Gean</v>
          </cell>
          <cell r="R316">
            <v>45208</v>
          </cell>
          <cell r="S316">
            <v>0.35416666666666669</v>
          </cell>
          <cell r="T316">
            <v>0.34416666666666668</v>
          </cell>
          <cell r="U316" t="str">
            <v>X</v>
          </cell>
          <cell r="V316">
            <v>0.41666666666666669</v>
          </cell>
          <cell r="W316">
            <v>31.25</v>
          </cell>
          <cell r="X316">
            <v>31.14</v>
          </cell>
          <cell r="Y316">
            <v>0.41666666666666669</v>
          </cell>
          <cell r="Z316">
            <v>87.54</v>
          </cell>
          <cell r="AA316">
            <v>85.79</v>
          </cell>
          <cell r="AW316">
            <v>4</v>
          </cell>
          <cell r="AX316">
            <v>4</v>
          </cell>
          <cell r="AY316">
            <v>4</v>
          </cell>
          <cell r="AZ316">
            <v>4</v>
          </cell>
          <cell r="BA316" t="str">
            <v>VALE</v>
          </cell>
          <cell r="BB316">
            <v>45209</v>
          </cell>
          <cell r="BG316">
            <v>45208</v>
          </cell>
        </row>
        <row r="317">
          <cell r="A317">
            <v>704</v>
          </cell>
          <cell r="B317">
            <v>324</v>
          </cell>
          <cell r="C317" t="str">
            <v>PN-150(T1) / PN-137(E1) / PN-139(E1) 20%</v>
          </cell>
          <cell r="D317">
            <v>6.5</v>
          </cell>
          <cell r="E317">
            <v>40</v>
          </cell>
          <cell r="F317">
            <v>24</v>
          </cell>
          <cell r="G317">
            <v>40</v>
          </cell>
          <cell r="H317">
            <v>0</v>
          </cell>
          <cell r="I317" t="str">
            <v>-</v>
          </cell>
          <cell r="J317" t="str">
            <v>670/660</v>
          </cell>
          <cell r="K317" t="str">
            <v xml:space="preserve">CPIII 40 RS </v>
          </cell>
          <cell r="L317" t="str">
            <v>CP V</v>
          </cell>
          <cell r="M317" t="str">
            <v>SUPER PLASTIFICANTE</v>
          </cell>
          <cell r="N317" t="str">
            <v>PATIO K - TANQUES RA500TN/ RA501TN/ RA502TN/ RA503TN</v>
          </cell>
          <cell r="O317" t="str">
            <v>FORTANKS</v>
          </cell>
          <cell r="P317">
            <v>1</v>
          </cell>
          <cell r="Q317" t="str">
            <v>Gean</v>
          </cell>
          <cell r="R317">
            <v>45208</v>
          </cell>
          <cell r="S317">
            <v>0.375</v>
          </cell>
          <cell r="T317">
            <v>0.36499999999999999</v>
          </cell>
          <cell r="U317" t="str">
            <v>X</v>
          </cell>
          <cell r="V317">
            <v>0.41666666666666669</v>
          </cell>
          <cell r="W317">
            <v>33.020000000000003</v>
          </cell>
          <cell r="X317">
            <v>33.1</v>
          </cell>
          <cell r="Y317">
            <v>0.41666666666666669</v>
          </cell>
          <cell r="Z317">
            <v>86.92</v>
          </cell>
          <cell r="AA317">
            <v>88.46</v>
          </cell>
          <cell r="AW317">
            <v>4</v>
          </cell>
          <cell r="AX317">
            <v>3</v>
          </cell>
          <cell r="AY317">
            <v>4</v>
          </cell>
          <cell r="AZ317">
            <v>4</v>
          </cell>
          <cell r="BA317" t="str">
            <v>VALE</v>
          </cell>
          <cell r="BB317">
            <v>45209</v>
          </cell>
          <cell r="BG317">
            <v>45208</v>
          </cell>
        </row>
        <row r="318">
          <cell r="A318">
            <v>705</v>
          </cell>
          <cell r="B318">
            <v>325</v>
          </cell>
          <cell r="C318" t="str">
            <v>PN-139(E1) 80% /  PN-140(E1) / PN-143(E1)</v>
          </cell>
          <cell r="D318">
            <v>8</v>
          </cell>
          <cell r="E318">
            <v>40</v>
          </cell>
          <cell r="F318">
            <v>24</v>
          </cell>
          <cell r="G318">
            <v>40</v>
          </cell>
          <cell r="H318">
            <v>0</v>
          </cell>
          <cell r="I318" t="str">
            <v>-</v>
          </cell>
          <cell r="J318" t="str">
            <v>700/680</v>
          </cell>
          <cell r="K318" t="str">
            <v xml:space="preserve">CPIII 40 RS </v>
          </cell>
          <cell r="L318" t="str">
            <v>CP V</v>
          </cell>
          <cell r="M318" t="str">
            <v>SUPER PLASTIFICANTE</v>
          </cell>
          <cell r="N318" t="str">
            <v>PATIO K - TANQUES RA500TN/ RA501TN/ RA502TN/ RA503TN</v>
          </cell>
          <cell r="O318" t="str">
            <v>FORTANKS</v>
          </cell>
          <cell r="P318">
            <v>2</v>
          </cell>
          <cell r="Q318" t="str">
            <v>Gean</v>
          </cell>
          <cell r="R318">
            <v>45208</v>
          </cell>
          <cell r="S318">
            <v>0.41666666666666669</v>
          </cell>
          <cell r="T318">
            <v>0.40666666666666668</v>
          </cell>
          <cell r="U318" t="str">
            <v>X</v>
          </cell>
          <cell r="V318">
            <v>0.43055555555555558</v>
          </cell>
          <cell r="W318">
            <v>24.39</v>
          </cell>
          <cell r="X318">
            <v>26.36</v>
          </cell>
          <cell r="Y318">
            <v>0.41666666666666669</v>
          </cell>
          <cell r="Z318">
            <v>89.67</v>
          </cell>
          <cell r="AA318">
            <v>92.83</v>
          </cell>
          <cell r="AW318">
            <v>4</v>
          </cell>
          <cell r="AX318">
            <v>4</v>
          </cell>
          <cell r="AY318">
            <v>4</v>
          </cell>
          <cell r="AZ318">
            <v>4</v>
          </cell>
          <cell r="BA318" t="str">
            <v>VALE</v>
          </cell>
          <cell r="BB318">
            <v>45209</v>
          </cell>
          <cell r="BG318">
            <v>45208</v>
          </cell>
        </row>
        <row r="319">
          <cell r="A319">
            <v>706</v>
          </cell>
          <cell r="B319">
            <v>326</v>
          </cell>
          <cell r="C319" t="str">
            <v>PN-20(E1) / PN-23(E1)</v>
          </cell>
          <cell r="D319">
            <v>6</v>
          </cell>
          <cell r="E319">
            <v>40</v>
          </cell>
          <cell r="F319">
            <v>24</v>
          </cell>
          <cell r="G319">
            <v>40</v>
          </cell>
          <cell r="H319">
            <v>0</v>
          </cell>
          <cell r="I319" t="str">
            <v>-</v>
          </cell>
          <cell r="J319" t="str">
            <v>660/660</v>
          </cell>
          <cell r="K319" t="str">
            <v xml:space="preserve">CPIII 40 RS </v>
          </cell>
          <cell r="L319" t="str">
            <v>CP V</v>
          </cell>
          <cell r="M319" t="str">
            <v>SUPER PLASTIFICANTE</v>
          </cell>
          <cell r="N319" t="str">
            <v>PATIO K - TANQUES RA500TN/ RA501TN/ RA502TN/ RA503TN</v>
          </cell>
          <cell r="O319" t="str">
            <v>FORTANKS</v>
          </cell>
          <cell r="P319">
            <v>1</v>
          </cell>
          <cell r="Q319" t="str">
            <v>Gean</v>
          </cell>
          <cell r="R319">
            <v>45209</v>
          </cell>
          <cell r="S319">
            <v>0.54166666666666663</v>
          </cell>
          <cell r="T319">
            <v>0.53166666666666662</v>
          </cell>
          <cell r="U319" t="str">
            <v>X</v>
          </cell>
          <cell r="V319">
            <v>0.40625</v>
          </cell>
          <cell r="W319">
            <v>28.71</v>
          </cell>
          <cell r="X319">
            <v>26.15</v>
          </cell>
          <cell r="Y319">
            <v>0.41666666666666669</v>
          </cell>
          <cell r="Z319">
            <v>91.67</v>
          </cell>
          <cell r="AA319">
            <v>93.26</v>
          </cell>
          <cell r="AW319">
            <v>4</v>
          </cell>
          <cell r="AX319">
            <v>3</v>
          </cell>
          <cell r="AY319">
            <v>4</v>
          </cell>
          <cell r="AZ319">
            <v>4</v>
          </cell>
          <cell r="BA319" t="str">
            <v>VALE</v>
          </cell>
          <cell r="BB319">
            <v>45210</v>
          </cell>
          <cell r="BG319">
            <v>45209</v>
          </cell>
        </row>
        <row r="320">
          <cell r="A320">
            <v>707</v>
          </cell>
          <cell r="B320">
            <v>327</v>
          </cell>
          <cell r="C320" t="str">
            <v>PN-17(E1) / PN-18(E1)</v>
          </cell>
          <cell r="D320">
            <v>6</v>
          </cell>
          <cell r="E320">
            <v>40</v>
          </cell>
          <cell r="F320">
            <v>24</v>
          </cell>
          <cell r="G320">
            <v>40</v>
          </cell>
          <cell r="H320">
            <v>0</v>
          </cell>
          <cell r="I320" t="str">
            <v>-</v>
          </cell>
          <cell r="J320" t="str">
            <v>670/650</v>
          </cell>
          <cell r="K320" t="str">
            <v xml:space="preserve">CPIII 40 RS </v>
          </cell>
          <cell r="L320" t="str">
            <v>CP V</v>
          </cell>
          <cell r="M320" t="str">
            <v>SUPER PLASTIFICANTE</v>
          </cell>
          <cell r="N320" t="str">
            <v>PATIO K - TANQUES RA500TN/ RA501TN/ RA502TN/ RA503TN</v>
          </cell>
          <cell r="O320" t="str">
            <v>FORTANKS</v>
          </cell>
          <cell r="P320">
            <v>2</v>
          </cell>
          <cell r="Q320" t="str">
            <v>Gean</v>
          </cell>
          <cell r="R320">
            <v>45209</v>
          </cell>
          <cell r="S320">
            <v>0.55555555555555558</v>
          </cell>
          <cell r="T320">
            <v>0.54555555555555557</v>
          </cell>
          <cell r="U320" t="str">
            <v>X</v>
          </cell>
          <cell r="V320">
            <v>0.40972222222222227</v>
          </cell>
          <cell r="W320">
            <v>37.590000000000003</v>
          </cell>
          <cell r="X320">
            <v>36.590000000000003</v>
          </cell>
          <cell r="Y320">
            <v>0.41666666666666669</v>
          </cell>
          <cell r="Z320">
            <v>92.76</v>
          </cell>
          <cell r="AA320">
            <v>94.09</v>
          </cell>
          <cell r="AW320">
            <v>4</v>
          </cell>
          <cell r="AX320">
            <v>4</v>
          </cell>
          <cell r="AY320">
            <v>4</v>
          </cell>
          <cell r="AZ320">
            <v>4</v>
          </cell>
          <cell r="BA320" t="str">
            <v>VALE</v>
          </cell>
          <cell r="BB320">
            <v>45210</v>
          </cell>
          <cell r="BG320">
            <v>45209</v>
          </cell>
        </row>
        <row r="321">
          <cell r="A321">
            <v>708</v>
          </cell>
          <cell r="B321">
            <v>328</v>
          </cell>
          <cell r="C321" t="str">
            <v>PN-16(T1) 30% / PN-19(T1) / PN-15(E1)</v>
          </cell>
          <cell r="D321">
            <v>6</v>
          </cell>
          <cell r="E321">
            <v>40</v>
          </cell>
          <cell r="F321">
            <v>24</v>
          </cell>
          <cell r="G321">
            <v>40</v>
          </cell>
          <cell r="H321">
            <v>0</v>
          </cell>
          <cell r="I321" t="str">
            <v>-</v>
          </cell>
          <cell r="J321" t="str">
            <v>650/650</v>
          </cell>
          <cell r="K321" t="str">
            <v xml:space="preserve">CPIII 40 RS </v>
          </cell>
          <cell r="L321" t="str">
            <v>CP V</v>
          </cell>
          <cell r="M321" t="str">
            <v>SUPER PLASTIFICANTE</v>
          </cell>
          <cell r="N321" t="str">
            <v>PATIO K - TANQUES RA500TN/ RA501TN/ RA502TN/ RA503TN</v>
          </cell>
          <cell r="O321" t="str">
            <v>FORTANKS</v>
          </cell>
          <cell r="P321">
            <v>1</v>
          </cell>
          <cell r="Q321" t="str">
            <v>Gean</v>
          </cell>
          <cell r="R321">
            <v>45209</v>
          </cell>
          <cell r="S321">
            <v>0.58333333333333337</v>
          </cell>
          <cell r="T321">
            <v>0.57333333333333336</v>
          </cell>
          <cell r="U321" t="str">
            <v>X</v>
          </cell>
          <cell r="V321">
            <v>0.41319444444444442</v>
          </cell>
          <cell r="W321">
            <v>30.85</v>
          </cell>
          <cell r="X321">
            <v>29.78</v>
          </cell>
          <cell r="Y321">
            <v>0.41666666666666669</v>
          </cell>
          <cell r="Z321">
            <v>92.29</v>
          </cell>
          <cell r="AA321">
            <v>93.27</v>
          </cell>
          <cell r="AW321">
            <v>3</v>
          </cell>
          <cell r="AX321">
            <v>4</v>
          </cell>
          <cell r="AY321">
            <v>4</v>
          </cell>
          <cell r="AZ321">
            <v>4</v>
          </cell>
          <cell r="BA321" t="str">
            <v>VALE</v>
          </cell>
          <cell r="BB321">
            <v>45210</v>
          </cell>
          <cell r="BG321">
            <v>45209</v>
          </cell>
        </row>
        <row r="322">
          <cell r="A322">
            <v>709</v>
          </cell>
          <cell r="B322">
            <v>329</v>
          </cell>
          <cell r="C322" t="str">
            <v>PE-13(D1 A D9)/ PN-14(T1) / PN-16(T1) 60%</v>
          </cell>
          <cell r="D322">
            <v>8</v>
          </cell>
          <cell r="E322">
            <v>40</v>
          </cell>
          <cell r="F322">
            <v>24</v>
          </cell>
          <cell r="G322">
            <v>40</v>
          </cell>
          <cell r="H322">
            <v>0</v>
          </cell>
          <cell r="I322" t="str">
            <v>-</v>
          </cell>
          <cell r="J322" t="str">
            <v>650/680</v>
          </cell>
          <cell r="K322" t="str">
            <v xml:space="preserve">CPIII 40 RS </v>
          </cell>
          <cell r="L322" t="str">
            <v>CP V</v>
          </cell>
          <cell r="M322" t="str">
            <v>SUPER PLASTIFICANTE</v>
          </cell>
          <cell r="N322" t="str">
            <v>PATIO K - TANQUES RA500TN/ RA501TN/ RA502TN/ RA503TN</v>
          </cell>
          <cell r="O322" t="str">
            <v>FORTANKS</v>
          </cell>
          <cell r="P322">
            <v>1</v>
          </cell>
          <cell r="Q322" t="str">
            <v>Gean</v>
          </cell>
          <cell r="R322">
            <v>45209</v>
          </cell>
          <cell r="S322">
            <v>0.60416666666666663</v>
          </cell>
          <cell r="T322">
            <v>0.59416666666666662</v>
          </cell>
          <cell r="U322" t="str">
            <v>X</v>
          </cell>
          <cell r="V322">
            <v>0.41666666666666669</v>
          </cell>
          <cell r="W322">
            <v>24.22</v>
          </cell>
          <cell r="X322">
            <v>25.72</v>
          </cell>
          <cell r="Y322">
            <v>0.41666666666666669</v>
          </cell>
          <cell r="Z322">
            <v>92.19</v>
          </cell>
          <cell r="AA322">
            <v>90.57</v>
          </cell>
          <cell r="AW322">
            <v>4</v>
          </cell>
          <cell r="AX322">
            <v>4</v>
          </cell>
          <cell r="AY322">
            <v>4</v>
          </cell>
          <cell r="AZ322">
            <v>4</v>
          </cell>
          <cell r="BA322" t="str">
            <v>VALE</v>
          </cell>
          <cell r="BB322">
            <v>45210</v>
          </cell>
          <cell r="BG322">
            <v>45209</v>
          </cell>
        </row>
        <row r="323">
          <cell r="A323">
            <v>710</v>
          </cell>
          <cell r="B323">
            <v>330</v>
          </cell>
          <cell r="C323" t="str">
            <v>PN-153(E1) / PN-154(E1)</v>
          </cell>
          <cell r="D323">
            <v>6</v>
          </cell>
          <cell r="E323">
            <v>40</v>
          </cell>
          <cell r="F323">
            <v>24</v>
          </cell>
          <cell r="G323">
            <v>40</v>
          </cell>
          <cell r="H323">
            <v>0</v>
          </cell>
          <cell r="I323" t="str">
            <v>-</v>
          </cell>
          <cell r="J323" t="str">
            <v>650/650</v>
          </cell>
          <cell r="K323" t="str">
            <v xml:space="preserve">CPIII 40 RS </v>
          </cell>
          <cell r="L323" t="str">
            <v>CP V</v>
          </cell>
          <cell r="M323" t="str">
            <v>SUPER PLASTIFICANTE</v>
          </cell>
          <cell r="N323" t="str">
            <v>PATIO K - TANQUES RA500TN/ RA501TN/ RA502TN/ RA503TN</v>
          </cell>
          <cell r="O323" t="str">
            <v>FORTANKS</v>
          </cell>
          <cell r="P323">
            <v>1</v>
          </cell>
          <cell r="Q323" t="str">
            <v>Gean</v>
          </cell>
          <cell r="R323">
            <v>45212</v>
          </cell>
          <cell r="S323">
            <v>0.36805555555555558</v>
          </cell>
          <cell r="T323">
            <v>0.35805555555555557</v>
          </cell>
          <cell r="U323" t="str">
            <v>X</v>
          </cell>
          <cell r="V323">
            <v>0.54166666666666663</v>
          </cell>
          <cell r="W323">
            <v>44.85</v>
          </cell>
          <cell r="X323">
            <v>45</v>
          </cell>
          <cell r="Y323">
            <v>0.41666666666666669</v>
          </cell>
          <cell r="Z323">
            <v>90.1</v>
          </cell>
          <cell r="AA323">
            <v>87.51</v>
          </cell>
          <cell r="AW323">
            <v>4</v>
          </cell>
          <cell r="AX323">
            <v>3</v>
          </cell>
          <cell r="AY323">
            <v>4</v>
          </cell>
          <cell r="AZ323">
            <v>4</v>
          </cell>
          <cell r="BA323" t="str">
            <v>VALE</v>
          </cell>
          <cell r="BB323">
            <v>45213</v>
          </cell>
          <cell r="BG323">
            <v>45212</v>
          </cell>
        </row>
        <row r="324">
          <cell r="A324">
            <v>711</v>
          </cell>
          <cell r="B324">
            <v>331</v>
          </cell>
          <cell r="C324" t="str">
            <v>PN-148(E1) / PN-151(E1)</v>
          </cell>
          <cell r="D324">
            <v>6</v>
          </cell>
          <cell r="E324">
            <v>40</v>
          </cell>
          <cell r="F324">
            <v>24</v>
          </cell>
          <cell r="G324">
            <v>40</v>
          </cell>
          <cell r="H324">
            <v>0</v>
          </cell>
          <cell r="I324" t="str">
            <v>-</v>
          </cell>
          <cell r="J324" t="str">
            <v>660/660</v>
          </cell>
          <cell r="K324" t="str">
            <v xml:space="preserve">CPIII 40 RS </v>
          </cell>
          <cell r="L324" t="str">
            <v>CP V</v>
          </cell>
          <cell r="M324" t="str">
            <v>SUPER PLASTIFICANTE</v>
          </cell>
          <cell r="N324" t="str">
            <v>PATIO K - TANQUES RA500TN/ RA501TN/ RA502TN/ RA503TN</v>
          </cell>
          <cell r="O324" t="str">
            <v>FORTANKS</v>
          </cell>
          <cell r="P324">
            <v>2</v>
          </cell>
          <cell r="Q324" t="str">
            <v>Gean</v>
          </cell>
          <cell r="R324">
            <v>45212</v>
          </cell>
          <cell r="S324">
            <v>0.375</v>
          </cell>
          <cell r="T324">
            <v>0.36499999999999999</v>
          </cell>
          <cell r="U324" t="str">
            <v>X</v>
          </cell>
          <cell r="V324">
            <v>0.54166666666666663</v>
          </cell>
          <cell r="W324">
            <v>47.33</v>
          </cell>
          <cell r="X324">
            <v>47.47</v>
          </cell>
          <cell r="Y324">
            <v>0.41666666666666669</v>
          </cell>
          <cell r="Z324">
            <v>90.76</v>
          </cell>
          <cell r="AA324">
            <v>91.4</v>
          </cell>
          <cell r="AW324">
            <v>4</v>
          </cell>
          <cell r="AX324">
            <v>4</v>
          </cell>
          <cell r="AY324">
            <v>4</v>
          </cell>
          <cell r="AZ324">
            <v>4</v>
          </cell>
          <cell r="BA324" t="str">
            <v>VALE</v>
          </cell>
          <cell r="BB324">
            <v>45213</v>
          </cell>
          <cell r="BG324">
            <v>45212</v>
          </cell>
        </row>
        <row r="325">
          <cell r="A325">
            <v>712</v>
          </cell>
          <cell r="B325">
            <v>332</v>
          </cell>
          <cell r="C325" t="str">
            <v>PN-155(T1) 50% / PN-158(T1) / PN-161(T1)</v>
          </cell>
          <cell r="D325">
            <v>7</v>
          </cell>
          <cell r="E325">
            <v>40</v>
          </cell>
          <cell r="F325">
            <v>24</v>
          </cell>
          <cell r="G325">
            <v>40</v>
          </cell>
          <cell r="H325">
            <v>0</v>
          </cell>
          <cell r="I325" t="str">
            <v>-</v>
          </cell>
          <cell r="J325" t="str">
            <v>660/650</v>
          </cell>
          <cell r="K325" t="str">
            <v xml:space="preserve">CPIII 40 RS </v>
          </cell>
          <cell r="L325" t="str">
            <v>CP V</v>
          </cell>
          <cell r="M325" t="str">
            <v>SUPER PLASTIFICANTE</v>
          </cell>
          <cell r="N325" t="str">
            <v>PATIO K - TANQUES RA500TN/ RA501TN/ RA502TN/ RA503TN</v>
          </cell>
          <cell r="O325" t="str">
            <v>FORTANKS</v>
          </cell>
          <cell r="P325" t="str">
            <v>01</v>
          </cell>
          <cell r="Q325" t="str">
            <v>Gean</v>
          </cell>
          <cell r="R325">
            <v>45212</v>
          </cell>
          <cell r="S325">
            <v>0.4375</v>
          </cell>
          <cell r="T325">
            <v>0.42749999999999999</v>
          </cell>
          <cell r="U325" t="str">
            <v>X</v>
          </cell>
          <cell r="V325">
            <v>0.54166666666666663</v>
          </cell>
          <cell r="W325">
            <v>46.94</v>
          </cell>
          <cell r="X325">
            <v>47.93</v>
          </cell>
          <cell r="Y325">
            <v>0.41666666666666669</v>
          </cell>
          <cell r="Z325">
            <v>90.4</v>
          </cell>
          <cell r="AA325">
            <v>89.61</v>
          </cell>
          <cell r="AW325">
            <v>4</v>
          </cell>
          <cell r="AX325">
            <v>3</v>
          </cell>
          <cell r="AY325">
            <v>4</v>
          </cell>
          <cell r="AZ325">
            <v>4</v>
          </cell>
          <cell r="BA325" t="str">
            <v>VALE</v>
          </cell>
          <cell r="BB325">
            <v>45213</v>
          </cell>
          <cell r="BG325">
            <v>45212</v>
          </cell>
        </row>
        <row r="326">
          <cell r="A326">
            <v>713</v>
          </cell>
          <cell r="B326">
            <v>333</v>
          </cell>
          <cell r="C326" t="str">
            <v>PN-155(T1) 50%/ PE-149(D1 A D9) / PN-152(T1)</v>
          </cell>
          <cell r="D326">
            <v>7</v>
          </cell>
          <cell r="E326">
            <v>40</v>
          </cell>
          <cell r="F326">
            <v>24</v>
          </cell>
          <cell r="G326">
            <v>40</v>
          </cell>
          <cell r="H326">
            <v>0</v>
          </cell>
          <cell r="I326" t="str">
            <v>-</v>
          </cell>
          <cell r="J326" t="str">
            <v>660/660</v>
          </cell>
          <cell r="K326" t="str">
            <v xml:space="preserve">CPIII 40 RS </v>
          </cell>
          <cell r="L326" t="str">
            <v>CP V</v>
          </cell>
          <cell r="M326" t="str">
            <v>SUPER PLASTIFICANTE</v>
          </cell>
          <cell r="N326" t="str">
            <v>PATIO K - TANQUES RA500TN/ RA501TN/ RA502TN/ RA503TN</v>
          </cell>
          <cell r="O326" t="str">
            <v>FORTANKS</v>
          </cell>
          <cell r="P326" t="str">
            <v>02</v>
          </cell>
          <cell r="Q326" t="str">
            <v>Gean</v>
          </cell>
          <cell r="R326">
            <v>45212</v>
          </cell>
          <cell r="S326">
            <v>0.45833333333333331</v>
          </cell>
          <cell r="T326">
            <v>0.44833333333333331</v>
          </cell>
          <cell r="U326" t="str">
            <v>x</v>
          </cell>
          <cell r="V326">
            <v>0.54513888888888895</v>
          </cell>
          <cell r="W326">
            <v>46.38</v>
          </cell>
          <cell r="X326">
            <v>45.82</v>
          </cell>
          <cell r="Y326">
            <v>0.41666666666666669</v>
          </cell>
          <cell r="Z326">
            <v>91.49</v>
          </cell>
          <cell r="AA326">
            <v>89.59</v>
          </cell>
          <cell r="AW326">
            <v>4</v>
          </cell>
          <cell r="AX326">
            <v>3</v>
          </cell>
          <cell r="AY326">
            <v>4</v>
          </cell>
          <cell r="AZ326">
            <v>4</v>
          </cell>
          <cell r="BA326" t="str">
            <v>VALE</v>
          </cell>
          <cell r="BB326">
            <v>45213</v>
          </cell>
          <cell r="BG326">
            <v>45212</v>
          </cell>
        </row>
        <row r="327">
          <cell r="A327">
            <v>714</v>
          </cell>
          <cell r="B327">
            <v>334</v>
          </cell>
          <cell r="C327" t="str">
            <v>PN-33(E1) / PN-36(E1)</v>
          </cell>
          <cell r="D327">
            <v>6</v>
          </cell>
          <cell r="E327">
            <v>40</v>
          </cell>
          <cell r="F327">
            <v>24</v>
          </cell>
          <cell r="G327">
            <v>40</v>
          </cell>
          <cell r="H327">
            <v>0</v>
          </cell>
          <cell r="I327" t="str">
            <v>-</v>
          </cell>
          <cell r="J327" t="str">
            <v>650/650</v>
          </cell>
          <cell r="K327" t="str">
            <v xml:space="preserve">CPIII 40 RS </v>
          </cell>
          <cell r="L327" t="str">
            <v>CP V</v>
          </cell>
          <cell r="M327" t="str">
            <v>SUPER PLASTIFICANTE</v>
          </cell>
          <cell r="N327" t="str">
            <v>PATIO K - TANQUES RA500TN/ RA501TN/ RA502TN/ RA503TN</v>
          </cell>
          <cell r="O327" t="str">
            <v>FORTANKS</v>
          </cell>
          <cell r="P327" t="str">
            <v>02</v>
          </cell>
          <cell r="Q327" t="str">
            <v>Gean</v>
          </cell>
          <cell r="R327">
            <v>45213</v>
          </cell>
          <cell r="S327">
            <v>0.375</v>
          </cell>
          <cell r="T327">
            <v>0.36499999999999999</v>
          </cell>
          <cell r="U327" t="str">
            <v>X</v>
          </cell>
          <cell r="V327">
            <v>0.29166666666666669</v>
          </cell>
          <cell r="W327">
            <v>54.26</v>
          </cell>
          <cell r="X327">
            <v>54.22</v>
          </cell>
          <cell r="Y327">
            <v>0.41666666666666669</v>
          </cell>
          <cell r="Z327">
            <v>87.02</v>
          </cell>
          <cell r="AA327">
            <v>88.29</v>
          </cell>
          <cell r="AW327">
            <v>4</v>
          </cell>
          <cell r="AX327">
            <v>4</v>
          </cell>
          <cell r="AY327">
            <v>4</v>
          </cell>
          <cell r="AZ327">
            <v>4</v>
          </cell>
          <cell r="BA327" t="str">
            <v>VALE</v>
          </cell>
          <cell r="BB327">
            <v>45214</v>
          </cell>
          <cell r="BG327">
            <v>45213</v>
          </cell>
        </row>
        <row r="328">
          <cell r="A328">
            <v>715</v>
          </cell>
          <cell r="B328">
            <v>335</v>
          </cell>
          <cell r="C328" t="str">
            <v>PN-26(E1)/  PN-30(E1)</v>
          </cell>
          <cell r="D328">
            <v>6</v>
          </cell>
          <cell r="E328">
            <v>40</v>
          </cell>
          <cell r="F328">
            <v>24</v>
          </cell>
          <cell r="G328">
            <v>40</v>
          </cell>
          <cell r="H328">
            <v>0</v>
          </cell>
          <cell r="I328" t="str">
            <v>-</v>
          </cell>
          <cell r="J328" t="str">
            <v>670/650</v>
          </cell>
          <cell r="K328" t="str">
            <v xml:space="preserve">CPIII 40 RS </v>
          </cell>
          <cell r="L328" t="str">
            <v>CP V</v>
          </cell>
          <cell r="M328" t="str">
            <v>SUPER PLASTIFICANTE</v>
          </cell>
          <cell r="N328" t="str">
            <v>PATIO K - TANQUES RA500TN/ RA501TN/ RA502TN/ RA503TN</v>
          </cell>
          <cell r="O328" t="str">
            <v>FORTANKS</v>
          </cell>
          <cell r="P328" t="str">
            <v>01</v>
          </cell>
          <cell r="Q328" t="str">
            <v>Gean</v>
          </cell>
          <cell r="R328">
            <v>45213</v>
          </cell>
          <cell r="S328">
            <v>0.3888888888888889</v>
          </cell>
          <cell r="T328">
            <v>0.37888888888888889</v>
          </cell>
          <cell r="U328" t="str">
            <v>X</v>
          </cell>
          <cell r="V328">
            <v>0.2951388888888889</v>
          </cell>
          <cell r="W328">
            <v>51.32</v>
          </cell>
          <cell r="X328">
            <v>51.1</v>
          </cell>
          <cell r="Y328">
            <v>0.41666666666666669</v>
          </cell>
          <cell r="Z328">
            <v>91.41</v>
          </cell>
          <cell r="AA328">
            <v>88.46</v>
          </cell>
          <cell r="AW328">
            <v>3</v>
          </cell>
          <cell r="AX328">
            <v>3</v>
          </cell>
          <cell r="AY328">
            <v>3</v>
          </cell>
          <cell r="AZ328">
            <v>3</v>
          </cell>
          <cell r="BA328" t="str">
            <v>VALE</v>
          </cell>
          <cell r="BB328">
            <v>45214</v>
          </cell>
          <cell r="BG328">
            <v>45213</v>
          </cell>
        </row>
        <row r="329">
          <cell r="A329">
            <v>716</v>
          </cell>
          <cell r="B329">
            <v>336</v>
          </cell>
          <cell r="C329" t="str">
            <v>PN-25(T1) 50%  / PN-27(T1) / PN-24(T1)</v>
          </cell>
          <cell r="D329">
            <v>6.5</v>
          </cell>
          <cell r="E329">
            <v>40</v>
          </cell>
          <cell r="F329">
            <v>24</v>
          </cell>
          <cell r="G329">
            <v>40</v>
          </cell>
          <cell r="H329">
            <v>0</v>
          </cell>
          <cell r="I329" t="str">
            <v>-</v>
          </cell>
          <cell r="J329" t="str">
            <v>660/660</v>
          </cell>
          <cell r="K329" t="str">
            <v xml:space="preserve">CPIII 40 RS </v>
          </cell>
          <cell r="L329" t="str">
            <v>CP V</v>
          </cell>
          <cell r="M329" t="str">
            <v>SUPER PLASTIFICANTE</v>
          </cell>
          <cell r="N329" t="str">
            <v>PATIO K - TANQUES RA500TN/ RA501TN/ RA502TN/ RA503TN</v>
          </cell>
          <cell r="O329" t="str">
            <v>FORTANKS</v>
          </cell>
          <cell r="P329" t="str">
            <v>02</v>
          </cell>
          <cell r="Q329" t="str">
            <v>Gean</v>
          </cell>
          <cell r="R329">
            <v>45213</v>
          </cell>
          <cell r="S329">
            <v>0.41666666666666669</v>
          </cell>
          <cell r="T329">
            <v>0.40666666666666668</v>
          </cell>
          <cell r="U329" t="str">
            <v>X</v>
          </cell>
          <cell r="V329">
            <v>0.2986111111111111</v>
          </cell>
          <cell r="W329">
            <v>56.34</v>
          </cell>
          <cell r="X329">
            <v>56.3</v>
          </cell>
          <cell r="Y329">
            <v>0.41666666666666669</v>
          </cell>
          <cell r="Z329">
            <v>89.42</v>
          </cell>
          <cell r="AA329">
            <v>90.82</v>
          </cell>
          <cell r="AW329">
            <v>4</v>
          </cell>
          <cell r="AX329">
            <v>4</v>
          </cell>
          <cell r="AY329">
            <v>4</v>
          </cell>
          <cell r="AZ329">
            <v>4</v>
          </cell>
          <cell r="BA329" t="str">
            <v>VALE</v>
          </cell>
          <cell r="BB329">
            <v>45214</v>
          </cell>
          <cell r="BG329">
            <v>45213</v>
          </cell>
        </row>
        <row r="330">
          <cell r="A330">
            <v>717</v>
          </cell>
          <cell r="B330">
            <v>337</v>
          </cell>
          <cell r="C330" t="str">
            <v>PN-25(T1) 50%/  PN-22(T1) / PE-21(D1 a D9)</v>
          </cell>
          <cell r="D330">
            <v>7</v>
          </cell>
          <cell r="E330">
            <v>40</v>
          </cell>
          <cell r="F330">
            <v>24</v>
          </cell>
          <cell r="G330">
            <v>40</v>
          </cell>
          <cell r="H330">
            <v>0</v>
          </cell>
          <cell r="I330" t="str">
            <v>-</v>
          </cell>
          <cell r="J330" t="str">
            <v>650/650</v>
          </cell>
          <cell r="K330" t="str">
            <v xml:space="preserve">CPIII 40 RS </v>
          </cell>
          <cell r="L330" t="str">
            <v>CP V</v>
          </cell>
          <cell r="M330" t="str">
            <v>SUPER PLASTIFICANTE</v>
          </cell>
          <cell r="N330" t="str">
            <v>PATIO K - TANQUES RA500TN/ RA501TN/ RA502TN/ RA503TN</v>
          </cell>
          <cell r="O330" t="str">
            <v>FORTANKS</v>
          </cell>
          <cell r="P330" t="str">
            <v>01</v>
          </cell>
          <cell r="Q330" t="str">
            <v>Gean</v>
          </cell>
          <cell r="R330">
            <v>45213</v>
          </cell>
          <cell r="S330">
            <v>0.44791666666666669</v>
          </cell>
          <cell r="T330">
            <v>0.43791666666666668</v>
          </cell>
          <cell r="U330" t="str">
            <v>X</v>
          </cell>
          <cell r="V330">
            <v>0.30208333333333331</v>
          </cell>
          <cell r="W330">
            <v>54.49</v>
          </cell>
          <cell r="X330">
            <v>57.15</v>
          </cell>
          <cell r="Y330">
            <v>0.41666666666666669</v>
          </cell>
          <cell r="Z330">
            <v>89.57</v>
          </cell>
          <cell r="AA330">
            <v>87.41</v>
          </cell>
          <cell r="AW330">
            <v>4</v>
          </cell>
          <cell r="AX330">
            <v>4</v>
          </cell>
          <cell r="AY330">
            <v>4</v>
          </cell>
          <cell r="AZ330">
            <v>4</v>
          </cell>
          <cell r="BA330" t="str">
            <v>VALE</v>
          </cell>
          <cell r="BB330">
            <v>45214</v>
          </cell>
          <cell r="BG330">
            <v>45213</v>
          </cell>
        </row>
        <row r="331">
          <cell r="A331">
            <v>718</v>
          </cell>
          <cell r="B331">
            <v>338</v>
          </cell>
          <cell r="C331" t="str">
            <v>PN-160(E1) / PN-160(E1)</v>
          </cell>
          <cell r="D331">
            <v>6</v>
          </cell>
          <cell r="E331">
            <v>40</v>
          </cell>
          <cell r="F331">
            <v>24</v>
          </cell>
          <cell r="G331">
            <v>40</v>
          </cell>
          <cell r="H331">
            <v>0</v>
          </cell>
          <cell r="I331" t="str">
            <v>-</v>
          </cell>
          <cell r="J331" t="str">
            <v>660/670</v>
          </cell>
          <cell r="K331" t="str">
            <v xml:space="preserve">CPIII 40 RS </v>
          </cell>
          <cell r="L331" t="str">
            <v>CP V</v>
          </cell>
          <cell r="M331" t="str">
            <v>SUPER PLASTIFICANTE</v>
          </cell>
          <cell r="N331" t="str">
            <v>PATIO K - TANQUES RA500TN/ RA501TN/ RA502TN/ RA503TN</v>
          </cell>
          <cell r="O331" t="str">
            <v>FORTANKS</v>
          </cell>
          <cell r="P331" t="str">
            <v>02</v>
          </cell>
          <cell r="Q331" t="str">
            <v>Gean</v>
          </cell>
          <cell r="R331">
            <v>45216</v>
          </cell>
          <cell r="S331">
            <v>0.56944444444444442</v>
          </cell>
          <cell r="T331">
            <v>0.55944444444444441</v>
          </cell>
          <cell r="U331" t="str">
            <v>X</v>
          </cell>
          <cell r="V331">
            <v>0.39583333333333331</v>
          </cell>
          <cell r="W331">
            <v>38.450000000000003</v>
          </cell>
          <cell r="X331">
            <v>38.97</v>
          </cell>
          <cell r="Y331">
            <v>0.41666666666666669</v>
          </cell>
          <cell r="Z331">
            <v>90.79</v>
          </cell>
          <cell r="AA331">
            <v>91.03</v>
          </cell>
          <cell r="AW331">
            <v>4</v>
          </cell>
          <cell r="AX331">
            <v>4</v>
          </cell>
          <cell r="AY331">
            <v>4</v>
          </cell>
          <cell r="AZ331">
            <v>4</v>
          </cell>
          <cell r="BA331" t="str">
            <v>VALE</v>
          </cell>
          <cell r="BB331">
            <v>45217</v>
          </cell>
          <cell r="BG331">
            <v>45216</v>
          </cell>
        </row>
        <row r="332">
          <cell r="A332">
            <v>719</v>
          </cell>
          <cell r="B332">
            <v>339</v>
          </cell>
          <cell r="C332" t="str">
            <v>PN-156(E1) / PN-159(E1)</v>
          </cell>
          <cell r="D332">
            <v>6</v>
          </cell>
          <cell r="E332">
            <v>40</v>
          </cell>
          <cell r="F332">
            <v>24</v>
          </cell>
          <cell r="G332">
            <v>40</v>
          </cell>
          <cell r="H332">
            <v>0</v>
          </cell>
          <cell r="I332" t="str">
            <v>-</v>
          </cell>
          <cell r="J332" t="str">
            <v>670/670</v>
          </cell>
          <cell r="K332" t="str">
            <v xml:space="preserve">CPIII 40 RS </v>
          </cell>
          <cell r="L332" t="str">
            <v>CP V</v>
          </cell>
          <cell r="M332" t="str">
            <v>SUPER PLASTIFICANTE</v>
          </cell>
          <cell r="N332" t="str">
            <v>PATIO K - TANQUES RA500TN/ RA501TN/ RA502TN/ RA503TN</v>
          </cell>
          <cell r="O332" t="str">
            <v>FORTANKS</v>
          </cell>
          <cell r="P332" t="str">
            <v>01</v>
          </cell>
          <cell r="Q332" t="str">
            <v>Gean</v>
          </cell>
          <cell r="R332">
            <v>45216</v>
          </cell>
          <cell r="S332">
            <v>0.59027777777777779</v>
          </cell>
          <cell r="T332">
            <v>0.58027777777777778</v>
          </cell>
          <cell r="U332" t="str">
            <v>X</v>
          </cell>
          <cell r="V332">
            <v>0.40277777777777773</v>
          </cell>
          <cell r="W332">
            <v>34.07</v>
          </cell>
          <cell r="X332">
            <v>35.54</v>
          </cell>
          <cell r="Y332">
            <v>0.41666666666666669</v>
          </cell>
          <cell r="Z332">
            <v>90.21</v>
          </cell>
          <cell r="AA332">
            <v>86.99</v>
          </cell>
          <cell r="AW332">
            <v>4</v>
          </cell>
          <cell r="AX332">
            <v>4</v>
          </cell>
          <cell r="AY332">
            <v>3</v>
          </cell>
          <cell r="AZ332">
            <v>3</v>
          </cell>
          <cell r="BA332" t="str">
            <v>VALE</v>
          </cell>
          <cell r="BB332">
            <v>45217</v>
          </cell>
          <cell r="BG332">
            <v>45216</v>
          </cell>
        </row>
        <row r="333">
          <cell r="A333">
            <v>720</v>
          </cell>
          <cell r="B333">
            <v>340</v>
          </cell>
          <cell r="C333" t="str">
            <v>PN-165(T1) 30% / PN-168(T1) / PN-171(T1)</v>
          </cell>
          <cell r="D333">
            <v>6.5</v>
          </cell>
          <cell r="E333">
            <v>40</v>
          </cell>
          <cell r="F333">
            <v>24</v>
          </cell>
          <cell r="G333">
            <v>40</v>
          </cell>
          <cell r="H333">
            <v>0</v>
          </cell>
          <cell r="I333" t="str">
            <v>-</v>
          </cell>
          <cell r="J333" t="str">
            <v>670/680</v>
          </cell>
          <cell r="K333" t="str">
            <v xml:space="preserve">CPIII 40 RS </v>
          </cell>
          <cell r="L333" t="str">
            <v>CP V</v>
          </cell>
          <cell r="M333" t="str">
            <v>SUPER PLASTIFICANTE</v>
          </cell>
          <cell r="N333" t="str">
            <v>PATIO K - TANQUES RA500TN/ RA501TN/ RA502TN/ RA503TN</v>
          </cell>
          <cell r="O333" t="str">
            <v>FORTANKS</v>
          </cell>
          <cell r="P333" t="str">
            <v>02</v>
          </cell>
          <cell r="Q333" t="str">
            <v>Gean</v>
          </cell>
          <cell r="R333">
            <v>45216</v>
          </cell>
          <cell r="S333">
            <v>0.60763888888888895</v>
          </cell>
          <cell r="T333">
            <v>0.59763888888888894</v>
          </cell>
          <cell r="U333" t="str">
            <v>X</v>
          </cell>
          <cell r="V333">
            <v>0.40972222222222227</v>
          </cell>
          <cell r="W333">
            <v>36.869999999999997</v>
          </cell>
          <cell r="X333">
            <v>38.68</v>
          </cell>
          <cell r="Y333">
            <v>0.41666666666666669</v>
          </cell>
          <cell r="Z333">
            <v>89.87</v>
          </cell>
          <cell r="AA333">
            <v>89.88</v>
          </cell>
          <cell r="AW333">
            <v>4</v>
          </cell>
          <cell r="AX333">
            <v>4</v>
          </cell>
          <cell r="AY333">
            <v>3</v>
          </cell>
          <cell r="AZ333">
            <v>4</v>
          </cell>
          <cell r="BA333" t="str">
            <v>VALE</v>
          </cell>
          <cell r="BB333">
            <v>45217</v>
          </cell>
          <cell r="BG333">
            <v>45216</v>
          </cell>
        </row>
        <row r="334">
          <cell r="A334">
            <v>721</v>
          </cell>
          <cell r="B334">
            <v>341</v>
          </cell>
          <cell r="C334" t="str">
            <v>PN-165(T1) 70% / PN-163(T1) /  PE-157(D1aD9)</v>
          </cell>
          <cell r="D334">
            <v>7</v>
          </cell>
          <cell r="E334">
            <v>40</v>
          </cell>
          <cell r="F334">
            <v>24</v>
          </cell>
          <cell r="G334">
            <v>40</v>
          </cell>
          <cell r="H334">
            <v>0</v>
          </cell>
          <cell r="I334" t="str">
            <v>-</v>
          </cell>
          <cell r="J334" t="str">
            <v>670/680</v>
          </cell>
          <cell r="K334" t="str">
            <v xml:space="preserve">CPIII 40 RS </v>
          </cell>
          <cell r="L334" t="str">
            <v>CP V</v>
          </cell>
          <cell r="M334" t="str">
            <v>SUPER PLASTIFICANTE</v>
          </cell>
          <cell r="N334" t="str">
            <v>PATIO K - TANQUES RA500TN/ RA501TN/ RA502TN/ RA503TN</v>
          </cell>
          <cell r="O334" t="str">
            <v>FORTANKS</v>
          </cell>
          <cell r="P334" t="str">
            <v>01</v>
          </cell>
          <cell r="Q334" t="str">
            <v>Gean</v>
          </cell>
          <cell r="R334">
            <v>45216</v>
          </cell>
          <cell r="S334">
            <v>0.63541666666666663</v>
          </cell>
          <cell r="T334">
            <v>0.62541666666666662</v>
          </cell>
          <cell r="U334" t="str">
            <v>X</v>
          </cell>
          <cell r="V334">
            <v>0.41666666666666669</v>
          </cell>
          <cell r="W334">
            <v>30.15</v>
          </cell>
          <cell r="X334">
            <v>31.01</v>
          </cell>
          <cell r="Y334">
            <v>0.41666666666666669</v>
          </cell>
          <cell r="Z334">
            <v>92.46</v>
          </cell>
          <cell r="AA334">
            <v>93.01</v>
          </cell>
          <cell r="AW334">
            <v>3</v>
          </cell>
          <cell r="AX334">
            <v>4</v>
          </cell>
          <cell r="AY334">
            <v>4</v>
          </cell>
          <cell r="AZ334">
            <v>4</v>
          </cell>
          <cell r="BA334" t="str">
            <v>VALE</v>
          </cell>
          <cell r="BB334">
            <v>45217</v>
          </cell>
          <cell r="BG334">
            <v>45216</v>
          </cell>
        </row>
        <row r="335">
          <cell r="A335">
            <v>722</v>
          </cell>
          <cell r="B335">
            <v>342</v>
          </cell>
          <cell r="C335" t="str">
            <v>PN-48(E1) / PN-50(E1)</v>
          </cell>
          <cell r="D335">
            <v>6</v>
          </cell>
          <cell r="E335">
            <v>40</v>
          </cell>
          <cell r="F335">
            <v>24</v>
          </cell>
          <cell r="G335">
            <v>40</v>
          </cell>
          <cell r="H335">
            <v>0</v>
          </cell>
          <cell r="I335" t="str">
            <v>-</v>
          </cell>
          <cell r="J335" t="str">
            <v>660/660</v>
          </cell>
          <cell r="K335" t="str">
            <v xml:space="preserve">CPIII 40 RS </v>
          </cell>
          <cell r="L335" t="str">
            <v>CP V</v>
          </cell>
          <cell r="M335" t="str">
            <v>SUPER PLASTIFICANTE</v>
          </cell>
          <cell r="N335" t="str">
            <v>PATIO K - TANQUES RA500TN/ RA501TN/ RA502TN/ RA503TN</v>
          </cell>
          <cell r="O335" t="str">
            <v>FORTANKS</v>
          </cell>
          <cell r="P335" t="str">
            <v>02</v>
          </cell>
          <cell r="Q335" t="str">
            <v>Gean</v>
          </cell>
          <cell r="R335">
            <v>45217</v>
          </cell>
          <cell r="S335">
            <v>0.60416666666666663</v>
          </cell>
          <cell r="T335">
            <v>0.59416666666666662</v>
          </cell>
          <cell r="U335" t="str">
            <v>x</v>
          </cell>
          <cell r="V335">
            <v>0.54166666666666663</v>
          </cell>
          <cell r="W335">
            <v>42.55</v>
          </cell>
          <cell r="X335">
            <v>41.73</v>
          </cell>
          <cell r="Y335">
            <v>0.41666666666666669</v>
          </cell>
          <cell r="Z335">
            <v>92.85</v>
          </cell>
          <cell r="AA335">
            <v>90.84</v>
          </cell>
          <cell r="AW335">
            <v>4</v>
          </cell>
          <cell r="AX335">
            <v>3</v>
          </cell>
          <cell r="AY335">
            <v>4</v>
          </cell>
          <cell r="AZ335">
            <v>4</v>
          </cell>
          <cell r="BA335" t="str">
            <v>VALE</v>
          </cell>
          <cell r="BB335">
            <v>45218</v>
          </cell>
          <cell r="BG335">
            <v>45217</v>
          </cell>
        </row>
        <row r="336">
          <cell r="A336">
            <v>723</v>
          </cell>
          <cell r="B336">
            <v>343</v>
          </cell>
          <cell r="C336" t="str">
            <v>PN-39(E1)  /  PN-42(E1)</v>
          </cell>
          <cell r="D336">
            <v>6</v>
          </cell>
          <cell r="E336">
            <v>40</v>
          </cell>
          <cell r="F336">
            <v>24</v>
          </cell>
          <cell r="G336">
            <v>40</v>
          </cell>
          <cell r="H336">
            <v>0</v>
          </cell>
          <cell r="I336" t="str">
            <v>-</v>
          </cell>
          <cell r="J336" t="str">
            <v>660/680</v>
          </cell>
          <cell r="K336" t="str">
            <v xml:space="preserve">CPIII 40 RS </v>
          </cell>
          <cell r="L336" t="str">
            <v>CP V</v>
          </cell>
          <cell r="M336" t="str">
            <v>SUPER PLASTIFICANTE</v>
          </cell>
          <cell r="N336" t="str">
            <v>PATIO K - TANQUES RA500TN/ RA501TN/ RA502TN/ RA503TN</v>
          </cell>
          <cell r="O336" t="str">
            <v>FORTANKS</v>
          </cell>
          <cell r="P336" t="str">
            <v>02</v>
          </cell>
          <cell r="Q336" t="str">
            <v>Gean</v>
          </cell>
          <cell r="R336">
            <v>45217</v>
          </cell>
          <cell r="S336">
            <v>0.625</v>
          </cell>
          <cell r="T336">
            <v>0.61499999999999999</v>
          </cell>
          <cell r="U336" t="str">
            <v>X</v>
          </cell>
          <cell r="V336">
            <v>0.54166666666666663</v>
          </cell>
          <cell r="W336">
            <v>40.83</v>
          </cell>
          <cell r="X336">
            <v>40.25</v>
          </cell>
          <cell r="Y336">
            <v>0.41666666666666669</v>
          </cell>
          <cell r="Z336">
            <v>93.53</v>
          </cell>
          <cell r="AA336">
            <v>88.49</v>
          </cell>
          <cell r="AW336">
            <v>4</v>
          </cell>
          <cell r="AX336">
            <v>4</v>
          </cell>
          <cell r="AY336">
            <v>4</v>
          </cell>
          <cell r="AZ336">
            <v>4</v>
          </cell>
          <cell r="BA336" t="str">
            <v>VALE</v>
          </cell>
          <cell r="BB336">
            <v>45218</v>
          </cell>
          <cell r="BG336">
            <v>45217</v>
          </cell>
        </row>
        <row r="337">
          <cell r="A337">
            <v>724</v>
          </cell>
          <cell r="B337">
            <v>344</v>
          </cell>
          <cell r="C337" t="str">
            <v>PN-32(T1) 50% / PN-35(T1) / PN-37(E1)</v>
          </cell>
          <cell r="D337">
            <v>7</v>
          </cell>
          <cell r="E337">
            <v>40</v>
          </cell>
          <cell r="F337">
            <v>24</v>
          </cell>
          <cell r="G337">
            <v>40</v>
          </cell>
          <cell r="H337">
            <v>0</v>
          </cell>
          <cell r="I337" t="str">
            <v>-</v>
          </cell>
          <cell r="J337" t="str">
            <v>660/680</v>
          </cell>
          <cell r="K337" t="str">
            <v xml:space="preserve">CPIII 40 RS </v>
          </cell>
          <cell r="L337" t="str">
            <v>CP V</v>
          </cell>
          <cell r="M337" t="str">
            <v>SUPER PLASTIFICANTE</v>
          </cell>
          <cell r="N337" t="str">
            <v>PATIO K - TANQUES RA500TN/ RA501TN/ RA502TN/ RA503TN</v>
          </cell>
          <cell r="O337" t="str">
            <v>FORTANKS</v>
          </cell>
          <cell r="P337" t="str">
            <v>01</v>
          </cell>
          <cell r="Q337" t="str">
            <v>Gean</v>
          </cell>
          <cell r="R337">
            <v>45217</v>
          </cell>
          <cell r="S337">
            <v>0.63888888888888895</v>
          </cell>
          <cell r="T337">
            <v>0.62888888888888894</v>
          </cell>
          <cell r="U337" t="str">
            <v>X</v>
          </cell>
          <cell r="V337">
            <v>0.54166666666666663</v>
          </cell>
          <cell r="W337">
            <v>40.74</v>
          </cell>
          <cell r="X337">
            <v>37.270000000000003</v>
          </cell>
          <cell r="Y337">
            <v>0.41666666666666669</v>
          </cell>
          <cell r="Z337">
            <v>95.41</v>
          </cell>
          <cell r="AA337">
            <v>95.8</v>
          </cell>
          <cell r="AW337">
            <v>4</v>
          </cell>
          <cell r="AX337">
            <v>4</v>
          </cell>
          <cell r="AY337">
            <v>4</v>
          </cell>
          <cell r="AZ337">
            <v>4</v>
          </cell>
          <cell r="BA337" t="str">
            <v>VALE</v>
          </cell>
          <cell r="BB337">
            <v>45218</v>
          </cell>
          <cell r="BG337">
            <v>45217</v>
          </cell>
        </row>
        <row r="338">
          <cell r="A338">
            <v>725</v>
          </cell>
          <cell r="B338">
            <v>345</v>
          </cell>
          <cell r="C338" t="str">
            <v>PN-32(T1) 50% / PN-29(T1) / PE-28(D1aD9)</v>
          </cell>
          <cell r="D338">
            <v>7</v>
          </cell>
          <cell r="E338">
            <v>40</v>
          </cell>
          <cell r="F338">
            <v>24</v>
          </cell>
          <cell r="G338">
            <v>40</v>
          </cell>
          <cell r="H338">
            <v>0</v>
          </cell>
          <cell r="I338" t="str">
            <v>-</v>
          </cell>
          <cell r="J338" t="str">
            <v>680/680</v>
          </cell>
          <cell r="K338" t="str">
            <v xml:space="preserve">CPIII 40 RS </v>
          </cell>
          <cell r="L338" t="str">
            <v>CP V</v>
          </cell>
          <cell r="M338" t="str">
            <v>SUPER PLASTIFICANTE</v>
          </cell>
          <cell r="N338" t="str">
            <v>PATIO K - TANQUES RA500TN/ RA501TN/ RA502TN/ RA503TN</v>
          </cell>
          <cell r="O338" t="str">
            <v>FORTANKS</v>
          </cell>
          <cell r="P338" t="str">
            <v>02</v>
          </cell>
          <cell r="Q338" t="str">
            <v>Gean</v>
          </cell>
          <cell r="R338">
            <v>45217</v>
          </cell>
          <cell r="S338">
            <v>0.67361111111111116</v>
          </cell>
          <cell r="T338">
            <v>0.66361111111111115</v>
          </cell>
          <cell r="U338" t="str">
            <v>X</v>
          </cell>
          <cell r="V338">
            <v>0.54166666666666663</v>
          </cell>
          <cell r="W338">
            <v>30.89</v>
          </cell>
          <cell r="X338">
            <v>31.55</v>
          </cell>
          <cell r="Y338">
            <v>0.41666666666666669</v>
          </cell>
          <cell r="Z338">
            <v>97.3</v>
          </cell>
          <cell r="AA338">
            <v>94.69</v>
          </cell>
          <cell r="AW338">
            <v>4</v>
          </cell>
          <cell r="AX338">
            <v>4</v>
          </cell>
          <cell r="AY338">
            <v>3</v>
          </cell>
          <cell r="AZ338">
            <v>4</v>
          </cell>
          <cell r="BA338" t="str">
            <v>VALE</v>
          </cell>
          <cell r="BB338">
            <v>45218</v>
          </cell>
          <cell r="BG338">
            <v>45217</v>
          </cell>
        </row>
        <row r="339">
          <cell r="A339">
            <v>726</v>
          </cell>
          <cell r="B339">
            <v>346</v>
          </cell>
          <cell r="C339" t="str">
            <v>PN-172(E1) / PN-173(E1)</v>
          </cell>
          <cell r="D339">
            <v>6</v>
          </cell>
          <cell r="E339">
            <v>40</v>
          </cell>
          <cell r="F339">
            <v>24</v>
          </cell>
          <cell r="G339">
            <v>40</v>
          </cell>
          <cell r="H339">
            <v>0</v>
          </cell>
          <cell r="I339" t="str">
            <v>-</v>
          </cell>
          <cell r="J339" t="str">
            <v>650/660</v>
          </cell>
          <cell r="K339" t="str">
            <v xml:space="preserve">CPIII 40 RS </v>
          </cell>
          <cell r="L339" t="str">
            <v>CP V</v>
          </cell>
          <cell r="M339" t="str">
            <v>SUPER PLASTIFICANTE</v>
          </cell>
          <cell r="N339" t="str">
            <v>PATIO K - TANQUES RA500TN/ RA501TN/ RA502TN/ RA503TN</v>
          </cell>
          <cell r="O339" t="str">
            <v>FORTANKS</v>
          </cell>
          <cell r="P339" t="str">
            <v>01</v>
          </cell>
          <cell r="Q339" t="str">
            <v>Gean</v>
          </cell>
          <cell r="R339">
            <v>45218</v>
          </cell>
          <cell r="S339">
            <v>0.58333333333333337</v>
          </cell>
          <cell r="T339">
            <v>0.57333333333333336</v>
          </cell>
          <cell r="U339" t="str">
            <v>X</v>
          </cell>
          <cell r="V339">
            <v>0.35416666666666669</v>
          </cell>
          <cell r="W339">
            <v>27.83</v>
          </cell>
          <cell r="X339">
            <v>29.8</v>
          </cell>
          <cell r="Y339">
            <v>0.41666666666666669</v>
          </cell>
          <cell r="Z339">
            <v>98.04</v>
          </cell>
          <cell r="AA339">
            <v>99.4</v>
          </cell>
          <cell r="AW339">
            <v>3</v>
          </cell>
          <cell r="AX339">
            <v>4</v>
          </cell>
          <cell r="AY339">
            <v>4</v>
          </cell>
          <cell r="AZ339">
            <v>4</v>
          </cell>
          <cell r="BA339" t="str">
            <v>VALE</v>
          </cell>
          <cell r="BB339">
            <v>45219</v>
          </cell>
          <cell r="BG339">
            <v>45218</v>
          </cell>
        </row>
        <row r="340">
          <cell r="A340">
            <v>727</v>
          </cell>
          <cell r="B340">
            <v>347</v>
          </cell>
          <cell r="C340" t="str">
            <v>PN-166(E1)  / PN-169(E1)</v>
          </cell>
          <cell r="D340">
            <v>6</v>
          </cell>
          <cell r="E340">
            <v>40</v>
          </cell>
          <cell r="F340">
            <v>24</v>
          </cell>
          <cell r="G340">
            <v>40</v>
          </cell>
          <cell r="H340">
            <v>0</v>
          </cell>
          <cell r="I340" t="str">
            <v>-</v>
          </cell>
          <cell r="J340" t="str">
            <v>660/660</v>
          </cell>
          <cell r="K340" t="str">
            <v xml:space="preserve">CPIII 40 RS </v>
          </cell>
          <cell r="L340" t="str">
            <v>CP V</v>
          </cell>
          <cell r="M340" t="str">
            <v>SUPER PLASTIFICANTE</v>
          </cell>
          <cell r="N340" t="str">
            <v>PATIO K - TANQUES RA500TN/ RA501TN/ RA502TN/ RA503TN</v>
          </cell>
          <cell r="O340" t="str">
            <v>FORTANKS</v>
          </cell>
          <cell r="P340" t="str">
            <v>02</v>
          </cell>
          <cell r="Q340" t="str">
            <v>Gean</v>
          </cell>
          <cell r="R340">
            <v>45218</v>
          </cell>
          <cell r="S340">
            <v>0.60416666666666663</v>
          </cell>
          <cell r="T340">
            <v>0.59416666666666662</v>
          </cell>
          <cell r="U340" t="str">
            <v>X</v>
          </cell>
          <cell r="V340">
            <v>0.35416666666666669</v>
          </cell>
          <cell r="W340">
            <v>32.81</v>
          </cell>
          <cell r="X340">
            <v>30.48</v>
          </cell>
          <cell r="Y340">
            <v>0.41666666666666669</v>
          </cell>
          <cell r="Z340">
            <v>99.03</v>
          </cell>
          <cell r="AA340">
            <v>96.61</v>
          </cell>
          <cell r="AW340">
            <v>4</v>
          </cell>
          <cell r="AX340">
            <v>3</v>
          </cell>
          <cell r="AY340">
            <v>4</v>
          </cell>
          <cell r="AZ340">
            <v>4</v>
          </cell>
          <cell r="BA340" t="str">
            <v>VALE</v>
          </cell>
          <cell r="BB340">
            <v>45219</v>
          </cell>
          <cell r="BG340">
            <v>45218</v>
          </cell>
        </row>
        <row r="341">
          <cell r="A341">
            <v>728</v>
          </cell>
          <cell r="B341">
            <v>348</v>
          </cell>
          <cell r="C341" t="str">
            <v>PN-177(T1) 20% / PN-188(T1) / PN-191(T1)</v>
          </cell>
          <cell r="D341">
            <v>6.5</v>
          </cell>
          <cell r="E341">
            <v>40</v>
          </cell>
          <cell r="F341">
            <v>24</v>
          </cell>
          <cell r="G341">
            <v>40</v>
          </cell>
          <cell r="H341">
            <v>0</v>
          </cell>
          <cell r="I341" t="str">
            <v>-</v>
          </cell>
          <cell r="J341" t="str">
            <v>650/670</v>
          </cell>
          <cell r="K341" t="str">
            <v xml:space="preserve">CPIII 40 RS </v>
          </cell>
          <cell r="L341" t="str">
            <v>CP V</v>
          </cell>
          <cell r="M341" t="str">
            <v>SUPER PLASTIFICANTE</v>
          </cell>
          <cell r="N341" t="str">
            <v>PATIO K - TANQUES RA500TN/ RA501TN/ RA502TN/ RA503TN</v>
          </cell>
          <cell r="O341" t="str">
            <v>FORTANKS</v>
          </cell>
          <cell r="P341" t="str">
            <v>01</v>
          </cell>
          <cell r="Q341" t="str">
            <v>Gean</v>
          </cell>
          <cell r="R341">
            <v>45218</v>
          </cell>
          <cell r="S341">
            <v>0.63194444444444442</v>
          </cell>
          <cell r="T341">
            <v>0.62194444444444441</v>
          </cell>
          <cell r="U341" t="str">
            <v>X</v>
          </cell>
          <cell r="V341">
            <v>0.35416666666666669</v>
          </cell>
          <cell r="W341">
            <v>26.99</v>
          </cell>
          <cell r="X341">
            <v>26.8</v>
          </cell>
          <cell r="Y341">
            <v>0.41666666666666669</v>
          </cell>
          <cell r="Z341">
            <v>88.72</v>
          </cell>
          <cell r="AA341">
            <v>89.24</v>
          </cell>
          <cell r="AW341">
            <v>4</v>
          </cell>
          <cell r="AX341">
            <v>4</v>
          </cell>
          <cell r="AY341">
            <v>4</v>
          </cell>
          <cell r="AZ341">
            <v>4</v>
          </cell>
          <cell r="BA341" t="str">
            <v>VALE</v>
          </cell>
          <cell r="BB341">
            <v>45219</v>
          </cell>
          <cell r="BG341">
            <v>45218</v>
          </cell>
        </row>
        <row r="342">
          <cell r="A342">
            <v>729</v>
          </cell>
          <cell r="B342">
            <v>349</v>
          </cell>
          <cell r="C342" t="str">
            <v>PN-177(T1) 20% / PN-174(T1) / PE-164(D1aD9)</v>
          </cell>
          <cell r="D342">
            <v>7</v>
          </cell>
          <cell r="E342">
            <v>40</v>
          </cell>
          <cell r="F342">
            <v>24</v>
          </cell>
          <cell r="G342">
            <v>40</v>
          </cell>
          <cell r="H342">
            <v>0</v>
          </cell>
          <cell r="I342" t="str">
            <v>-</v>
          </cell>
          <cell r="J342" t="str">
            <v>660/680</v>
          </cell>
          <cell r="K342" t="str">
            <v xml:space="preserve">CPIII 40 RS </v>
          </cell>
          <cell r="L342" t="str">
            <v>CP V</v>
          </cell>
          <cell r="M342" t="str">
            <v>SUPER PLASTIFICANTE</v>
          </cell>
          <cell r="N342" t="str">
            <v>PATIO K - TANQUES RA500TN/ RA501TN/ RA502TN/ RA503TN</v>
          </cell>
          <cell r="O342" t="str">
            <v>FORTANKS</v>
          </cell>
          <cell r="P342" t="str">
            <v>02</v>
          </cell>
          <cell r="Q342" t="str">
            <v>Gean</v>
          </cell>
          <cell r="R342">
            <v>45218</v>
          </cell>
          <cell r="S342">
            <v>0.64930555555555558</v>
          </cell>
          <cell r="T342">
            <v>0.63930555555555557</v>
          </cell>
          <cell r="U342" t="str">
            <v>X</v>
          </cell>
          <cell r="V342">
            <v>0.35416666666666669</v>
          </cell>
          <cell r="W342">
            <v>24.36</v>
          </cell>
          <cell r="X342">
            <v>25.11</v>
          </cell>
          <cell r="Y342">
            <v>0.41666666666666669</v>
          </cell>
          <cell r="Z342">
            <v>94.22</v>
          </cell>
          <cell r="AA342">
            <v>93.69</v>
          </cell>
          <cell r="AW342">
            <v>4</v>
          </cell>
          <cell r="AX342">
            <v>4</v>
          </cell>
          <cell r="AY342">
            <v>4</v>
          </cell>
          <cell r="AZ342">
            <v>4</v>
          </cell>
          <cell r="BA342" t="str">
            <v>VALE</v>
          </cell>
          <cell r="BB342">
            <v>45219</v>
          </cell>
          <cell r="BG342">
            <v>45218</v>
          </cell>
        </row>
        <row r="343">
          <cell r="A343">
            <v>730</v>
          </cell>
          <cell r="B343">
            <v>350</v>
          </cell>
          <cell r="C343" t="str">
            <v>PN-56(E1)  /  PN-57(E1)</v>
          </cell>
          <cell r="D343">
            <v>6</v>
          </cell>
          <cell r="E343">
            <v>40</v>
          </cell>
          <cell r="F343">
            <v>24</v>
          </cell>
          <cell r="G343">
            <v>40</v>
          </cell>
          <cell r="H343">
            <v>0</v>
          </cell>
          <cell r="I343" t="str">
            <v>-</v>
          </cell>
          <cell r="J343" t="str">
            <v>660/670</v>
          </cell>
          <cell r="K343" t="str">
            <v xml:space="preserve">CPIII 40 RS </v>
          </cell>
          <cell r="L343" t="str">
            <v>CP V</v>
          </cell>
          <cell r="M343" t="str">
            <v>SUPER PLASTIFICANTE</v>
          </cell>
          <cell r="N343" t="str">
            <v>PATIO K - TANQUES RA500TN/ RA501TN/ RA502TN/ RA503TN</v>
          </cell>
          <cell r="O343" t="str">
            <v>FORTANKS</v>
          </cell>
          <cell r="P343" t="str">
            <v>01</v>
          </cell>
          <cell r="Q343" t="str">
            <v>Gean</v>
          </cell>
          <cell r="R343">
            <v>45220</v>
          </cell>
          <cell r="S343">
            <v>0.39583333333333331</v>
          </cell>
          <cell r="T343">
            <v>0.38583333333333331</v>
          </cell>
          <cell r="U343" t="str">
            <v>X</v>
          </cell>
          <cell r="V343">
            <v>0.39583333333333331</v>
          </cell>
          <cell r="W343">
            <v>51.88</v>
          </cell>
          <cell r="X343">
            <v>51.93</v>
          </cell>
          <cell r="Y343">
            <v>0.41666666666666669</v>
          </cell>
          <cell r="Z343">
            <v>91.92</v>
          </cell>
          <cell r="AA343">
            <v>92.08</v>
          </cell>
          <cell r="AW343">
            <v>4</v>
          </cell>
          <cell r="AX343">
            <v>4</v>
          </cell>
          <cell r="AY343">
            <v>4</v>
          </cell>
          <cell r="AZ343">
            <v>4</v>
          </cell>
          <cell r="BA343" t="str">
            <v>VALE</v>
          </cell>
          <cell r="BB343">
            <v>45221</v>
          </cell>
          <cell r="BG343">
            <v>45220</v>
          </cell>
        </row>
        <row r="344">
          <cell r="A344">
            <v>731</v>
          </cell>
          <cell r="B344">
            <v>351</v>
          </cell>
          <cell r="C344" t="str">
            <v>PN-53(E1)  /  PN-54(E1)</v>
          </cell>
          <cell r="D344">
            <v>6</v>
          </cell>
          <cell r="E344">
            <v>40</v>
          </cell>
          <cell r="F344">
            <v>24</v>
          </cell>
          <cell r="G344">
            <v>40</v>
          </cell>
          <cell r="H344">
            <v>0</v>
          </cell>
          <cell r="I344" t="str">
            <v>-</v>
          </cell>
          <cell r="J344" t="str">
            <v>670/670</v>
          </cell>
          <cell r="K344" t="str">
            <v xml:space="preserve">CPIII 40 RS </v>
          </cell>
          <cell r="L344" t="str">
            <v>CP V</v>
          </cell>
          <cell r="M344" t="str">
            <v>SUPER PLASTIFICANTE</v>
          </cell>
          <cell r="N344" t="str">
            <v>PATIO K - TANQUES RA500TN/ RA501TN/ RA502TN/ RA503TN</v>
          </cell>
          <cell r="O344" t="str">
            <v>FORTANKS</v>
          </cell>
          <cell r="P344" t="str">
            <v>02</v>
          </cell>
          <cell r="Q344" t="str">
            <v>Gean</v>
          </cell>
          <cell r="R344">
            <v>45220</v>
          </cell>
          <cell r="S344">
            <v>0.40625</v>
          </cell>
          <cell r="T344">
            <v>0.39624999999999999</v>
          </cell>
          <cell r="U344" t="str">
            <v>X</v>
          </cell>
          <cell r="V344">
            <v>0.39583333333333331</v>
          </cell>
          <cell r="W344">
            <v>50.7</v>
          </cell>
          <cell r="X344">
            <v>48.14</v>
          </cell>
          <cell r="Y344">
            <v>0.41666666666666669</v>
          </cell>
          <cell r="Z344">
            <v>90.99</v>
          </cell>
          <cell r="AA344">
            <v>90.296823000000003</v>
          </cell>
          <cell r="AW344">
            <v>4</v>
          </cell>
          <cell r="AX344">
            <v>4</v>
          </cell>
          <cell r="AY344">
            <v>4</v>
          </cell>
          <cell r="AZ344">
            <v>4</v>
          </cell>
          <cell r="BA344" t="str">
            <v>VALE</v>
          </cell>
          <cell r="BB344">
            <v>45221</v>
          </cell>
          <cell r="BG344">
            <v>45220</v>
          </cell>
        </row>
        <row r="345">
          <cell r="A345">
            <v>732</v>
          </cell>
          <cell r="B345">
            <v>352</v>
          </cell>
          <cell r="C345" t="str">
            <v>PN-38(T1) (50%)  / PN-41(T1) / PN-60(T1)</v>
          </cell>
          <cell r="D345">
            <v>7</v>
          </cell>
          <cell r="E345">
            <v>40</v>
          </cell>
          <cell r="F345">
            <v>24</v>
          </cell>
          <cell r="G345">
            <v>40</v>
          </cell>
          <cell r="H345">
            <v>0</v>
          </cell>
          <cell r="I345" t="str">
            <v>-</v>
          </cell>
          <cell r="J345" t="str">
            <v>670/670</v>
          </cell>
          <cell r="K345" t="str">
            <v xml:space="preserve">CPIII 40 RS </v>
          </cell>
          <cell r="L345" t="str">
            <v>CP V</v>
          </cell>
          <cell r="M345" t="str">
            <v>SUPER PLASTIFICANTE</v>
          </cell>
          <cell r="N345" t="str">
            <v>PATIO K - TANQUES RA500TN/ RA501TN/ RA502TN/ RA503TN</v>
          </cell>
          <cell r="O345" t="str">
            <v>FORTANKS</v>
          </cell>
          <cell r="P345" t="str">
            <v>01</v>
          </cell>
          <cell r="Q345" t="str">
            <v>Gean</v>
          </cell>
          <cell r="R345">
            <v>45220</v>
          </cell>
          <cell r="S345">
            <v>0.44791666666666669</v>
          </cell>
          <cell r="T345">
            <v>0.43791666666666668</v>
          </cell>
          <cell r="U345" t="str">
            <v>X</v>
          </cell>
          <cell r="V345">
            <v>0.40625</v>
          </cell>
          <cell r="W345">
            <v>51.25</v>
          </cell>
          <cell r="X345">
            <v>50.72</v>
          </cell>
          <cell r="Y345">
            <v>0.41666666666666669</v>
          </cell>
          <cell r="Z345">
            <v>92.35</v>
          </cell>
          <cell r="AA345">
            <v>91.03</v>
          </cell>
          <cell r="AW345">
            <v>4</v>
          </cell>
          <cell r="AX345">
            <v>3</v>
          </cell>
          <cell r="AY345">
            <v>4</v>
          </cell>
          <cell r="AZ345">
            <v>4</v>
          </cell>
          <cell r="BA345" t="str">
            <v>VALE</v>
          </cell>
          <cell r="BB345">
            <v>45221</v>
          </cell>
          <cell r="BG345">
            <v>45220</v>
          </cell>
        </row>
        <row r="346">
          <cell r="A346">
            <v>733</v>
          </cell>
          <cell r="B346">
            <v>353</v>
          </cell>
          <cell r="C346" t="str">
            <v>PN-38(T1) (50%)/  PE-40(D1aD9) /   PE-34(D1aD9)</v>
          </cell>
          <cell r="D346">
            <v>7</v>
          </cell>
          <cell r="E346">
            <v>40</v>
          </cell>
          <cell r="F346">
            <v>24</v>
          </cell>
          <cell r="G346">
            <v>40</v>
          </cell>
          <cell r="H346">
            <v>0</v>
          </cell>
          <cell r="I346" t="str">
            <v>-</v>
          </cell>
          <cell r="J346" t="str">
            <v>680/660</v>
          </cell>
          <cell r="K346" t="str">
            <v xml:space="preserve">CPIII 40 RS </v>
          </cell>
          <cell r="L346" t="str">
            <v>CP V</v>
          </cell>
          <cell r="M346" t="str">
            <v>SUPER PLASTIFICANTE</v>
          </cell>
          <cell r="N346" t="str">
            <v>PATIO K - TANQUES RA500TN/ RA501TN/ RA502TN/ RA503TN</v>
          </cell>
          <cell r="O346" t="str">
            <v>FORTANKS</v>
          </cell>
          <cell r="P346" t="str">
            <v>02</v>
          </cell>
          <cell r="Q346" t="str">
            <v>Gean</v>
          </cell>
          <cell r="R346">
            <v>45220</v>
          </cell>
          <cell r="S346">
            <v>0.46875</v>
          </cell>
          <cell r="T346">
            <v>0.45874999999999999</v>
          </cell>
          <cell r="U346" t="str">
            <v>X</v>
          </cell>
          <cell r="V346">
            <v>0.40972222222222227</v>
          </cell>
          <cell r="W346">
            <v>47.36</v>
          </cell>
          <cell r="X346">
            <v>48.16</v>
          </cell>
          <cell r="Y346">
            <v>0.41666666666666669</v>
          </cell>
          <cell r="Z346">
            <v>92.84</v>
          </cell>
          <cell r="AA346">
            <v>90.7</v>
          </cell>
          <cell r="AW346">
            <v>4</v>
          </cell>
          <cell r="AX346">
            <v>4</v>
          </cell>
          <cell r="AY346">
            <v>3</v>
          </cell>
          <cell r="AZ346">
            <v>4</v>
          </cell>
          <cell r="BA346" t="str">
            <v>VALE</v>
          </cell>
          <cell r="BB346">
            <v>45221</v>
          </cell>
          <cell r="BG346">
            <v>45220</v>
          </cell>
        </row>
        <row r="347">
          <cell r="A347">
            <v>734</v>
          </cell>
          <cell r="B347">
            <v>354</v>
          </cell>
          <cell r="C347" t="str">
            <v>PN-184(E1)  /  PN-186(E1)</v>
          </cell>
          <cell r="D347">
            <v>6</v>
          </cell>
          <cell r="E347">
            <v>40</v>
          </cell>
          <cell r="F347">
            <v>24</v>
          </cell>
          <cell r="G347">
            <v>40</v>
          </cell>
          <cell r="H347">
            <v>0</v>
          </cell>
          <cell r="I347" t="str">
            <v>-</v>
          </cell>
          <cell r="J347" t="str">
            <v>660/670</v>
          </cell>
          <cell r="K347" t="str">
            <v xml:space="preserve">CPIII 40 RS </v>
          </cell>
          <cell r="L347" t="str">
            <v>CP V</v>
          </cell>
          <cell r="M347" t="str">
            <v>SUPER PLASTIFICANTE</v>
          </cell>
          <cell r="N347" t="str">
            <v>PATIO K - TANQUES RA500TN/ RA501TN/ RA502TN/ RA503TN</v>
          </cell>
          <cell r="O347" t="str">
            <v>FORTANKS</v>
          </cell>
          <cell r="P347" t="str">
            <v>01</v>
          </cell>
          <cell r="Q347" t="str">
            <v>Gean</v>
          </cell>
          <cell r="R347">
            <v>45222</v>
          </cell>
          <cell r="S347">
            <v>0.61805555555555558</v>
          </cell>
          <cell r="T347">
            <v>0.60805555555555557</v>
          </cell>
          <cell r="U347" t="str">
            <v>X</v>
          </cell>
          <cell r="V347">
            <v>0.39583333333333331</v>
          </cell>
          <cell r="W347">
            <v>28.1</v>
          </cell>
          <cell r="X347">
            <v>28.85</v>
          </cell>
          <cell r="Y347">
            <v>0.41666666666666669</v>
          </cell>
          <cell r="Z347">
            <v>92.96</v>
          </cell>
          <cell r="AA347">
            <v>92.38</v>
          </cell>
          <cell r="AW347">
            <v>4</v>
          </cell>
          <cell r="AX347">
            <v>3</v>
          </cell>
          <cell r="AY347">
            <v>4</v>
          </cell>
          <cell r="AZ347">
            <v>4</v>
          </cell>
          <cell r="BA347" t="str">
            <v>VALE</v>
          </cell>
          <cell r="BB347">
            <v>45223</v>
          </cell>
          <cell r="BG347">
            <v>45222</v>
          </cell>
        </row>
        <row r="348">
          <cell r="A348">
            <v>735</v>
          </cell>
          <cell r="B348">
            <v>355</v>
          </cell>
          <cell r="C348" t="str">
            <v>PN-175(E1)  /  PN-178(E1)</v>
          </cell>
          <cell r="D348">
            <v>6</v>
          </cell>
          <cell r="E348">
            <v>40</v>
          </cell>
          <cell r="F348">
            <v>24</v>
          </cell>
          <cell r="G348">
            <v>40</v>
          </cell>
          <cell r="H348">
            <v>0</v>
          </cell>
          <cell r="I348" t="str">
            <v>-</v>
          </cell>
          <cell r="J348" t="str">
            <v>660/660</v>
          </cell>
          <cell r="K348" t="str">
            <v xml:space="preserve">CPIII 40 RS </v>
          </cell>
          <cell r="L348" t="str">
            <v>CP V</v>
          </cell>
          <cell r="M348" t="str">
            <v>SUPER PLASTIFICANTE</v>
          </cell>
          <cell r="N348" t="str">
            <v>PATIO K - TANQUES RA500TN/ RA501TN/ RA502TN/ RA503TN</v>
          </cell>
          <cell r="O348" t="str">
            <v>FORTANKS</v>
          </cell>
          <cell r="P348" t="str">
            <v>02</v>
          </cell>
          <cell r="Q348" t="str">
            <v>Gean</v>
          </cell>
          <cell r="R348">
            <v>45222</v>
          </cell>
          <cell r="S348">
            <v>0.63541666666666663</v>
          </cell>
          <cell r="T348">
            <v>0.62541666666666662</v>
          </cell>
          <cell r="U348" t="str">
            <v>X</v>
          </cell>
          <cell r="V348">
            <v>0.38194444444444442</v>
          </cell>
          <cell r="W348">
            <v>27.33</v>
          </cell>
          <cell r="X348">
            <v>26.48</v>
          </cell>
          <cell r="Y348">
            <v>0.41666666666666669</v>
          </cell>
          <cell r="Z348">
            <v>90.76</v>
          </cell>
          <cell r="AA348">
            <v>89.68</v>
          </cell>
          <cell r="AW348">
            <v>4</v>
          </cell>
          <cell r="AX348">
            <v>4</v>
          </cell>
          <cell r="AY348">
            <v>3</v>
          </cell>
          <cell r="AZ348">
            <v>3</v>
          </cell>
          <cell r="BA348" t="str">
            <v>VALE</v>
          </cell>
          <cell r="BB348">
            <v>45223</v>
          </cell>
          <cell r="BG348">
            <v>45222</v>
          </cell>
        </row>
        <row r="349">
          <cell r="A349">
            <v>736</v>
          </cell>
          <cell r="B349">
            <v>356</v>
          </cell>
          <cell r="C349" t="str">
            <v>PN-194(T1) 50%  /  PN-197(T1) / PN-200(T1)</v>
          </cell>
          <cell r="D349">
            <v>6</v>
          </cell>
          <cell r="E349">
            <v>40</v>
          </cell>
          <cell r="F349">
            <v>24</v>
          </cell>
          <cell r="G349">
            <v>40</v>
          </cell>
          <cell r="H349">
            <v>0</v>
          </cell>
          <cell r="I349" t="str">
            <v>-</v>
          </cell>
          <cell r="J349" t="str">
            <v>650/670</v>
          </cell>
          <cell r="K349" t="str">
            <v xml:space="preserve">CPIII 40 RS </v>
          </cell>
          <cell r="L349" t="str">
            <v>CP V</v>
          </cell>
          <cell r="M349" t="str">
            <v>SUPER PLASTIFICANTE</v>
          </cell>
          <cell r="N349" t="str">
            <v>PATIO K - TANQUES RA500TN/ RA501TN/ RA502TN/ RA503TN</v>
          </cell>
          <cell r="O349" t="str">
            <v>FORTANKS</v>
          </cell>
          <cell r="P349" t="str">
            <v>01</v>
          </cell>
          <cell r="Q349" t="str">
            <v>Gean</v>
          </cell>
          <cell r="R349">
            <v>45222</v>
          </cell>
          <cell r="S349">
            <v>0.64236111111111105</v>
          </cell>
          <cell r="T349">
            <v>0.63236111111111104</v>
          </cell>
          <cell r="U349" t="str">
            <v>X</v>
          </cell>
          <cell r="V349">
            <v>0.40625</v>
          </cell>
          <cell r="W349">
            <v>31.66</v>
          </cell>
          <cell r="X349">
            <v>31.46</v>
          </cell>
          <cell r="Y349">
            <v>0.41666666666666669</v>
          </cell>
          <cell r="Z349">
            <v>91.15</v>
          </cell>
          <cell r="AA349">
            <v>92.49</v>
          </cell>
          <cell r="AW349">
            <v>3</v>
          </cell>
          <cell r="AX349">
            <v>3</v>
          </cell>
          <cell r="AY349">
            <v>3</v>
          </cell>
          <cell r="AZ349">
            <v>3</v>
          </cell>
          <cell r="BA349" t="str">
            <v>VALE</v>
          </cell>
          <cell r="BB349">
            <v>45223</v>
          </cell>
          <cell r="BG349">
            <v>45222</v>
          </cell>
        </row>
        <row r="350">
          <cell r="A350">
            <v>737</v>
          </cell>
          <cell r="B350">
            <v>357</v>
          </cell>
          <cell r="C350" t="str">
            <v>PN-194(T1) 50%  /  PE-176(D1aD9) / PE-170(D1aD9)</v>
          </cell>
          <cell r="D350">
            <v>7</v>
          </cell>
          <cell r="E350">
            <v>40</v>
          </cell>
          <cell r="F350">
            <v>24</v>
          </cell>
          <cell r="G350">
            <v>40</v>
          </cell>
          <cell r="H350">
            <v>0</v>
          </cell>
          <cell r="I350" t="str">
            <v>-</v>
          </cell>
          <cell r="J350" t="str">
            <v>670/670</v>
          </cell>
          <cell r="K350" t="str">
            <v xml:space="preserve">CPIII 40 RS </v>
          </cell>
          <cell r="L350" t="str">
            <v>CP V</v>
          </cell>
          <cell r="M350" t="str">
            <v>SUPER PLASTIFICANTE</v>
          </cell>
          <cell r="N350" t="str">
            <v>PATIO K - TANQUES RA500TN/ RA501TN/ RA502TN/ RA503TN</v>
          </cell>
          <cell r="O350" t="str">
            <v>FORTANKS</v>
          </cell>
          <cell r="P350" t="str">
            <v>02</v>
          </cell>
          <cell r="Q350" t="str">
            <v>Gean</v>
          </cell>
          <cell r="R350">
            <v>45222</v>
          </cell>
          <cell r="S350">
            <v>0.67708333333333337</v>
          </cell>
          <cell r="T350">
            <v>0.66708333333333336</v>
          </cell>
          <cell r="U350" t="str">
            <v>X</v>
          </cell>
          <cell r="V350">
            <v>0.54166666666666663</v>
          </cell>
          <cell r="W350">
            <v>28.53</v>
          </cell>
          <cell r="X350">
            <v>28.15</v>
          </cell>
          <cell r="Y350">
            <v>0.41666666666666669</v>
          </cell>
          <cell r="Z350">
            <v>90.2</v>
          </cell>
          <cell r="AA350">
            <v>91.02</v>
          </cell>
          <cell r="AW350">
            <v>4</v>
          </cell>
          <cell r="AX350">
            <v>4</v>
          </cell>
          <cell r="AY350">
            <v>4</v>
          </cell>
          <cell r="AZ350">
            <v>4</v>
          </cell>
          <cell r="BA350" t="str">
            <v>VALE</v>
          </cell>
          <cell r="BB350">
            <v>45223</v>
          </cell>
          <cell r="BG350">
            <v>45222</v>
          </cell>
        </row>
        <row r="351">
          <cell r="A351">
            <v>738</v>
          </cell>
          <cell r="B351">
            <v>358</v>
          </cell>
          <cell r="C351" t="str">
            <v>PN-65(E1)  / PN-68(E1)</v>
          </cell>
          <cell r="D351">
            <v>6</v>
          </cell>
          <cell r="E351">
            <v>40</v>
          </cell>
          <cell r="F351">
            <v>24</v>
          </cell>
          <cell r="G351">
            <v>40</v>
          </cell>
          <cell r="H351">
            <v>0</v>
          </cell>
          <cell r="I351" t="str">
            <v>-</v>
          </cell>
          <cell r="J351" t="str">
            <v>670/670</v>
          </cell>
          <cell r="K351" t="str">
            <v xml:space="preserve">CPIII 40 RS </v>
          </cell>
          <cell r="L351" t="str">
            <v>CP V</v>
          </cell>
          <cell r="M351" t="str">
            <v>SUPER PLASTIFICANTE</v>
          </cell>
          <cell r="N351" t="str">
            <v>PATIO K - TANQUES RA500TN/ RA501TN/ RA502TN/ RA503TN</v>
          </cell>
          <cell r="O351" t="str">
            <v>FORTANKS</v>
          </cell>
          <cell r="P351" t="str">
            <v>01</v>
          </cell>
          <cell r="Q351" t="str">
            <v>Gean</v>
          </cell>
          <cell r="R351">
            <v>45223</v>
          </cell>
          <cell r="S351">
            <v>0.59722222222222221</v>
          </cell>
          <cell r="T351">
            <v>0.5872222222222222</v>
          </cell>
          <cell r="U351" t="str">
            <v>X</v>
          </cell>
          <cell r="V351">
            <v>0.39583333333333331</v>
          </cell>
          <cell r="W351">
            <v>26.07</v>
          </cell>
          <cell r="X351">
            <v>25.22</v>
          </cell>
          <cell r="Y351">
            <v>0.41666666666666669</v>
          </cell>
          <cell r="Z351">
            <v>91.29</v>
          </cell>
          <cell r="AA351">
            <v>92.13</v>
          </cell>
          <cell r="AW351">
            <v>4</v>
          </cell>
          <cell r="AX351">
            <v>3</v>
          </cell>
          <cell r="AY351">
            <v>4</v>
          </cell>
          <cell r="AZ351">
            <v>4</v>
          </cell>
          <cell r="BA351" t="str">
            <v>VALE</v>
          </cell>
          <cell r="BB351">
            <v>45224</v>
          </cell>
          <cell r="BG351">
            <v>45223</v>
          </cell>
        </row>
        <row r="352">
          <cell r="A352">
            <v>739</v>
          </cell>
          <cell r="B352">
            <v>359</v>
          </cell>
          <cell r="C352" t="str">
            <v>PN-52(T1) / PN-63(T1)</v>
          </cell>
          <cell r="D352">
            <v>6</v>
          </cell>
          <cell r="E352">
            <v>40</v>
          </cell>
          <cell r="F352">
            <v>24</v>
          </cell>
          <cell r="G352">
            <v>40</v>
          </cell>
          <cell r="H352">
            <v>0</v>
          </cell>
          <cell r="I352" t="str">
            <v>-</v>
          </cell>
          <cell r="J352" t="str">
            <v>660/670</v>
          </cell>
          <cell r="K352" t="str">
            <v xml:space="preserve">CPIII 40 RS </v>
          </cell>
          <cell r="L352" t="str">
            <v>CP V</v>
          </cell>
          <cell r="M352" t="str">
            <v>SUPER PLASTIFICANTE</v>
          </cell>
          <cell r="N352" t="str">
            <v>PATIO K - TANQUES RA500TN/ RA501TN/ RA502TN/ RA503TN</v>
          </cell>
          <cell r="O352" t="str">
            <v>FORTANKS</v>
          </cell>
          <cell r="P352" t="str">
            <v>02</v>
          </cell>
          <cell r="Q352" t="str">
            <v>Gean</v>
          </cell>
          <cell r="R352">
            <v>45223</v>
          </cell>
          <cell r="S352">
            <v>0.60763888888888895</v>
          </cell>
          <cell r="T352">
            <v>0.59763888888888894</v>
          </cell>
          <cell r="U352" t="str">
            <v>X</v>
          </cell>
          <cell r="V352">
            <v>0.40277777777777773</v>
          </cell>
          <cell r="W352">
            <v>27.98</v>
          </cell>
          <cell r="X352">
            <v>29.65</v>
          </cell>
          <cell r="Y352">
            <v>0.41666666666666669</v>
          </cell>
          <cell r="Z352">
            <v>89.31</v>
          </cell>
          <cell r="AA352">
            <v>86.97</v>
          </cell>
          <cell r="AW352">
            <v>4</v>
          </cell>
          <cell r="AX352">
            <v>4</v>
          </cell>
          <cell r="AY352">
            <v>4</v>
          </cell>
          <cell r="AZ352">
            <v>4</v>
          </cell>
          <cell r="BA352" t="str">
            <v>VALE</v>
          </cell>
          <cell r="BB352">
            <v>45224</v>
          </cell>
          <cell r="BG352">
            <v>45223</v>
          </cell>
        </row>
        <row r="353">
          <cell r="A353">
            <v>740</v>
          </cell>
          <cell r="B353">
            <v>360</v>
          </cell>
          <cell r="C353" t="str">
            <v>PN-55(T1) 50% / PN-58(T1) / PN-61(T1)</v>
          </cell>
          <cell r="D353">
            <v>7</v>
          </cell>
          <cell r="E353">
            <v>40</v>
          </cell>
          <cell r="F353">
            <v>24</v>
          </cell>
          <cell r="G353">
            <v>40</v>
          </cell>
          <cell r="H353">
            <v>0</v>
          </cell>
          <cell r="I353" t="str">
            <v>-</v>
          </cell>
          <cell r="J353" t="str">
            <v>660/650</v>
          </cell>
          <cell r="K353" t="str">
            <v xml:space="preserve">CPIII 40 RS </v>
          </cell>
          <cell r="L353" t="str">
            <v>CP V</v>
          </cell>
          <cell r="M353" t="str">
            <v>SUPER PLASTIFICANTE</v>
          </cell>
          <cell r="N353" t="str">
            <v>PATIO K - TANQUES RA500TN/ RA501TN/ RA502TN/ RA503TN</v>
          </cell>
          <cell r="O353" t="str">
            <v>FORTANKS</v>
          </cell>
          <cell r="P353" t="str">
            <v>01</v>
          </cell>
          <cell r="Q353" t="str">
            <v>Gean</v>
          </cell>
          <cell r="R353">
            <v>45223</v>
          </cell>
          <cell r="S353">
            <v>0.625</v>
          </cell>
          <cell r="T353">
            <v>0.61499999999999999</v>
          </cell>
          <cell r="U353" t="str">
            <v>X</v>
          </cell>
          <cell r="V353">
            <v>0.375</v>
          </cell>
          <cell r="W353">
            <v>29.12</v>
          </cell>
          <cell r="X353">
            <v>25.94</v>
          </cell>
          <cell r="Y353">
            <v>0.41666666666666669</v>
          </cell>
          <cell r="Z353">
            <v>84.86</v>
          </cell>
          <cell r="AA353">
            <v>83.49</v>
          </cell>
          <cell r="AW353">
            <v>4</v>
          </cell>
          <cell r="AX353">
            <v>4</v>
          </cell>
          <cell r="AY353">
            <v>4</v>
          </cell>
          <cell r="AZ353">
            <v>4</v>
          </cell>
          <cell r="BA353" t="str">
            <v>VALE</v>
          </cell>
          <cell r="BB353">
            <v>45224</v>
          </cell>
          <cell r="BG353">
            <v>45223</v>
          </cell>
        </row>
        <row r="354">
          <cell r="A354">
            <v>741</v>
          </cell>
          <cell r="B354">
            <v>361</v>
          </cell>
          <cell r="C354" t="str">
            <v>PN-55(T1) 50% / PE-51(D1aD9) / PE-59(D1aD9)</v>
          </cell>
          <cell r="D354">
            <v>7</v>
          </cell>
          <cell r="E354">
            <v>40</v>
          </cell>
          <cell r="F354">
            <v>24</v>
          </cell>
          <cell r="G354">
            <v>40</v>
          </cell>
          <cell r="H354">
            <v>0</v>
          </cell>
          <cell r="I354" t="str">
            <v>-</v>
          </cell>
          <cell r="J354" t="str">
            <v>670/670</v>
          </cell>
          <cell r="K354" t="str">
            <v xml:space="preserve">CPIII 40 RS </v>
          </cell>
          <cell r="L354" t="str">
            <v>CP V</v>
          </cell>
          <cell r="M354" t="str">
            <v>SUPER PLASTIFICANTE</v>
          </cell>
          <cell r="N354" t="str">
            <v>PATIO K - TANQUES RA500TN/ RA501TN/ RA502TN/ RA503TN</v>
          </cell>
          <cell r="O354" t="str">
            <v>FORTANKS</v>
          </cell>
          <cell r="P354" t="str">
            <v>02</v>
          </cell>
          <cell r="Q354" t="str">
            <v>Gean</v>
          </cell>
          <cell r="R354">
            <v>45223</v>
          </cell>
          <cell r="S354">
            <v>0.41319444444444442</v>
          </cell>
          <cell r="T354">
            <v>0.40319444444444441</v>
          </cell>
          <cell r="U354" t="str">
            <v>X</v>
          </cell>
          <cell r="V354">
            <v>0.41319444444444442</v>
          </cell>
          <cell r="W354">
            <v>28.97</v>
          </cell>
          <cell r="X354">
            <v>30.06</v>
          </cell>
          <cell r="Y354">
            <v>0.41666666666666669</v>
          </cell>
          <cell r="Z354">
            <v>92.7</v>
          </cell>
          <cell r="AA354">
            <v>93.01</v>
          </cell>
          <cell r="AW354">
            <v>4</v>
          </cell>
          <cell r="AX354">
            <v>4</v>
          </cell>
          <cell r="AY354">
            <v>4</v>
          </cell>
          <cell r="AZ354">
            <v>4</v>
          </cell>
          <cell r="BA354" t="str">
            <v>VALE</v>
          </cell>
          <cell r="BB354">
            <v>45224</v>
          </cell>
          <cell r="BG354">
            <v>45223</v>
          </cell>
        </row>
        <row r="355">
          <cell r="A355">
            <v>742</v>
          </cell>
          <cell r="B355">
            <v>362</v>
          </cell>
          <cell r="C355" t="str">
            <v>PN-192(E1) / PN-193(E1)</v>
          </cell>
          <cell r="D355">
            <v>6</v>
          </cell>
          <cell r="E355">
            <v>40</v>
          </cell>
          <cell r="F355">
            <v>24</v>
          </cell>
          <cell r="G355">
            <v>40</v>
          </cell>
          <cell r="H355">
            <v>0</v>
          </cell>
          <cell r="I355" t="str">
            <v>-</v>
          </cell>
          <cell r="J355" t="str">
            <v>660/670</v>
          </cell>
          <cell r="K355" t="str">
            <v xml:space="preserve">CPIII 40 RS </v>
          </cell>
          <cell r="L355" t="str">
            <v>CP V</v>
          </cell>
          <cell r="M355" t="str">
            <v>SUPER PLASTIFICANTE</v>
          </cell>
          <cell r="N355" t="str">
            <v>PATIO K - TANQUES RA500TN/ RA501TN/ RA502TN/ RA503TN</v>
          </cell>
          <cell r="O355" t="str">
            <v>FORTANKS</v>
          </cell>
          <cell r="P355" t="str">
            <v>01</v>
          </cell>
          <cell r="Q355" t="str">
            <v>Gean</v>
          </cell>
          <cell r="R355">
            <v>45225</v>
          </cell>
          <cell r="S355">
            <v>0.58333333333333337</v>
          </cell>
          <cell r="T355">
            <v>0.57333333333333336</v>
          </cell>
          <cell r="U355" t="str">
            <v>X</v>
          </cell>
          <cell r="V355">
            <v>0.3888888888888889</v>
          </cell>
          <cell r="W355">
            <v>33.81</v>
          </cell>
          <cell r="X355">
            <v>36.46</v>
          </cell>
          <cell r="Y355">
            <v>0.41666666666666669</v>
          </cell>
          <cell r="Z355">
            <v>92.48</v>
          </cell>
          <cell r="AA355">
            <v>93.33</v>
          </cell>
          <cell r="AW355">
            <v>4</v>
          </cell>
          <cell r="AX355">
            <v>4</v>
          </cell>
          <cell r="AY355">
            <v>3</v>
          </cell>
          <cell r="AZ355">
            <v>4</v>
          </cell>
          <cell r="BA355" t="str">
            <v>VALE</v>
          </cell>
          <cell r="BB355">
            <v>45226</v>
          </cell>
          <cell r="BG355">
            <v>45225</v>
          </cell>
        </row>
        <row r="356">
          <cell r="A356">
            <v>743</v>
          </cell>
          <cell r="B356">
            <v>363</v>
          </cell>
          <cell r="C356" t="str">
            <v>PN-189(E1)  /  PN-190(E1)</v>
          </cell>
          <cell r="D356">
            <v>6</v>
          </cell>
          <cell r="E356">
            <v>40</v>
          </cell>
          <cell r="F356">
            <v>24</v>
          </cell>
          <cell r="G356">
            <v>40</v>
          </cell>
          <cell r="H356">
            <v>0</v>
          </cell>
          <cell r="I356" t="str">
            <v>-</v>
          </cell>
          <cell r="J356" t="str">
            <v>670/670</v>
          </cell>
          <cell r="K356" t="str">
            <v xml:space="preserve">CPIII 40 RS </v>
          </cell>
          <cell r="L356" t="str">
            <v>CP V</v>
          </cell>
          <cell r="M356" t="str">
            <v>SUPER PLASTIFICANTE</v>
          </cell>
          <cell r="N356" t="str">
            <v>PATIO K - TANQUES RA500TN/ RA501TN/ RA502TN/ RA503TN</v>
          </cell>
          <cell r="O356" t="str">
            <v>FORTANKS</v>
          </cell>
          <cell r="P356" t="str">
            <v>02</v>
          </cell>
          <cell r="Q356" t="str">
            <v>Gean</v>
          </cell>
          <cell r="R356">
            <v>45225</v>
          </cell>
          <cell r="S356">
            <v>0.60416666666666663</v>
          </cell>
          <cell r="T356">
            <v>0.59416666666666662</v>
          </cell>
          <cell r="U356" t="str">
            <v>X</v>
          </cell>
          <cell r="V356">
            <v>0.60416666666666663</v>
          </cell>
          <cell r="W356">
            <v>33.549999999999997</v>
          </cell>
          <cell r="X356">
            <v>32.880000000000003</v>
          </cell>
          <cell r="Y356">
            <v>0.41666666666666669</v>
          </cell>
          <cell r="Z356">
            <v>95.31</v>
          </cell>
          <cell r="AA356">
            <v>96.55</v>
          </cell>
          <cell r="AW356">
            <v>3</v>
          </cell>
          <cell r="AX356">
            <v>4</v>
          </cell>
          <cell r="AY356">
            <v>4</v>
          </cell>
          <cell r="AZ356">
            <v>4</v>
          </cell>
          <cell r="BA356" t="str">
            <v>VALE</v>
          </cell>
          <cell r="BB356">
            <v>45226</v>
          </cell>
          <cell r="BG356">
            <v>45225</v>
          </cell>
        </row>
        <row r="357">
          <cell r="A357">
            <v>744</v>
          </cell>
          <cell r="B357">
            <v>364</v>
          </cell>
          <cell r="C357" t="str">
            <v>PN-203(T1) 20% / PN-206(T1)  / PN-209(T1)</v>
          </cell>
          <cell r="D357">
            <v>6</v>
          </cell>
          <cell r="E357">
            <v>40</v>
          </cell>
          <cell r="F357">
            <v>24</v>
          </cell>
          <cell r="G357">
            <v>40</v>
          </cell>
          <cell r="H357">
            <v>0</v>
          </cell>
          <cell r="I357" t="str">
            <v>-</v>
          </cell>
          <cell r="J357" t="str">
            <v>660/660</v>
          </cell>
          <cell r="K357" t="str">
            <v xml:space="preserve">CPIII 40 RS </v>
          </cell>
          <cell r="L357" t="str">
            <v>CP V</v>
          </cell>
          <cell r="M357" t="str">
            <v>SUPER PLASTIFICANTE</v>
          </cell>
          <cell r="N357" t="str">
            <v>PATIO K - TANQUES RA500TN/ RA501TN/ RA502TN/ RA503TN</v>
          </cell>
          <cell r="O357" t="str">
            <v>FORTANKS</v>
          </cell>
          <cell r="P357" t="str">
            <v>01</v>
          </cell>
          <cell r="Q357" t="str">
            <v>Gean</v>
          </cell>
          <cell r="R357">
            <v>45225</v>
          </cell>
          <cell r="S357">
            <v>0.65972222222222221</v>
          </cell>
          <cell r="T357">
            <v>0.6497222222222222</v>
          </cell>
          <cell r="U357" t="str">
            <v>X</v>
          </cell>
          <cell r="V357">
            <v>0.40277777777777773</v>
          </cell>
          <cell r="W357">
            <v>28.92</v>
          </cell>
          <cell r="X357">
            <v>29.01</v>
          </cell>
          <cell r="Y357">
            <v>0.41666666666666669</v>
          </cell>
          <cell r="Z357">
            <v>90.27</v>
          </cell>
          <cell r="AA357">
            <v>89.1</v>
          </cell>
          <cell r="AW357">
            <v>4</v>
          </cell>
          <cell r="AX357">
            <v>4</v>
          </cell>
          <cell r="AY357">
            <v>4</v>
          </cell>
          <cell r="AZ357">
            <v>4</v>
          </cell>
          <cell r="BA357" t="str">
            <v>VALE</v>
          </cell>
          <cell r="BB357">
            <v>45226</v>
          </cell>
          <cell r="BG357">
            <v>45225</v>
          </cell>
        </row>
        <row r="358">
          <cell r="A358">
            <v>745</v>
          </cell>
          <cell r="B358">
            <v>365</v>
          </cell>
          <cell r="C358" t="str">
            <v>PN-203(T1) 80% / PE-195(D1aD9)  / PE-187(D1aD9)</v>
          </cell>
          <cell r="D358">
            <v>7</v>
          </cell>
          <cell r="E358">
            <v>40</v>
          </cell>
          <cell r="F358">
            <v>24</v>
          </cell>
          <cell r="G358">
            <v>40</v>
          </cell>
          <cell r="H358">
            <v>0</v>
          </cell>
          <cell r="I358" t="str">
            <v>-</v>
          </cell>
          <cell r="J358" t="str">
            <v>660/670</v>
          </cell>
          <cell r="K358" t="str">
            <v xml:space="preserve">CPIII 40 RS </v>
          </cell>
          <cell r="L358" t="str">
            <v>CP V</v>
          </cell>
          <cell r="M358" t="str">
            <v>SUPER PLASTIFICANTE</v>
          </cell>
          <cell r="N358" t="str">
            <v>PATIO K - TANQUES RA500TN/ RA501TN/ RA502TN/ RA503TN</v>
          </cell>
          <cell r="O358" t="str">
            <v>FORTANKS</v>
          </cell>
          <cell r="P358" t="str">
            <v>02</v>
          </cell>
          <cell r="Q358" t="str">
            <v>Gean</v>
          </cell>
          <cell r="R358">
            <v>45225</v>
          </cell>
          <cell r="S358">
            <v>0.66666666666666663</v>
          </cell>
          <cell r="T358">
            <v>0.65666666666666662</v>
          </cell>
          <cell r="U358" t="str">
            <v>X</v>
          </cell>
          <cell r="V358">
            <v>0.40277777777777773</v>
          </cell>
          <cell r="W358">
            <v>26.53</v>
          </cell>
          <cell r="X358">
            <v>27.4</v>
          </cell>
          <cell r="Y358">
            <v>0.41666666666666669</v>
          </cell>
          <cell r="Z358">
            <v>89.76</v>
          </cell>
          <cell r="AA358">
            <v>89.59</v>
          </cell>
          <cell r="AW358">
            <v>4</v>
          </cell>
          <cell r="AX358">
            <v>4</v>
          </cell>
          <cell r="AY358">
            <v>4</v>
          </cell>
          <cell r="AZ358">
            <v>4</v>
          </cell>
          <cell r="BA358" t="str">
            <v>VALE</v>
          </cell>
          <cell r="BB358">
            <v>45226</v>
          </cell>
          <cell r="BG358">
            <v>45225</v>
          </cell>
        </row>
        <row r="359">
          <cell r="A359">
            <v>746</v>
          </cell>
          <cell r="B359">
            <v>366</v>
          </cell>
          <cell r="C359" t="str">
            <v>PN-72(E1)  / PN-75(E1)</v>
          </cell>
          <cell r="D359">
            <v>6</v>
          </cell>
          <cell r="E359">
            <v>40</v>
          </cell>
          <cell r="F359">
            <v>24</v>
          </cell>
          <cell r="G359">
            <v>40</v>
          </cell>
          <cell r="H359">
            <v>0</v>
          </cell>
          <cell r="I359" t="str">
            <v>-</v>
          </cell>
          <cell r="J359" t="str">
            <v>650/670</v>
          </cell>
          <cell r="K359" t="str">
            <v xml:space="preserve">CPIII 40 RS </v>
          </cell>
          <cell r="L359" t="str">
            <v>CP V</v>
          </cell>
          <cell r="M359" t="str">
            <v>SUPER PLASTIFICANTE</v>
          </cell>
          <cell r="N359" t="str">
            <v>PATIO K - TANQUES RA500TN/ RA501TN/ RA502TN/ RA503TN</v>
          </cell>
          <cell r="O359" t="str">
            <v>FORTANKS</v>
          </cell>
          <cell r="P359" t="str">
            <v>01</v>
          </cell>
          <cell r="Q359" t="str">
            <v>Gean</v>
          </cell>
          <cell r="R359">
            <v>45226</v>
          </cell>
          <cell r="S359">
            <v>0.40972222222222227</v>
          </cell>
          <cell r="T359">
            <v>0.39972222222222226</v>
          </cell>
          <cell r="U359" t="str">
            <v>X</v>
          </cell>
          <cell r="V359">
            <v>0.375</v>
          </cell>
          <cell r="W359">
            <v>36.19</v>
          </cell>
          <cell r="X359">
            <v>35.979999999999997</v>
          </cell>
          <cell r="Y359">
            <v>0.41666666666666669</v>
          </cell>
          <cell r="Z359">
            <v>94.02</v>
          </cell>
          <cell r="AA359">
            <v>91.97</v>
          </cell>
          <cell r="AW359">
            <v>4</v>
          </cell>
          <cell r="AX359">
            <v>4</v>
          </cell>
          <cell r="AY359">
            <v>4</v>
          </cell>
          <cell r="AZ359">
            <v>4</v>
          </cell>
          <cell r="BA359" t="str">
            <v>VALE</v>
          </cell>
          <cell r="BB359">
            <v>45227</v>
          </cell>
          <cell r="BG359">
            <v>45226</v>
          </cell>
        </row>
        <row r="360">
          <cell r="A360">
            <v>747</v>
          </cell>
          <cell r="B360">
            <v>367</v>
          </cell>
          <cell r="C360" t="str">
            <v>PN-69(E1)  / PN-71(E1)</v>
          </cell>
          <cell r="D360">
            <v>6</v>
          </cell>
          <cell r="E360">
            <v>40</v>
          </cell>
          <cell r="F360">
            <v>24</v>
          </cell>
          <cell r="G360">
            <v>40</v>
          </cell>
          <cell r="H360">
            <v>0</v>
          </cell>
          <cell r="I360" t="str">
            <v>-</v>
          </cell>
          <cell r="J360" t="str">
            <v>670/660</v>
          </cell>
          <cell r="K360" t="str">
            <v xml:space="preserve">CPIII 40 RS </v>
          </cell>
          <cell r="L360" t="str">
            <v>CP V</v>
          </cell>
          <cell r="M360" t="str">
            <v>SUPER PLASTIFICANTE</v>
          </cell>
          <cell r="N360" t="str">
            <v>PATIO K - TANQUES RA500TN/ RA501TN/ RA502TN/ RA503TN</v>
          </cell>
          <cell r="O360" t="str">
            <v>FORTANKS</v>
          </cell>
          <cell r="P360" t="str">
            <v>02</v>
          </cell>
          <cell r="Q360" t="str">
            <v>Gean</v>
          </cell>
          <cell r="R360">
            <v>45226</v>
          </cell>
          <cell r="S360">
            <v>0.41666666666666669</v>
          </cell>
          <cell r="T360">
            <v>0.40666666666666668</v>
          </cell>
          <cell r="U360" t="str">
            <v>X</v>
          </cell>
          <cell r="V360">
            <v>0.38194444444444442</v>
          </cell>
          <cell r="W360">
            <v>31.42</v>
          </cell>
          <cell r="X360">
            <v>32.549999999999997</v>
          </cell>
          <cell r="Y360">
            <v>0.41666666666666669</v>
          </cell>
          <cell r="Z360">
            <v>92.61</v>
          </cell>
          <cell r="AA360">
            <v>91.43</v>
          </cell>
          <cell r="AW360">
            <v>3</v>
          </cell>
          <cell r="AX360">
            <v>3</v>
          </cell>
          <cell r="AY360">
            <v>3</v>
          </cell>
          <cell r="AZ360">
            <v>4</v>
          </cell>
          <cell r="BA360" t="str">
            <v>VALE</v>
          </cell>
          <cell r="BB360">
            <v>45227</v>
          </cell>
          <cell r="BG360">
            <v>45226</v>
          </cell>
        </row>
        <row r="361">
          <cell r="A361">
            <v>748</v>
          </cell>
          <cell r="B361">
            <v>368</v>
          </cell>
          <cell r="C361" t="str">
            <v>PN-64(T1) 50% / PN-67(T1)  / PN-70(T1)</v>
          </cell>
          <cell r="D361">
            <v>7</v>
          </cell>
          <cell r="E361">
            <v>40</v>
          </cell>
          <cell r="F361">
            <v>24</v>
          </cell>
          <cell r="G361">
            <v>40</v>
          </cell>
          <cell r="H361">
            <v>0</v>
          </cell>
          <cell r="I361" t="str">
            <v>-</v>
          </cell>
          <cell r="J361" t="str">
            <v>660/660</v>
          </cell>
          <cell r="K361" t="str">
            <v xml:space="preserve">CPIII 40 RS </v>
          </cell>
          <cell r="L361" t="str">
            <v>CP V</v>
          </cell>
          <cell r="M361" t="str">
            <v>SUPER PLASTIFICANTE</v>
          </cell>
          <cell r="N361" t="str">
            <v>PATIO K - TANQUES RA500TN/ RA501TN/ RA502TN/ RA503TN</v>
          </cell>
          <cell r="O361" t="str">
            <v>FORTANKS</v>
          </cell>
          <cell r="P361" t="str">
            <v>01</v>
          </cell>
          <cell r="Q361" t="str">
            <v>Gean</v>
          </cell>
          <cell r="R361">
            <v>45226</v>
          </cell>
          <cell r="S361">
            <v>0.46875</v>
          </cell>
          <cell r="T361">
            <v>0.45874999999999999</v>
          </cell>
          <cell r="U361" t="str">
            <v>X</v>
          </cell>
          <cell r="V361">
            <v>0.3888888888888889</v>
          </cell>
          <cell r="W361">
            <v>29.27</v>
          </cell>
          <cell r="X361">
            <v>27.41</v>
          </cell>
          <cell r="Y361">
            <v>0.41666666666666669</v>
          </cell>
          <cell r="Z361">
            <v>75.989999999999995</v>
          </cell>
          <cell r="AA361">
            <v>75.150000000000006</v>
          </cell>
          <cell r="AW361">
            <v>4</v>
          </cell>
          <cell r="AX361">
            <v>4</v>
          </cell>
          <cell r="AY361">
            <v>4</v>
          </cell>
          <cell r="AZ361">
            <v>4</v>
          </cell>
          <cell r="BA361" t="str">
            <v>VALE</v>
          </cell>
          <cell r="BB361">
            <v>45227</v>
          </cell>
          <cell r="BG361">
            <v>45226</v>
          </cell>
        </row>
        <row r="362">
          <cell r="A362">
            <v>749</v>
          </cell>
          <cell r="B362">
            <v>369</v>
          </cell>
          <cell r="C362" t="str">
            <v>PN-64(T1) 50% / PE-66(D1aD9) / PE-81(D1aD9)</v>
          </cell>
          <cell r="D362">
            <v>7</v>
          </cell>
          <cell r="E362">
            <v>40</v>
          </cell>
          <cell r="F362">
            <v>24</v>
          </cell>
          <cell r="G362">
            <v>40</v>
          </cell>
          <cell r="H362">
            <v>0</v>
          </cell>
          <cell r="I362" t="str">
            <v>-</v>
          </cell>
          <cell r="J362" t="str">
            <v>660/650</v>
          </cell>
          <cell r="K362" t="str">
            <v xml:space="preserve">CPIII 40 RS </v>
          </cell>
          <cell r="L362" t="str">
            <v>CP V</v>
          </cell>
          <cell r="M362" t="str">
            <v>SUPER PLASTIFICANTE</v>
          </cell>
          <cell r="N362" t="str">
            <v>PATIO K - TANQUES RA500TN/ RA501TN/ RA502TN/ RA503TN</v>
          </cell>
          <cell r="O362" t="str">
            <v>FORTANKS</v>
          </cell>
          <cell r="P362" t="str">
            <v>02</v>
          </cell>
          <cell r="Q362" t="str">
            <v>Gean</v>
          </cell>
          <cell r="R362">
            <v>45226</v>
          </cell>
          <cell r="S362">
            <v>0.4861111111111111</v>
          </cell>
          <cell r="T362">
            <v>0.4761111111111111</v>
          </cell>
          <cell r="U362" t="str">
            <v>X</v>
          </cell>
          <cell r="V362">
            <v>0.39583333333333331</v>
          </cell>
          <cell r="W362">
            <v>29.27</v>
          </cell>
          <cell r="X362">
            <v>30.07</v>
          </cell>
          <cell r="Y362">
            <v>0.41666666666666669</v>
          </cell>
          <cell r="Z362">
            <v>89.89</v>
          </cell>
          <cell r="AA362">
            <v>88.36</v>
          </cell>
          <cell r="AW362">
            <v>4</v>
          </cell>
          <cell r="AX362">
            <v>4</v>
          </cell>
          <cell r="AY362">
            <v>3</v>
          </cell>
          <cell r="AZ362">
            <v>4</v>
          </cell>
          <cell r="BA362" t="str">
            <v>VALE</v>
          </cell>
          <cell r="BB362">
            <v>45227</v>
          </cell>
          <cell r="BG362">
            <v>45226</v>
          </cell>
        </row>
        <row r="363">
          <cell r="A363">
            <v>750</v>
          </cell>
          <cell r="B363">
            <v>370</v>
          </cell>
          <cell r="C363" t="str">
            <v>PN-201(E1) /  PN-204(E1)</v>
          </cell>
          <cell r="D363">
            <v>6</v>
          </cell>
          <cell r="E363">
            <v>40</v>
          </cell>
          <cell r="F363">
            <v>24</v>
          </cell>
          <cell r="G363">
            <v>40</v>
          </cell>
          <cell r="H363">
            <v>0</v>
          </cell>
          <cell r="I363" t="str">
            <v>-</v>
          </cell>
          <cell r="J363" t="str">
            <v>670/660</v>
          </cell>
          <cell r="K363" t="str">
            <v xml:space="preserve">CPIII 40 RS </v>
          </cell>
          <cell r="L363" t="str">
            <v>CP V</v>
          </cell>
          <cell r="M363" t="str">
            <v>SUPER PLASTIFICANTE</v>
          </cell>
          <cell r="N363" t="str">
            <v>PATIO K - TANQUES RA500TN/ RA501TN/ RA502TN/ RA503TN</v>
          </cell>
          <cell r="O363" t="str">
            <v>FORTANKS</v>
          </cell>
          <cell r="P363" t="str">
            <v>02</v>
          </cell>
          <cell r="Q363" t="str">
            <v>Gean</v>
          </cell>
          <cell r="R363">
            <v>45227</v>
          </cell>
          <cell r="S363">
            <v>0.64583333333333337</v>
          </cell>
          <cell r="T363">
            <v>0.63583333333333336</v>
          </cell>
          <cell r="U363" t="str">
            <v>X</v>
          </cell>
          <cell r="V363">
            <v>0.3125</v>
          </cell>
          <cell r="W363">
            <v>45.1</v>
          </cell>
          <cell r="X363">
            <v>47.51</v>
          </cell>
          <cell r="Y363">
            <v>0.41666666666666669</v>
          </cell>
          <cell r="Z363">
            <v>93.5</v>
          </cell>
          <cell r="AA363">
            <v>93.39</v>
          </cell>
          <cell r="AW363">
            <v>3</v>
          </cell>
          <cell r="AX363">
            <v>3</v>
          </cell>
          <cell r="AY363">
            <v>4</v>
          </cell>
          <cell r="AZ363">
            <v>4</v>
          </cell>
          <cell r="BA363" t="str">
            <v>VALE</v>
          </cell>
          <cell r="BB363">
            <v>45228</v>
          </cell>
          <cell r="BG363">
            <v>45227</v>
          </cell>
        </row>
        <row r="364">
          <cell r="A364">
            <v>751</v>
          </cell>
          <cell r="B364">
            <v>371</v>
          </cell>
          <cell r="C364" t="str">
            <v>PN-196(E1) / PN-199(E1)</v>
          </cell>
          <cell r="D364">
            <v>6</v>
          </cell>
          <cell r="E364">
            <v>40</v>
          </cell>
          <cell r="F364">
            <v>24</v>
          </cell>
          <cell r="G364">
            <v>40</v>
          </cell>
          <cell r="H364">
            <v>0</v>
          </cell>
          <cell r="I364" t="str">
            <v>-</v>
          </cell>
          <cell r="J364" t="str">
            <v>660/660</v>
          </cell>
          <cell r="K364" t="str">
            <v xml:space="preserve">CPIII 40 RS </v>
          </cell>
          <cell r="L364" t="str">
            <v>CP V</v>
          </cell>
          <cell r="M364" t="str">
            <v>SUPER PLASTIFICANTE</v>
          </cell>
          <cell r="N364" t="str">
            <v>PATIO K - TANQUES RA500TN/ RA501TN/ RA502TN/ RA503TN</v>
          </cell>
          <cell r="O364" t="str">
            <v>FORTANKS</v>
          </cell>
          <cell r="P364" t="str">
            <v>01</v>
          </cell>
          <cell r="Q364" t="str">
            <v>Gean</v>
          </cell>
          <cell r="R364">
            <v>45227</v>
          </cell>
          <cell r="S364">
            <v>0.59722222222222221</v>
          </cell>
          <cell r="T364">
            <v>0.5872222222222222</v>
          </cell>
          <cell r="U364" t="str">
            <v>X</v>
          </cell>
          <cell r="V364">
            <v>0.3125</v>
          </cell>
          <cell r="W364">
            <v>51.44</v>
          </cell>
          <cell r="X364">
            <v>51.08</v>
          </cell>
          <cell r="Y364">
            <v>0.41666666666666669</v>
          </cell>
          <cell r="Z364">
            <v>85.9</v>
          </cell>
          <cell r="AA364">
            <v>89.84</v>
          </cell>
          <cell r="AW364">
            <v>3</v>
          </cell>
          <cell r="AX364">
            <v>4</v>
          </cell>
          <cell r="AY364">
            <v>4</v>
          </cell>
          <cell r="AZ364">
            <v>4</v>
          </cell>
          <cell r="BA364" t="str">
            <v>VALE</v>
          </cell>
          <cell r="BB364">
            <v>45228</v>
          </cell>
          <cell r="BG364">
            <v>45227</v>
          </cell>
        </row>
        <row r="365">
          <cell r="A365">
            <v>752</v>
          </cell>
          <cell r="B365">
            <v>372</v>
          </cell>
          <cell r="C365" t="str">
            <v>PN-212(T1) 20%  / PN-218(T1)  /  PN-223(T1)</v>
          </cell>
          <cell r="D365">
            <v>6</v>
          </cell>
          <cell r="E365">
            <v>40</v>
          </cell>
          <cell r="F365">
            <v>24</v>
          </cell>
          <cell r="G365">
            <v>40</v>
          </cell>
          <cell r="H365">
            <v>0</v>
          </cell>
          <cell r="I365" t="str">
            <v>-</v>
          </cell>
          <cell r="J365" t="str">
            <v>650/670</v>
          </cell>
          <cell r="K365" t="str">
            <v xml:space="preserve">CPIII 40 RS </v>
          </cell>
          <cell r="L365" t="str">
            <v>CP V</v>
          </cell>
          <cell r="M365" t="str">
            <v>SUPER PLASTIFICANTE</v>
          </cell>
          <cell r="N365" t="str">
            <v>PATIO K - TANQUES RA500TN/ RA501TN/ RA502TN/ RA503TN</v>
          </cell>
          <cell r="O365" t="str">
            <v>FORTANKS</v>
          </cell>
          <cell r="P365" t="str">
            <v>02</v>
          </cell>
          <cell r="Q365" t="str">
            <v>Gean</v>
          </cell>
          <cell r="R365">
            <v>45227</v>
          </cell>
          <cell r="S365">
            <v>0.5625</v>
          </cell>
          <cell r="T365">
            <v>0.55249999999999999</v>
          </cell>
          <cell r="U365" t="str">
            <v>X</v>
          </cell>
          <cell r="V365">
            <v>0.3125</v>
          </cell>
          <cell r="W365">
            <v>52.01</v>
          </cell>
          <cell r="X365">
            <v>51.73</v>
          </cell>
          <cell r="Y365">
            <v>0.41666666666666669</v>
          </cell>
          <cell r="Z365">
            <v>87.56</v>
          </cell>
          <cell r="AA365">
            <v>86.01</v>
          </cell>
          <cell r="AW365">
            <v>5</v>
          </cell>
          <cell r="AX365">
            <v>4</v>
          </cell>
          <cell r="AY365">
            <v>4</v>
          </cell>
          <cell r="AZ365">
            <v>4</v>
          </cell>
          <cell r="BA365" t="str">
            <v>VALE</v>
          </cell>
          <cell r="BB365">
            <v>45228</v>
          </cell>
          <cell r="BG365">
            <v>45227</v>
          </cell>
        </row>
        <row r="366">
          <cell r="A366">
            <v>753</v>
          </cell>
          <cell r="B366">
            <v>373</v>
          </cell>
          <cell r="C366" t="str">
            <v>PN-212(T1) 80% / PE-217(D1aD9) / PE-202(D1aD9)</v>
          </cell>
          <cell r="D366">
            <v>7</v>
          </cell>
          <cell r="E366">
            <v>40</v>
          </cell>
          <cell r="F366">
            <v>24</v>
          </cell>
          <cell r="G366">
            <v>40</v>
          </cell>
          <cell r="H366">
            <v>0</v>
          </cell>
          <cell r="I366" t="str">
            <v>-</v>
          </cell>
          <cell r="J366" t="str">
            <v>660/660</v>
          </cell>
          <cell r="K366" t="str">
            <v xml:space="preserve">CPIII 40 RS </v>
          </cell>
          <cell r="L366" t="str">
            <v>CP V</v>
          </cell>
          <cell r="M366" t="str">
            <v>SUPER PLASTIFICANTE</v>
          </cell>
          <cell r="N366" t="str">
            <v>PATIO K - TANQUES RA500TN/ RA501TN/ RA502TN/ RA503TN</v>
          </cell>
          <cell r="O366" t="str">
            <v>FORTANKS</v>
          </cell>
          <cell r="P366" t="str">
            <v>01</v>
          </cell>
          <cell r="Q366" t="str">
            <v>Gean</v>
          </cell>
          <cell r="R366">
            <v>45227</v>
          </cell>
          <cell r="S366">
            <v>0.54166666666666663</v>
          </cell>
          <cell r="T366">
            <v>0.53166666666666662</v>
          </cell>
          <cell r="U366" t="str">
            <v>X</v>
          </cell>
          <cell r="V366">
            <v>0.3125</v>
          </cell>
          <cell r="W366">
            <v>52.03</v>
          </cell>
          <cell r="X366">
            <v>53.89</v>
          </cell>
          <cell r="Y366">
            <v>0.41666666666666669</v>
          </cell>
          <cell r="Z366">
            <v>85.81</v>
          </cell>
          <cell r="AA366">
            <v>86.78</v>
          </cell>
          <cell r="AW366">
            <v>4</v>
          </cell>
          <cell r="AX366">
            <v>4</v>
          </cell>
          <cell r="AY366">
            <v>4</v>
          </cell>
          <cell r="AZ366">
            <v>4</v>
          </cell>
          <cell r="BA366" t="str">
            <v>VALE</v>
          </cell>
          <cell r="BB366">
            <v>45228</v>
          </cell>
          <cell r="BG366">
            <v>45227</v>
          </cell>
        </row>
        <row r="367">
          <cell r="A367">
            <v>754</v>
          </cell>
          <cell r="B367">
            <v>374</v>
          </cell>
          <cell r="C367" t="str">
            <v>PN-211(E1)  /  PN-208(E1)</v>
          </cell>
          <cell r="D367">
            <v>6</v>
          </cell>
          <cell r="E367">
            <v>40</v>
          </cell>
          <cell r="F367">
            <v>24</v>
          </cell>
          <cell r="G367">
            <v>40</v>
          </cell>
          <cell r="H367">
            <v>0</v>
          </cell>
          <cell r="I367" t="str">
            <v>-</v>
          </cell>
          <cell r="J367" t="str">
            <v>670/670</v>
          </cell>
          <cell r="K367" t="str">
            <v xml:space="preserve">CPIII 40 RS </v>
          </cell>
          <cell r="L367" t="str">
            <v>CP V</v>
          </cell>
          <cell r="M367" t="str">
            <v>SUPER PLASTIFICANTE</v>
          </cell>
          <cell r="N367" t="str">
            <v>PATIO K - TANQUES RA500TN/ RA501TN/ RA502TN/ RA503TN</v>
          </cell>
          <cell r="O367" t="str">
            <v>FORTANKS</v>
          </cell>
          <cell r="P367" t="str">
            <v>01</v>
          </cell>
          <cell r="Q367" t="str">
            <v>Gean</v>
          </cell>
          <cell r="R367">
            <v>45230</v>
          </cell>
          <cell r="S367">
            <v>0.54513888888888895</v>
          </cell>
          <cell r="T367">
            <v>0.53513888888888894</v>
          </cell>
          <cell r="U367" t="str">
            <v>X</v>
          </cell>
          <cell r="V367">
            <v>0.375</v>
          </cell>
          <cell r="W367">
            <v>30.44</v>
          </cell>
          <cell r="X367">
            <v>34.590000000000003</v>
          </cell>
          <cell r="Y367">
            <v>0.41666666666666669</v>
          </cell>
          <cell r="Z367">
            <v>86.01</v>
          </cell>
          <cell r="AA367">
            <v>85.26</v>
          </cell>
          <cell r="AW367">
            <v>4</v>
          </cell>
          <cell r="AX367">
            <v>4</v>
          </cell>
          <cell r="AY367">
            <v>3</v>
          </cell>
          <cell r="AZ367">
            <v>4</v>
          </cell>
          <cell r="BA367" t="str">
            <v>VALE</v>
          </cell>
          <cell r="BB367">
            <v>45231</v>
          </cell>
          <cell r="BG367">
            <v>45230</v>
          </cell>
        </row>
        <row r="368">
          <cell r="A368">
            <v>755</v>
          </cell>
          <cell r="B368">
            <v>375</v>
          </cell>
          <cell r="C368" t="str">
            <v>PN-205(E1)  / PN-207(E1)</v>
          </cell>
          <cell r="D368">
            <v>6</v>
          </cell>
          <cell r="E368">
            <v>40</v>
          </cell>
          <cell r="F368">
            <v>24</v>
          </cell>
          <cell r="G368">
            <v>40</v>
          </cell>
          <cell r="H368">
            <v>0</v>
          </cell>
          <cell r="I368" t="str">
            <v>-</v>
          </cell>
          <cell r="J368" t="str">
            <v>660/650</v>
          </cell>
          <cell r="K368" t="str">
            <v xml:space="preserve">CPIII 40 RS </v>
          </cell>
          <cell r="L368" t="str">
            <v>CP V</v>
          </cell>
          <cell r="M368" t="str">
            <v>SUPER PLASTIFICANTE</v>
          </cell>
          <cell r="N368" t="str">
            <v>PATIO K - TANQUES RA500TN/ RA501TN/ RA502TN/ RA503TN</v>
          </cell>
          <cell r="O368" t="str">
            <v>FORTANKS</v>
          </cell>
          <cell r="P368" t="str">
            <v>02</v>
          </cell>
          <cell r="Q368" t="str">
            <v>Gean</v>
          </cell>
          <cell r="R368">
            <v>45230</v>
          </cell>
          <cell r="S368">
            <v>0.56597222222222221</v>
          </cell>
          <cell r="T368">
            <v>0.5559722222222222</v>
          </cell>
          <cell r="U368" t="str">
            <v>X</v>
          </cell>
          <cell r="V368">
            <v>0.38194444444444442</v>
          </cell>
          <cell r="W368">
            <v>29.74</v>
          </cell>
          <cell r="X368">
            <v>27.27</v>
          </cell>
          <cell r="Y368">
            <v>0.41666666666666669</v>
          </cell>
          <cell r="Z368">
            <v>87.01</v>
          </cell>
          <cell r="AA368">
            <v>87.16</v>
          </cell>
          <cell r="AW368">
            <v>3</v>
          </cell>
          <cell r="AX368">
            <v>4</v>
          </cell>
          <cell r="AY368">
            <v>4</v>
          </cell>
          <cell r="AZ368">
            <v>4</v>
          </cell>
          <cell r="BA368" t="str">
            <v>VALE</v>
          </cell>
          <cell r="BB368">
            <v>45231</v>
          </cell>
          <cell r="BG368">
            <v>45230</v>
          </cell>
        </row>
        <row r="369">
          <cell r="A369">
            <v>756</v>
          </cell>
          <cell r="B369">
            <v>376</v>
          </cell>
          <cell r="C369" t="str">
            <v>PN-220(T1) 20% / PN-229(T1) / PN-231(T1)</v>
          </cell>
          <cell r="D369">
            <v>6</v>
          </cell>
          <cell r="E369">
            <v>40</v>
          </cell>
          <cell r="F369">
            <v>24</v>
          </cell>
          <cell r="G369">
            <v>40</v>
          </cell>
          <cell r="H369">
            <v>0</v>
          </cell>
          <cell r="I369" t="str">
            <v>-</v>
          </cell>
          <cell r="J369" t="str">
            <v>660/650</v>
          </cell>
          <cell r="K369" t="str">
            <v xml:space="preserve">CPIII 40 RS </v>
          </cell>
          <cell r="L369" t="str">
            <v>CP V</v>
          </cell>
          <cell r="M369" t="str">
            <v>SUPER PLASTIFICANTE</v>
          </cell>
          <cell r="N369" t="str">
            <v>PATIO K - TANQUES RA500TN/ RA501TN/ RA502TN/ RA503TN</v>
          </cell>
          <cell r="O369" t="str">
            <v>FORTANKS</v>
          </cell>
          <cell r="P369" t="str">
            <v>01</v>
          </cell>
          <cell r="Q369" t="str">
            <v>Gean</v>
          </cell>
          <cell r="R369">
            <v>45230</v>
          </cell>
          <cell r="S369">
            <v>0.59027777777777779</v>
          </cell>
          <cell r="T369">
            <v>0.58027777777777778</v>
          </cell>
          <cell r="U369" t="str">
            <v>X</v>
          </cell>
          <cell r="V369">
            <v>0.38194444444444442</v>
          </cell>
          <cell r="W369">
            <v>32.03</v>
          </cell>
          <cell r="X369">
            <v>32.65</v>
          </cell>
          <cell r="Y369">
            <v>0.41666666666666669</v>
          </cell>
          <cell r="Z369">
            <v>85.98</v>
          </cell>
          <cell r="AA369">
            <v>86.11</v>
          </cell>
          <cell r="AW369">
            <v>4</v>
          </cell>
          <cell r="AX369">
            <v>3</v>
          </cell>
          <cell r="AY369">
            <v>4</v>
          </cell>
          <cell r="AZ369">
            <v>4</v>
          </cell>
          <cell r="BA369" t="str">
            <v>VALE</v>
          </cell>
          <cell r="BB369">
            <v>45231</v>
          </cell>
          <cell r="BG369">
            <v>45230</v>
          </cell>
        </row>
        <row r="370">
          <cell r="A370">
            <v>757</v>
          </cell>
          <cell r="B370">
            <v>377</v>
          </cell>
          <cell r="C370" t="str">
            <v>PN-220(T1) 20% / PE-232(D1aD9) / PE-210(D1aD9)</v>
          </cell>
          <cell r="D370">
            <v>7</v>
          </cell>
          <cell r="E370">
            <v>40</v>
          </cell>
          <cell r="F370">
            <v>24</v>
          </cell>
          <cell r="G370">
            <v>40</v>
          </cell>
          <cell r="H370">
            <v>0</v>
          </cell>
          <cell r="I370" t="str">
            <v>-</v>
          </cell>
          <cell r="J370" t="str">
            <v>670/660</v>
          </cell>
          <cell r="K370" t="str">
            <v xml:space="preserve">CPIII 40 RS </v>
          </cell>
          <cell r="L370" t="str">
            <v>CP V</v>
          </cell>
          <cell r="M370" t="str">
            <v>SUPER PLASTIFICANTE</v>
          </cell>
          <cell r="N370" t="str">
            <v>PATIO K - TANQUES RA500TN/ RA501TN/ RA502TN/ RA503TN</v>
          </cell>
          <cell r="O370" t="str">
            <v>FORTANKS</v>
          </cell>
          <cell r="P370" t="str">
            <v>02</v>
          </cell>
          <cell r="Q370" t="str">
            <v>Gean</v>
          </cell>
          <cell r="R370">
            <v>45230</v>
          </cell>
          <cell r="S370">
            <v>0.64236111111111105</v>
          </cell>
          <cell r="T370">
            <v>0.63236111111111104</v>
          </cell>
          <cell r="U370" t="str">
            <v>X</v>
          </cell>
          <cell r="V370">
            <v>0.38194444444444442</v>
          </cell>
          <cell r="W370">
            <v>32.35</v>
          </cell>
          <cell r="X370">
            <v>32.5</v>
          </cell>
          <cell r="Y370">
            <v>0.41666666666666669</v>
          </cell>
          <cell r="Z370">
            <v>86.67</v>
          </cell>
          <cell r="AA370">
            <v>88.62</v>
          </cell>
          <cell r="AW370">
            <v>4</v>
          </cell>
          <cell r="AX370">
            <v>4</v>
          </cell>
          <cell r="AY370">
            <v>4</v>
          </cell>
          <cell r="AZ370">
            <v>3</v>
          </cell>
          <cell r="BA370" t="str">
            <v>VALE</v>
          </cell>
          <cell r="BB370">
            <v>45231</v>
          </cell>
          <cell r="BG370">
            <v>45230</v>
          </cell>
        </row>
        <row r="371">
          <cell r="A371">
            <v>758</v>
          </cell>
          <cell r="B371">
            <v>378</v>
          </cell>
          <cell r="C371" t="str">
            <v>PN-83(E1) 70%  / PN-85(E1)  / PN-86(E1)</v>
          </cell>
          <cell r="D371">
            <v>7</v>
          </cell>
          <cell r="E371">
            <v>40</v>
          </cell>
          <cell r="F371">
            <v>24</v>
          </cell>
          <cell r="G371">
            <v>40</v>
          </cell>
          <cell r="H371">
            <v>0</v>
          </cell>
          <cell r="I371" t="str">
            <v>-</v>
          </cell>
          <cell r="J371" t="str">
            <v>660//670</v>
          </cell>
          <cell r="K371" t="str">
            <v xml:space="preserve">CPIII 40 RS </v>
          </cell>
          <cell r="L371" t="str">
            <v>CP V</v>
          </cell>
          <cell r="M371" t="str">
            <v>SUPER PLASTIFICANTE</v>
          </cell>
          <cell r="N371" t="str">
            <v>PATIO K - TANQUES RA500TN/ RA501TN/ RA502TN/ RA503TN</v>
          </cell>
          <cell r="O371" t="str">
            <v>FORTANKS</v>
          </cell>
          <cell r="P371" t="str">
            <v>01</v>
          </cell>
          <cell r="Q371" t="str">
            <v>Gean</v>
          </cell>
          <cell r="R371">
            <v>45231</v>
          </cell>
          <cell r="S371">
            <v>0.60416666666666663</v>
          </cell>
          <cell r="T371">
            <v>0.59416666666666662</v>
          </cell>
          <cell r="U371" t="str">
            <v>X</v>
          </cell>
          <cell r="V371">
            <v>0.40972222222222227</v>
          </cell>
          <cell r="W371">
            <v>30.56</v>
          </cell>
          <cell r="X371">
            <v>31.38</v>
          </cell>
          <cell r="Y371">
            <v>0.41666666666666669</v>
          </cell>
          <cell r="Z371">
            <v>86.93</v>
          </cell>
          <cell r="AA371">
            <v>88.38</v>
          </cell>
          <cell r="AW371">
            <v>4</v>
          </cell>
          <cell r="AX371">
            <v>4</v>
          </cell>
          <cell r="AY371">
            <v>3</v>
          </cell>
          <cell r="AZ371">
            <v>3</v>
          </cell>
          <cell r="BA371" t="str">
            <v>VALE</v>
          </cell>
          <cell r="BB371">
            <v>45232</v>
          </cell>
          <cell r="BG371">
            <v>45231</v>
          </cell>
        </row>
        <row r="372">
          <cell r="A372">
            <v>759</v>
          </cell>
          <cell r="B372">
            <v>379</v>
          </cell>
          <cell r="C372" t="str">
            <v>PN-83(E1) 30%/  PN-80(E1) / PN-82(T1)</v>
          </cell>
          <cell r="D372">
            <v>6.5</v>
          </cell>
          <cell r="E372">
            <v>40</v>
          </cell>
          <cell r="F372">
            <v>24</v>
          </cell>
          <cell r="G372">
            <v>40</v>
          </cell>
          <cell r="H372">
            <v>0</v>
          </cell>
          <cell r="I372" t="str">
            <v>-</v>
          </cell>
          <cell r="J372" t="str">
            <v>660/660</v>
          </cell>
          <cell r="K372" t="str">
            <v xml:space="preserve">CPIII 40 RS </v>
          </cell>
          <cell r="L372" t="str">
            <v>CP V</v>
          </cell>
          <cell r="M372" t="str">
            <v>SUPER PLASTIFICANTE</v>
          </cell>
          <cell r="N372" t="str">
            <v>PATIO K - TANQUES RA500TN/ RA501TN/ RA502TN/ RA503TN</v>
          </cell>
          <cell r="O372" t="str">
            <v>FORTANKS</v>
          </cell>
          <cell r="P372" t="str">
            <v>02</v>
          </cell>
          <cell r="Q372" t="str">
            <v>Gean</v>
          </cell>
          <cell r="R372">
            <v>45231</v>
          </cell>
          <cell r="S372">
            <v>0.61805555555555558</v>
          </cell>
          <cell r="T372">
            <v>0.60805555555555557</v>
          </cell>
          <cell r="U372" t="str">
            <v>X</v>
          </cell>
          <cell r="V372">
            <v>0.40972222222222227</v>
          </cell>
          <cell r="W372">
            <v>28.34</v>
          </cell>
          <cell r="X372">
            <v>26.24</v>
          </cell>
          <cell r="Y372">
            <v>0.41666666666666669</v>
          </cell>
          <cell r="Z372">
            <v>87.28</v>
          </cell>
          <cell r="AA372">
            <v>86.29</v>
          </cell>
          <cell r="AW372">
            <v>3</v>
          </cell>
          <cell r="AX372">
            <v>4</v>
          </cell>
          <cell r="AY372">
            <v>4</v>
          </cell>
          <cell r="AZ372">
            <v>3</v>
          </cell>
          <cell r="BA372" t="str">
            <v>VALE</v>
          </cell>
          <cell r="BB372">
            <v>45232</v>
          </cell>
          <cell r="BG372">
            <v>45231</v>
          </cell>
        </row>
        <row r="373">
          <cell r="A373">
            <v>760</v>
          </cell>
          <cell r="B373">
            <v>380</v>
          </cell>
          <cell r="C373" t="str">
            <v>PN-73(T1) / PN-76(T1)</v>
          </cell>
          <cell r="D373">
            <v>6</v>
          </cell>
          <cell r="E373">
            <v>40</v>
          </cell>
          <cell r="F373">
            <v>24</v>
          </cell>
          <cell r="G373">
            <v>40</v>
          </cell>
          <cell r="H373">
            <v>0</v>
          </cell>
          <cell r="I373" t="str">
            <v>-</v>
          </cell>
          <cell r="J373" t="str">
            <v>650/660</v>
          </cell>
          <cell r="K373" t="str">
            <v xml:space="preserve">CPIII 40 RS </v>
          </cell>
          <cell r="L373" t="str">
            <v>CP V</v>
          </cell>
          <cell r="M373" t="str">
            <v>SUPER PLASTIFICANTE</v>
          </cell>
          <cell r="N373" t="str">
            <v>PATIO K - TANQUES RA500TN/ RA501TN/ RA502TN/ RA503TN</v>
          </cell>
          <cell r="O373" t="str">
            <v>FORTANKS</v>
          </cell>
          <cell r="P373" t="str">
            <v>01</v>
          </cell>
          <cell r="Q373" t="str">
            <v>Gean</v>
          </cell>
          <cell r="R373">
            <v>45231</v>
          </cell>
          <cell r="S373">
            <v>0.63541666666666663</v>
          </cell>
          <cell r="T373">
            <v>0.62541666666666662</v>
          </cell>
          <cell r="U373" t="str">
            <v>X</v>
          </cell>
          <cell r="V373">
            <v>0.40972222222222227</v>
          </cell>
          <cell r="W373">
            <v>30.36</v>
          </cell>
          <cell r="X373">
            <v>30.23</v>
          </cell>
          <cell r="Y373">
            <v>0.41666666666666669</v>
          </cell>
          <cell r="Z373">
            <v>86.27</v>
          </cell>
          <cell r="AA373">
            <v>87.88</v>
          </cell>
          <cell r="AW373">
            <v>4</v>
          </cell>
          <cell r="AX373">
            <v>4</v>
          </cell>
          <cell r="AY373">
            <v>3</v>
          </cell>
          <cell r="AZ373">
            <v>3</v>
          </cell>
          <cell r="BA373" t="str">
            <v>VALE</v>
          </cell>
          <cell r="BB373">
            <v>45232</v>
          </cell>
          <cell r="BG373">
            <v>45231</v>
          </cell>
        </row>
        <row r="374">
          <cell r="A374">
            <v>761</v>
          </cell>
          <cell r="B374">
            <v>381</v>
          </cell>
          <cell r="C374" t="str">
            <v>PE-74(D1aD9) / PE-47©</v>
          </cell>
          <cell r="D374">
            <v>6</v>
          </cell>
          <cell r="E374">
            <v>40</v>
          </cell>
          <cell r="F374">
            <v>24</v>
          </cell>
          <cell r="G374">
            <v>40</v>
          </cell>
          <cell r="H374">
            <v>0</v>
          </cell>
          <cell r="I374" t="str">
            <v>-</v>
          </cell>
          <cell r="J374" t="str">
            <v>660/660</v>
          </cell>
          <cell r="K374" t="str">
            <v xml:space="preserve">CPIII 40 RS </v>
          </cell>
          <cell r="L374" t="str">
            <v>CP V</v>
          </cell>
          <cell r="M374" t="str">
            <v>SUPER PLASTIFICANTE</v>
          </cell>
          <cell r="N374" t="str">
            <v>PATIO K - TANQUES RA500TN/ RA501TN/ RA502TN/ RA503TN</v>
          </cell>
          <cell r="O374" t="str">
            <v>FORTANKS</v>
          </cell>
          <cell r="P374" t="str">
            <v>02</v>
          </cell>
          <cell r="Q374" t="str">
            <v>Gean</v>
          </cell>
          <cell r="R374">
            <v>45231</v>
          </cell>
          <cell r="S374">
            <v>0.65972222222222221</v>
          </cell>
          <cell r="T374">
            <v>0.6497222222222222</v>
          </cell>
          <cell r="U374" t="str">
            <v>X</v>
          </cell>
          <cell r="V374">
            <v>0.40972222222222227</v>
          </cell>
          <cell r="W374">
            <v>26.45</v>
          </cell>
          <cell r="X374">
            <v>27.99</v>
          </cell>
          <cell r="Y374">
            <v>0.41666666666666669</v>
          </cell>
          <cell r="Z374">
            <v>86.69</v>
          </cell>
          <cell r="AA374">
            <v>84.86</v>
          </cell>
          <cell r="AW374">
            <v>4</v>
          </cell>
          <cell r="AX374">
            <v>4</v>
          </cell>
          <cell r="AY374">
            <v>4</v>
          </cell>
          <cell r="AZ374">
            <v>4</v>
          </cell>
          <cell r="BA374" t="str">
            <v>VALE</v>
          </cell>
          <cell r="BB374">
            <v>45232</v>
          </cell>
          <cell r="BG374">
            <v>45231</v>
          </cell>
        </row>
        <row r="375">
          <cell r="A375">
            <v>762</v>
          </cell>
          <cell r="B375">
            <v>382</v>
          </cell>
          <cell r="C375" t="str">
            <v>PN-222(E1)  / PN-221(E1)</v>
          </cell>
          <cell r="D375">
            <v>6</v>
          </cell>
          <cell r="E375">
            <v>40</v>
          </cell>
          <cell r="F375">
            <v>24</v>
          </cell>
          <cell r="G375">
            <v>40</v>
          </cell>
          <cell r="H375">
            <v>0</v>
          </cell>
          <cell r="I375" t="str">
            <v>-</v>
          </cell>
          <cell r="J375" t="str">
            <v>680/670</v>
          </cell>
          <cell r="K375" t="str">
            <v xml:space="preserve">CPIII 40 RS </v>
          </cell>
          <cell r="L375" t="str">
            <v>CP V</v>
          </cell>
          <cell r="M375" t="str">
            <v>SUPER PLASTIFICANTE</v>
          </cell>
          <cell r="N375" t="str">
            <v>PATIO K - TANQUES RA500TN/ RA501TN/ RA502TN/ RA503TN</v>
          </cell>
          <cell r="O375" t="str">
            <v>FORTANKS</v>
          </cell>
          <cell r="P375" t="str">
            <v>01</v>
          </cell>
          <cell r="Q375" t="str">
            <v>Gean</v>
          </cell>
          <cell r="R375">
            <v>45233</v>
          </cell>
          <cell r="S375">
            <v>0.40277777777777773</v>
          </cell>
          <cell r="T375">
            <v>0.39277777777777773</v>
          </cell>
          <cell r="U375" t="str">
            <v>X</v>
          </cell>
          <cell r="V375">
            <v>0.3125</v>
          </cell>
          <cell r="W375">
            <v>58.13</v>
          </cell>
          <cell r="X375">
            <v>59.58</v>
          </cell>
          <cell r="Y375">
            <v>0.41666666666666669</v>
          </cell>
          <cell r="Z375">
            <v>86.93</v>
          </cell>
          <cell r="AA375">
            <v>87.48</v>
          </cell>
          <cell r="AW375">
            <v>3</v>
          </cell>
          <cell r="AX375">
            <v>4</v>
          </cell>
          <cell r="AY375">
            <v>4</v>
          </cell>
          <cell r="AZ375">
            <v>4</v>
          </cell>
          <cell r="BA375" t="str">
            <v>VALE</v>
          </cell>
          <cell r="BB375">
            <v>45234</v>
          </cell>
          <cell r="BG375">
            <v>45233</v>
          </cell>
        </row>
        <row r="376">
          <cell r="A376">
            <v>763</v>
          </cell>
          <cell r="B376">
            <v>383</v>
          </cell>
          <cell r="C376" t="str">
            <v>PN-239(T1) 80% / PN-216(T1) / PN-219(E1)</v>
          </cell>
          <cell r="D376">
            <v>7</v>
          </cell>
          <cell r="E376">
            <v>40</v>
          </cell>
          <cell r="F376">
            <v>24</v>
          </cell>
          <cell r="G376">
            <v>40</v>
          </cell>
          <cell r="H376">
            <v>0</v>
          </cell>
          <cell r="I376" t="str">
            <v>-</v>
          </cell>
          <cell r="J376" t="str">
            <v>660/660</v>
          </cell>
          <cell r="K376" t="str">
            <v xml:space="preserve">CPIII 40 RS </v>
          </cell>
          <cell r="L376" t="str">
            <v>CP V</v>
          </cell>
          <cell r="M376" t="str">
            <v>SUPER PLASTIFICANTE</v>
          </cell>
          <cell r="N376" t="str">
            <v>PATIO K - TANQUES RA500TN/ RA501TN/ RA502TN/ RA503TN</v>
          </cell>
          <cell r="O376" t="str">
            <v>FORTANKS</v>
          </cell>
          <cell r="P376" t="str">
            <v>02</v>
          </cell>
          <cell r="Q376" t="str">
            <v>Gean</v>
          </cell>
          <cell r="R376">
            <v>45233</v>
          </cell>
          <cell r="S376">
            <v>0.42708333333333331</v>
          </cell>
          <cell r="T376">
            <v>0.41708333333333331</v>
          </cell>
          <cell r="U376" t="str">
            <v>X</v>
          </cell>
          <cell r="V376">
            <v>0.3125</v>
          </cell>
          <cell r="W376">
            <v>57.72</v>
          </cell>
          <cell r="X376">
            <v>58.62</v>
          </cell>
          <cell r="Y376">
            <v>0.41666666666666669</v>
          </cell>
          <cell r="Z376">
            <v>86.63</v>
          </cell>
          <cell r="AA376">
            <v>89.09</v>
          </cell>
          <cell r="AW376">
            <v>4</v>
          </cell>
          <cell r="AX376">
            <v>4</v>
          </cell>
          <cell r="AY376">
            <v>4</v>
          </cell>
          <cell r="AZ376">
            <v>4</v>
          </cell>
          <cell r="BA376" t="str">
            <v>VALE</v>
          </cell>
          <cell r="BB376">
            <v>45234</v>
          </cell>
          <cell r="BG376">
            <v>45233</v>
          </cell>
        </row>
        <row r="377">
          <cell r="A377">
            <v>764</v>
          </cell>
          <cell r="B377">
            <v>384</v>
          </cell>
          <cell r="C377" t="str">
            <v>PN-239(T1) 80% / PN-236(T1) / PN-233(T1)</v>
          </cell>
          <cell r="D377">
            <v>6</v>
          </cell>
          <cell r="E377">
            <v>40</v>
          </cell>
          <cell r="F377">
            <v>24</v>
          </cell>
          <cell r="G377">
            <v>40</v>
          </cell>
          <cell r="H377">
            <v>0</v>
          </cell>
          <cell r="I377" t="str">
            <v>-</v>
          </cell>
          <cell r="J377" t="str">
            <v>660/660</v>
          </cell>
          <cell r="K377" t="str">
            <v xml:space="preserve">CPIII 40 RS </v>
          </cell>
          <cell r="L377" t="str">
            <v>CP V</v>
          </cell>
          <cell r="M377" t="str">
            <v>SUPER PLASTIFICANTE</v>
          </cell>
          <cell r="N377" t="str">
            <v>PATIO K - TANQUES RA500TN/ RA501TN/ RA502TN/ RA503TN</v>
          </cell>
          <cell r="O377" t="str">
            <v>FORTANKS</v>
          </cell>
          <cell r="P377" t="str">
            <v>01</v>
          </cell>
          <cell r="Q377" t="str">
            <v>Gean</v>
          </cell>
          <cell r="R377">
            <v>45233</v>
          </cell>
          <cell r="S377">
            <v>0.44791666666666669</v>
          </cell>
          <cell r="T377">
            <v>0.43791666666666668</v>
          </cell>
          <cell r="U377" t="str">
            <v>X</v>
          </cell>
          <cell r="V377">
            <v>0.3125</v>
          </cell>
          <cell r="W377">
            <v>64.040000000000006</v>
          </cell>
          <cell r="X377">
            <v>62.48</v>
          </cell>
          <cell r="Y377">
            <v>0.41666666666666669</v>
          </cell>
          <cell r="Z377">
            <v>86.03</v>
          </cell>
          <cell r="AA377">
            <v>89.68</v>
          </cell>
          <cell r="AW377">
            <v>4</v>
          </cell>
          <cell r="AX377">
            <v>3</v>
          </cell>
          <cell r="AY377">
            <v>3</v>
          </cell>
          <cell r="AZ377">
            <v>3</v>
          </cell>
          <cell r="BA377" t="str">
            <v>VALE</v>
          </cell>
          <cell r="BB377">
            <v>45234</v>
          </cell>
          <cell r="BG377">
            <v>45233</v>
          </cell>
        </row>
        <row r="378">
          <cell r="A378">
            <v>765</v>
          </cell>
          <cell r="B378">
            <v>385</v>
          </cell>
          <cell r="C378" t="str">
            <v>PE225(D1aD9)  /  PE-244(D1aD9)</v>
          </cell>
          <cell r="D378">
            <v>6</v>
          </cell>
          <cell r="E378">
            <v>40</v>
          </cell>
          <cell r="F378">
            <v>24</v>
          </cell>
          <cell r="G378">
            <v>40</v>
          </cell>
          <cell r="H378">
            <v>0</v>
          </cell>
          <cell r="I378" t="str">
            <v>-</v>
          </cell>
          <cell r="J378" t="str">
            <v>670/650</v>
          </cell>
          <cell r="K378" t="str">
            <v xml:space="preserve">CPIII 40 RS </v>
          </cell>
          <cell r="L378" t="str">
            <v>CP V</v>
          </cell>
          <cell r="M378" t="str">
            <v>SUPER PLASTIFICANTE</v>
          </cell>
          <cell r="N378" t="str">
            <v>PATIO K - TANQUES RA500TN/ RA501TN/ RA502TN/ RA503TN</v>
          </cell>
          <cell r="O378" t="str">
            <v>FORTANKS</v>
          </cell>
          <cell r="P378" t="str">
            <v>02</v>
          </cell>
          <cell r="Q378" t="str">
            <v>Gean</v>
          </cell>
          <cell r="R378">
            <v>45233</v>
          </cell>
          <cell r="S378">
            <v>0.4777777777777778</v>
          </cell>
          <cell r="T378">
            <v>0.46777777777777779</v>
          </cell>
          <cell r="U378" t="str">
            <v>X</v>
          </cell>
          <cell r="V378">
            <v>0.3125</v>
          </cell>
          <cell r="W378">
            <v>54.6</v>
          </cell>
          <cell r="X378">
            <v>58.33</v>
          </cell>
          <cell r="Y378">
            <v>0.41666666666666669</v>
          </cell>
          <cell r="Z378">
            <v>86.37</v>
          </cell>
          <cell r="AA378">
            <v>86.9</v>
          </cell>
          <cell r="AW378">
            <v>4</v>
          </cell>
          <cell r="AX378">
            <v>3</v>
          </cell>
          <cell r="AY378">
            <v>4</v>
          </cell>
          <cell r="AZ378">
            <v>4</v>
          </cell>
          <cell r="BA378" t="str">
            <v>VALE</v>
          </cell>
          <cell r="BB378">
            <v>45234</v>
          </cell>
          <cell r="BG378">
            <v>45233</v>
          </cell>
        </row>
        <row r="379">
          <cell r="A379">
            <v>766</v>
          </cell>
          <cell r="B379">
            <v>386</v>
          </cell>
          <cell r="C379" t="str">
            <v>PN-91(E1) 50 %  / PN-92(E1) / PN-94(E1)</v>
          </cell>
          <cell r="D379">
            <v>7</v>
          </cell>
          <cell r="E379">
            <v>40</v>
          </cell>
          <cell r="F379">
            <v>24</v>
          </cell>
          <cell r="G379">
            <v>40</v>
          </cell>
          <cell r="H379">
            <v>0</v>
          </cell>
          <cell r="I379" t="str">
            <v>-</v>
          </cell>
          <cell r="J379" t="str">
            <v>670/660</v>
          </cell>
          <cell r="K379" t="str">
            <v xml:space="preserve">CPIII 40 RS </v>
          </cell>
          <cell r="L379" t="str">
            <v>CP V</v>
          </cell>
          <cell r="M379" t="str">
            <v>SUPER PLASTIFICANTE</v>
          </cell>
          <cell r="N379" t="str">
            <v>PATIO K - TANQUES RA500TN/ RA501TN/ RA502TN/ RA503TN</v>
          </cell>
          <cell r="O379" t="str">
            <v>FORTANKS</v>
          </cell>
          <cell r="P379" t="str">
            <v>01</v>
          </cell>
          <cell r="Q379" t="str">
            <v>Gean</v>
          </cell>
          <cell r="R379">
            <v>45237</v>
          </cell>
          <cell r="S379">
            <v>0.36805555555555558</v>
          </cell>
          <cell r="T379">
            <v>0.35805555555555557</v>
          </cell>
          <cell r="U379" t="str">
            <v>X</v>
          </cell>
          <cell r="V379">
            <v>0.39583333333333331</v>
          </cell>
          <cell r="W379">
            <v>28.47</v>
          </cell>
          <cell r="X379">
            <v>32.299999999999997</v>
          </cell>
          <cell r="Y379">
            <v>0.41666666666666669</v>
          </cell>
          <cell r="Z379">
            <v>86.42</v>
          </cell>
          <cell r="AA379">
            <v>88.58</v>
          </cell>
          <cell r="AW379">
            <v>4</v>
          </cell>
          <cell r="AX379">
            <v>4</v>
          </cell>
          <cell r="AY379">
            <v>4</v>
          </cell>
          <cell r="AZ379">
            <v>4</v>
          </cell>
          <cell r="BA379" t="str">
            <v>VALE</v>
          </cell>
          <cell r="BB379">
            <v>45238</v>
          </cell>
          <cell r="BG379">
            <v>45237</v>
          </cell>
        </row>
        <row r="380">
          <cell r="A380">
            <v>767</v>
          </cell>
          <cell r="B380">
            <v>387</v>
          </cell>
          <cell r="C380" t="str">
            <v>PN-91(E1) 50 % / PN-88(E1) /  PN-90(T1)</v>
          </cell>
          <cell r="D380">
            <v>6</v>
          </cell>
          <cell r="E380">
            <v>40</v>
          </cell>
          <cell r="F380">
            <v>24</v>
          </cell>
          <cell r="G380">
            <v>40</v>
          </cell>
          <cell r="H380">
            <v>0</v>
          </cell>
          <cell r="I380" t="str">
            <v>-</v>
          </cell>
          <cell r="J380" t="str">
            <v>660/660</v>
          </cell>
          <cell r="K380" t="str">
            <v xml:space="preserve">CPIII 40 RS </v>
          </cell>
          <cell r="L380" t="str">
            <v>CP V</v>
          </cell>
          <cell r="M380" t="str">
            <v>SUPER PLASTIFICANTE</v>
          </cell>
          <cell r="N380" t="str">
            <v>PATIO K - TANQUES RA500TN/ RA501TN/ RA502TN/ RA503TN</v>
          </cell>
          <cell r="O380" t="str">
            <v>FORTANKS</v>
          </cell>
          <cell r="P380" t="str">
            <v>02</v>
          </cell>
          <cell r="Q380" t="str">
            <v>Gean</v>
          </cell>
          <cell r="R380">
            <v>45237</v>
          </cell>
          <cell r="S380">
            <v>0.3923611111111111</v>
          </cell>
          <cell r="T380">
            <v>0.3823611111111111</v>
          </cell>
          <cell r="U380" t="str">
            <v>X</v>
          </cell>
          <cell r="V380">
            <v>0.40277777777777773</v>
          </cell>
          <cell r="W380">
            <v>31.95</v>
          </cell>
          <cell r="X380">
            <v>32.799999999999997</v>
          </cell>
          <cell r="Y380">
            <v>0.41666666666666669</v>
          </cell>
          <cell r="Z380">
            <v>87.11</v>
          </cell>
          <cell r="AA380">
            <v>89.81</v>
          </cell>
          <cell r="AW380">
            <v>3</v>
          </cell>
          <cell r="AX380">
            <v>3</v>
          </cell>
          <cell r="AY380">
            <v>3</v>
          </cell>
          <cell r="AZ380">
            <v>4</v>
          </cell>
          <cell r="BA380" t="str">
            <v>VALE</v>
          </cell>
          <cell r="BB380">
            <v>45238</v>
          </cell>
          <cell r="BG380">
            <v>45237</v>
          </cell>
        </row>
        <row r="381">
          <cell r="A381">
            <v>768</v>
          </cell>
          <cell r="B381">
            <v>388</v>
          </cell>
          <cell r="C381" t="str">
            <v>PN-84(T1) /PN-87(T1)</v>
          </cell>
          <cell r="D381">
            <v>6</v>
          </cell>
          <cell r="E381">
            <v>40</v>
          </cell>
          <cell r="F381">
            <v>24</v>
          </cell>
          <cell r="G381">
            <v>40</v>
          </cell>
          <cell r="H381">
            <v>0</v>
          </cell>
          <cell r="I381" t="str">
            <v>-</v>
          </cell>
          <cell r="J381" t="str">
            <v>650/670</v>
          </cell>
          <cell r="K381" t="str">
            <v xml:space="preserve">CPIII 40 RS </v>
          </cell>
          <cell r="L381" t="str">
            <v>CP V</v>
          </cell>
          <cell r="M381" t="str">
            <v>SUPER PLASTIFICANTE</v>
          </cell>
          <cell r="N381" t="str">
            <v>PATIO K - TANQUES RA500TN/ RA501TN/ RA502TN/ RA503TN</v>
          </cell>
          <cell r="O381" t="str">
            <v>FORTANKS</v>
          </cell>
          <cell r="P381" t="str">
            <v>01</v>
          </cell>
          <cell r="Q381" t="str">
            <v>Gean</v>
          </cell>
          <cell r="R381">
            <v>45237</v>
          </cell>
          <cell r="S381">
            <v>0.41666666666666669</v>
          </cell>
          <cell r="T381">
            <v>0.40666666666666668</v>
          </cell>
          <cell r="U381" t="str">
            <v>X</v>
          </cell>
          <cell r="V381">
            <v>0.40625</v>
          </cell>
          <cell r="W381">
            <v>28.89</v>
          </cell>
          <cell r="X381">
            <v>25.8</v>
          </cell>
          <cell r="Y381">
            <v>0.41666666666666669</v>
          </cell>
          <cell r="Z381">
            <v>87.05</v>
          </cell>
          <cell r="AA381">
            <v>88.38</v>
          </cell>
          <cell r="AW381">
            <v>4</v>
          </cell>
          <cell r="AX381">
            <v>4</v>
          </cell>
          <cell r="AY381">
            <v>4</v>
          </cell>
          <cell r="AZ381">
            <v>4</v>
          </cell>
          <cell r="BA381" t="str">
            <v>VALE</v>
          </cell>
          <cell r="BB381">
            <v>45238</v>
          </cell>
          <cell r="BG381">
            <v>45237</v>
          </cell>
        </row>
        <row r="382">
          <cell r="A382">
            <v>769</v>
          </cell>
          <cell r="B382">
            <v>389</v>
          </cell>
          <cell r="C382" t="str">
            <v>PE-89(D1aD9) / PE-115(C)</v>
          </cell>
          <cell r="D382">
            <v>6</v>
          </cell>
          <cell r="E382">
            <v>40</v>
          </cell>
          <cell r="F382">
            <v>24</v>
          </cell>
          <cell r="G382">
            <v>40</v>
          </cell>
          <cell r="H382">
            <v>0</v>
          </cell>
          <cell r="I382" t="str">
            <v>-</v>
          </cell>
          <cell r="J382" t="str">
            <v>670/660</v>
          </cell>
          <cell r="K382" t="str">
            <v xml:space="preserve">CPIII 40 RS </v>
          </cell>
          <cell r="L382" t="str">
            <v>CP V</v>
          </cell>
          <cell r="M382" t="str">
            <v>SUPER PLASTIFICANTE</v>
          </cell>
          <cell r="N382" t="str">
            <v>PATIO K - TANQUES RA500TN/ RA501TN/ RA502TN/ RA503TN</v>
          </cell>
          <cell r="O382" t="str">
            <v>FORTANKS</v>
          </cell>
          <cell r="P382" t="str">
            <v>02</v>
          </cell>
          <cell r="Q382" t="str">
            <v>Gean</v>
          </cell>
          <cell r="R382">
            <v>45237</v>
          </cell>
          <cell r="S382">
            <v>0.4548611111111111</v>
          </cell>
          <cell r="T382">
            <v>0.4448611111111111</v>
          </cell>
          <cell r="U382" t="str">
            <v>X</v>
          </cell>
          <cell r="V382">
            <v>0.40972222222222227</v>
          </cell>
          <cell r="W382">
            <v>32.72</v>
          </cell>
          <cell r="X382">
            <v>32.58</v>
          </cell>
          <cell r="Y382">
            <v>0.41666666666666669</v>
          </cell>
          <cell r="Z382">
            <v>86.83</v>
          </cell>
          <cell r="AA382">
            <v>87.33</v>
          </cell>
          <cell r="AW382">
            <v>4</v>
          </cell>
          <cell r="AX382">
            <v>3</v>
          </cell>
          <cell r="AY382">
            <v>3</v>
          </cell>
          <cell r="AZ382">
            <v>4</v>
          </cell>
          <cell r="BA382" t="str">
            <v>VALE</v>
          </cell>
          <cell r="BB382">
            <v>45238</v>
          </cell>
          <cell r="BG382">
            <v>45237</v>
          </cell>
        </row>
        <row r="383">
          <cell r="A383">
            <v>770</v>
          </cell>
          <cell r="B383">
            <v>390</v>
          </cell>
          <cell r="C383" t="str">
            <v>PN-230(E1) / PN-228(E1) / PN-227(E1) 50%</v>
          </cell>
          <cell r="D383">
            <v>7</v>
          </cell>
          <cell r="E383">
            <v>40</v>
          </cell>
          <cell r="F383">
            <v>24</v>
          </cell>
          <cell r="G383">
            <v>40</v>
          </cell>
          <cell r="H383">
            <v>0</v>
          </cell>
          <cell r="I383" t="str">
            <v>-</v>
          </cell>
          <cell r="J383" t="str">
            <v>660/660</v>
          </cell>
          <cell r="K383" t="str">
            <v xml:space="preserve">CPIII 40 RS </v>
          </cell>
          <cell r="L383" t="str">
            <v>CP V</v>
          </cell>
          <cell r="M383" t="str">
            <v>SUPER PLASTIFICANTE</v>
          </cell>
          <cell r="N383" t="str">
            <v>PATIO K - TANQUES RA500TN/ RA501TN/ RA502TN/ RA503TN</v>
          </cell>
          <cell r="O383" t="str">
            <v>FORTANKS</v>
          </cell>
          <cell r="P383" t="str">
            <v>01</v>
          </cell>
          <cell r="Q383" t="str">
            <v>Gean</v>
          </cell>
          <cell r="R383">
            <v>45239</v>
          </cell>
          <cell r="S383">
            <v>0.40277777777777773</v>
          </cell>
          <cell r="T383">
            <v>0.39277777777777773</v>
          </cell>
          <cell r="U383" t="str">
            <v>X</v>
          </cell>
          <cell r="V383">
            <v>0.3263888888888889</v>
          </cell>
          <cell r="W383">
            <v>31.37</v>
          </cell>
          <cell r="X383">
            <v>29.52</v>
          </cell>
          <cell r="Y383">
            <v>0.41666666666666669</v>
          </cell>
          <cell r="Z383">
            <v>76.319999999999993</v>
          </cell>
          <cell r="AA383">
            <v>79.989999999999995</v>
          </cell>
          <cell r="AW383">
            <v>4</v>
          </cell>
          <cell r="AX383">
            <v>4</v>
          </cell>
          <cell r="AY383">
            <v>4</v>
          </cell>
          <cell r="AZ383">
            <v>4</v>
          </cell>
          <cell r="BA383" t="str">
            <v>VALE</v>
          </cell>
          <cell r="BB383">
            <v>45240</v>
          </cell>
          <cell r="BG383">
            <v>45239</v>
          </cell>
        </row>
        <row r="384">
          <cell r="A384">
            <v>771</v>
          </cell>
          <cell r="B384">
            <v>391</v>
          </cell>
          <cell r="C384" t="str">
            <v>PN-227(E1) 50% / PN-224(E1) / PN-256(T1)</v>
          </cell>
          <cell r="D384">
            <v>6</v>
          </cell>
          <cell r="E384">
            <v>40</v>
          </cell>
          <cell r="F384">
            <v>24</v>
          </cell>
          <cell r="G384">
            <v>40</v>
          </cell>
          <cell r="H384">
            <v>0</v>
          </cell>
          <cell r="I384" t="str">
            <v>-</v>
          </cell>
          <cell r="J384" t="str">
            <v>650/670</v>
          </cell>
          <cell r="K384" t="str">
            <v xml:space="preserve">CPIII 40 RS </v>
          </cell>
          <cell r="L384" t="str">
            <v>CP V</v>
          </cell>
          <cell r="M384" t="str">
            <v>SUPER PLASTIFICANTE</v>
          </cell>
          <cell r="N384" t="str">
            <v>PATIO K - TANQUES RA500TN/ RA501TN/ RA502TN/ RA503TN</v>
          </cell>
          <cell r="O384" t="str">
            <v>FORTANKS</v>
          </cell>
          <cell r="P384" t="str">
            <v>02</v>
          </cell>
          <cell r="Q384" t="str">
            <v>Gean</v>
          </cell>
          <cell r="R384">
            <v>45239</v>
          </cell>
          <cell r="S384">
            <v>0.43055555555555558</v>
          </cell>
          <cell r="T384">
            <v>0.42055555555555557</v>
          </cell>
          <cell r="U384" t="str">
            <v>X</v>
          </cell>
          <cell r="V384">
            <v>0.3298611111111111</v>
          </cell>
          <cell r="W384">
            <v>33.299999999999997</v>
          </cell>
          <cell r="X384">
            <v>34.380000000000003</v>
          </cell>
          <cell r="Y384">
            <v>0.41666666666666669</v>
          </cell>
          <cell r="Z384">
            <v>86.92</v>
          </cell>
          <cell r="AA384">
            <v>87.6</v>
          </cell>
          <cell r="AW384">
            <v>4</v>
          </cell>
          <cell r="AX384">
            <v>4</v>
          </cell>
          <cell r="AY384">
            <v>4</v>
          </cell>
          <cell r="AZ384">
            <v>4</v>
          </cell>
          <cell r="BA384" t="str">
            <v>VALE</v>
          </cell>
          <cell r="BB384">
            <v>45240</v>
          </cell>
          <cell r="BG384">
            <v>45239</v>
          </cell>
        </row>
        <row r="385">
          <cell r="A385">
            <v>772</v>
          </cell>
          <cell r="B385">
            <v>392</v>
          </cell>
          <cell r="C385" t="str">
            <v>PN-242(T1)  /  PN-245(T1)</v>
          </cell>
          <cell r="D385">
            <v>6</v>
          </cell>
          <cell r="E385">
            <v>40</v>
          </cell>
          <cell r="F385">
            <v>24</v>
          </cell>
          <cell r="G385">
            <v>40</v>
          </cell>
          <cell r="H385">
            <v>0</v>
          </cell>
          <cell r="I385" t="str">
            <v>-</v>
          </cell>
          <cell r="J385" t="str">
            <v>660/660</v>
          </cell>
          <cell r="K385" t="str">
            <v xml:space="preserve">CPIII 40 RS </v>
          </cell>
          <cell r="L385" t="str">
            <v>CP V</v>
          </cell>
          <cell r="M385" t="str">
            <v>SUPER PLASTIFICANTE</v>
          </cell>
          <cell r="N385" t="str">
            <v>PATIO K - TANQUES RA500TN/ RA501TN/ RA502TN/ RA503TN</v>
          </cell>
          <cell r="O385" t="str">
            <v>FORTANKS</v>
          </cell>
          <cell r="P385" t="str">
            <v>01</v>
          </cell>
          <cell r="Q385" t="str">
            <v>Gean</v>
          </cell>
          <cell r="R385">
            <v>45239</v>
          </cell>
          <cell r="S385">
            <v>0.44444444444444442</v>
          </cell>
          <cell r="T385">
            <v>0.43444444444444441</v>
          </cell>
          <cell r="U385" t="str">
            <v>X</v>
          </cell>
          <cell r="V385">
            <v>0.33333333333333331</v>
          </cell>
          <cell r="W385">
            <v>26.75</v>
          </cell>
          <cell r="X385">
            <v>27.39</v>
          </cell>
          <cell r="Y385">
            <v>0.41666666666666669</v>
          </cell>
          <cell r="Z385">
            <v>85.19</v>
          </cell>
          <cell r="AA385">
            <v>83.59</v>
          </cell>
          <cell r="AW385">
            <v>4</v>
          </cell>
          <cell r="AX385">
            <v>3</v>
          </cell>
          <cell r="AY385">
            <v>1</v>
          </cell>
          <cell r="AZ385">
            <v>1</v>
          </cell>
          <cell r="BA385" t="str">
            <v>VALE</v>
          </cell>
          <cell r="BB385">
            <v>45240</v>
          </cell>
          <cell r="BG385">
            <v>45239</v>
          </cell>
        </row>
        <row r="386">
          <cell r="A386">
            <v>773</v>
          </cell>
          <cell r="B386">
            <v>393</v>
          </cell>
          <cell r="C386" t="str">
            <v>PE-238(D1aD9)  / PE-263(D1aD9)</v>
          </cell>
          <cell r="D386">
            <v>5</v>
          </cell>
          <cell r="E386">
            <v>40</v>
          </cell>
          <cell r="F386">
            <v>24</v>
          </cell>
          <cell r="G386">
            <v>40</v>
          </cell>
          <cell r="H386">
            <v>0</v>
          </cell>
          <cell r="I386" t="str">
            <v>-</v>
          </cell>
          <cell r="J386" t="str">
            <v>670/670</v>
          </cell>
          <cell r="K386" t="str">
            <v xml:space="preserve">CPIII 40 RS </v>
          </cell>
          <cell r="L386" t="str">
            <v>CP V</v>
          </cell>
          <cell r="M386" t="str">
            <v>SUPER PLASTIFICANTE</v>
          </cell>
          <cell r="N386" t="str">
            <v>PATIO K - TANQUES RA500TN/ RA501TN/ RA502TN/ RA503TN</v>
          </cell>
          <cell r="O386" t="str">
            <v>FORTANKS</v>
          </cell>
          <cell r="P386" t="str">
            <v>02</v>
          </cell>
          <cell r="Q386" t="str">
            <v>Gean</v>
          </cell>
          <cell r="R386">
            <v>45239</v>
          </cell>
          <cell r="S386">
            <v>0.47569444444444442</v>
          </cell>
          <cell r="T386">
            <v>0.46569444444444441</v>
          </cell>
          <cell r="U386" t="str">
            <v>X</v>
          </cell>
          <cell r="V386">
            <v>0.33680555555555558</v>
          </cell>
          <cell r="W386">
            <v>24.42</v>
          </cell>
          <cell r="X386">
            <v>25.96</v>
          </cell>
          <cell r="Y386">
            <v>0.41666666666666669</v>
          </cell>
          <cell r="Z386">
            <v>78.010000000000005</v>
          </cell>
          <cell r="AA386">
            <v>79.06</v>
          </cell>
          <cell r="AW386">
            <v>4</v>
          </cell>
          <cell r="AX386">
            <v>4</v>
          </cell>
          <cell r="AY386">
            <v>1</v>
          </cell>
          <cell r="AZ386">
            <v>1</v>
          </cell>
          <cell r="BA386" t="str">
            <v>VALE</v>
          </cell>
          <cell r="BB386">
            <v>45240</v>
          </cell>
          <cell r="BG386">
            <v>45239</v>
          </cell>
        </row>
        <row r="387">
          <cell r="A387">
            <v>774</v>
          </cell>
          <cell r="B387">
            <v>394</v>
          </cell>
          <cell r="C387" t="str">
            <v>PN-101(E1) 50%  / PN-104(E1)  / PN-105(E1)</v>
          </cell>
          <cell r="D387">
            <v>7</v>
          </cell>
          <cell r="E387">
            <v>40</v>
          </cell>
          <cell r="F387">
            <v>24</v>
          </cell>
          <cell r="G387">
            <v>40</v>
          </cell>
          <cell r="H387">
            <v>0</v>
          </cell>
          <cell r="I387" t="str">
            <v>-</v>
          </cell>
          <cell r="J387" t="str">
            <v>670/670</v>
          </cell>
          <cell r="K387" t="str">
            <v xml:space="preserve">CPIII 40 RS </v>
          </cell>
          <cell r="L387" t="str">
            <v>CP V</v>
          </cell>
          <cell r="M387" t="str">
            <v>SUPER PLASTIFICANTE</v>
          </cell>
          <cell r="N387" t="str">
            <v>PATIO K - TANQUES RA500TN/ RA501TN/ RA502TN/ RA503TN</v>
          </cell>
          <cell r="O387" t="str">
            <v>FORTANKS</v>
          </cell>
          <cell r="P387" t="str">
            <v>01</v>
          </cell>
          <cell r="Q387" t="str">
            <v>Gean</v>
          </cell>
          <cell r="R387">
            <v>45240</v>
          </cell>
          <cell r="S387">
            <v>0.4236111111111111</v>
          </cell>
          <cell r="T387">
            <v>0.4136111111111111</v>
          </cell>
          <cell r="U387" t="str">
            <v>X</v>
          </cell>
          <cell r="V387">
            <v>0.375</v>
          </cell>
          <cell r="W387">
            <v>36.35</v>
          </cell>
          <cell r="X387">
            <v>36.5</v>
          </cell>
          <cell r="Y387">
            <v>0.41666666666666669</v>
          </cell>
          <cell r="Z387">
            <v>86.69</v>
          </cell>
          <cell r="AA387">
            <v>86.79</v>
          </cell>
          <cell r="AW387">
            <v>4</v>
          </cell>
          <cell r="AX387">
            <v>4</v>
          </cell>
          <cell r="AY387">
            <v>3</v>
          </cell>
          <cell r="AZ387">
            <v>3</v>
          </cell>
          <cell r="BA387" t="str">
            <v>VALE</v>
          </cell>
          <cell r="BB387">
            <v>45241</v>
          </cell>
          <cell r="BG387">
            <v>45240</v>
          </cell>
        </row>
        <row r="388">
          <cell r="A388">
            <v>775</v>
          </cell>
          <cell r="B388">
            <v>395</v>
          </cell>
          <cell r="C388" t="str">
            <v>PN-101(E1) 50% / PN-97(T1)  / PN-98(E1)</v>
          </cell>
          <cell r="D388">
            <v>7</v>
          </cell>
          <cell r="E388">
            <v>40</v>
          </cell>
          <cell r="F388">
            <v>24</v>
          </cell>
          <cell r="G388">
            <v>40</v>
          </cell>
          <cell r="H388">
            <v>0</v>
          </cell>
          <cell r="I388" t="str">
            <v>-</v>
          </cell>
          <cell r="J388" t="str">
            <v>670/660</v>
          </cell>
          <cell r="K388" t="str">
            <v xml:space="preserve">CPIII 40 RS </v>
          </cell>
          <cell r="L388" t="str">
            <v>CP V</v>
          </cell>
          <cell r="M388" t="str">
            <v>SUPER PLASTIFICANTE</v>
          </cell>
          <cell r="N388" t="str">
            <v>PATIO K - TANQUES RA500TN/ RA501TN/ RA502TN/ RA503TN</v>
          </cell>
          <cell r="O388" t="str">
            <v>FORTANKS</v>
          </cell>
          <cell r="P388" t="str">
            <v>02</v>
          </cell>
          <cell r="Q388" t="str">
            <v>Gean</v>
          </cell>
          <cell r="R388">
            <v>45240</v>
          </cell>
          <cell r="S388">
            <v>0.45</v>
          </cell>
          <cell r="T388">
            <v>0.44</v>
          </cell>
          <cell r="U388" t="str">
            <v>X</v>
          </cell>
          <cell r="V388">
            <v>0.37847222222222227</v>
          </cell>
          <cell r="W388">
            <v>33.979999999999997</v>
          </cell>
          <cell r="X388">
            <v>34</v>
          </cell>
          <cell r="Y388">
            <v>0.41666666666666669</v>
          </cell>
          <cell r="Z388">
            <v>86.89</v>
          </cell>
          <cell r="AA388">
            <v>85.31</v>
          </cell>
          <cell r="AW388">
            <v>3</v>
          </cell>
          <cell r="AX388">
            <v>4</v>
          </cell>
          <cell r="AY388">
            <v>4</v>
          </cell>
          <cell r="AZ388">
            <v>4</v>
          </cell>
          <cell r="BA388" t="str">
            <v>VALE</v>
          </cell>
          <cell r="BB388">
            <v>45241</v>
          </cell>
          <cell r="BG388">
            <v>45240</v>
          </cell>
        </row>
        <row r="389">
          <cell r="A389">
            <v>776</v>
          </cell>
          <cell r="B389">
            <v>396</v>
          </cell>
          <cell r="C389" t="str">
            <v>PN-93(T1) / PN-95(T1)</v>
          </cell>
          <cell r="D389">
            <v>6</v>
          </cell>
          <cell r="E389">
            <v>40</v>
          </cell>
          <cell r="F389">
            <v>24</v>
          </cell>
          <cell r="G389">
            <v>40</v>
          </cell>
          <cell r="H389">
            <v>0</v>
          </cell>
          <cell r="I389" t="str">
            <v>-</v>
          </cell>
          <cell r="J389" t="str">
            <v>650/660</v>
          </cell>
          <cell r="K389" t="str">
            <v xml:space="preserve">CPIII 40 RS </v>
          </cell>
          <cell r="L389" t="str">
            <v>CP V</v>
          </cell>
          <cell r="M389" t="str">
            <v>SUPER PLASTIFICANTE</v>
          </cell>
          <cell r="N389" t="str">
            <v>PATIO K - TANQUES RA500TN/ RA501TN/ RA502TN/ RA503TN</v>
          </cell>
          <cell r="O389" t="str">
            <v>FORTANKS</v>
          </cell>
          <cell r="P389" t="str">
            <v>01</v>
          </cell>
          <cell r="Q389" t="str">
            <v>Gean</v>
          </cell>
          <cell r="R389">
            <v>45240</v>
          </cell>
          <cell r="S389">
            <v>0.47569444444444442</v>
          </cell>
          <cell r="T389">
            <v>0.46569444444444441</v>
          </cell>
          <cell r="U389" t="str">
            <v>X</v>
          </cell>
          <cell r="V389">
            <v>0.375</v>
          </cell>
          <cell r="W389">
            <v>32.54</v>
          </cell>
          <cell r="X389">
            <v>32.96</v>
          </cell>
          <cell r="Y389">
            <v>0.41666666666666669</v>
          </cell>
          <cell r="Z389">
            <v>86.92</v>
          </cell>
          <cell r="AA389">
            <v>85.05</v>
          </cell>
          <cell r="AW389">
            <v>4</v>
          </cell>
          <cell r="AX389">
            <v>4</v>
          </cell>
          <cell r="AY389">
            <v>4</v>
          </cell>
          <cell r="AZ389">
            <v>3</v>
          </cell>
          <cell r="BA389" t="str">
            <v>VALE</v>
          </cell>
          <cell r="BB389">
            <v>45241</v>
          </cell>
          <cell r="BG389">
            <v>45240</v>
          </cell>
        </row>
        <row r="390">
          <cell r="A390">
            <v>777</v>
          </cell>
          <cell r="B390">
            <v>397</v>
          </cell>
          <cell r="C390" t="str">
            <v>PE-44(A)  / PE-10(B)</v>
          </cell>
          <cell r="D390">
            <v>5</v>
          </cell>
          <cell r="E390">
            <v>40</v>
          </cell>
          <cell r="F390">
            <v>24</v>
          </cell>
          <cell r="G390">
            <v>40</v>
          </cell>
          <cell r="H390">
            <v>0</v>
          </cell>
          <cell r="I390" t="str">
            <v>-</v>
          </cell>
          <cell r="J390" t="str">
            <v>650/650</v>
          </cell>
          <cell r="K390" t="str">
            <v xml:space="preserve">CPIII 40 RS </v>
          </cell>
          <cell r="L390" t="str">
            <v>CP V</v>
          </cell>
          <cell r="M390" t="str">
            <v>SUPER PLASTIFICANTE</v>
          </cell>
          <cell r="N390" t="str">
            <v>PATIO K - TANQUES RA500TN/ RA501TN/ RA502TN/ RA503TN</v>
          </cell>
          <cell r="O390" t="str">
            <v>FORTANKS</v>
          </cell>
          <cell r="P390" t="str">
            <v>02</v>
          </cell>
          <cell r="Q390" t="str">
            <v>Gean</v>
          </cell>
          <cell r="R390">
            <v>45240</v>
          </cell>
          <cell r="S390">
            <v>0.48819444444444443</v>
          </cell>
          <cell r="T390">
            <v>0.47819444444444442</v>
          </cell>
          <cell r="U390" t="str">
            <v>X</v>
          </cell>
          <cell r="V390">
            <v>0.38541666666666669</v>
          </cell>
          <cell r="W390">
            <v>32.54</v>
          </cell>
          <cell r="X390">
            <v>32.78</v>
          </cell>
          <cell r="Y390">
            <v>0.41666666666666669</v>
          </cell>
          <cell r="Z390">
            <v>86.5</v>
          </cell>
          <cell r="AA390">
            <v>85.14</v>
          </cell>
          <cell r="AW390">
            <v>4</v>
          </cell>
          <cell r="AX390">
            <v>4</v>
          </cell>
          <cell r="AY390">
            <v>4</v>
          </cell>
          <cell r="AZ390">
            <v>4</v>
          </cell>
          <cell r="BA390" t="str">
            <v>VALE</v>
          </cell>
          <cell r="BB390">
            <v>45241</v>
          </cell>
          <cell r="BG390">
            <v>45240</v>
          </cell>
        </row>
        <row r="391">
          <cell r="A391">
            <v>778</v>
          </cell>
          <cell r="B391">
            <v>398</v>
          </cell>
          <cell r="C391" t="str">
            <v>PN-237(E1) 50% / PN-240(E1) / PN-241(E1)</v>
          </cell>
          <cell r="D391">
            <v>7</v>
          </cell>
          <cell r="E391">
            <v>40</v>
          </cell>
          <cell r="F391">
            <v>24</v>
          </cell>
          <cell r="G391">
            <v>40</v>
          </cell>
          <cell r="H391">
            <v>0</v>
          </cell>
          <cell r="I391" t="str">
            <v>-</v>
          </cell>
          <cell r="J391" t="str">
            <v>660/660</v>
          </cell>
          <cell r="K391" t="str">
            <v xml:space="preserve">CPIII 40 RS </v>
          </cell>
          <cell r="L391" t="str">
            <v>CP V</v>
          </cell>
          <cell r="M391" t="str">
            <v>SUPER PLASTIFICANTE</v>
          </cell>
          <cell r="N391" t="str">
            <v>PATIO K - TANQUES RA500TN/ RA501TN/ RA502TN/ RA503TN</v>
          </cell>
          <cell r="O391" t="str">
            <v>FORTANKS</v>
          </cell>
          <cell r="P391" t="str">
            <v>01</v>
          </cell>
          <cell r="Q391" t="str">
            <v>Gean</v>
          </cell>
          <cell r="R391">
            <v>45241</v>
          </cell>
          <cell r="S391">
            <v>0.56944444444444442</v>
          </cell>
          <cell r="T391">
            <v>0.55944444444444441</v>
          </cell>
          <cell r="U391" t="str">
            <v>X</v>
          </cell>
          <cell r="V391">
            <v>0.39583333333333331</v>
          </cell>
          <cell r="W391">
            <v>42.86</v>
          </cell>
          <cell r="X391">
            <v>44.93</v>
          </cell>
          <cell r="Y391">
            <v>0.41666666666666669</v>
          </cell>
          <cell r="Z391">
            <v>79.22</v>
          </cell>
          <cell r="AA391">
            <v>78.040000000000006</v>
          </cell>
          <cell r="AW391">
            <v>4</v>
          </cell>
          <cell r="AX391">
            <v>4</v>
          </cell>
          <cell r="AY391">
            <v>3</v>
          </cell>
          <cell r="AZ391">
            <v>3</v>
          </cell>
          <cell r="BA391" t="str">
            <v>VALE</v>
          </cell>
          <cell r="BB391">
            <v>45242</v>
          </cell>
          <cell r="BG391">
            <v>45241</v>
          </cell>
        </row>
        <row r="392">
          <cell r="A392">
            <v>779</v>
          </cell>
          <cell r="B392">
            <v>399</v>
          </cell>
          <cell r="C392" t="str">
            <v>PN-237(E1) 50% / PN-234(E1) / PN-265(T1)</v>
          </cell>
          <cell r="D392">
            <v>7</v>
          </cell>
          <cell r="E392">
            <v>40</v>
          </cell>
          <cell r="F392">
            <v>24</v>
          </cell>
          <cell r="G392">
            <v>40</v>
          </cell>
          <cell r="H392">
            <v>0</v>
          </cell>
          <cell r="I392" t="str">
            <v>-</v>
          </cell>
          <cell r="J392" t="str">
            <v>670/660</v>
          </cell>
          <cell r="K392" t="str">
            <v xml:space="preserve">CPIII 40 RS </v>
          </cell>
          <cell r="L392" t="str">
            <v>CP V</v>
          </cell>
          <cell r="M392" t="str">
            <v>SUPER PLASTIFICANTE</v>
          </cell>
          <cell r="N392" t="str">
            <v>PATIO K - TANQUES RA500TN/ RA501TN/ RA502TN/ RA503TN</v>
          </cell>
          <cell r="O392" t="str">
            <v>FORTANKS</v>
          </cell>
          <cell r="P392" t="str">
            <v>02</v>
          </cell>
          <cell r="Q392" t="str">
            <v>Gean</v>
          </cell>
          <cell r="R392">
            <v>45241</v>
          </cell>
          <cell r="S392">
            <v>0.59583333333333333</v>
          </cell>
          <cell r="T392">
            <v>0.58583333333333332</v>
          </cell>
          <cell r="U392" t="str">
            <v>X</v>
          </cell>
          <cell r="V392">
            <v>0.39930555555555558</v>
          </cell>
          <cell r="W392">
            <v>47.8</v>
          </cell>
          <cell r="X392">
            <v>45.91</v>
          </cell>
          <cell r="Y392">
            <v>0.41666666666666669</v>
          </cell>
          <cell r="Z392">
            <v>86.67</v>
          </cell>
          <cell r="AA392">
            <v>87.96</v>
          </cell>
          <cell r="AW392">
            <v>4</v>
          </cell>
          <cell r="AX392">
            <v>4</v>
          </cell>
          <cell r="AY392">
            <v>4</v>
          </cell>
          <cell r="AZ392">
            <v>4</v>
          </cell>
          <cell r="BA392" t="str">
            <v>VALE</v>
          </cell>
          <cell r="BB392">
            <v>45242</v>
          </cell>
          <cell r="BG392">
            <v>45241</v>
          </cell>
        </row>
        <row r="393">
          <cell r="A393">
            <v>780</v>
          </cell>
          <cell r="B393">
            <v>400</v>
          </cell>
          <cell r="C393" t="str">
            <v>PN-259(T1) / PN-262(T1)</v>
          </cell>
          <cell r="D393">
            <v>5</v>
          </cell>
          <cell r="E393">
            <v>40</v>
          </cell>
          <cell r="F393">
            <v>24</v>
          </cell>
          <cell r="G393">
            <v>40</v>
          </cell>
          <cell r="H393">
            <v>0</v>
          </cell>
          <cell r="I393" t="str">
            <v>-</v>
          </cell>
          <cell r="J393" t="str">
            <v>650/670</v>
          </cell>
          <cell r="K393" t="str">
            <v xml:space="preserve">CPIII 40 RS </v>
          </cell>
          <cell r="L393" t="str">
            <v>CP V</v>
          </cell>
          <cell r="M393" t="str">
            <v>SUPER PLASTIFICANTE</v>
          </cell>
          <cell r="N393" t="str">
            <v>PATIO K - TANQUES RA500TN/ RA501TN/ RA502TN/ RA503TN</v>
          </cell>
          <cell r="O393" t="str">
            <v>FORTANKS</v>
          </cell>
          <cell r="P393" t="str">
            <v>01</v>
          </cell>
          <cell r="Q393" t="str">
            <v>Gean</v>
          </cell>
          <cell r="R393">
            <v>45241</v>
          </cell>
          <cell r="S393">
            <v>0.62152777777777779</v>
          </cell>
          <cell r="T393">
            <v>0.61152777777777778</v>
          </cell>
          <cell r="U393" t="str">
            <v>X</v>
          </cell>
          <cell r="V393">
            <v>0.40277777777777773</v>
          </cell>
          <cell r="W393">
            <v>44.01</v>
          </cell>
          <cell r="X393">
            <v>43.7</v>
          </cell>
          <cell r="Y393">
            <v>0.41666666666666669</v>
          </cell>
          <cell r="Z393">
            <v>83</v>
          </cell>
          <cell r="AA393">
            <v>83.86</v>
          </cell>
          <cell r="AW393">
            <v>4</v>
          </cell>
          <cell r="AX393">
            <v>4</v>
          </cell>
          <cell r="AY393">
            <v>4</v>
          </cell>
          <cell r="AZ393">
            <v>4</v>
          </cell>
          <cell r="BA393" t="str">
            <v>VALE</v>
          </cell>
          <cell r="BB393">
            <v>45242</v>
          </cell>
          <cell r="BG393">
            <v>45241</v>
          </cell>
        </row>
        <row r="394">
          <cell r="A394">
            <v>781</v>
          </cell>
          <cell r="B394">
            <v>401</v>
          </cell>
          <cell r="C394" t="str">
            <v>PN-225(D1aD9)  / PE-183(C)</v>
          </cell>
          <cell r="D394">
            <v>6</v>
          </cell>
          <cell r="E394">
            <v>40</v>
          </cell>
          <cell r="F394">
            <v>24</v>
          </cell>
          <cell r="G394">
            <v>40</v>
          </cell>
          <cell r="H394">
            <v>0</v>
          </cell>
          <cell r="I394" t="str">
            <v>-</v>
          </cell>
          <cell r="J394" t="str">
            <v>660/660</v>
          </cell>
          <cell r="K394" t="str">
            <v xml:space="preserve">CPIII 40 RS </v>
          </cell>
          <cell r="L394" t="str">
            <v>CP V</v>
          </cell>
          <cell r="M394" t="str">
            <v>SUPER PLASTIFICANTE</v>
          </cell>
          <cell r="N394" t="str">
            <v>PATIO K - TANQUES RA500TN/ RA501TN/ RA502TN/ RA503TN</v>
          </cell>
          <cell r="O394" t="str">
            <v>FORTANKS</v>
          </cell>
          <cell r="P394" t="str">
            <v>02</v>
          </cell>
          <cell r="Q394" t="str">
            <v>Gean</v>
          </cell>
          <cell r="R394">
            <v>45241</v>
          </cell>
          <cell r="S394">
            <v>0.64236111111111105</v>
          </cell>
          <cell r="T394">
            <v>0.63236111111111104</v>
          </cell>
          <cell r="U394" t="str">
            <v>X</v>
          </cell>
          <cell r="V394">
            <v>0.40277777777777773</v>
          </cell>
          <cell r="W394">
            <v>49.95</v>
          </cell>
          <cell r="X394">
            <v>45.8</v>
          </cell>
          <cell r="Y394">
            <v>0.41666666666666669</v>
          </cell>
          <cell r="Z394">
            <v>87.28</v>
          </cell>
          <cell r="AA394">
            <v>89.09</v>
          </cell>
          <cell r="AW394">
            <v>4</v>
          </cell>
          <cell r="AX394">
            <v>4</v>
          </cell>
          <cell r="AY394">
            <v>4</v>
          </cell>
          <cell r="AZ394">
            <v>4</v>
          </cell>
          <cell r="BA394" t="str">
            <v>VALE</v>
          </cell>
          <cell r="BB394">
            <v>45242</v>
          </cell>
          <cell r="BG394">
            <v>45241</v>
          </cell>
        </row>
        <row r="395">
          <cell r="A395">
            <v>782</v>
          </cell>
          <cell r="B395">
            <v>402</v>
          </cell>
          <cell r="C395" t="str">
            <v>PN-110(E1) 50% / PN-116(E1) / PN-118(E1)</v>
          </cell>
          <cell r="D395">
            <v>7</v>
          </cell>
          <cell r="E395">
            <v>40</v>
          </cell>
          <cell r="F395">
            <v>24</v>
          </cell>
          <cell r="G395">
            <v>40</v>
          </cell>
          <cell r="H395">
            <v>0</v>
          </cell>
          <cell r="I395" t="str">
            <v>-</v>
          </cell>
          <cell r="J395" t="str">
            <v>660/660</v>
          </cell>
          <cell r="K395" t="str">
            <v xml:space="preserve">CPIII 40 RS </v>
          </cell>
          <cell r="L395" t="str">
            <v>CP V</v>
          </cell>
          <cell r="M395" t="str">
            <v>SUPER PLASTIFICANTE</v>
          </cell>
          <cell r="N395" t="str">
            <v>PATIO K - TANQUES RA500TN/ RA501TN/ RA502TN/ RA503TN</v>
          </cell>
          <cell r="O395" t="str">
            <v>FORTANKS</v>
          </cell>
          <cell r="P395" t="str">
            <v>01</v>
          </cell>
          <cell r="Q395" t="str">
            <v>Gean</v>
          </cell>
          <cell r="R395">
            <v>45244</v>
          </cell>
          <cell r="S395">
            <v>0.41319444444444442</v>
          </cell>
          <cell r="T395">
            <v>0.40319444444444441</v>
          </cell>
          <cell r="U395" t="str">
            <v>X</v>
          </cell>
          <cell r="V395">
            <v>0.5</v>
          </cell>
          <cell r="W395">
            <v>27.56</v>
          </cell>
          <cell r="X395">
            <v>25.46</v>
          </cell>
          <cell r="Y395">
            <v>0.41666666666666669</v>
          </cell>
          <cell r="Z395">
            <v>76.819999999999993</v>
          </cell>
          <cell r="AA395">
            <v>77.53</v>
          </cell>
          <cell r="AW395">
            <v>4</v>
          </cell>
          <cell r="AX395">
            <v>4</v>
          </cell>
          <cell r="AY395">
            <v>4</v>
          </cell>
          <cell r="AZ395">
            <v>3</v>
          </cell>
          <cell r="BA395" t="str">
            <v>VALE</v>
          </cell>
          <cell r="BB395">
            <v>45245</v>
          </cell>
          <cell r="BG395">
            <v>45244</v>
          </cell>
        </row>
        <row r="396">
          <cell r="A396">
            <v>783</v>
          </cell>
          <cell r="B396">
            <v>403</v>
          </cell>
          <cell r="C396" t="str">
            <v>PN-110(E1) 50%/ PN-107(E1) / PN-106(T1)</v>
          </cell>
          <cell r="D396">
            <v>7</v>
          </cell>
          <cell r="E396">
            <v>40</v>
          </cell>
          <cell r="F396">
            <v>24</v>
          </cell>
          <cell r="G396">
            <v>40</v>
          </cell>
          <cell r="H396">
            <v>0</v>
          </cell>
          <cell r="I396" t="str">
            <v>-</v>
          </cell>
          <cell r="J396" t="str">
            <v>670/660</v>
          </cell>
          <cell r="K396" t="str">
            <v xml:space="preserve">CPIII 40 RS </v>
          </cell>
          <cell r="L396" t="str">
            <v>CP V</v>
          </cell>
          <cell r="M396" t="str">
            <v>SUPER PLASTIFICANTE</v>
          </cell>
          <cell r="N396" t="str">
            <v>PATIO K - TANQUES RA500TN/ RA501TN/ RA502TN/ RA503TN</v>
          </cell>
          <cell r="O396" t="str">
            <v>FORTANKS</v>
          </cell>
          <cell r="P396" t="str">
            <v>02</v>
          </cell>
          <cell r="Q396" t="str">
            <v>Gean</v>
          </cell>
          <cell r="R396">
            <v>45244</v>
          </cell>
          <cell r="S396">
            <v>0.43055555555555558</v>
          </cell>
          <cell r="T396">
            <v>0.42055555555555557</v>
          </cell>
          <cell r="U396" t="str">
            <v>X</v>
          </cell>
          <cell r="V396">
            <v>0.39583333333333331</v>
          </cell>
          <cell r="W396">
            <v>29.22</v>
          </cell>
          <cell r="X396">
            <v>26.86</v>
          </cell>
          <cell r="Y396">
            <v>0.41666666666666669</v>
          </cell>
          <cell r="Z396">
            <v>76.489999999999995</v>
          </cell>
          <cell r="AA396">
            <v>74.87</v>
          </cell>
          <cell r="AW396">
            <v>4</v>
          </cell>
          <cell r="AX396">
            <v>4</v>
          </cell>
          <cell r="AY396">
            <v>3</v>
          </cell>
          <cell r="AZ396">
            <v>4</v>
          </cell>
          <cell r="BA396" t="str">
            <v>VALE</v>
          </cell>
          <cell r="BB396">
            <v>45245</v>
          </cell>
          <cell r="BG396">
            <v>45244</v>
          </cell>
        </row>
        <row r="397">
          <cell r="A397">
            <v>784</v>
          </cell>
          <cell r="B397">
            <v>404</v>
          </cell>
          <cell r="C397" t="str">
            <v>PN-100(T1)  / PN-103(T1)</v>
          </cell>
          <cell r="D397">
            <v>6</v>
          </cell>
          <cell r="E397">
            <v>40</v>
          </cell>
          <cell r="F397">
            <v>24</v>
          </cell>
          <cell r="G397">
            <v>40</v>
          </cell>
          <cell r="H397">
            <v>0</v>
          </cell>
          <cell r="I397" t="str">
            <v>-</v>
          </cell>
          <cell r="J397" t="str">
            <v>670/670</v>
          </cell>
          <cell r="K397" t="str">
            <v xml:space="preserve">CPIII 40 RS </v>
          </cell>
          <cell r="L397" t="str">
            <v>CP V</v>
          </cell>
          <cell r="M397" t="str">
            <v>SUPER PLASTIFICANTE</v>
          </cell>
          <cell r="N397" t="str">
            <v>PATIO K - TANQUES RA500TN/ RA501TN/ RA502TN/ RA503TN</v>
          </cell>
          <cell r="O397" t="str">
            <v>FORTANKS</v>
          </cell>
          <cell r="P397" t="str">
            <v>01</v>
          </cell>
          <cell r="Q397" t="str">
            <v>Gean</v>
          </cell>
          <cell r="R397">
            <v>45244</v>
          </cell>
          <cell r="S397">
            <v>0.44444444444444442</v>
          </cell>
          <cell r="T397">
            <v>0.43444444444444441</v>
          </cell>
          <cell r="U397" t="str">
            <v>X</v>
          </cell>
          <cell r="V397">
            <v>0.39583333333333331</v>
          </cell>
          <cell r="W397">
            <v>31.36</v>
          </cell>
          <cell r="X397">
            <v>28.57</v>
          </cell>
          <cell r="Y397">
            <v>0.41666666666666669</v>
          </cell>
          <cell r="Z397">
            <v>86.77</v>
          </cell>
          <cell r="AA397">
            <v>85.67</v>
          </cell>
          <cell r="AW397">
            <v>4</v>
          </cell>
          <cell r="AX397">
            <v>4</v>
          </cell>
          <cell r="AY397">
            <v>4</v>
          </cell>
          <cell r="AZ397">
            <v>4</v>
          </cell>
          <cell r="BA397" t="str">
            <v>VALE</v>
          </cell>
          <cell r="BB397">
            <v>45245</v>
          </cell>
          <cell r="BG397">
            <v>45244</v>
          </cell>
        </row>
        <row r="398">
          <cell r="A398">
            <v>785</v>
          </cell>
          <cell r="B398">
            <v>405</v>
          </cell>
          <cell r="C398" t="str">
            <v>PE-112(A) /  PE-78 (B)</v>
          </cell>
          <cell r="D398">
            <v>6</v>
          </cell>
          <cell r="E398">
            <v>40</v>
          </cell>
          <cell r="F398">
            <v>24</v>
          </cell>
          <cell r="G398">
            <v>40</v>
          </cell>
          <cell r="H398">
            <v>0</v>
          </cell>
          <cell r="I398" t="str">
            <v>-</v>
          </cell>
          <cell r="J398" t="str">
            <v>660/650</v>
          </cell>
          <cell r="K398" t="str">
            <v xml:space="preserve">CPIII 40 RS </v>
          </cell>
          <cell r="L398" t="str">
            <v>CP V</v>
          </cell>
          <cell r="M398" t="str">
            <v>SUPER PLASTIFICANTE</v>
          </cell>
          <cell r="N398" t="str">
            <v>PATIO K - TANQUES RA500TN/ RA501TN/ RA502TN/ RA503TN</v>
          </cell>
          <cell r="O398" t="str">
            <v>FORTANKS</v>
          </cell>
          <cell r="P398" t="str">
            <v>02</v>
          </cell>
          <cell r="Q398" t="str">
            <v>Gean</v>
          </cell>
          <cell r="R398">
            <v>45244</v>
          </cell>
          <cell r="S398">
            <v>0.47916666666666669</v>
          </cell>
          <cell r="T398">
            <v>0.46916666666666668</v>
          </cell>
          <cell r="U398" t="str">
            <v>X</v>
          </cell>
          <cell r="V398">
            <v>0.40277777777777773</v>
          </cell>
          <cell r="W398">
            <v>31.47</v>
          </cell>
          <cell r="X398">
            <v>32.89</v>
          </cell>
          <cell r="Y398">
            <v>0.41666666666666669</v>
          </cell>
          <cell r="Z398">
            <v>85.94</v>
          </cell>
          <cell r="AA398">
            <v>86.13</v>
          </cell>
          <cell r="AW398">
            <v>4</v>
          </cell>
          <cell r="AX398">
            <v>4</v>
          </cell>
          <cell r="AY398">
            <v>4</v>
          </cell>
          <cell r="AZ398">
            <v>4</v>
          </cell>
          <cell r="BA398" t="str">
            <v>VALE</v>
          </cell>
          <cell r="BB398">
            <v>45245</v>
          </cell>
          <cell r="BG398">
            <v>45244</v>
          </cell>
        </row>
        <row r="399">
          <cell r="A399">
            <v>786</v>
          </cell>
          <cell r="B399">
            <v>406</v>
          </cell>
          <cell r="C399" t="str">
            <v>PE-270(D1aD9) / PE-251(C) / PN-268(T1) 50%</v>
          </cell>
          <cell r="D399">
            <v>7</v>
          </cell>
          <cell r="E399">
            <v>40</v>
          </cell>
          <cell r="F399">
            <v>24</v>
          </cell>
          <cell r="G399">
            <v>40</v>
          </cell>
          <cell r="H399">
            <v>0</v>
          </cell>
          <cell r="I399" t="str">
            <v>-</v>
          </cell>
          <cell r="J399" t="str">
            <v>650/660</v>
          </cell>
          <cell r="K399" t="str">
            <v xml:space="preserve">CPIII 40 RS </v>
          </cell>
          <cell r="L399" t="str">
            <v>CP V</v>
          </cell>
          <cell r="M399" t="str">
            <v>SUPER PLASTIFICANTE</v>
          </cell>
          <cell r="N399" t="str">
            <v>PATIO K - TANQUES RA500TN/ RA501TN/ RA502TN/ RA503TN</v>
          </cell>
          <cell r="O399" t="str">
            <v>FORTANKS</v>
          </cell>
          <cell r="P399" t="str">
            <v>01</v>
          </cell>
          <cell r="Q399" t="str">
            <v>Gean</v>
          </cell>
          <cell r="R399">
            <v>45245</v>
          </cell>
          <cell r="S399">
            <v>0.56944444444444442</v>
          </cell>
          <cell r="T399">
            <v>0.55944444444444441</v>
          </cell>
          <cell r="U399" t="str">
            <v>X</v>
          </cell>
          <cell r="V399">
            <v>0.57638888888888895</v>
          </cell>
          <cell r="W399">
            <v>31.25</v>
          </cell>
          <cell r="X399">
            <v>33.19</v>
          </cell>
          <cell r="Y399">
            <v>0.41666666666666669</v>
          </cell>
          <cell r="Z399">
            <v>81.95</v>
          </cell>
          <cell r="AA399">
            <v>85.98</v>
          </cell>
          <cell r="AW399">
            <v>4</v>
          </cell>
          <cell r="AX399">
            <v>4</v>
          </cell>
          <cell r="AY399">
            <v>4</v>
          </cell>
          <cell r="AZ399">
            <v>4</v>
          </cell>
          <cell r="BA399" t="str">
            <v>VALE</v>
          </cell>
          <cell r="BB399">
            <v>45246</v>
          </cell>
          <cell r="BG399">
            <v>45245</v>
          </cell>
        </row>
        <row r="400">
          <cell r="A400">
            <v>787</v>
          </cell>
          <cell r="B400">
            <v>407</v>
          </cell>
          <cell r="C400" t="str">
            <v>PN-268(T1) 50%/  PN-271(T1) / PN-243(T1)</v>
          </cell>
          <cell r="D400">
            <v>6</v>
          </cell>
          <cell r="E400">
            <v>40</v>
          </cell>
          <cell r="F400">
            <v>24</v>
          </cell>
          <cell r="G400">
            <v>40</v>
          </cell>
          <cell r="H400">
            <v>0</v>
          </cell>
          <cell r="I400" t="str">
            <v>-</v>
          </cell>
          <cell r="J400" t="str">
            <v>680/660</v>
          </cell>
          <cell r="K400" t="str">
            <v xml:space="preserve">CPIII 40 RS </v>
          </cell>
          <cell r="L400" t="str">
            <v>CP V</v>
          </cell>
          <cell r="M400" t="str">
            <v>SUPER PLASTIFICANTE</v>
          </cell>
          <cell r="N400" t="str">
            <v>PATIO K - TANQUES RA500TN/ RA501TN/ RA502TN/ RA503TN</v>
          </cell>
          <cell r="O400" t="str">
            <v>FORTANKS</v>
          </cell>
          <cell r="P400" t="str">
            <v>02</v>
          </cell>
          <cell r="Q400" t="str">
            <v>Gean</v>
          </cell>
          <cell r="R400">
            <v>45245</v>
          </cell>
          <cell r="S400">
            <v>0.59027777777777779</v>
          </cell>
          <cell r="T400">
            <v>0.58027777777777778</v>
          </cell>
          <cell r="U400" t="str">
            <v>X</v>
          </cell>
          <cell r="V400">
            <v>0.57638888888888895</v>
          </cell>
          <cell r="W400">
            <v>28.88</v>
          </cell>
          <cell r="X400">
            <v>30.45</v>
          </cell>
          <cell r="Y400">
            <v>0.41666666666666669</v>
          </cell>
          <cell r="Z400">
            <v>86.39</v>
          </cell>
          <cell r="AA400">
            <v>87.29</v>
          </cell>
          <cell r="AW400">
            <v>4</v>
          </cell>
          <cell r="AX400">
            <v>4</v>
          </cell>
          <cell r="AY400">
            <v>4</v>
          </cell>
          <cell r="AZ400">
            <v>4</v>
          </cell>
          <cell r="BA400" t="str">
            <v>VALE</v>
          </cell>
          <cell r="BB400">
            <v>45246</v>
          </cell>
          <cell r="BG400">
            <v>45245</v>
          </cell>
        </row>
        <row r="401">
          <cell r="A401">
            <v>788</v>
          </cell>
          <cell r="B401">
            <v>408</v>
          </cell>
          <cell r="C401" t="str">
            <v>PN-246(E1) / PN-252(E1)</v>
          </cell>
          <cell r="D401">
            <v>6</v>
          </cell>
          <cell r="E401">
            <v>40</v>
          </cell>
          <cell r="F401">
            <v>24</v>
          </cell>
          <cell r="G401">
            <v>40</v>
          </cell>
          <cell r="H401">
            <v>0</v>
          </cell>
          <cell r="I401" t="str">
            <v>-</v>
          </cell>
          <cell r="J401" t="str">
            <v>660/660</v>
          </cell>
          <cell r="K401" t="str">
            <v xml:space="preserve">CPIII 40 RS </v>
          </cell>
          <cell r="L401" t="str">
            <v>CP V</v>
          </cell>
          <cell r="M401" t="str">
            <v>SUPER PLASTIFICANTE</v>
          </cell>
          <cell r="N401" t="str">
            <v>PATIO K - TANQUES RA500TN/ RA501TN/ RA502TN/ RA503TN</v>
          </cell>
          <cell r="O401" t="str">
            <v>FORTANKS</v>
          </cell>
          <cell r="P401" t="str">
            <v>01</v>
          </cell>
          <cell r="Q401" t="str">
            <v>Gean</v>
          </cell>
          <cell r="R401">
            <v>45245</v>
          </cell>
          <cell r="S401">
            <v>0.61111111111111105</v>
          </cell>
          <cell r="T401">
            <v>0.60111111111111104</v>
          </cell>
          <cell r="U401" t="str">
            <v>X</v>
          </cell>
          <cell r="V401">
            <v>0.57638888888888895</v>
          </cell>
          <cell r="W401">
            <v>26.78</v>
          </cell>
          <cell r="X401">
            <v>26.76</v>
          </cell>
          <cell r="Y401">
            <v>0.41666666666666669</v>
          </cell>
          <cell r="Z401">
            <v>84.16</v>
          </cell>
          <cell r="AA401">
            <v>89.86</v>
          </cell>
          <cell r="AW401">
            <v>4</v>
          </cell>
          <cell r="AX401">
            <v>4</v>
          </cell>
          <cell r="AY401">
            <v>3</v>
          </cell>
          <cell r="AZ401">
            <v>4</v>
          </cell>
          <cell r="BA401" t="str">
            <v>VALE</v>
          </cell>
          <cell r="BB401">
            <v>45246</v>
          </cell>
          <cell r="BG401">
            <v>45245</v>
          </cell>
        </row>
        <row r="402">
          <cell r="A402">
            <v>789</v>
          </cell>
          <cell r="B402">
            <v>409</v>
          </cell>
          <cell r="C402" t="str">
            <v>PN-254(E1) / PN-257(E1)</v>
          </cell>
          <cell r="D402">
            <v>4.5</v>
          </cell>
          <cell r="E402">
            <v>40</v>
          </cell>
          <cell r="F402">
            <v>24</v>
          </cell>
          <cell r="G402">
            <v>40</v>
          </cell>
          <cell r="H402">
            <v>0</v>
          </cell>
          <cell r="I402" t="str">
            <v>-</v>
          </cell>
          <cell r="J402" t="str">
            <v>650/650</v>
          </cell>
          <cell r="K402" t="str">
            <v xml:space="preserve">CPIII 40 RS </v>
          </cell>
          <cell r="L402" t="str">
            <v>CP V</v>
          </cell>
          <cell r="M402" t="str">
            <v>SUPER PLASTIFICANTE</v>
          </cell>
          <cell r="N402" t="str">
            <v>PATIO K - TANQUES RA500TN/ RA501TN/ RA502TN/ RA503TN</v>
          </cell>
          <cell r="O402" t="str">
            <v>FORTANKS</v>
          </cell>
          <cell r="P402" t="str">
            <v>02</v>
          </cell>
          <cell r="Q402" t="str">
            <v>Gean</v>
          </cell>
          <cell r="R402">
            <v>45245</v>
          </cell>
          <cell r="S402">
            <v>0.64236111111111105</v>
          </cell>
          <cell r="T402">
            <v>0.63236111111111104</v>
          </cell>
          <cell r="U402" t="str">
            <v>X</v>
          </cell>
          <cell r="V402">
            <v>0.57638888888888895</v>
          </cell>
          <cell r="W402">
            <v>28.92</v>
          </cell>
          <cell r="X402">
            <v>25.23</v>
          </cell>
          <cell r="Y402">
            <v>0.41666666666666669</v>
          </cell>
          <cell r="Z402">
            <v>85.91</v>
          </cell>
          <cell r="AA402">
            <v>86.13</v>
          </cell>
          <cell r="AW402">
            <v>4</v>
          </cell>
          <cell r="AX402">
            <v>4</v>
          </cell>
          <cell r="AY402">
            <v>4</v>
          </cell>
          <cell r="AZ402">
            <v>4</v>
          </cell>
          <cell r="BA402" t="str">
            <v>VALE</v>
          </cell>
          <cell r="BB402">
            <v>45246</v>
          </cell>
          <cell r="BG402">
            <v>45245</v>
          </cell>
        </row>
        <row r="403">
          <cell r="A403">
            <v>790</v>
          </cell>
          <cell r="B403">
            <v>410</v>
          </cell>
          <cell r="C403" t="str">
            <v>PN-122(E1) 50% / PN-124(E1) / PN-125(E1)</v>
          </cell>
          <cell r="D403">
            <v>7</v>
          </cell>
          <cell r="E403">
            <v>40</v>
          </cell>
          <cell r="F403">
            <v>24</v>
          </cell>
          <cell r="G403">
            <v>40</v>
          </cell>
          <cell r="H403">
            <v>0</v>
          </cell>
          <cell r="I403" t="str">
            <v>-</v>
          </cell>
          <cell r="J403" t="str">
            <v>660/660</v>
          </cell>
          <cell r="K403" t="str">
            <v xml:space="preserve">CPIII 40 RS </v>
          </cell>
          <cell r="L403" t="str">
            <v>CP V</v>
          </cell>
          <cell r="M403" t="str">
            <v>SUPER PLASTIFICANTE</v>
          </cell>
          <cell r="N403" t="str">
            <v>PATIO K - TANQUES RA500TN/ RA501TN/ RA502TN/ RA503TN</v>
          </cell>
          <cell r="O403" t="str">
            <v>FORTANKS</v>
          </cell>
          <cell r="P403" t="str">
            <v>01</v>
          </cell>
          <cell r="Q403" t="str">
            <v>Gean</v>
          </cell>
          <cell r="R403">
            <v>45247</v>
          </cell>
          <cell r="S403">
            <v>0.54166666666666663</v>
          </cell>
          <cell r="T403">
            <v>0.53166666666666662</v>
          </cell>
          <cell r="U403" t="str">
            <v>X</v>
          </cell>
          <cell r="V403">
            <v>0.3125</v>
          </cell>
          <cell r="W403">
            <v>60.6</v>
          </cell>
          <cell r="X403">
            <v>62.67</v>
          </cell>
          <cell r="Y403">
            <v>0.41666666666666669</v>
          </cell>
          <cell r="Z403">
            <v>83.72</v>
          </cell>
          <cell r="AA403">
            <v>82.31</v>
          </cell>
          <cell r="AW403">
            <v>4</v>
          </cell>
          <cell r="AX403">
            <v>4</v>
          </cell>
          <cell r="AY403">
            <v>4</v>
          </cell>
          <cell r="AZ403">
            <v>3</v>
          </cell>
          <cell r="BA403" t="str">
            <v>VALE</v>
          </cell>
          <cell r="BB403">
            <v>45248</v>
          </cell>
          <cell r="BG403">
            <v>45247</v>
          </cell>
        </row>
        <row r="404">
          <cell r="A404">
            <v>791</v>
          </cell>
          <cell r="B404">
            <v>411</v>
          </cell>
          <cell r="C404" t="str">
            <v>PN-122(E1) 50% / PN-121(E1)/ PN-123(T1)</v>
          </cell>
          <cell r="D404">
            <v>7</v>
          </cell>
          <cell r="E404">
            <v>40</v>
          </cell>
          <cell r="F404">
            <v>24</v>
          </cell>
          <cell r="G404">
            <v>40</v>
          </cell>
          <cell r="H404">
            <v>0</v>
          </cell>
          <cell r="I404" t="str">
            <v>-</v>
          </cell>
          <cell r="J404" t="str">
            <v>660/670</v>
          </cell>
          <cell r="K404" t="str">
            <v xml:space="preserve">CPIII 40 RS </v>
          </cell>
          <cell r="L404" t="str">
            <v>CP V</v>
          </cell>
          <cell r="M404" t="str">
            <v>SUPER PLASTIFICANTE</v>
          </cell>
          <cell r="N404" t="str">
            <v>PATIO K - TANQUES RA500TN/ RA501TN/ RA502TN/ RA503TN</v>
          </cell>
          <cell r="O404" t="str">
            <v>FORTANKS</v>
          </cell>
          <cell r="P404" t="str">
            <v>02</v>
          </cell>
          <cell r="Q404" t="str">
            <v>Gean</v>
          </cell>
          <cell r="R404">
            <v>45247</v>
          </cell>
          <cell r="S404">
            <v>0.5625</v>
          </cell>
          <cell r="T404">
            <v>0.55249999999999999</v>
          </cell>
          <cell r="U404" t="str">
            <v>X</v>
          </cell>
          <cell r="V404">
            <v>0.3125</v>
          </cell>
          <cell r="W404">
            <v>73.92</v>
          </cell>
          <cell r="X404">
            <v>76.150000000000006</v>
          </cell>
          <cell r="Y404">
            <v>0.41666666666666669</v>
          </cell>
          <cell r="Z404">
            <v>87.09</v>
          </cell>
          <cell r="AA404">
            <v>88.79</v>
          </cell>
          <cell r="AW404">
            <v>4</v>
          </cell>
          <cell r="AX404">
            <v>4</v>
          </cell>
          <cell r="AY404">
            <v>4</v>
          </cell>
          <cell r="AZ404">
            <v>3</v>
          </cell>
          <cell r="BA404" t="str">
            <v>VALE</v>
          </cell>
          <cell r="BB404">
            <v>45248</v>
          </cell>
          <cell r="BG404">
            <v>45247</v>
          </cell>
        </row>
        <row r="405">
          <cell r="A405">
            <v>792</v>
          </cell>
          <cell r="B405">
            <v>412</v>
          </cell>
          <cell r="C405" t="str">
            <v>PN-109(T1) / PN-120(T1)</v>
          </cell>
          <cell r="D405">
            <v>6</v>
          </cell>
          <cell r="E405">
            <v>40</v>
          </cell>
          <cell r="F405">
            <v>24</v>
          </cell>
          <cell r="G405">
            <v>40</v>
          </cell>
          <cell r="H405">
            <v>0</v>
          </cell>
          <cell r="I405" t="str">
            <v>-</v>
          </cell>
          <cell r="J405" t="str">
            <v>650/660</v>
          </cell>
          <cell r="K405" t="str">
            <v xml:space="preserve">CPIII 40 RS </v>
          </cell>
          <cell r="L405" t="str">
            <v>CP V</v>
          </cell>
          <cell r="M405" t="str">
            <v>SUPER PLASTIFICANTE</v>
          </cell>
          <cell r="N405" t="str">
            <v>PATIO K - TANQUES RA500TN/ RA501TN/ RA502TN/ RA503TN</v>
          </cell>
          <cell r="O405" t="str">
            <v>FORTANKS</v>
          </cell>
          <cell r="P405" t="str">
            <v>01</v>
          </cell>
          <cell r="Q405" t="str">
            <v>Gean</v>
          </cell>
          <cell r="R405">
            <v>45247</v>
          </cell>
          <cell r="S405">
            <v>0.60416666666666663</v>
          </cell>
          <cell r="T405">
            <v>0.59416666666666662</v>
          </cell>
          <cell r="U405" t="str">
            <v>X</v>
          </cell>
          <cell r="V405">
            <v>0.3125</v>
          </cell>
          <cell r="W405">
            <v>76.3</v>
          </cell>
          <cell r="X405">
            <v>75.13</v>
          </cell>
          <cell r="Y405">
            <v>0.41666666666666669</v>
          </cell>
          <cell r="Z405">
            <v>86.49</v>
          </cell>
          <cell r="AA405">
            <v>86.38</v>
          </cell>
          <cell r="AW405">
            <v>4</v>
          </cell>
          <cell r="AX405">
            <v>4</v>
          </cell>
          <cell r="AY405">
            <v>4</v>
          </cell>
          <cell r="AZ405">
            <v>3</v>
          </cell>
          <cell r="BA405" t="str">
            <v>VALE</v>
          </cell>
          <cell r="BB405">
            <v>45248</v>
          </cell>
          <cell r="BG405">
            <v>45247</v>
          </cell>
        </row>
        <row r="406">
          <cell r="A406">
            <v>793</v>
          </cell>
          <cell r="B406">
            <v>413</v>
          </cell>
          <cell r="C406" t="str">
            <v>PE-102(D1aD9) / PE-96(D1aD9)</v>
          </cell>
          <cell r="D406">
            <v>6</v>
          </cell>
          <cell r="E406">
            <v>40</v>
          </cell>
          <cell r="F406">
            <v>24</v>
          </cell>
          <cell r="G406">
            <v>40</v>
          </cell>
          <cell r="H406">
            <v>0</v>
          </cell>
          <cell r="I406" t="str">
            <v>-</v>
          </cell>
          <cell r="J406" t="str">
            <v>660/660</v>
          </cell>
          <cell r="K406" t="str">
            <v xml:space="preserve">CPIII 40 RS </v>
          </cell>
          <cell r="L406" t="str">
            <v>CP V</v>
          </cell>
          <cell r="M406" t="str">
            <v>SUPER PLASTIFICANTE</v>
          </cell>
          <cell r="N406" t="str">
            <v>PATIO K - TANQUES RA500TN/ RA501TN/ RA502TN/ RA503TN</v>
          </cell>
          <cell r="O406" t="str">
            <v>FORTANKS</v>
          </cell>
          <cell r="P406" t="str">
            <v>02</v>
          </cell>
          <cell r="Q406" t="str">
            <v>Gean</v>
          </cell>
          <cell r="R406">
            <v>45247</v>
          </cell>
          <cell r="S406">
            <v>0.625</v>
          </cell>
          <cell r="T406">
            <v>0.61499999999999999</v>
          </cell>
          <cell r="U406" t="str">
            <v>X</v>
          </cell>
          <cell r="V406">
            <v>0.3125</v>
          </cell>
          <cell r="W406">
            <v>77.53</v>
          </cell>
          <cell r="X406">
            <v>74.930000000000007</v>
          </cell>
          <cell r="Y406">
            <v>0.41666666666666669</v>
          </cell>
          <cell r="Z406">
            <v>86.63</v>
          </cell>
          <cell r="AA406">
            <v>88.46</v>
          </cell>
          <cell r="AW406">
            <v>3</v>
          </cell>
          <cell r="AX406">
            <v>4</v>
          </cell>
          <cell r="AY406">
            <v>4</v>
          </cell>
          <cell r="AZ406">
            <v>4</v>
          </cell>
          <cell r="BA406" t="str">
            <v>VALE</v>
          </cell>
          <cell r="BB406">
            <v>45248</v>
          </cell>
          <cell r="BG406">
            <v>45247</v>
          </cell>
        </row>
        <row r="407">
          <cell r="A407">
            <v>794</v>
          </cell>
          <cell r="B407">
            <v>414</v>
          </cell>
          <cell r="C407" t="str">
            <v>PN-267(E1) / PN-264(E1) / PN-261(E1) 50%</v>
          </cell>
          <cell r="D407">
            <v>7</v>
          </cell>
          <cell r="E407">
            <v>40</v>
          </cell>
          <cell r="F407">
            <v>24</v>
          </cell>
          <cell r="G407">
            <v>40</v>
          </cell>
          <cell r="H407">
            <v>0</v>
          </cell>
          <cell r="I407" t="str">
            <v>-</v>
          </cell>
          <cell r="J407" t="str">
            <v>650/650</v>
          </cell>
          <cell r="K407" t="str">
            <v xml:space="preserve">CPIII 40 RS </v>
          </cell>
          <cell r="L407" t="str">
            <v>CP V</v>
          </cell>
          <cell r="M407" t="str">
            <v>SUPER PLASTIFICANTE</v>
          </cell>
          <cell r="N407" t="str">
            <v>PATIO K - TANQUES RA500TN/ RA501TN/ RA502TN/ RA503TN</v>
          </cell>
          <cell r="O407" t="str">
            <v>FORTANKS</v>
          </cell>
          <cell r="P407" t="str">
            <v>01</v>
          </cell>
          <cell r="Q407" t="str">
            <v>Gean</v>
          </cell>
          <cell r="R407">
            <v>45252</v>
          </cell>
          <cell r="S407">
            <v>0.40972222222222227</v>
          </cell>
          <cell r="T407">
            <v>0.39972222222222226</v>
          </cell>
          <cell r="U407" t="str">
            <v>X</v>
          </cell>
          <cell r="V407">
            <v>0.47916666666666669</v>
          </cell>
          <cell r="W407">
            <v>43.83</v>
          </cell>
          <cell r="X407">
            <v>43.62</v>
          </cell>
          <cell r="Y407">
            <v>0.41666666666666669</v>
          </cell>
          <cell r="Z407">
            <v>87.05</v>
          </cell>
          <cell r="AA407">
            <v>86.03</v>
          </cell>
          <cell r="AW407">
            <v>4</v>
          </cell>
          <cell r="AX407">
            <v>4</v>
          </cell>
          <cell r="AY407">
            <v>4</v>
          </cell>
          <cell r="AZ407">
            <v>4</v>
          </cell>
          <cell r="BA407" t="str">
            <v>VALE</v>
          </cell>
          <cell r="BB407">
            <v>45253</v>
          </cell>
          <cell r="BG407">
            <v>45252</v>
          </cell>
        </row>
        <row r="408">
          <cell r="A408">
            <v>795</v>
          </cell>
          <cell r="B408">
            <v>415</v>
          </cell>
          <cell r="C408" t="str">
            <v>PN-261(E1) 50% / PN-258(E1) / PN-260(E1)</v>
          </cell>
          <cell r="D408">
            <v>7</v>
          </cell>
          <cell r="E408">
            <v>40</v>
          </cell>
          <cell r="F408">
            <v>24</v>
          </cell>
          <cell r="G408">
            <v>40</v>
          </cell>
          <cell r="H408">
            <v>0</v>
          </cell>
          <cell r="I408" t="str">
            <v>-</v>
          </cell>
          <cell r="J408" t="str">
            <v>660/660</v>
          </cell>
          <cell r="K408" t="str">
            <v xml:space="preserve">CPIII 40 RS </v>
          </cell>
          <cell r="L408" t="str">
            <v>CP V</v>
          </cell>
          <cell r="M408" t="str">
            <v>SUPER PLASTIFICANTE</v>
          </cell>
          <cell r="N408" t="str">
            <v>PATIO K - TANQUES RA500TN/ RA501TN/ RA502TN/ RA503TN</v>
          </cell>
          <cell r="O408" t="str">
            <v>FORTANKS</v>
          </cell>
          <cell r="P408" t="str">
            <v>02</v>
          </cell>
          <cell r="Q408" t="str">
            <v>Gean</v>
          </cell>
          <cell r="R408">
            <v>45252</v>
          </cell>
          <cell r="S408">
            <v>0.40277777777777773</v>
          </cell>
          <cell r="T408">
            <v>0.39277777777777773</v>
          </cell>
          <cell r="U408" t="str">
            <v>X</v>
          </cell>
          <cell r="V408">
            <v>0.47916666666666669</v>
          </cell>
          <cell r="W408">
            <v>43.63</v>
          </cell>
          <cell r="X408">
            <v>43.3</v>
          </cell>
          <cell r="Y408">
            <v>0.41666666666666669</v>
          </cell>
          <cell r="Z408">
            <v>86.27</v>
          </cell>
          <cell r="AA408">
            <v>86.87</v>
          </cell>
          <cell r="AW408">
            <v>4</v>
          </cell>
          <cell r="AX408">
            <v>4</v>
          </cell>
          <cell r="AY408">
            <v>4</v>
          </cell>
          <cell r="AZ408">
            <v>3</v>
          </cell>
          <cell r="BA408" t="str">
            <v>VALE</v>
          </cell>
          <cell r="BB408">
            <v>45253</v>
          </cell>
          <cell r="BG408">
            <v>45252</v>
          </cell>
        </row>
        <row r="409">
          <cell r="A409">
            <v>796</v>
          </cell>
          <cell r="B409">
            <v>416</v>
          </cell>
          <cell r="C409" t="str">
            <v>PN-147(T2) / PN-145(E2)</v>
          </cell>
          <cell r="D409">
            <v>6</v>
          </cell>
          <cell r="E409">
            <v>40</v>
          </cell>
          <cell r="F409">
            <v>24</v>
          </cell>
          <cell r="G409">
            <v>40</v>
          </cell>
          <cell r="H409">
            <v>0</v>
          </cell>
          <cell r="I409" t="str">
            <v>-</v>
          </cell>
          <cell r="J409" t="str">
            <v>660/660</v>
          </cell>
          <cell r="K409" t="str">
            <v xml:space="preserve">CPIII 40 RS </v>
          </cell>
          <cell r="L409" t="str">
            <v>CP V</v>
          </cell>
          <cell r="M409" t="str">
            <v>SUPER PLASTIFICANTE</v>
          </cell>
          <cell r="N409" t="str">
            <v>PATIO K - TANQUES RA500TN/ RA501TN/ RA502TN/ RA503TN</v>
          </cell>
          <cell r="O409" t="str">
            <v>FORTANKS</v>
          </cell>
          <cell r="P409" t="str">
            <v>01</v>
          </cell>
          <cell r="Q409" t="str">
            <v>Gean</v>
          </cell>
          <cell r="R409">
            <v>45252</v>
          </cell>
          <cell r="S409">
            <v>0.46180555555555558</v>
          </cell>
          <cell r="T409">
            <v>0.45180555555555557</v>
          </cell>
          <cell r="U409" t="str">
            <v>X</v>
          </cell>
          <cell r="V409">
            <v>0.47916666666666669</v>
          </cell>
          <cell r="W409">
            <v>43.33</v>
          </cell>
          <cell r="X409">
            <v>46.31</v>
          </cell>
          <cell r="Y409">
            <v>0.41666666666666669</v>
          </cell>
          <cell r="Z409">
            <v>86.02</v>
          </cell>
          <cell r="AA409">
            <v>88.11</v>
          </cell>
          <cell r="AW409">
            <v>4</v>
          </cell>
          <cell r="AX409">
            <v>4</v>
          </cell>
          <cell r="AY409">
            <v>4</v>
          </cell>
          <cell r="AZ409">
            <v>4</v>
          </cell>
          <cell r="BA409" t="str">
            <v>VALE</v>
          </cell>
          <cell r="BB409">
            <v>45253</v>
          </cell>
          <cell r="BG409">
            <v>45252</v>
          </cell>
        </row>
        <row r="410">
          <cell r="A410">
            <v>797</v>
          </cell>
          <cell r="B410">
            <v>417</v>
          </cell>
          <cell r="C410" t="str">
            <v xml:space="preserve">PE-180(D1aD9) / PE-146(D1aD9) </v>
          </cell>
          <cell r="D410">
            <v>6</v>
          </cell>
          <cell r="E410">
            <v>40</v>
          </cell>
          <cell r="F410">
            <v>24</v>
          </cell>
          <cell r="G410">
            <v>40</v>
          </cell>
          <cell r="H410">
            <v>0</v>
          </cell>
          <cell r="I410" t="str">
            <v>-</v>
          </cell>
          <cell r="J410" t="str">
            <v>670/680</v>
          </cell>
          <cell r="K410" t="str">
            <v xml:space="preserve">CPIII 40 RS </v>
          </cell>
          <cell r="L410" t="str">
            <v>CP V</v>
          </cell>
          <cell r="M410" t="str">
            <v>SUPER PLASTIFICANTE</v>
          </cell>
          <cell r="N410" t="str">
            <v>PATIO K - TANQUES RA500TN/ RA501TN/ RA502TN/ RA503TN</v>
          </cell>
          <cell r="O410" t="str">
            <v>FORTANKS</v>
          </cell>
          <cell r="P410" t="str">
            <v>02</v>
          </cell>
          <cell r="Q410" t="str">
            <v>Gean</v>
          </cell>
          <cell r="R410">
            <v>45252</v>
          </cell>
          <cell r="S410">
            <v>0.46527777777777773</v>
          </cell>
          <cell r="T410">
            <v>0.45527777777777773</v>
          </cell>
          <cell r="U410" t="str">
            <v>X</v>
          </cell>
          <cell r="V410">
            <v>0.47916666666666669</v>
          </cell>
          <cell r="W410">
            <v>36.44</v>
          </cell>
          <cell r="X410">
            <v>36.64</v>
          </cell>
          <cell r="Y410">
            <v>0.41666666666666669</v>
          </cell>
          <cell r="Z410">
            <v>86.69</v>
          </cell>
          <cell r="AA410">
            <v>85.36</v>
          </cell>
          <cell r="AW410">
            <v>4</v>
          </cell>
          <cell r="AX410">
            <v>4</v>
          </cell>
          <cell r="AY410">
            <v>4</v>
          </cell>
          <cell r="AZ410">
            <v>4</v>
          </cell>
          <cell r="BA410" t="str">
            <v>VALE</v>
          </cell>
          <cell r="BB410">
            <v>45253</v>
          </cell>
          <cell r="BG410">
            <v>45252</v>
          </cell>
        </row>
        <row r="411">
          <cell r="A411">
            <v>798</v>
          </cell>
          <cell r="B411">
            <v>418</v>
          </cell>
          <cell r="C411" t="str">
            <v>PN-129(T1) 50% / PE-108(D1aD9) / PE-119(D1aD9)</v>
          </cell>
          <cell r="D411">
            <v>7</v>
          </cell>
          <cell r="E411">
            <v>40</v>
          </cell>
          <cell r="F411">
            <v>24</v>
          </cell>
          <cell r="G411">
            <v>40</v>
          </cell>
          <cell r="H411">
            <v>0</v>
          </cell>
          <cell r="I411" t="str">
            <v>-</v>
          </cell>
          <cell r="J411" t="str">
            <v>660/650</v>
          </cell>
          <cell r="K411" t="str">
            <v xml:space="preserve">CPIII 40 RS </v>
          </cell>
          <cell r="L411" t="str">
            <v>CP V</v>
          </cell>
          <cell r="M411" t="str">
            <v>SUPER PLASTIFICANTE</v>
          </cell>
          <cell r="N411" t="str">
            <v>PATIO K - TANQUES RA500TN/ RA501TN/ RA502TN/ RA503TN</v>
          </cell>
          <cell r="O411" t="str">
            <v>FORTANKS</v>
          </cell>
          <cell r="P411" t="str">
            <v>01</v>
          </cell>
          <cell r="Q411" t="str">
            <v>Gean</v>
          </cell>
          <cell r="R411">
            <v>45255</v>
          </cell>
          <cell r="S411">
            <v>0.39583333333333331</v>
          </cell>
          <cell r="T411">
            <v>0.38583333333333331</v>
          </cell>
          <cell r="U411" t="str">
            <v>X</v>
          </cell>
          <cell r="V411">
            <v>0.3125</v>
          </cell>
          <cell r="W411">
            <v>57.55</v>
          </cell>
          <cell r="X411">
            <v>59.04</v>
          </cell>
          <cell r="Y411">
            <v>0.41666666666666669</v>
          </cell>
          <cell r="Z411">
            <v>83.54</v>
          </cell>
          <cell r="AA411">
            <v>85.08</v>
          </cell>
          <cell r="AW411">
            <v>4</v>
          </cell>
          <cell r="AX411">
            <v>4</v>
          </cell>
          <cell r="AY411">
            <v>4</v>
          </cell>
          <cell r="AZ411">
            <v>4</v>
          </cell>
          <cell r="BA411" t="str">
            <v>VALE</v>
          </cell>
          <cell r="BB411">
            <v>45256</v>
          </cell>
          <cell r="BG411">
            <v>45255</v>
          </cell>
        </row>
        <row r="412">
          <cell r="A412">
            <v>799</v>
          </cell>
          <cell r="B412">
            <v>419</v>
          </cell>
          <cell r="C412" t="str">
            <v>PN-129(T1) 50%/ PN-132(T1) / PN-135(T1)</v>
          </cell>
          <cell r="D412">
            <v>7</v>
          </cell>
          <cell r="E412">
            <v>40</v>
          </cell>
          <cell r="F412">
            <v>24</v>
          </cell>
          <cell r="G412">
            <v>40</v>
          </cell>
          <cell r="H412">
            <v>0</v>
          </cell>
          <cell r="I412" t="str">
            <v>-</v>
          </cell>
          <cell r="J412" t="str">
            <v>660/670</v>
          </cell>
          <cell r="K412" t="str">
            <v xml:space="preserve">CPIII 40 RS </v>
          </cell>
          <cell r="L412" t="str">
            <v>CP V</v>
          </cell>
          <cell r="M412" t="str">
            <v>SUPER PLASTIFICANTE</v>
          </cell>
          <cell r="N412" t="str">
            <v>PATIO K - TANQUES RA500TN/ RA501TN/ RA502TN/ RA503TN</v>
          </cell>
          <cell r="O412" t="str">
            <v>FORTANKS</v>
          </cell>
          <cell r="P412" t="str">
            <v>02</v>
          </cell>
          <cell r="Q412" t="str">
            <v>Gean</v>
          </cell>
          <cell r="R412">
            <v>45255</v>
          </cell>
          <cell r="S412">
            <v>0.40972222222222227</v>
          </cell>
          <cell r="T412">
            <v>0.39972222222222226</v>
          </cell>
          <cell r="U412" t="str">
            <v>X</v>
          </cell>
          <cell r="V412">
            <v>0.3125</v>
          </cell>
          <cell r="W412">
            <v>58.43</v>
          </cell>
          <cell r="X412">
            <v>61.46</v>
          </cell>
          <cell r="Y412">
            <v>0.41666666666666669</v>
          </cell>
          <cell r="Z412">
            <v>86.41</v>
          </cell>
          <cell r="AA412">
            <v>86.45</v>
          </cell>
          <cell r="AW412">
            <v>4</v>
          </cell>
          <cell r="AX412">
            <v>4</v>
          </cell>
          <cell r="AY412">
            <v>4</v>
          </cell>
          <cell r="AZ412">
            <v>4</v>
          </cell>
          <cell r="BA412" t="str">
            <v>VALE</v>
          </cell>
          <cell r="BB412">
            <v>45256</v>
          </cell>
          <cell r="BG412">
            <v>45255</v>
          </cell>
        </row>
        <row r="413">
          <cell r="A413">
            <v>800</v>
          </cell>
          <cell r="B413">
            <v>420</v>
          </cell>
          <cell r="C413" t="str">
            <v>PN-136(E1) / PN-128(E1)</v>
          </cell>
          <cell r="D413">
            <v>6</v>
          </cell>
          <cell r="E413">
            <v>40</v>
          </cell>
          <cell r="F413">
            <v>24</v>
          </cell>
          <cell r="G413">
            <v>40</v>
          </cell>
          <cell r="H413">
            <v>0</v>
          </cell>
          <cell r="I413" t="str">
            <v>-</v>
          </cell>
          <cell r="J413" t="str">
            <v>670/660</v>
          </cell>
          <cell r="K413" t="str">
            <v xml:space="preserve">CPIII 40 RS </v>
          </cell>
          <cell r="L413" t="str">
            <v>CP V</v>
          </cell>
          <cell r="M413" t="str">
            <v>SUPER PLASTIFICANTE</v>
          </cell>
          <cell r="N413" t="str">
            <v>PATIO K - TANQUES RA500TN/ RA501TN/ RA502TN/ RA503TN</v>
          </cell>
          <cell r="O413" t="str">
            <v>FORTANKS</v>
          </cell>
          <cell r="P413" t="str">
            <v>01</v>
          </cell>
          <cell r="Q413" t="str">
            <v>Gean</v>
          </cell>
          <cell r="R413" t="str">
            <v>25/11/23023</v>
          </cell>
          <cell r="S413">
            <v>0.45833333333333331</v>
          </cell>
          <cell r="T413">
            <v>0.44833333333333331</v>
          </cell>
          <cell r="U413" t="str">
            <v>X</v>
          </cell>
          <cell r="V413">
            <v>0.3125</v>
          </cell>
          <cell r="W413">
            <v>69.73</v>
          </cell>
          <cell r="X413">
            <v>69.599999999999994</v>
          </cell>
          <cell r="Y413">
            <v>0.41666666666666669</v>
          </cell>
          <cell r="Z413">
            <v>85.87</v>
          </cell>
          <cell r="AA413">
            <v>86.84</v>
          </cell>
          <cell r="AW413">
            <v>3</v>
          </cell>
          <cell r="AX413">
            <v>3</v>
          </cell>
          <cell r="AY413">
            <v>4</v>
          </cell>
          <cell r="AZ413">
            <v>4</v>
          </cell>
          <cell r="BA413" t="str">
            <v>VALE</v>
          </cell>
          <cell r="BB413" t="e">
            <v>#VALUE!</v>
          </cell>
          <cell r="BG413" t="str">
            <v>25/11/23023</v>
          </cell>
        </row>
        <row r="414">
          <cell r="A414">
            <v>801</v>
          </cell>
          <cell r="B414">
            <v>421</v>
          </cell>
          <cell r="C414" t="str">
            <v>PN-131(E1) / PN-133(E1)</v>
          </cell>
          <cell r="D414">
            <v>7</v>
          </cell>
          <cell r="E414">
            <v>40</v>
          </cell>
          <cell r="F414">
            <v>24</v>
          </cell>
          <cell r="G414">
            <v>40</v>
          </cell>
          <cell r="H414">
            <v>0</v>
          </cell>
          <cell r="I414" t="str">
            <v>-</v>
          </cell>
          <cell r="J414" t="str">
            <v>670/670</v>
          </cell>
          <cell r="K414" t="str">
            <v xml:space="preserve">CPIII 40 RS </v>
          </cell>
          <cell r="L414" t="str">
            <v>CP V</v>
          </cell>
          <cell r="M414" t="str">
            <v>SUPER PLASTIFICANTE</v>
          </cell>
          <cell r="N414" t="str">
            <v>PATIO K - TANQUES RA500TN/ RA501TN/ RA502TN/ RA503TN</v>
          </cell>
          <cell r="O414" t="str">
            <v>FORTANKS</v>
          </cell>
          <cell r="P414" t="str">
            <v>02</v>
          </cell>
          <cell r="Q414" t="str">
            <v>Gean</v>
          </cell>
          <cell r="R414">
            <v>45255</v>
          </cell>
          <cell r="S414">
            <v>0.49305555555555558</v>
          </cell>
          <cell r="T414">
            <v>0.48305555555555557</v>
          </cell>
          <cell r="U414" t="str">
            <v>X</v>
          </cell>
          <cell r="V414">
            <v>0.3125</v>
          </cell>
          <cell r="W414">
            <v>55.6</v>
          </cell>
          <cell r="X414">
            <v>56</v>
          </cell>
          <cell r="Y414">
            <v>0.41666666666666669</v>
          </cell>
          <cell r="Z414">
            <v>86.31</v>
          </cell>
          <cell r="AA414">
            <v>86.23</v>
          </cell>
          <cell r="AW414">
            <v>4</v>
          </cell>
          <cell r="AX414">
            <v>4</v>
          </cell>
          <cell r="AY414">
            <v>4</v>
          </cell>
          <cell r="AZ414">
            <v>4</v>
          </cell>
          <cell r="BA414" t="str">
            <v>VALE</v>
          </cell>
          <cell r="BB414">
            <v>45256</v>
          </cell>
          <cell r="BG414">
            <v>45255</v>
          </cell>
        </row>
        <row r="415">
          <cell r="A415">
            <v>802</v>
          </cell>
          <cell r="B415">
            <v>422</v>
          </cell>
          <cell r="C415" t="str">
            <v>PE-248(A) / PE-214(B) / PN-215(T2) 50%</v>
          </cell>
          <cell r="D415">
            <v>7</v>
          </cell>
          <cell r="E415">
            <v>40</v>
          </cell>
          <cell r="F415">
            <v>24</v>
          </cell>
          <cell r="G415">
            <v>40</v>
          </cell>
          <cell r="H415">
            <v>0</v>
          </cell>
          <cell r="I415" t="str">
            <v>-</v>
          </cell>
          <cell r="J415" t="str">
            <v>660/660</v>
          </cell>
          <cell r="K415" t="str">
            <v xml:space="preserve">CPIII 40 RS </v>
          </cell>
          <cell r="L415" t="str">
            <v>CP V</v>
          </cell>
          <cell r="M415" t="str">
            <v>SUPER PLASTIFICANTE</v>
          </cell>
          <cell r="N415" t="str">
            <v>PATIO K - TANQUES RA500TN/ RA501TN/ RA502TN/ RA503TN</v>
          </cell>
          <cell r="O415" t="str">
            <v>FORTANKS</v>
          </cell>
          <cell r="P415" t="str">
            <v>01</v>
          </cell>
          <cell r="Q415" t="str">
            <v>Gean</v>
          </cell>
          <cell r="R415">
            <v>45258</v>
          </cell>
          <cell r="S415">
            <v>0.5625</v>
          </cell>
          <cell r="T415">
            <v>0.55249999999999999</v>
          </cell>
          <cell r="U415" t="str">
            <v>X</v>
          </cell>
          <cell r="V415">
            <v>0.3125</v>
          </cell>
          <cell r="W415">
            <v>50.42</v>
          </cell>
          <cell r="X415">
            <v>50.78</v>
          </cell>
          <cell r="Y415">
            <v>0.41666666666666669</v>
          </cell>
          <cell r="Z415">
            <v>84.47</v>
          </cell>
          <cell r="AA415">
            <v>84.19</v>
          </cell>
          <cell r="AW415">
            <v>4</v>
          </cell>
          <cell r="AX415">
            <v>4</v>
          </cell>
          <cell r="AY415">
            <v>4</v>
          </cell>
          <cell r="AZ415">
            <v>4</v>
          </cell>
          <cell r="BA415" t="str">
            <v>VALE</v>
          </cell>
          <cell r="BB415">
            <v>45259</v>
          </cell>
          <cell r="BG415">
            <v>45258</v>
          </cell>
        </row>
        <row r="416">
          <cell r="A416">
            <v>803</v>
          </cell>
          <cell r="B416">
            <v>423</v>
          </cell>
          <cell r="C416" t="str">
            <v xml:space="preserve"> PN-215(T2) 50% / PN213(E2) / PN-179(T3)</v>
          </cell>
          <cell r="D416">
            <v>7</v>
          </cell>
          <cell r="E416">
            <v>40</v>
          </cell>
          <cell r="F416">
            <v>24</v>
          </cell>
          <cell r="G416">
            <v>40</v>
          </cell>
          <cell r="H416">
            <v>0</v>
          </cell>
          <cell r="I416" t="str">
            <v>-</v>
          </cell>
          <cell r="J416" t="str">
            <v>670/660</v>
          </cell>
          <cell r="K416" t="str">
            <v xml:space="preserve">CPIII 40 RS </v>
          </cell>
          <cell r="L416" t="str">
            <v>CP V</v>
          </cell>
          <cell r="M416" t="str">
            <v>SUPER PLASTIFICANTE</v>
          </cell>
          <cell r="N416" t="str">
            <v>PATIO K - TANQUES RA500TN/ RA501TN/ RA502TN/ RA503TN</v>
          </cell>
          <cell r="O416" t="str">
            <v>FORTANKS</v>
          </cell>
          <cell r="P416" t="str">
            <v>02</v>
          </cell>
          <cell r="Q416" t="str">
            <v>Gean</v>
          </cell>
          <cell r="R416">
            <v>45258</v>
          </cell>
          <cell r="S416">
            <v>0.57638888888888895</v>
          </cell>
          <cell r="T416">
            <v>0.56638888888888894</v>
          </cell>
          <cell r="U416" t="str">
            <v>X</v>
          </cell>
          <cell r="V416">
            <v>0.57638888888888895</v>
          </cell>
          <cell r="W416">
            <v>49.2</v>
          </cell>
          <cell r="X416">
            <v>51.24</v>
          </cell>
          <cell r="Y416">
            <v>0.41666666666666669</v>
          </cell>
          <cell r="Z416">
            <v>86.98</v>
          </cell>
          <cell r="AA416">
            <v>85.56</v>
          </cell>
          <cell r="AW416">
            <v>4</v>
          </cell>
          <cell r="AX416">
            <v>4</v>
          </cell>
          <cell r="AY416">
            <v>4</v>
          </cell>
          <cell r="AZ416">
            <v>4</v>
          </cell>
          <cell r="BA416" t="str">
            <v>VALE</v>
          </cell>
          <cell r="BB416">
            <v>45259</v>
          </cell>
          <cell r="BG416">
            <v>45258</v>
          </cell>
        </row>
        <row r="417">
          <cell r="A417">
            <v>804</v>
          </cell>
          <cell r="B417">
            <v>424</v>
          </cell>
          <cell r="C417" t="str">
            <v>PN-182(T4) / PN-185(T4)</v>
          </cell>
          <cell r="D417">
            <v>6</v>
          </cell>
          <cell r="E417">
            <v>40</v>
          </cell>
          <cell r="F417">
            <v>24</v>
          </cell>
          <cell r="G417">
            <v>40</v>
          </cell>
          <cell r="H417">
            <v>0</v>
          </cell>
          <cell r="I417" t="str">
            <v>-</v>
          </cell>
          <cell r="J417" t="str">
            <v>650/650</v>
          </cell>
          <cell r="K417" t="str">
            <v xml:space="preserve">CPIII 40 RS </v>
          </cell>
          <cell r="L417" t="str">
            <v>CP V</v>
          </cell>
          <cell r="M417" t="str">
            <v>SUPER PLASTIFICANTE</v>
          </cell>
          <cell r="N417" t="str">
            <v>PATIO K - TANQUES RA500TN/ RA501TN/ RA502TN/ RA503TN</v>
          </cell>
          <cell r="O417" t="str">
            <v>FORTANKS</v>
          </cell>
          <cell r="P417" t="str">
            <v>01</v>
          </cell>
          <cell r="Q417" t="str">
            <v>Gean</v>
          </cell>
          <cell r="R417">
            <v>45258</v>
          </cell>
          <cell r="S417">
            <v>0.625</v>
          </cell>
          <cell r="T417">
            <v>0.61499999999999999</v>
          </cell>
          <cell r="U417" t="str">
            <v>X</v>
          </cell>
          <cell r="V417">
            <v>0.3125</v>
          </cell>
          <cell r="W417">
            <v>55.16</v>
          </cell>
          <cell r="X417">
            <v>54.89</v>
          </cell>
          <cell r="Y417">
            <v>0.41666666666666669</v>
          </cell>
          <cell r="Z417">
            <v>84</v>
          </cell>
          <cell r="AA417">
            <v>82.45</v>
          </cell>
          <cell r="AW417">
            <v>1</v>
          </cell>
          <cell r="AX417">
            <v>4</v>
          </cell>
          <cell r="AY417">
            <v>4</v>
          </cell>
          <cell r="AZ417">
            <v>4</v>
          </cell>
          <cell r="BA417" t="str">
            <v>VALE</v>
          </cell>
          <cell r="BB417">
            <v>45259</v>
          </cell>
          <cell r="BG417">
            <v>45258</v>
          </cell>
        </row>
        <row r="418">
          <cell r="A418">
            <v>805</v>
          </cell>
          <cell r="B418">
            <v>425</v>
          </cell>
          <cell r="C418" t="str">
            <v>PN-269(E1) / PN-272(E1)</v>
          </cell>
          <cell r="D418">
            <v>5</v>
          </cell>
          <cell r="E418">
            <v>40</v>
          </cell>
          <cell r="F418">
            <v>24</v>
          </cell>
          <cell r="G418">
            <v>40</v>
          </cell>
          <cell r="H418">
            <v>0</v>
          </cell>
          <cell r="I418" t="str">
            <v>-</v>
          </cell>
          <cell r="J418" t="str">
            <v>650/660</v>
          </cell>
          <cell r="K418" t="str">
            <v xml:space="preserve">CPIII 40 RS </v>
          </cell>
          <cell r="L418" t="str">
            <v>CP V</v>
          </cell>
          <cell r="M418" t="str">
            <v>SUPER PLASTIFICANTE</v>
          </cell>
          <cell r="N418" t="str">
            <v>PATIO K - TANQUES RA500TN/ RA501TN/ RA502TN/ RA503TN</v>
          </cell>
          <cell r="O418" t="str">
            <v>FORTANKS</v>
          </cell>
          <cell r="P418" t="str">
            <v>02</v>
          </cell>
          <cell r="Q418" t="str">
            <v>Gean</v>
          </cell>
          <cell r="R418">
            <v>45258</v>
          </cell>
          <cell r="S418">
            <v>0.66666666666666663</v>
          </cell>
          <cell r="T418">
            <v>0.65666666666666662</v>
          </cell>
          <cell r="U418" t="str">
            <v>X</v>
          </cell>
          <cell r="V418">
            <v>0.3125</v>
          </cell>
          <cell r="W418">
            <v>53.04</v>
          </cell>
          <cell r="X418">
            <v>52</v>
          </cell>
          <cell r="Y418">
            <v>0.41666666666666669</v>
          </cell>
          <cell r="Z418">
            <v>86.27</v>
          </cell>
          <cell r="AA418">
            <v>85.7</v>
          </cell>
          <cell r="AW418">
            <v>4</v>
          </cell>
          <cell r="AX418">
            <v>4</v>
          </cell>
          <cell r="AY418">
            <v>4</v>
          </cell>
          <cell r="AZ418">
            <v>4</v>
          </cell>
          <cell r="BA418" t="str">
            <v>VALE</v>
          </cell>
          <cell r="BB418">
            <v>45259</v>
          </cell>
          <cell r="BG418">
            <v>45258</v>
          </cell>
        </row>
        <row r="419">
          <cell r="A419">
            <v>806</v>
          </cell>
          <cell r="B419">
            <v>426</v>
          </cell>
          <cell r="C419" t="str">
            <v>PF-31(F1)</v>
          </cell>
          <cell r="D419">
            <v>4</v>
          </cell>
          <cell r="E419">
            <v>40</v>
          </cell>
          <cell r="F419">
            <v>24</v>
          </cell>
          <cell r="G419">
            <v>40</v>
          </cell>
          <cell r="H419">
            <v>0</v>
          </cell>
          <cell r="I419" t="str">
            <v>-</v>
          </cell>
          <cell r="J419" t="str">
            <v>660/660</v>
          </cell>
          <cell r="K419" t="str">
            <v xml:space="preserve">CPIII 40 RS </v>
          </cell>
          <cell r="L419" t="str">
            <v>CP V</v>
          </cell>
          <cell r="M419" t="str">
            <v>SUPER PLASTIFICANTE</v>
          </cell>
          <cell r="N419" t="str">
            <v>PATIO K - TANQUES RA500TN/ RA501TN/ RA502TN/ RA503TN</v>
          </cell>
          <cell r="O419" t="str">
            <v>FORTANKS</v>
          </cell>
          <cell r="P419" t="str">
            <v>01</v>
          </cell>
          <cell r="Q419" t="str">
            <v>Gean</v>
          </cell>
          <cell r="R419">
            <v>45262</v>
          </cell>
          <cell r="S419">
            <v>0.54166666666666663</v>
          </cell>
          <cell r="T419">
            <v>0.53166666666666662</v>
          </cell>
          <cell r="U419" t="str">
            <v>X</v>
          </cell>
          <cell r="V419">
            <v>0.3125</v>
          </cell>
          <cell r="W419">
            <v>55.34</v>
          </cell>
          <cell r="X419">
            <v>55.58</v>
          </cell>
          <cell r="Y419">
            <v>0.41666666666666669</v>
          </cell>
          <cell r="Z419">
            <v>84.36</v>
          </cell>
          <cell r="AA419">
            <v>84.81</v>
          </cell>
          <cell r="AW419">
            <v>4</v>
          </cell>
          <cell r="AX419">
            <v>4</v>
          </cell>
          <cell r="AY419">
            <v>4</v>
          </cell>
          <cell r="AZ419">
            <v>4</v>
          </cell>
          <cell r="BA419" t="str">
            <v>VALE</v>
          </cell>
          <cell r="BB419">
            <v>45263</v>
          </cell>
          <cell r="BG419">
            <v>45262</v>
          </cell>
        </row>
        <row r="420">
          <cell r="A420">
            <v>807</v>
          </cell>
          <cell r="B420">
            <v>427</v>
          </cell>
          <cell r="C420" t="str">
            <v>PF-62(F1)</v>
          </cell>
          <cell r="D420">
            <v>3.5</v>
          </cell>
          <cell r="E420">
            <v>40</v>
          </cell>
          <cell r="F420">
            <v>24</v>
          </cell>
          <cell r="G420">
            <v>40</v>
          </cell>
          <cell r="H420">
            <v>0</v>
          </cell>
          <cell r="I420" t="str">
            <v>-</v>
          </cell>
          <cell r="J420" t="str">
            <v>660/650</v>
          </cell>
          <cell r="K420" t="str">
            <v xml:space="preserve">CPIII 40 RS </v>
          </cell>
          <cell r="L420" t="str">
            <v>CP V</v>
          </cell>
          <cell r="M420" t="str">
            <v>SUPER PLASTIFICANTE</v>
          </cell>
          <cell r="N420" t="str">
            <v>PATIO K - TANQUES RA500TN/ RA501TN/ RA502TN/ RA503TN</v>
          </cell>
          <cell r="O420" t="str">
            <v>FORTANKS</v>
          </cell>
          <cell r="P420" t="str">
            <v>01</v>
          </cell>
          <cell r="Q420" t="str">
            <v>Gean</v>
          </cell>
          <cell r="R420">
            <v>45262</v>
          </cell>
          <cell r="S420">
            <v>0.57638888888888895</v>
          </cell>
          <cell r="T420">
            <v>0.56638888888888894</v>
          </cell>
          <cell r="U420" t="str">
            <v>X</v>
          </cell>
          <cell r="V420">
            <v>0.3125</v>
          </cell>
          <cell r="W420">
            <v>54.93</v>
          </cell>
          <cell r="X420">
            <v>58.65</v>
          </cell>
          <cell r="Y420">
            <v>0.41666666666666669</v>
          </cell>
          <cell r="Z420">
            <v>84.71</v>
          </cell>
          <cell r="AA420">
            <v>84.44</v>
          </cell>
          <cell r="AW420">
            <v>4</v>
          </cell>
          <cell r="AX420">
            <v>4</v>
          </cell>
          <cell r="AY420">
            <v>4</v>
          </cell>
          <cell r="AZ420">
            <v>3</v>
          </cell>
          <cell r="BA420" t="str">
            <v>VALE</v>
          </cell>
          <cell r="BB420">
            <v>45263</v>
          </cell>
          <cell r="BG420">
            <v>45262</v>
          </cell>
        </row>
        <row r="421">
          <cell r="A421">
            <v>808</v>
          </cell>
          <cell r="B421">
            <v>428</v>
          </cell>
          <cell r="C421" t="str">
            <v>PF-99(F1) / PF-130(F1)</v>
          </cell>
          <cell r="D421">
            <v>7.5</v>
          </cell>
          <cell r="E421">
            <v>40</v>
          </cell>
          <cell r="F421">
            <v>24</v>
          </cell>
          <cell r="G421">
            <v>40</v>
          </cell>
          <cell r="H421">
            <v>0</v>
          </cell>
          <cell r="I421" t="str">
            <v>-</v>
          </cell>
          <cell r="J421" t="str">
            <v>660/660</v>
          </cell>
          <cell r="K421" t="str">
            <v xml:space="preserve">CPIII 40 RS </v>
          </cell>
          <cell r="L421" t="str">
            <v>CP V</v>
          </cell>
          <cell r="M421" t="str">
            <v>SUPER PLASTIFICANTE</v>
          </cell>
          <cell r="N421" t="str">
            <v>PATIO K - TANQUES RA500TN/ RA501TN/ RA502TN/ RA503TN</v>
          </cell>
          <cell r="O421" t="str">
            <v>FORTANKS</v>
          </cell>
          <cell r="P421" t="str">
            <v>01</v>
          </cell>
          <cell r="Q421" t="str">
            <v>Gean</v>
          </cell>
          <cell r="R421">
            <v>45266</v>
          </cell>
          <cell r="S421">
            <v>0.375</v>
          </cell>
          <cell r="T421">
            <v>0.36499999999999999</v>
          </cell>
          <cell r="U421" t="str">
            <v>X</v>
          </cell>
          <cell r="V421">
            <v>0.58333333333333337</v>
          </cell>
          <cell r="W421">
            <v>27.04</v>
          </cell>
          <cell r="X421">
            <v>27.42</v>
          </cell>
          <cell r="Y421">
            <v>0.41666666666666669</v>
          </cell>
          <cell r="Z421">
            <v>85.72</v>
          </cell>
          <cell r="AA421">
            <v>84.41</v>
          </cell>
          <cell r="AW421">
            <v>4</v>
          </cell>
          <cell r="AX421">
            <v>3</v>
          </cell>
          <cell r="AY421">
            <v>4</v>
          </cell>
          <cell r="AZ421">
            <v>3</v>
          </cell>
          <cell r="BA421" t="str">
            <v>VALE</v>
          </cell>
          <cell r="BB421">
            <v>45267</v>
          </cell>
          <cell r="BG421">
            <v>45266</v>
          </cell>
        </row>
        <row r="422">
          <cell r="A422">
            <v>809</v>
          </cell>
          <cell r="B422">
            <v>429</v>
          </cell>
          <cell r="C422" t="str">
            <v>PN-247(T3) / PN-250(T4)</v>
          </cell>
          <cell r="D422">
            <v>6</v>
          </cell>
          <cell r="E422">
            <v>40</v>
          </cell>
          <cell r="F422">
            <v>24</v>
          </cell>
          <cell r="G422">
            <v>40</v>
          </cell>
          <cell r="H422">
            <v>0</v>
          </cell>
          <cell r="I422" t="str">
            <v>-</v>
          </cell>
          <cell r="J422" t="str">
            <v>650/650</v>
          </cell>
          <cell r="K422" t="str">
            <v xml:space="preserve">CPIII 40 RS </v>
          </cell>
          <cell r="L422" t="str">
            <v>CP V</v>
          </cell>
          <cell r="M422" t="str">
            <v>SUPER PLASTIFICANTE</v>
          </cell>
          <cell r="N422" t="str">
            <v>PATIO K - TANQUES RA500TN/ RA501TN/ RA502TN/ RA503TN</v>
          </cell>
          <cell r="O422" t="str">
            <v>FORTANKS</v>
          </cell>
          <cell r="P422" t="str">
            <v>01</v>
          </cell>
          <cell r="Q422" t="str">
            <v>Gean</v>
          </cell>
          <cell r="R422">
            <v>45271</v>
          </cell>
          <cell r="S422">
            <v>0.60416666666666663</v>
          </cell>
          <cell r="T422">
            <v>0.59416666666666662</v>
          </cell>
          <cell r="U422" t="str">
            <v>X</v>
          </cell>
          <cell r="V422">
            <v>0.58333333333333337</v>
          </cell>
          <cell r="W422">
            <v>31.64</v>
          </cell>
          <cell r="X422">
            <v>32.880000000000003</v>
          </cell>
          <cell r="Y422">
            <v>0.41666666666666669</v>
          </cell>
          <cell r="Z422">
            <v>87.05</v>
          </cell>
          <cell r="AA422">
            <v>88.46</v>
          </cell>
          <cell r="AW422">
            <v>4</v>
          </cell>
          <cell r="AX422">
            <v>4</v>
          </cell>
          <cell r="AY422">
            <v>4</v>
          </cell>
          <cell r="AZ422">
            <v>4</v>
          </cell>
          <cell r="BA422" t="str">
            <v>VALE</v>
          </cell>
          <cell r="BB422">
            <v>45272</v>
          </cell>
          <cell r="BG422">
            <v>45271</v>
          </cell>
        </row>
        <row r="423">
          <cell r="A423">
            <v>810</v>
          </cell>
          <cell r="B423">
            <v>430</v>
          </cell>
          <cell r="C423" t="str">
            <v>PN-181(E2)  / PN-249(E2)</v>
          </cell>
          <cell r="D423">
            <v>6</v>
          </cell>
          <cell r="E423">
            <v>40</v>
          </cell>
          <cell r="F423">
            <v>24</v>
          </cell>
          <cell r="G423">
            <v>40</v>
          </cell>
          <cell r="H423">
            <v>0</v>
          </cell>
          <cell r="I423" t="str">
            <v>-</v>
          </cell>
          <cell r="J423" t="str">
            <v>660/660</v>
          </cell>
          <cell r="K423" t="str">
            <v xml:space="preserve">CPIII 40 RS </v>
          </cell>
          <cell r="L423" t="str">
            <v>CP V</v>
          </cell>
          <cell r="M423" t="str">
            <v>SUPER PLASTIFICANTE</v>
          </cell>
          <cell r="N423" t="str">
            <v>PATIO K - TANQUES RA500TN/ RA501TN/ RA502TN/ RA503TN</v>
          </cell>
          <cell r="O423" t="str">
            <v>FORTANKS</v>
          </cell>
          <cell r="P423" t="str">
            <v>02</v>
          </cell>
          <cell r="Q423" t="str">
            <v>Gean</v>
          </cell>
          <cell r="R423">
            <v>45271</v>
          </cell>
          <cell r="S423">
            <v>0.63194444444444442</v>
          </cell>
          <cell r="T423">
            <v>0.62194444444444441</v>
          </cell>
          <cell r="U423" t="str">
            <v>X</v>
          </cell>
          <cell r="V423">
            <v>0.58333333333333337</v>
          </cell>
          <cell r="W423">
            <v>33.4</v>
          </cell>
          <cell r="X423">
            <v>31.11</v>
          </cell>
          <cell r="Y423">
            <v>0.41666666666666669</v>
          </cell>
          <cell r="Z423">
            <v>86.03</v>
          </cell>
          <cell r="AA423">
            <v>86.84</v>
          </cell>
          <cell r="AW423">
            <v>4</v>
          </cell>
          <cell r="AX423">
            <v>4</v>
          </cell>
          <cell r="AY423">
            <v>4</v>
          </cell>
          <cell r="AZ423">
            <v>3</v>
          </cell>
          <cell r="BA423" t="str">
            <v>VALE</v>
          </cell>
          <cell r="BB423">
            <v>45272</v>
          </cell>
          <cell r="BG423">
            <v>45271</v>
          </cell>
        </row>
        <row r="424">
          <cell r="A424">
            <v>811</v>
          </cell>
          <cell r="B424">
            <v>431</v>
          </cell>
          <cell r="C424" t="str">
            <v>PN-220(T7)  /  PN-253(T4)</v>
          </cell>
          <cell r="D424">
            <v>5</v>
          </cell>
          <cell r="E424">
            <v>40</v>
          </cell>
          <cell r="F424">
            <v>24</v>
          </cell>
          <cell r="G424">
            <v>40</v>
          </cell>
          <cell r="H424">
            <v>0</v>
          </cell>
          <cell r="I424" t="str">
            <v>-</v>
          </cell>
          <cell r="J424" t="str">
            <v>660/670</v>
          </cell>
          <cell r="K424" t="str">
            <v xml:space="preserve">CPIII 40 RS </v>
          </cell>
          <cell r="L424" t="str">
            <v>CP V</v>
          </cell>
          <cell r="M424" t="str">
            <v>SUPER PLASTIFICANTE</v>
          </cell>
          <cell r="N424" t="str">
            <v>PATIO K - TANQUES RA500TN/ RA501TN/ RA502TN/ RA503TN</v>
          </cell>
          <cell r="O424" t="str">
            <v>FORTANKS</v>
          </cell>
          <cell r="P424" t="str">
            <v>01</v>
          </cell>
          <cell r="Q424" t="str">
            <v>Gean</v>
          </cell>
          <cell r="R424">
            <v>45271</v>
          </cell>
          <cell r="S424">
            <v>0.67361111111111116</v>
          </cell>
          <cell r="T424">
            <v>0.66361111111111115</v>
          </cell>
          <cell r="U424" t="str">
            <v>X</v>
          </cell>
          <cell r="V424">
            <v>0.58333333333333337</v>
          </cell>
          <cell r="W424">
            <v>26.9</v>
          </cell>
          <cell r="X424">
            <v>27.71</v>
          </cell>
          <cell r="Y424">
            <v>0.41666666666666669</v>
          </cell>
          <cell r="Z424">
            <v>86.25</v>
          </cell>
          <cell r="AA424">
            <v>84.87</v>
          </cell>
          <cell r="AW424">
            <v>4</v>
          </cell>
          <cell r="AX424">
            <v>4</v>
          </cell>
          <cell r="AY424">
            <v>3</v>
          </cell>
          <cell r="AZ424">
            <v>4</v>
          </cell>
          <cell r="BA424" t="str">
            <v>VALE</v>
          </cell>
          <cell r="BB424">
            <v>45272</v>
          </cell>
          <cell r="BG424">
            <v>45271</v>
          </cell>
        </row>
        <row r="425">
          <cell r="A425">
            <v>812</v>
          </cell>
          <cell r="B425">
            <v>432</v>
          </cell>
          <cell r="C425" t="str">
            <v>PN-117(T4) / PN-114(T4) / PN-113(E2) 50%</v>
          </cell>
          <cell r="D425">
            <v>7</v>
          </cell>
          <cell r="E425">
            <v>40</v>
          </cell>
          <cell r="F425">
            <v>24</v>
          </cell>
          <cell r="G425">
            <v>40</v>
          </cell>
          <cell r="H425">
            <v>0</v>
          </cell>
          <cell r="I425" t="str">
            <v>-</v>
          </cell>
          <cell r="J425" t="str">
            <v>650/660</v>
          </cell>
          <cell r="K425" t="str">
            <v xml:space="preserve">CPIII 40 RS </v>
          </cell>
          <cell r="L425" t="str">
            <v>CP V</v>
          </cell>
          <cell r="M425" t="str">
            <v>SUPER PLASTIFICANTE</v>
          </cell>
          <cell r="N425" t="str">
            <v>PATIO K - TANQUES RA500TN/ RA501TN/ RA502TN/ RA503TN</v>
          </cell>
          <cell r="O425" t="str">
            <v>FORTANKS</v>
          </cell>
          <cell r="P425" t="str">
            <v>01</v>
          </cell>
          <cell r="Q425" t="str">
            <v>Gean</v>
          </cell>
          <cell r="R425">
            <v>45274</v>
          </cell>
          <cell r="S425">
            <v>0.375</v>
          </cell>
          <cell r="T425">
            <v>0.36499999999999999</v>
          </cell>
          <cell r="U425" t="str">
            <v>X</v>
          </cell>
          <cell r="V425">
            <v>0.54166666666666663</v>
          </cell>
          <cell r="W425">
            <v>31.77</v>
          </cell>
          <cell r="X425">
            <v>35.229999999999997</v>
          </cell>
          <cell r="Y425">
            <v>0.41666666666666669</v>
          </cell>
          <cell r="Z425">
            <v>84.31</v>
          </cell>
          <cell r="AA425">
            <v>84.91</v>
          </cell>
          <cell r="AW425">
            <v>4</v>
          </cell>
          <cell r="AX425">
            <v>4</v>
          </cell>
          <cell r="AY425">
            <v>4</v>
          </cell>
          <cell r="AZ425">
            <v>4</v>
          </cell>
          <cell r="BA425" t="str">
            <v>VALE</v>
          </cell>
          <cell r="BB425">
            <v>45275</v>
          </cell>
          <cell r="BG425">
            <v>45274</v>
          </cell>
        </row>
        <row r="426">
          <cell r="A426">
            <v>813</v>
          </cell>
          <cell r="B426">
            <v>433</v>
          </cell>
          <cell r="C426" t="str">
            <v>PN-113(E2) 50% / PN-126(T1) / PN-111(T3)</v>
          </cell>
          <cell r="D426">
            <v>6</v>
          </cell>
          <cell r="E426">
            <v>40</v>
          </cell>
          <cell r="F426">
            <v>24</v>
          </cell>
          <cell r="G426">
            <v>40</v>
          </cell>
          <cell r="H426">
            <v>0</v>
          </cell>
          <cell r="I426" t="str">
            <v>-</v>
          </cell>
          <cell r="J426" t="str">
            <v>660/660</v>
          </cell>
          <cell r="K426" t="str">
            <v xml:space="preserve">CPIII 40 RS </v>
          </cell>
          <cell r="L426" t="str">
            <v>CP V</v>
          </cell>
          <cell r="M426" t="str">
            <v>SUPER PLASTIFICANTE</v>
          </cell>
          <cell r="N426" t="str">
            <v>PATIO K - TANQUES RA500TN/ RA501TN/ RA502TN/ RA503TN</v>
          </cell>
          <cell r="O426" t="str">
            <v>FORTANKS</v>
          </cell>
          <cell r="P426" t="str">
            <v>02</v>
          </cell>
          <cell r="Q426" t="str">
            <v>Gean</v>
          </cell>
          <cell r="R426">
            <v>45274</v>
          </cell>
          <cell r="S426">
            <v>0.3888888888888889</v>
          </cell>
          <cell r="T426">
            <v>0.37888888888888889</v>
          </cell>
          <cell r="U426" t="str">
            <v>X</v>
          </cell>
          <cell r="V426">
            <v>0.54166666666666663</v>
          </cell>
          <cell r="W426">
            <v>34.71</v>
          </cell>
          <cell r="X426">
            <v>34.72</v>
          </cell>
          <cell r="Y426">
            <v>0.41666666666666669</v>
          </cell>
          <cell r="Z426">
            <v>86.83</v>
          </cell>
          <cell r="AA426">
            <v>85.75</v>
          </cell>
          <cell r="AW426">
            <v>4</v>
          </cell>
          <cell r="AX426">
            <v>4</v>
          </cell>
          <cell r="AY426">
            <v>4</v>
          </cell>
          <cell r="AZ426">
            <v>4</v>
          </cell>
          <cell r="BA426" t="str">
            <v>VALE</v>
          </cell>
          <cell r="BB426">
            <v>45275</v>
          </cell>
          <cell r="BG426">
            <v>45274</v>
          </cell>
        </row>
        <row r="427">
          <cell r="A427">
            <v>814</v>
          </cell>
          <cell r="B427">
            <v>434</v>
          </cell>
          <cell r="C427" t="str">
            <v>PN-77(E2) / PN-79(T2)</v>
          </cell>
          <cell r="D427">
            <v>6</v>
          </cell>
          <cell r="E427">
            <v>40</v>
          </cell>
          <cell r="F427">
            <v>24</v>
          </cell>
          <cell r="G427">
            <v>40</v>
          </cell>
          <cell r="H427">
            <v>0</v>
          </cell>
          <cell r="I427" t="str">
            <v>-</v>
          </cell>
          <cell r="J427" t="str">
            <v>660/670</v>
          </cell>
          <cell r="K427" t="str">
            <v xml:space="preserve">CPIII 40 RS </v>
          </cell>
          <cell r="L427" t="str">
            <v>CP V</v>
          </cell>
          <cell r="M427" t="str">
            <v>SUPER PLASTIFICANTE</v>
          </cell>
          <cell r="N427" t="str">
            <v>PATIO K - TANQUES RA500TN/ RA501TN/ RA502TN/ RA503TN</v>
          </cell>
          <cell r="O427" t="str">
            <v>FORTANKS</v>
          </cell>
          <cell r="P427" t="str">
            <v>01</v>
          </cell>
          <cell r="Q427" t="str">
            <v>Gean</v>
          </cell>
          <cell r="R427">
            <v>45274</v>
          </cell>
          <cell r="S427">
            <v>0.46527777777777773</v>
          </cell>
          <cell r="T427">
            <v>0.45527777777777773</v>
          </cell>
          <cell r="U427" t="str">
            <v>X</v>
          </cell>
          <cell r="V427">
            <v>0.46527777777777773</v>
          </cell>
          <cell r="W427">
            <v>28.59</v>
          </cell>
          <cell r="X427">
            <v>29.42</v>
          </cell>
          <cell r="Y427">
            <v>0.41666666666666669</v>
          </cell>
          <cell r="Z427">
            <v>85.08</v>
          </cell>
          <cell r="AA427">
            <v>83.49</v>
          </cell>
          <cell r="AW427">
            <v>4</v>
          </cell>
          <cell r="AX427">
            <v>4</v>
          </cell>
          <cell r="AY427">
            <v>4</v>
          </cell>
          <cell r="AZ427">
            <v>4</v>
          </cell>
          <cell r="BA427" t="str">
            <v>VALE</v>
          </cell>
          <cell r="BB427">
            <v>45275</v>
          </cell>
          <cell r="BG427">
            <v>45274</v>
          </cell>
        </row>
        <row r="428">
          <cell r="A428">
            <v>815</v>
          </cell>
          <cell r="B428">
            <v>435</v>
          </cell>
          <cell r="C428" t="str">
            <v>PE-127(D1aD9)  / PE-134(D1aD9)</v>
          </cell>
          <cell r="D428">
            <v>6</v>
          </cell>
          <cell r="E428">
            <v>40</v>
          </cell>
          <cell r="F428">
            <v>24</v>
          </cell>
          <cell r="G428">
            <v>40</v>
          </cell>
          <cell r="H428">
            <v>0</v>
          </cell>
          <cell r="I428" t="str">
            <v>-</v>
          </cell>
          <cell r="J428" t="str">
            <v>650/660</v>
          </cell>
          <cell r="K428" t="str">
            <v xml:space="preserve">CPIII 40 RS </v>
          </cell>
          <cell r="L428" t="str">
            <v>CP V</v>
          </cell>
          <cell r="M428" t="str">
            <v>SUPER PLASTIFICANTE</v>
          </cell>
          <cell r="N428" t="str">
            <v>PATIO K - TANQUES RA500TN/ RA501TN/ RA502TN/ RA503TN</v>
          </cell>
          <cell r="O428" t="str">
            <v>FORTANKS</v>
          </cell>
          <cell r="P428" t="str">
            <v>02</v>
          </cell>
          <cell r="Q428" t="str">
            <v>Gean</v>
          </cell>
          <cell r="R428">
            <v>45274</v>
          </cell>
          <cell r="S428">
            <v>0.4861111111111111</v>
          </cell>
          <cell r="T428">
            <v>0.4761111111111111</v>
          </cell>
          <cell r="U428" t="str">
            <v>X</v>
          </cell>
          <cell r="V428">
            <v>0.54166666666666663</v>
          </cell>
          <cell r="W428">
            <v>30.91</v>
          </cell>
          <cell r="X428">
            <v>30.24</v>
          </cell>
          <cell r="Y428">
            <v>0.41666666666666669</v>
          </cell>
          <cell r="Z428">
            <v>85.42</v>
          </cell>
          <cell r="AA428">
            <v>84.69</v>
          </cell>
          <cell r="AW428">
            <v>4</v>
          </cell>
          <cell r="AX428">
            <v>4</v>
          </cell>
          <cell r="AY428">
            <v>1</v>
          </cell>
          <cell r="AZ428">
            <v>3</v>
          </cell>
          <cell r="BA428" t="str">
            <v>VALE</v>
          </cell>
          <cell r="BB428">
            <v>45275</v>
          </cell>
          <cell r="BG428">
            <v>45274</v>
          </cell>
        </row>
        <row r="429">
          <cell r="A429">
            <v>816</v>
          </cell>
          <cell r="B429">
            <v>436</v>
          </cell>
          <cell r="C429" t="str">
            <v xml:space="preserve">PF-167(F1) / PF-198(F1) </v>
          </cell>
          <cell r="D429">
            <v>7.5</v>
          </cell>
          <cell r="E429">
            <v>40</v>
          </cell>
          <cell r="F429">
            <v>24</v>
          </cell>
          <cell r="G429">
            <v>40</v>
          </cell>
          <cell r="H429">
            <v>0</v>
          </cell>
          <cell r="I429" t="str">
            <v>-</v>
          </cell>
          <cell r="J429" t="str">
            <v>650/650</v>
          </cell>
          <cell r="K429" t="str">
            <v xml:space="preserve">CPIII 40 RS </v>
          </cell>
          <cell r="L429" t="str">
            <v>CP V</v>
          </cell>
          <cell r="M429" t="str">
            <v>SUPER PLASTIFICANTE</v>
          </cell>
          <cell r="N429" t="str">
            <v>PATIO K - TANQUES RA500TN/ RA501TN/ RA502TN/ RA503TN</v>
          </cell>
          <cell r="O429" t="str">
            <v>FORTANKS</v>
          </cell>
          <cell r="P429" t="str">
            <v>01</v>
          </cell>
          <cell r="Q429" t="str">
            <v>Gean</v>
          </cell>
          <cell r="R429">
            <v>45278</v>
          </cell>
          <cell r="S429">
            <v>0.625</v>
          </cell>
          <cell r="T429">
            <v>0.61499999999999999</v>
          </cell>
          <cell r="U429" t="str">
            <v>X</v>
          </cell>
          <cell r="V429">
            <v>0.54999999999999993</v>
          </cell>
          <cell r="W429">
            <v>27.6</v>
          </cell>
          <cell r="X429">
            <v>28.84</v>
          </cell>
          <cell r="Y429">
            <v>0.41666666666666669</v>
          </cell>
          <cell r="Z429">
            <v>86.88</v>
          </cell>
          <cell r="AA429">
            <v>86.3</v>
          </cell>
          <cell r="AW429">
            <v>4</v>
          </cell>
          <cell r="AX429">
            <v>2</v>
          </cell>
          <cell r="AY429">
            <v>4</v>
          </cell>
          <cell r="AZ429">
            <v>4</v>
          </cell>
          <cell r="BA429" t="str">
            <v>VALE</v>
          </cell>
          <cell r="BB429">
            <v>45279</v>
          </cell>
          <cell r="BG429">
            <v>45278</v>
          </cell>
        </row>
        <row r="430">
          <cell r="A430">
            <v>817</v>
          </cell>
          <cell r="B430">
            <v>437</v>
          </cell>
          <cell r="C430" t="str">
            <v xml:space="preserve">PF-235(F1) / PF-266(F1) </v>
          </cell>
          <cell r="D430">
            <v>7.5</v>
          </cell>
          <cell r="E430">
            <v>40</v>
          </cell>
          <cell r="F430">
            <v>24</v>
          </cell>
          <cell r="G430">
            <v>40</v>
          </cell>
          <cell r="H430">
            <v>0</v>
          </cell>
          <cell r="I430" t="str">
            <v>-</v>
          </cell>
          <cell r="J430" t="str">
            <v>650/650</v>
          </cell>
          <cell r="K430" t="str">
            <v xml:space="preserve">CPIII 40 RS </v>
          </cell>
          <cell r="L430" t="str">
            <v>CP V</v>
          </cell>
          <cell r="M430" t="str">
            <v>SUPER PLASTIFICANTE</v>
          </cell>
          <cell r="N430" t="str">
            <v>PATIO K - TANQUES RA500TN/ RA501TN/ RA502TN/ RA503TN</v>
          </cell>
          <cell r="O430" t="str">
            <v>FORTANKS</v>
          </cell>
          <cell r="P430" t="str">
            <v>01</v>
          </cell>
          <cell r="Q430" t="str">
            <v>Gean</v>
          </cell>
          <cell r="R430">
            <v>45281</v>
          </cell>
          <cell r="S430">
            <v>0.625</v>
          </cell>
          <cell r="T430">
            <v>0.61499999999999999</v>
          </cell>
          <cell r="U430" t="str">
            <v>X</v>
          </cell>
          <cell r="V430">
            <v>0.625</v>
          </cell>
          <cell r="W430">
            <v>34.450000000000003</v>
          </cell>
          <cell r="X430">
            <v>33.340000000000003</v>
          </cell>
          <cell r="Y430">
            <v>0.41666666666666669</v>
          </cell>
          <cell r="Z430">
            <v>81.13</v>
          </cell>
          <cell r="AA430">
            <v>80</v>
          </cell>
          <cell r="AW430">
            <v>4</v>
          </cell>
          <cell r="AX430">
            <v>4</v>
          </cell>
          <cell r="AY430">
            <v>4</v>
          </cell>
          <cell r="AZ430">
            <v>4</v>
          </cell>
          <cell r="BA430" t="str">
            <v>VALE</v>
          </cell>
          <cell r="BB430">
            <v>45282</v>
          </cell>
          <cell r="BG430">
            <v>45281</v>
          </cell>
        </row>
        <row r="431">
          <cell r="A431" t="str">
            <v>0001</v>
          </cell>
          <cell r="B431" t="str">
            <v>BM01</v>
          </cell>
          <cell r="C431" t="str">
            <v>Caixa de Passgem - CP-06</v>
          </cell>
          <cell r="D431">
            <v>4.5</v>
          </cell>
          <cell r="E431">
            <v>40</v>
          </cell>
          <cell r="F431">
            <v>0</v>
          </cell>
          <cell r="G431">
            <v>40</v>
          </cell>
          <cell r="H431">
            <v>0</v>
          </cell>
          <cell r="I431" t="str">
            <v>-</v>
          </cell>
          <cell r="J431" t="str">
            <v>650/650</v>
          </cell>
          <cell r="K431" t="str">
            <v xml:space="preserve">CPIII 40 RS </v>
          </cell>
          <cell r="L431" t="str">
            <v>CP V</v>
          </cell>
          <cell r="M431" t="str">
            <v>SUPER PLASTIFICANTE</v>
          </cell>
          <cell r="N431" t="str">
            <v>PREBMOL</v>
          </cell>
          <cell r="O431" t="str">
            <v>FORTANKS</v>
          </cell>
          <cell r="P431" t="str">
            <v>01</v>
          </cell>
          <cell r="Q431" t="str">
            <v>Gean</v>
          </cell>
          <cell r="R431">
            <v>45358</v>
          </cell>
          <cell r="S431">
            <v>0.65972222222222221</v>
          </cell>
          <cell r="T431">
            <v>0.6497222222222222</v>
          </cell>
          <cell r="U431" t="str">
            <v>X</v>
          </cell>
          <cell r="BB431">
            <v>45359</v>
          </cell>
          <cell r="BG431">
            <v>45358</v>
          </cell>
        </row>
        <row r="432">
          <cell r="A432" t="str">
            <v>0002</v>
          </cell>
          <cell r="B432" t="str">
            <v>BM02</v>
          </cell>
          <cell r="C432" t="str">
            <v>Caixa de Passgem - CP-06 - COMPLEMENTO</v>
          </cell>
          <cell r="D432">
            <v>1.5</v>
          </cell>
          <cell r="E432">
            <v>40</v>
          </cell>
          <cell r="F432">
            <v>0</v>
          </cell>
          <cell r="G432">
            <v>40</v>
          </cell>
          <cell r="H432">
            <v>0</v>
          </cell>
          <cell r="I432" t="str">
            <v>-</v>
          </cell>
          <cell r="J432" t="str">
            <v>650/650</v>
          </cell>
          <cell r="K432" t="str">
            <v xml:space="preserve">CPIII 40 RS </v>
          </cell>
          <cell r="L432" t="str">
            <v>CP V</v>
          </cell>
          <cell r="M432" t="str">
            <v>SUPER PLASTIFICANTE</v>
          </cell>
          <cell r="N432" t="str">
            <v>PREBMOL</v>
          </cell>
          <cell r="O432" t="str">
            <v>FORTANKS</v>
          </cell>
          <cell r="P432" t="str">
            <v>01</v>
          </cell>
          <cell r="Q432" t="str">
            <v>Gean</v>
          </cell>
          <cell r="R432">
            <v>45359</v>
          </cell>
          <cell r="S432">
            <v>0.43055555555555558</v>
          </cell>
          <cell r="T432">
            <v>0.42055555555555557</v>
          </cell>
          <cell r="U432" t="str">
            <v>X</v>
          </cell>
          <cell r="BB432">
            <v>45360</v>
          </cell>
          <cell r="BG432">
            <v>45359</v>
          </cell>
        </row>
        <row r="433">
          <cell r="A433" t="str">
            <v>0003</v>
          </cell>
          <cell r="B433" t="str">
            <v>BM03</v>
          </cell>
          <cell r="C433" t="str">
            <v>Caixa de Passagem CP-05/ TP-06</v>
          </cell>
          <cell r="D433">
            <v>5.5</v>
          </cell>
          <cell r="E433">
            <v>40</v>
          </cell>
          <cell r="F433">
            <v>0</v>
          </cell>
          <cell r="G433">
            <v>40</v>
          </cell>
          <cell r="H433">
            <v>0</v>
          </cell>
          <cell r="I433" t="str">
            <v>-</v>
          </cell>
          <cell r="J433" t="str">
            <v>640/650</v>
          </cell>
          <cell r="K433" t="str">
            <v xml:space="preserve">CPIII 40 RS </v>
          </cell>
          <cell r="L433" t="str">
            <v>CP V</v>
          </cell>
          <cell r="M433" t="str">
            <v>SUPER PLASTIFICANTE</v>
          </cell>
          <cell r="N433" t="str">
            <v>PREBMOL</v>
          </cell>
          <cell r="O433" t="str">
            <v>FORTANKS</v>
          </cell>
          <cell r="P433" t="str">
            <v>01</v>
          </cell>
          <cell r="Q433" t="str">
            <v>Gean</v>
          </cell>
          <cell r="R433">
            <v>45363</v>
          </cell>
          <cell r="S433">
            <v>0.58333333333333337</v>
          </cell>
          <cell r="T433">
            <v>0.57333333333333336</v>
          </cell>
          <cell r="U433" t="str">
            <v>X</v>
          </cell>
          <cell r="BB433">
            <v>45364</v>
          </cell>
          <cell r="BG433">
            <v>45363</v>
          </cell>
        </row>
        <row r="434">
          <cell r="A434" t="str">
            <v>0004</v>
          </cell>
          <cell r="B434" t="str">
            <v>BM04</v>
          </cell>
          <cell r="C434" t="str">
            <v>Caixa de Passagem CI-01 1° etapa/ Tampa da caixa TP05</v>
          </cell>
          <cell r="D434">
            <v>2.5</v>
          </cell>
          <cell r="E434">
            <v>40</v>
          </cell>
          <cell r="F434">
            <v>0</v>
          </cell>
          <cell r="G434">
            <v>40</v>
          </cell>
          <cell r="H434">
            <v>0</v>
          </cell>
          <cell r="I434" t="str">
            <v>-</v>
          </cell>
          <cell r="J434" t="str">
            <v>660/660</v>
          </cell>
          <cell r="K434" t="str">
            <v xml:space="preserve">CPIII 40 RS </v>
          </cell>
          <cell r="L434" t="str">
            <v>CP V</v>
          </cell>
          <cell r="M434" t="str">
            <v>SUPER PLASTIFICANTE</v>
          </cell>
          <cell r="N434" t="str">
            <v>PREBMOL</v>
          </cell>
          <cell r="O434" t="str">
            <v>FORTANKS</v>
          </cell>
          <cell r="P434" t="str">
            <v>01</v>
          </cell>
          <cell r="Q434" t="str">
            <v>Gean</v>
          </cell>
          <cell r="R434">
            <v>45364</v>
          </cell>
          <cell r="S434">
            <v>0.625</v>
          </cell>
          <cell r="T434">
            <v>0.61499999999999999</v>
          </cell>
          <cell r="U434" t="str">
            <v>x</v>
          </cell>
          <cell r="BB434">
            <v>45365</v>
          </cell>
          <cell r="BG434">
            <v>45364</v>
          </cell>
        </row>
        <row r="435">
          <cell r="A435" t="str">
            <v>0005</v>
          </cell>
          <cell r="B435" t="str">
            <v>BM05</v>
          </cell>
          <cell r="C435" t="str">
            <v>Caixa de Passagem CP-02 / Tampa da Caixa TP-02</v>
          </cell>
          <cell r="D435">
            <v>5</v>
          </cell>
          <cell r="E435">
            <v>40</v>
          </cell>
          <cell r="F435">
            <v>0</v>
          </cell>
          <cell r="G435">
            <v>40</v>
          </cell>
          <cell r="H435">
            <v>0</v>
          </cell>
          <cell r="I435" t="str">
            <v>-</v>
          </cell>
          <cell r="J435" t="str">
            <v>650/650</v>
          </cell>
          <cell r="K435" t="str">
            <v xml:space="preserve">CPIII 40 RS </v>
          </cell>
          <cell r="L435" t="str">
            <v>CP V</v>
          </cell>
          <cell r="M435" t="str">
            <v>SUPER PLASTIFICANTE</v>
          </cell>
          <cell r="N435" t="str">
            <v>PREBMOL</v>
          </cell>
          <cell r="O435" t="str">
            <v>FORTANKS</v>
          </cell>
          <cell r="P435" t="str">
            <v>01</v>
          </cell>
          <cell r="Q435" t="str">
            <v>Gean</v>
          </cell>
          <cell r="R435">
            <v>45365</v>
          </cell>
          <cell r="S435">
            <v>0.625</v>
          </cell>
          <cell r="T435">
            <v>0.61499999999999999</v>
          </cell>
          <cell r="U435" t="str">
            <v>x</v>
          </cell>
          <cell r="BB435">
            <v>45366</v>
          </cell>
          <cell r="BG435">
            <v>45365</v>
          </cell>
        </row>
        <row r="436">
          <cell r="A436">
            <v>818</v>
          </cell>
          <cell r="B436">
            <v>438</v>
          </cell>
          <cell r="C436" t="str">
            <v>PN-04(P)</v>
          </cell>
          <cell r="D436">
            <v>8.15</v>
          </cell>
          <cell r="E436">
            <v>40</v>
          </cell>
          <cell r="F436">
            <v>24</v>
          </cell>
          <cell r="G436">
            <v>40</v>
          </cell>
          <cell r="H436">
            <v>0</v>
          </cell>
          <cell r="I436" t="str">
            <v>-</v>
          </cell>
          <cell r="J436" t="str">
            <v>650/650</v>
          </cell>
          <cell r="K436" t="str">
            <v xml:space="preserve">CPIII 40 RS </v>
          </cell>
          <cell r="L436" t="str">
            <v>CP V</v>
          </cell>
          <cell r="M436" t="str">
            <v>SUPER PLASTIFICANTE</v>
          </cell>
          <cell r="N436" t="str">
            <v>EFLUENTE TRATADO  -  TANQUE RA600TN</v>
          </cell>
          <cell r="O436" t="str">
            <v>FORTANKS</v>
          </cell>
          <cell r="P436">
            <v>1</v>
          </cell>
          <cell r="Q436" t="str">
            <v>Gean</v>
          </cell>
          <cell r="R436">
            <v>45366</v>
          </cell>
          <cell r="S436">
            <v>0.36805555555555558</v>
          </cell>
          <cell r="T436">
            <v>0.35805555555555557</v>
          </cell>
          <cell r="U436" t="str">
            <v>X</v>
          </cell>
          <cell r="V436">
            <v>0.39583333333333331</v>
          </cell>
          <cell r="W436">
            <v>44.05</v>
          </cell>
          <cell r="X436">
            <v>45.33</v>
          </cell>
          <cell r="Y436">
            <v>0.45833333333333331</v>
          </cell>
          <cell r="Z436">
            <v>83.22</v>
          </cell>
          <cell r="AA436">
            <v>84.88</v>
          </cell>
          <cell r="AW436">
            <v>4</v>
          </cell>
          <cell r="AX436">
            <v>4</v>
          </cell>
          <cell r="AY436">
            <v>3</v>
          </cell>
          <cell r="AZ436">
            <v>4</v>
          </cell>
          <cell r="BA436" t="str">
            <v>VALE</v>
          </cell>
          <cell r="BB436">
            <v>45367</v>
          </cell>
          <cell r="BG436">
            <v>45366</v>
          </cell>
        </row>
        <row r="437">
          <cell r="A437">
            <v>819</v>
          </cell>
          <cell r="B437">
            <v>439</v>
          </cell>
          <cell r="C437" t="str">
            <v>PN-03(P)</v>
          </cell>
          <cell r="D437">
            <v>8.15</v>
          </cell>
          <cell r="E437">
            <v>40</v>
          </cell>
          <cell r="F437">
            <v>24</v>
          </cell>
          <cell r="G437">
            <v>40</v>
          </cell>
          <cell r="H437">
            <v>0</v>
          </cell>
          <cell r="I437" t="str">
            <v>-</v>
          </cell>
          <cell r="J437" t="str">
            <v>650/660</v>
          </cell>
          <cell r="K437" t="str">
            <v xml:space="preserve">CPIII 40 RS </v>
          </cell>
          <cell r="L437" t="str">
            <v>CP V</v>
          </cell>
          <cell r="M437" t="str">
            <v>SUPER PLASTIFICANTE</v>
          </cell>
          <cell r="N437" t="str">
            <v>EFLUENTE TRATADO  -  TANQUE RA600TN</v>
          </cell>
          <cell r="O437" t="str">
            <v>FORTANKS</v>
          </cell>
          <cell r="P437" t="str">
            <v>02</v>
          </cell>
          <cell r="Q437" t="str">
            <v>Gean</v>
          </cell>
          <cell r="R437">
            <v>45366</v>
          </cell>
          <cell r="S437">
            <v>0.38194444444444442</v>
          </cell>
          <cell r="T437">
            <v>0.37194444444444441</v>
          </cell>
          <cell r="U437" t="str">
            <v>X</v>
          </cell>
          <cell r="V437">
            <v>0.39583333333333331</v>
          </cell>
          <cell r="W437">
            <v>38.85</v>
          </cell>
          <cell r="X437">
            <v>39.99</v>
          </cell>
          <cell r="Y437">
            <v>0.45833333333333331</v>
          </cell>
          <cell r="Z437">
            <v>86.47</v>
          </cell>
          <cell r="AA437">
            <v>87.54</v>
          </cell>
          <cell r="AW437">
            <v>5</v>
          </cell>
          <cell r="AX437">
            <v>3</v>
          </cell>
          <cell r="AY437">
            <v>4</v>
          </cell>
          <cell r="AZ437">
            <v>4</v>
          </cell>
          <cell r="BA437" t="str">
            <v>VALE</v>
          </cell>
          <cell r="BB437">
            <v>45367</v>
          </cell>
          <cell r="BG437">
            <v>45366</v>
          </cell>
        </row>
        <row r="438">
          <cell r="A438">
            <v>820</v>
          </cell>
          <cell r="B438">
            <v>440</v>
          </cell>
          <cell r="C438" t="str">
            <v>PN-02(P)</v>
          </cell>
          <cell r="D438">
            <v>8.15</v>
          </cell>
          <cell r="E438">
            <v>40</v>
          </cell>
          <cell r="F438">
            <v>24</v>
          </cell>
          <cell r="G438">
            <v>40</v>
          </cell>
          <cell r="H438">
            <v>0</v>
          </cell>
          <cell r="I438" t="str">
            <v>-</v>
          </cell>
          <cell r="J438" t="str">
            <v>650/660</v>
          </cell>
          <cell r="K438" t="str">
            <v xml:space="preserve">CPIII 40 RS </v>
          </cell>
          <cell r="L438" t="str">
            <v>CP V</v>
          </cell>
          <cell r="M438" t="str">
            <v>SUPER PLASTIFICANTE</v>
          </cell>
          <cell r="N438" t="str">
            <v>EFLUENTE TRATADO  -  TANQUE RA600TN</v>
          </cell>
          <cell r="O438" t="str">
            <v>FORTANKS</v>
          </cell>
          <cell r="P438" t="str">
            <v>01</v>
          </cell>
          <cell r="Q438" t="str">
            <v>Gean</v>
          </cell>
          <cell r="R438">
            <v>45366</v>
          </cell>
          <cell r="S438">
            <v>0.4513888888888889</v>
          </cell>
          <cell r="T438">
            <v>0.44138888888888889</v>
          </cell>
          <cell r="U438" t="str">
            <v>X</v>
          </cell>
          <cell r="V438">
            <v>0.39583333333333331</v>
          </cell>
          <cell r="W438">
            <v>38.86</v>
          </cell>
          <cell r="X438">
            <v>39.53</v>
          </cell>
          <cell r="Y438">
            <v>0.45833333333333331</v>
          </cell>
          <cell r="Z438">
            <v>86.35</v>
          </cell>
          <cell r="AA438">
            <v>87.16</v>
          </cell>
          <cell r="AW438">
            <v>4</v>
          </cell>
          <cell r="AX438">
            <v>5</v>
          </cell>
          <cell r="AY438">
            <v>4</v>
          </cell>
          <cell r="AZ438">
            <v>4</v>
          </cell>
          <cell r="BA438" t="str">
            <v>VALE</v>
          </cell>
          <cell r="BB438">
            <v>45367</v>
          </cell>
          <cell r="BG438">
            <v>45366</v>
          </cell>
        </row>
        <row r="439">
          <cell r="A439">
            <v>821</v>
          </cell>
          <cell r="B439">
            <v>441</v>
          </cell>
          <cell r="C439" t="str">
            <v>PN-01(P)</v>
          </cell>
          <cell r="D439">
            <v>8.15</v>
          </cell>
          <cell r="E439">
            <v>40</v>
          </cell>
          <cell r="F439">
            <v>24</v>
          </cell>
          <cell r="G439">
            <v>40</v>
          </cell>
          <cell r="H439">
            <v>0</v>
          </cell>
          <cell r="I439" t="str">
            <v>-</v>
          </cell>
          <cell r="J439" t="str">
            <v>660/660</v>
          </cell>
          <cell r="K439" t="str">
            <v xml:space="preserve">CPIII 40 RS </v>
          </cell>
          <cell r="L439" t="str">
            <v>CP V</v>
          </cell>
          <cell r="M439" t="str">
            <v>SUPER PLASTIFICANTE</v>
          </cell>
          <cell r="N439" t="str">
            <v>EFLUENTE TRATADO  -  TANQUE RA600TN</v>
          </cell>
          <cell r="O439" t="str">
            <v>FORTANKS</v>
          </cell>
          <cell r="P439" t="str">
            <v>02</v>
          </cell>
          <cell r="Q439" t="str">
            <v>Gean</v>
          </cell>
          <cell r="R439">
            <v>45366</v>
          </cell>
          <cell r="S439">
            <v>0.39583333333333331</v>
          </cell>
          <cell r="T439">
            <v>0.38583333333333331</v>
          </cell>
          <cell r="U439" t="str">
            <v>X</v>
          </cell>
          <cell r="V439">
            <v>0.39583333333333331</v>
          </cell>
          <cell r="W439">
            <v>28.69</v>
          </cell>
          <cell r="X439">
            <v>32.659999999999997</v>
          </cell>
          <cell r="Y439">
            <v>0.45833333333333331</v>
          </cell>
          <cell r="Z439">
            <v>84.9</v>
          </cell>
          <cell r="AA439">
            <v>86.42</v>
          </cell>
          <cell r="AW439">
            <v>4</v>
          </cell>
          <cell r="AX439">
            <v>4</v>
          </cell>
          <cell r="AY439">
            <v>4</v>
          </cell>
          <cell r="AZ439">
            <v>4</v>
          </cell>
          <cell r="BA439" t="str">
            <v>VALE</v>
          </cell>
          <cell r="BB439">
            <v>45367</v>
          </cell>
          <cell r="BG439">
            <v>45366</v>
          </cell>
        </row>
        <row r="440">
          <cell r="A440">
            <v>822</v>
          </cell>
          <cell r="B440">
            <v>442</v>
          </cell>
          <cell r="C440" t="str">
            <v>PN-01/PN-02/PN-03/PN-04 - VIGAS INTERNAS</v>
          </cell>
          <cell r="D440">
            <v>1</v>
          </cell>
          <cell r="E440">
            <v>40</v>
          </cell>
          <cell r="F440">
            <v>24</v>
          </cell>
          <cell r="G440">
            <v>40</v>
          </cell>
          <cell r="H440">
            <v>0</v>
          </cell>
          <cell r="I440" t="str">
            <v>-</v>
          </cell>
          <cell r="J440" t="str">
            <v>650/660</v>
          </cell>
          <cell r="K440" t="str">
            <v xml:space="preserve">CPIII 40 RS </v>
          </cell>
          <cell r="L440" t="str">
            <v>CP V</v>
          </cell>
          <cell r="M440" t="str">
            <v>SUPER PLASTIFICANTE</v>
          </cell>
          <cell r="N440" t="str">
            <v>EFLUENTE TRATADO  -  TANQUE RA600TN</v>
          </cell>
          <cell r="O440" t="str">
            <v>FORTANKS</v>
          </cell>
          <cell r="P440" t="str">
            <v>01</v>
          </cell>
          <cell r="Q440" t="str">
            <v>Gean</v>
          </cell>
          <cell r="R440">
            <v>45366</v>
          </cell>
          <cell r="S440">
            <v>0.39583333333333331</v>
          </cell>
          <cell r="T440">
            <v>0.38583333333333331</v>
          </cell>
          <cell r="U440" t="str">
            <v>X</v>
          </cell>
          <cell r="V440">
            <v>0.39583333333333331</v>
          </cell>
          <cell r="W440">
            <v>24.22</v>
          </cell>
          <cell r="X440">
            <v>23.25</v>
          </cell>
          <cell r="Y440">
            <v>0.45833333333333331</v>
          </cell>
          <cell r="Z440">
            <v>86.65</v>
          </cell>
          <cell r="AA440">
            <v>88.47</v>
          </cell>
          <cell r="AW440">
            <v>4</v>
          </cell>
          <cell r="AX440">
            <v>3</v>
          </cell>
          <cell r="AY440">
            <v>4</v>
          </cell>
          <cell r="AZ440">
            <v>4</v>
          </cell>
          <cell r="BA440" t="str">
            <v>VALE</v>
          </cell>
          <cell r="BB440">
            <v>45367</v>
          </cell>
          <cell r="BG440">
            <v>45366</v>
          </cell>
        </row>
        <row r="441">
          <cell r="A441" t="str">
            <v>0006</v>
          </cell>
          <cell r="B441" t="str">
            <v>BM06</v>
          </cell>
          <cell r="C441" t="str">
            <v>Caixa Passagem - CI-01 2° Etapa
Caixa Passagem - CI-02  1° Etapa
Tampa de Caixa - TPC1</v>
          </cell>
          <cell r="D441">
            <v>5</v>
          </cell>
          <cell r="E441">
            <v>40</v>
          </cell>
          <cell r="F441">
            <v>24</v>
          </cell>
          <cell r="G441">
            <v>40</v>
          </cell>
          <cell r="H441">
            <v>0</v>
          </cell>
          <cell r="I441" t="str">
            <v>-</v>
          </cell>
          <cell r="J441" t="str">
            <v>640/650</v>
          </cell>
          <cell r="K441" t="str">
            <v xml:space="preserve">CPIII 40 RS </v>
          </cell>
          <cell r="L441" t="str">
            <v>CP V</v>
          </cell>
          <cell r="M441" t="str">
            <v>SUPER PLASTIFICANTE</v>
          </cell>
          <cell r="N441" t="str">
            <v>PREBMOL</v>
          </cell>
          <cell r="O441" t="str">
            <v>FORTANKS</v>
          </cell>
          <cell r="P441" t="str">
            <v>01</v>
          </cell>
          <cell r="Q441" t="str">
            <v>Gean</v>
          </cell>
          <cell r="R441">
            <v>45373</v>
          </cell>
          <cell r="S441">
            <v>0.375</v>
          </cell>
          <cell r="T441">
            <v>0.36499999999999999</v>
          </cell>
          <cell r="U441" t="str">
            <v>X</v>
          </cell>
          <cell r="BB441">
            <v>45374</v>
          </cell>
          <cell r="BG441">
            <v>45373</v>
          </cell>
        </row>
        <row r="442">
          <cell r="A442">
            <v>823</v>
          </cell>
          <cell r="B442">
            <v>443</v>
          </cell>
          <cell r="C442" t="str">
            <v>PN-08(P)</v>
          </cell>
          <cell r="D442">
            <v>8.15</v>
          </cell>
          <cell r="E442">
            <v>40</v>
          </cell>
          <cell r="F442">
            <v>24</v>
          </cell>
          <cell r="G442">
            <v>40</v>
          </cell>
          <cell r="H442">
            <v>0</v>
          </cell>
          <cell r="I442" t="str">
            <v>-</v>
          </cell>
          <cell r="J442" t="str">
            <v>650/650</v>
          </cell>
          <cell r="K442" t="str">
            <v xml:space="preserve">CPIII 40 RS </v>
          </cell>
          <cell r="L442" t="str">
            <v>CP V</v>
          </cell>
          <cell r="M442" t="str">
            <v>SUPER PLASTIFICANTE</v>
          </cell>
          <cell r="N442" t="str">
            <v>EFLUENTE TRATADO  -  TANQUE RA600TN</v>
          </cell>
          <cell r="O442" t="str">
            <v>FORTANKS</v>
          </cell>
          <cell r="P442" t="str">
            <v>01</v>
          </cell>
          <cell r="Q442" t="str">
            <v>Gean</v>
          </cell>
          <cell r="R442">
            <v>45373</v>
          </cell>
          <cell r="S442">
            <v>0.60555555555555551</v>
          </cell>
          <cell r="T442">
            <v>0.5955555555555555</v>
          </cell>
          <cell r="U442" t="str">
            <v>X</v>
          </cell>
          <cell r="V442">
            <v>0.44791666666666669</v>
          </cell>
          <cell r="W442">
            <v>36.72</v>
          </cell>
          <cell r="X442">
            <v>37</v>
          </cell>
          <cell r="Y442">
            <v>0.4375</v>
          </cell>
          <cell r="Z442">
            <v>85.1</v>
          </cell>
          <cell r="AA442">
            <v>85</v>
          </cell>
          <cell r="AW442">
            <v>4</v>
          </cell>
          <cell r="AX442">
            <v>3</v>
          </cell>
          <cell r="AY442">
            <v>4</v>
          </cell>
          <cell r="AZ442">
            <v>4</v>
          </cell>
          <cell r="BA442" t="str">
            <v>VALE</v>
          </cell>
          <cell r="BB442">
            <v>45374</v>
          </cell>
          <cell r="BG442">
            <v>45373</v>
          </cell>
        </row>
        <row r="443">
          <cell r="A443">
            <v>824</v>
          </cell>
          <cell r="B443">
            <v>444</v>
          </cell>
          <cell r="C443" t="str">
            <v>PN-07(P)</v>
          </cell>
          <cell r="D443">
            <v>8.15</v>
          </cell>
          <cell r="E443">
            <v>40</v>
          </cell>
          <cell r="F443">
            <v>24</v>
          </cell>
          <cell r="G443">
            <v>40</v>
          </cell>
          <cell r="H443">
            <v>0</v>
          </cell>
          <cell r="I443" t="str">
            <v>-</v>
          </cell>
          <cell r="J443" t="str">
            <v>650/660</v>
          </cell>
          <cell r="K443" t="str">
            <v xml:space="preserve">CPIII 40 RS </v>
          </cell>
          <cell r="L443" t="str">
            <v>CP V</v>
          </cell>
          <cell r="M443" t="str">
            <v>SUPER PLASTIFICANTE</v>
          </cell>
          <cell r="N443" t="str">
            <v>EFLUENTE TRATADO  -  TANQUE RA600TN</v>
          </cell>
          <cell r="O443" t="str">
            <v>FORTANKS</v>
          </cell>
          <cell r="P443" t="str">
            <v>02</v>
          </cell>
          <cell r="Q443" t="str">
            <v>Gean</v>
          </cell>
          <cell r="R443">
            <v>45373</v>
          </cell>
          <cell r="S443">
            <v>0.625</v>
          </cell>
          <cell r="T443">
            <v>0.61499999999999999</v>
          </cell>
          <cell r="U443" t="str">
            <v>X</v>
          </cell>
          <cell r="V443">
            <v>0.44791666666666669</v>
          </cell>
          <cell r="W443">
            <v>31.36</v>
          </cell>
          <cell r="X443">
            <v>30.54</v>
          </cell>
          <cell r="Y443">
            <v>0.4375</v>
          </cell>
          <cell r="Z443">
            <v>85.87</v>
          </cell>
          <cell r="AA443">
            <v>86.46</v>
          </cell>
          <cell r="AW443">
            <v>4</v>
          </cell>
          <cell r="AX443">
            <v>3</v>
          </cell>
          <cell r="AY443">
            <v>4</v>
          </cell>
          <cell r="AZ443">
            <v>4</v>
          </cell>
          <cell r="BA443" t="str">
            <v>VALE</v>
          </cell>
          <cell r="BB443">
            <v>45374</v>
          </cell>
          <cell r="BG443">
            <v>45373</v>
          </cell>
        </row>
        <row r="444">
          <cell r="A444">
            <v>825</v>
          </cell>
          <cell r="B444">
            <v>445</v>
          </cell>
          <cell r="C444" t="str">
            <v>PN-06(P)</v>
          </cell>
          <cell r="D444">
            <v>8.15</v>
          </cell>
          <cell r="E444">
            <v>40</v>
          </cell>
          <cell r="F444">
            <v>24</v>
          </cell>
          <cell r="G444">
            <v>40</v>
          </cell>
          <cell r="H444">
            <v>0</v>
          </cell>
          <cell r="I444" t="str">
            <v>-</v>
          </cell>
          <cell r="J444" t="str">
            <v>660/660</v>
          </cell>
          <cell r="K444" t="str">
            <v xml:space="preserve">CPIII 40 RS </v>
          </cell>
          <cell r="L444" t="str">
            <v>CP V</v>
          </cell>
          <cell r="M444" t="str">
            <v>SUPER PLASTIFICANTE</v>
          </cell>
          <cell r="N444" t="str">
            <v>EFLUENTE TRATADO  -  TANQUE RA600TN</v>
          </cell>
          <cell r="O444" t="str">
            <v>FORTANKS</v>
          </cell>
          <cell r="P444" t="str">
            <v>01</v>
          </cell>
          <cell r="Q444" t="str">
            <v>Gean</v>
          </cell>
          <cell r="R444">
            <v>45373</v>
          </cell>
          <cell r="S444">
            <v>0.65625</v>
          </cell>
          <cell r="T444">
            <v>0.64624999999999999</v>
          </cell>
          <cell r="U444" t="str">
            <v>X</v>
          </cell>
          <cell r="V444">
            <v>0.44791666666666669</v>
          </cell>
          <cell r="W444">
            <v>35.36</v>
          </cell>
          <cell r="X444">
            <v>32.56</v>
          </cell>
          <cell r="Y444">
            <v>0.4375</v>
          </cell>
          <cell r="Z444">
            <v>85.42</v>
          </cell>
          <cell r="AA444">
            <v>86.2</v>
          </cell>
          <cell r="AW444">
            <v>3</v>
          </cell>
          <cell r="AX444">
            <v>4</v>
          </cell>
          <cell r="AY444">
            <v>4</v>
          </cell>
          <cell r="AZ444">
            <v>4</v>
          </cell>
          <cell r="BA444" t="str">
            <v>VALE</v>
          </cell>
          <cell r="BB444">
            <v>45374</v>
          </cell>
          <cell r="BG444">
            <v>45373</v>
          </cell>
        </row>
        <row r="445">
          <cell r="A445">
            <v>826</v>
          </cell>
          <cell r="B445">
            <v>446</v>
          </cell>
          <cell r="C445" t="str">
            <v>PN-05(P)</v>
          </cell>
          <cell r="D445">
            <v>8.15</v>
          </cell>
          <cell r="E445">
            <v>40</v>
          </cell>
          <cell r="F445">
            <v>24</v>
          </cell>
          <cell r="G445">
            <v>40</v>
          </cell>
          <cell r="H445">
            <v>0</v>
          </cell>
          <cell r="I445" t="str">
            <v>-</v>
          </cell>
          <cell r="J445" t="str">
            <v>670/670</v>
          </cell>
          <cell r="K445" t="str">
            <v xml:space="preserve">CPIII 40 RS </v>
          </cell>
          <cell r="L445" t="str">
            <v>CP V</v>
          </cell>
          <cell r="M445" t="str">
            <v>SUPER PLASTIFICANTE</v>
          </cell>
          <cell r="N445" t="str">
            <v>EFLUENTE TRATADO  -  TANQUE RA600TN</v>
          </cell>
          <cell r="O445" t="str">
            <v>FORTANKS</v>
          </cell>
          <cell r="P445" t="str">
            <v>02</v>
          </cell>
          <cell r="Q445" t="str">
            <v>Gean</v>
          </cell>
          <cell r="R445">
            <v>45373</v>
          </cell>
          <cell r="S445">
            <v>0.68888888888888888</v>
          </cell>
          <cell r="T445">
            <v>0.67888888888888888</v>
          </cell>
          <cell r="U445" t="str">
            <v>X</v>
          </cell>
          <cell r="V445">
            <v>0.44791666666666669</v>
          </cell>
          <cell r="W445">
            <v>25.57</v>
          </cell>
          <cell r="X445">
            <v>24.25</v>
          </cell>
          <cell r="Y445">
            <v>0.4375</v>
          </cell>
          <cell r="Z445">
            <v>86.28</v>
          </cell>
          <cell r="AA445">
            <v>86.16</v>
          </cell>
          <cell r="AW445">
            <v>4</v>
          </cell>
          <cell r="AX445">
            <v>4</v>
          </cell>
          <cell r="AY445">
            <v>4</v>
          </cell>
          <cell r="AZ445">
            <v>4</v>
          </cell>
          <cell r="BA445" t="str">
            <v>VALE</v>
          </cell>
          <cell r="BB445">
            <v>45374</v>
          </cell>
          <cell r="BG445">
            <v>45373</v>
          </cell>
        </row>
        <row r="446">
          <cell r="A446">
            <v>827</v>
          </cell>
          <cell r="B446">
            <v>447</v>
          </cell>
          <cell r="C446" t="str">
            <v>PN-05/PN-06/PN-07/PN-08 - VIGAS INTERNAS</v>
          </cell>
          <cell r="D446">
            <v>1</v>
          </cell>
          <cell r="E446">
            <v>40</v>
          </cell>
          <cell r="F446">
            <v>24</v>
          </cell>
          <cell r="G446">
            <v>40</v>
          </cell>
          <cell r="H446">
            <v>0</v>
          </cell>
          <cell r="I446" t="str">
            <v>-</v>
          </cell>
          <cell r="J446" t="str">
            <v>650/650</v>
          </cell>
          <cell r="K446" t="str">
            <v xml:space="preserve">CPIII 40 RS </v>
          </cell>
          <cell r="L446" t="str">
            <v>CP V</v>
          </cell>
          <cell r="M446" t="str">
            <v>SUPER PLASTIFICANTE</v>
          </cell>
          <cell r="N446" t="str">
            <v>EFLUENTE TRATADO  -  TANQUE RA600TN</v>
          </cell>
          <cell r="O446" t="str">
            <v>FORTANKS</v>
          </cell>
          <cell r="P446" t="str">
            <v>01</v>
          </cell>
          <cell r="Q446" t="str">
            <v>Gean</v>
          </cell>
          <cell r="R446">
            <v>45373</v>
          </cell>
          <cell r="S446">
            <v>0.8125</v>
          </cell>
          <cell r="T446">
            <v>0.80249999999999999</v>
          </cell>
          <cell r="U446" t="str">
            <v>X</v>
          </cell>
          <cell r="V446">
            <v>0.44791666666666669</v>
          </cell>
          <cell r="W446">
            <v>22.08</v>
          </cell>
          <cell r="X446">
            <v>23.25</v>
          </cell>
          <cell r="Y446">
            <v>0.4375</v>
          </cell>
          <cell r="Z446">
            <v>66.41</v>
          </cell>
          <cell r="AA446">
            <v>70.86</v>
          </cell>
          <cell r="AW446">
            <v>4</v>
          </cell>
          <cell r="AX446">
            <v>3</v>
          </cell>
          <cell r="AY446">
            <v>4</v>
          </cell>
          <cell r="AZ446">
            <v>4</v>
          </cell>
          <cell r="BA446" t="str">
            <v>VALE</v>
          </cell>
          <cell r="BB446">
            <v>45374</v>
          </cell>
          <cell r="BG446">
            <v>45373</v>
          </cell>
        </row>
        <row r="447">
          <cell r="A447">
            <v>828</v>
          </cell>
          <cell r="B447">
            <v>448</v>
          </cell>
          <cell r="C447" t="str">
            <v>PN-12(P)</v>
          </cell>
          <cell r="D447">
            <v>8.15</v>
          </cell>
          <cell r="E447">
            <v>40</v>
          </cell>
          <cell r="F447">
            <v>24</v>
          </cell>
          <cell r="G447">
            <v>40</v>
          </cell>
          <cell r="H447">
            <v>0</v>
          </cell>
          <cell r="I447" t="str">
            <v>-</v>
          </cell>
          <cell r="J447" t="str">
            <v>650/660</v>
          </cell>
          <cell r="K447" t="str">
            <v xml:space="preserve">CPIII 40 RS </v>
          </cell>
          <cell r="L447" t="str">
            <v>CP V</v>
          </cell>
          <cell r="M447" t="str">
            <v>SUPER PLASTIFICANTE</v>
          </cell>
          <cell r="N447" t="str">
            <v>EFLUENTE TRATADO  -  TANQUE RA600TN</v>
          </cell>
          <cell r="O447" t="str">
            <v>FORTANKS</v>
          </cell>
          <cell r="P447" t="str">
            <v>01</v>
          </cell>
          <cell r="Q447" t="str">
            <v>Gean</v>
          </cell>
          <cell r="R447">
            <v>45376</v>
          </cell>
          <cell r="S447">
            <v>0.54166666666666663</v>
          </cell>
          <cell r="T447">
            <v>0.53166666666666662</v>
          </cell>
          <cell r="U447" t="str">
            <v>X</v>
          </cell>
          <cell r="V447">
            <v>0.35416666666666669</v>
          </cell>
          <cell r="W447">
            <v>32.5</v>
          </cell>
          <cell r="X447">
            <v>32.64</v>
          </cell>
          <cell r="Y447">
            <v>0.41666666666666669</v>
          </cell>
          <cell r="Z447">
            <v>85.34</v>
          </cell>
          <cell r="AA447">
            <v>83.59</v>
          </cell>
          <cell r="AW447">
            <v>5</v>
          </cell>
          <cell r="AX447">
            <v>4</v>
          </cell>
          <cell r="AY447">
            <v>4</v>
          </cell>
          <cell r="AZ447">
            <v>4</v>
          </cell>
          <cell r="BA447" t="str">
            <v>VALE</v>
          </cell>
          <cell r="BB447">
            <v>45377</v>
          </cell>
          <cell r="BG447">
            <v>45376</v>
          </cell>
        </row>
        <row r="448">
          <cell r="A448">
            <v>829</v>
          </cell>
          <cell r="B448">
            <v>449</v>
          </cell>
          <cell r="C448" t="str">
            <v>PN-11(P)</v>
          </cell>
          <cell r="D448">
            <v>8.15</v>
          </cell>
          <cell r="E448">
            <v>40</v>
          </cell>
          <cell r="F448">
            <v>24</v>
          </cell>
          <cell r="G448">
            <v>40</v>
          </cell>
          <cell r="H448">
            <v>0</v>
          </cell>
          <cell r="I448" t="str">
            <v>-</v>
          </cell>
          <cell r="J448" t="str">
            <v>660/670</v>
          </cell>
          <cell r="K448" t="str">
            <v xml:space="preserve">CPIII 40 RS </v>
          </cell>
          <cell r="L448" t="str">
            <v>CP V</v>
          </cell>
          <cell r="M448" t="str">
            <v>SUPER PLASTIFICANTE</v>
          </cell>
          <cell r="N448" t="str">
            <v>EFLUENTE TRATADO  -  TANQUE RA600TN</v>
          </cell>
          <cell r="O448" t="str">
            <v>FORTANKS</v>
          </cell>
          <cell r="P448" t="str">
            <v>02</v>
          </cell>
          <cell r="Q448" t="str">
            <v>Gean</v>
          </cell>
          <cell r="R448">
            <v>45376</v>
          </cell>
          <cell r="S448">
            <v>0.5625</v>
          </cell>
          <cell r="T448">
            <v>0.55249999999999999</v>
          </cell>
          <cell r="U448" t="str">
            <v>X</v>
          </cell>
          <cell r="V448">
            <v>0.35416666666666669</v>
          </cell>
          <cell r="W448">
            <v>30.7</v>
          </cell>
          <cell r="X448">
            <v>30.85</v>
          </cell>
          <cell r="Y448">
            <v>0.41666666666666669</v>
          </cell>
          <cell r="Z448">
            <v>85.98</v>
          </cell>
          <cell r="AA448">
            <v>86.25</v>
          </cell>
          <cell r="AW448">
            <v>3</v>
          </cell>
          <cell r="AX448">
            <v>4</v>
          </cell>
          <cell r="AY448">
            <v>4</v>
          </cell>
          <cell r="AZ448">
            <v>4</v>
          </cell>
          <cell r="BA448" t="str">
            <v>VALE</v>
          </cell>
          <cell r="BB448">
            <v>45377</v>
          </cell>
          <cell r="BG448">
            <v>45376</v>
          </cell>
        </row>
        <row r="449">
          <cell r="A449">
            <v>830</v>
          </cell>
          <cell r="B449">
            <v>450</v>
          </cell>
          <cell r="C449" t="str">
            <v>PN-10(P)</v>
          </cell>
          <cell r="D449">
            <v>8.15</v>
          </cell>
          <cell r="E449">
            <v>40</v>
          </cell>
          <cell r="F449">
            <v>24</v>
          </cell>
          <cell r="G449">
            <v>40</v>
          </cell>
          <cell r="H449">
            <v>0</v>
          </cell>
          <cell r="I449" t="str">
            <v>-</v>
          </cell>
          <cell r="J449" t="str">
            <v>660/660</v>
          </cell>
          <cell r="K449" t="str">
            <v xml:space="preserve">CPIII 40 RS </v>
          </cell>
          <cell r="L449" t="str">
            <v>CP V</v>
          </cell>
          <cell r="M449" t="str">
            <v>SUPER PLASTIFICANTE</v>
          </cell>
          <cell r="N449" t="str">
            <v>EFLUENTE TRATADO  -  TANQUE RA600TN</v>
          </cell>
          <cell r="O449" t="str">
            <v>FORTANKS</v>
          </cell>
          <cell r="P449" t="str">
            <v>01</v>
          </cell>
          <cell r="Q449" t="str">
            <v>Gean</v>
          </cell>
          <cell r="R449">
            <v>45376</v>
          </cell>
          <cell r="S449">
            <v>0.60763888888888884</v>
          </cell>
          <cell r="T449">
            <v>0.59763888888888883</v>
          </cell>
          <cell r="U449" t="str">
            <v>X</v>
          </cell>
          <cell r="V449">
            <v>0.35416666666666669</v>
          </cell>
          <cell r="W449">
            <v>25.54</v>
          </cell>
          <cell r="X449">
            <v>27.64</v>
          </cell>
          <cell r="Y449">
            <v>0.41666666666666669</v>
          </cell>
          <cell r="Z449">
            <v>86.28</v>
          </cell>
          <cell r="AA449">
            <v>85.83</v>
          </cell>
          <cell r="AW449">
            <v>4</v>
          </cell>
          <cell r="AX449">
            <v>3</v>
          </cell>
          <cell r="AY449">
            <v>4</v>
          </cell>
          <cell r="AZ449">
            <v>4</v>
          </cell>
          <cell r="BA449" t="str">
            <v>VALE</v>
          </cell>
          <cell r="BB449">
            <v>45377</v>
          </cell>
          <cell r="BG449">
            <v>45376</v>
          </cell>
        </row>
        <row r="450">
          <cell r="A450">
            <v>831</v>
          </cell>
          <cell r="B450">
            <v>451</v>
          </cell>
          <cell r="C450" t="str">
            <v>PN-09(P)</v>
          </cell>
          <cell r="D450">
            <v>8.15</v>
          </cell>
          <cell r="E450">
            <v>40</v>
          </cell>
          <cell r="F450">
            <v>24</v>
          </cell>
          <cell r="G450">
            <v>40</v>
          </cell>
          <cell r="H450">
            <v>0</v>
          </cell>
          <cell r="I450" t="str">
            <v>-</v>
          </cell>
          <cell r="J450" t="str">
            <v>650/650</v>
          </cell>
          <cell r="K450" t="str">
            <v xml:space="preserve">CPIII 40 RS </v>
          </cell>
          <cell r="L450" t="str">
            <v>CP V</v>
          </cell>
          <cell r="M450" t="str">
            <v>SUPER PLASTIFICANTE</v>
          </cell>
          <cell r="N450" t="str">
            <v>EFLUENTE TRATADO  -  TANQUE RA600TN</v>
          </cell>
          <cell r="O450" t="str">
            <v>FORTANKS</v>
          </cell>
          <cell r="P450" t="str">
            <v>02</v>
          </cell>
          <cell r="Q450" t="str">
            <v>Gean</v>
          </cell>
          <cell r="R450">
            <v>45376</v>
          </cell>
          <cell r="S450">
            <v>0.65972222222222221</v>
          </cell>
          <cell r="T450">
            <v>0.6497222222222222</v>
          </cell>
          <cell r="U450" t="str">
            <v>X</v>
          </cell>
          <cell r="V450">
            <v>0.375</v>
          </cell>
          <cell r="W450">
            <v>25.66</v>
          </cell>
          <cell r="X450">
            <v>25.36</v>
          </cell>
          <cell r="Y450">
            <v>0.41666666666666669</v>
          </cell>
          <cell r="Z450">
            <v>85.14</v>
          </cell>
          <cell r="AA450">
            <v>86.73</v>
          </cell>
          <cell r="AW450">
            <v>4</v>
          </cell>
          <cell r="AX450">
            <v>4</v>
          </cell>
          <cell r="AY450">
            <v>4</v>
          </cell>
          <cell r="AZ450">
            <v>4</v>
          </cell>
          <cell r="BA450" t="str">
            <v>VALE</v>
          </cell>
          <cell r="BB450">
            <v>45377</v>
          </cell>
          <cell r="BG450">
            <v>45376</v>
          </cell>
        </row>
        <row r="451">
          <cell r="A451">
            <v>832</v>
          </cell>
          <cell r="B451">
            <v>452</v>
          </cell>
          <cell r="C451" t="str">
            <v>PN-09/PN10/PN-11/PN-12 - VIGAS INTERNAS</v>
          </cell>
          <cell r="D451">
            <v>1</v>
          </cell>
          <cell r="E451">
            <v>40</v>
          </cell>
          <cell r="F451">
            <v>24</v>
          </cell>
          <cell r="G451">
            <v>40</v>
          </cell>
          <cell r="H451">
            <v>0</v>
          </cell>
          <cell r="I451" t="str">
            <v>-</v>
          </cell>
          <cell r="J451" t="str">
            <v>650/650</v>
          </cell>
          <cell r="K451" t="str">
            <v xml:space="preserve">CPIII 40 RS </v>
          </cell>
          <cell r="L451" t="str">
            <v>CP V</v>
          </cell>
          <cell r="M451" t="str">
            <v>SUPER PLASTIFICANTE</v>
          </cell>
          <cell r="N451" t="str">
            <v>EFLUENTE TRATADO  -  TANQUE RA600TN</v>
          </cell>
          <cell r="O451" t="str">
            <v>FORTANKS</v>
          </cell>
          <cell r="P451" t="str">
            <v>01</v>
          </cell>
          <cell r="Q451" t="str">
            <v>Gean</v>
          </cell>
          <cell r="R451">
            <v>45376</v>
          </cell>
          <cell r="S451">
            <v>0.79166666666666663</v>
          </cell>
          <cell r="T451">
            <v>0.78166666666666662</v>
          </cell>
          <cell r="U451" t="str">
            <v>X</v>
          </cell>
          <cell r="V451">
            <v>0.39583333333333331</v>
          </cell>
          <cell r="W451">
            <v>10.75</v>
          </cell>
          <cell r="X451">
            <v>11.07</v>
          </cell>
          <cell r="Y451">
            <v>0.41666666666666669</v>
          </cell>
          <cell r="Z451">
            <v>86.5</v>
          </cell>
          <cell r="AA451">
            <v>85.68</v>
          </cell>
          <cell r="AW451">
            <v>3</v>
          </cell>
          <cell r="AX451">
            <v>4</v>
          </cell>
          <cell r="AY451">
            <v>4</v>
          </cell>
          <cell r="AZ451">
            <v>4</v>
          </cell>
          <cell r="BA451" t="str">
            <v>VALE</v>
          </cell>
          <cell r="BB451">
            <v>45377</v>
          </cell>
          <cell r="BG451">
            <v>45376</v>
          </cell>
        </row>
        <row r="452">
          <cell r="A452">
            <v>833</v>
          </cell>
          <cell r="B452">
            <v>453</v>
          </cell>
          <cell r="C452" t="str">
            <v>PN-17(P)</v>
          </cell>
          <cell r="D452">
            <v>8.15</v>
          </cell>
          <cell r="E452">
            <v>40</v>
          </cell>
          <cell r="F452">
            <v>24</v>
          </cell>
          <cell r="G452">
            <v>40</v>
          </cell>
          <cell r="H452">
            <v>0</v>
          </cell>
          <cell r="I452" t="str">
            <v>-</v>
          </cell>
          <cell r="J452" t="str">
            <v>650/650</v>
          </cell>
          <cell r="K452" t="str">
            <v xml:space="preserve">CPIII 40 RS </v>
          </cell>
          <cell r="L452" t="str">
            <v>CP V</v>
          </cell>
          <cell r="M452" t="str">
            <v>SUPER PLASTIFICANTE</v>
          </cell>
          <cell r="N452" t="str">
            <v>EFLUENTE TRATADO  -  TANQUE RA600TN</v>
          </cell>
          <cell r="O452" t="str">
            <v>FORTANKS</v>
          </cell>
          <cell r="P452" t="str">
            <v>01</v>
          </cell>
          <cell r="Q452" t="str">
            <v>Gean</v>
          </cell>
          <cell r="R452">
            <v>45378</v>
          </cell>
          <cell r="S452">
            <v>0.41666666666666669</v>
          </cell>
          <cell r="T452">
            <v>0.40666666666666668</v>
          </cell>
          <cell r="U452" t="str">
            <v>X</v>
          </cell>
          <cell r="V452">
            <v>0.375</v>
          </cell>
          <cell r="W452">
            <v>36.979999999999997</v>
          </cell>
          <cell r="X452">
            <v>37.340000000000003</v>
          </cell>
          <cell r="Y452">
            <v>0.41666666666666669</v>
          </cell>
          <cell r="Z452">
            <v>88.75</v>
          </cell>
          <cell r="AA452">
            <v>89.5</v>
          </cell>
          <cell r="AW452">
            <v>4</v>
          </cell>
          <cell r="AX452">
            <v>4</v>
          </cell>
          <cell r="AY452">
            <v>4</v>
          </cell>
          <cell r="AZ452">
            <v>4</v>
          </cell>
          <cell r="BA452" t="str">
            <v>VALE</v>
          </cell>
          <cell r="BB452">
            <v>45379</v>
          </cell>
          <cell r="BG452">
            <v>45378</v>
          </cell>
        </row>
        <row r="453">
          <cell r="A453">
            <v>834</v>
          </cell>
          <cell r="B453">
            <v>454</v>
          </cell>
          <cell r="C453" t="str">
            <v>PN-16(P)</v>
          </cell>
          <cell r="D453">
            <v>8.15</v>
          </cell>
          <cell r="E453">
            <v>40</v>
          </cell>
          <cell r="F453">
            <v>24</v>
          </cell>
          <cell r="G453">
            <v>40</v>
          </cell>
          <cell r="H453">
            <v>0</v>
          </cell>
          <cell r="I453" t="str">
            <v>-</v>
          </cell>
          <cell r="J453" t="str">
            <v>660/660</v>
          </cell>
          <cell r="K453" t="str">
            <v xml:space="preserve">CPIII 40 RS </v>
          </cell>
          <cell r="L453" t="str">
            <v>CP V</v>
          </cell>
          <cell r="M453" t="str">
            <v>SUPER PLASTIFICANTE</v>
          </cell>
          <cell r="N453" t="str">
            <v>EFLUENTE TRATADO  -  TANQUE RA600TN</v>
          </cell>
          <cell r="O453" t="str">
            <v>FORTANKS</v>
          </cell>
          <cell r="P453" t="str">
            <v>02</v>
          </cell>
          <cell r="Q453" t="str">
            <v>Gean</v>
          </cell>
          <cell r="R453">
            <v>45378</v>
          </cell>
          <cell r="S453">
            <v>0.45833333333333331</v>
          </cell>
          <cell r="T453">
            <v>0.44833333333333331</v>
          </cell>
          <cell r="U453" t="str">
            <v>X</v>
          </cell>
          <cell r="V453">
            <v>0.375</v>
          </cell>
          <cell r="W453">
            <v>36.6</v>
          </cell>
          <cell r="X453">
            <v>36.61</v>
          </cell>
          <cell r="Y453">
            <v>0.41666666666666669</v>
          </cell>
          <cell r="Z453">
            <v>88.95</v>
          </cell>
          <cell r="AA453">
            <v>86.72</v>
          </cell>
          <cell r="AW453">
            <v>4</v>
          </cell>
          <cell r="AX453">
            <v>4</v>
          </cell>
          <cell r="AY453">
            <v>4</v>
          </cell>
          <cell r="AZ453">
            <v>4</v>
          </cell>
          <cell r="BA453" t="str">
            <v>VALE</v>
          </cell>
          <cell r="BB453">
            <v>45379</v>
          </cell>
          <cell r="BG453">
            <v>45378</v>
          </cell>
        </row>
        <row r="454">
          <cell r="A454">
            <v>835</v>
          </cell>
          <cell r="B454">
            <v>455</v>
          </cell>
          <cell r="C454" t="str">
            <v>PN-15(P)</v>
          </cell>
          <cell r="D454">
            <v>8.15</v>
          </cell>
          <cell r="E454">
            <v>40</v>
          </cell>
          <cell r="F454">
            <v>24</v>
          </cell>
          <cell r="G454">
            <v>40</v>
          </cell>
          <cell r="H454">
            <v>0</v>
          </cell>
          <cell r="I454" t="str">
            <v>-</v>
          </cell>
          <cell r="J454" t="str">
            <v>660/650</v>
          </cell>
          <cell r="K454" t="str">
            <v xml:space="preserve">CPIII 40 RS </v>
          </cell>
          <cell r="L454" t="str">
            <v>CP V</v>
          </cell>
          <cell r="M454" t="str">
            <v>SUPER PLASTIFICANTE</v>
          </cell>
          <cell r="N454" t="str">
            <v>EFLUENTE TRATADO  -  TANQUE RA600TN</v>
          </cell>
          <cell r="O454" t="str">
            <v>FORTANKS</v>
          </cell>
          <cell r="P454" t="str">
            <v>01</v>
          </cell>
          <cell r="Q454" t="str">
            <v>Gean</v>
          </cell>
          <cell r="R454">
            <v>45378</v>
          </cell>
          <cell r="S454">
            <v>0.47916666666666669</v>
          </cell>
          <cell r="T454">
            <v>0.46916666666666668</v>
          </cell>
          <cell r="U454" t="str">
            <v>X</v>
          </cell>
          <cell r="V454">
            <v>0.375</v>
          </cell>
          <cell r="W454">
            <v>26.94</v>
          </cell>
          <cell r="X454">
            <v>25.39</v>
          </cell>
          <cell r="Y454">
            <v>0.41666666666666669</v>
          </cell>
          <cell r="Z454">
            <v>88.71</v>
          </cell>
          <cell r="AA454">
            <v>87.16</v>
          </cell>
          <cell r="AW454">
            <v>5</v>
          </cell>
          <cell r="AX454">
            <v>4</v>
          </cell>
          <cell r="AY454">
            <v>4</v>
          </cell>
          <cell r="AZ454">
            <v>4</v>
          </cell>
          <cell r="BA454" t="str">
            <v>VALE</v>
          </cell>
          <cell r="BB454">
            <v>45379</v>
          </cell>
          <cell r="BG454">
            <v>45378</v>
          </cell>
        </row>
        <row r="455">
          <cell r="A455">
            <v>836</v>
          </cell>
          <cell r="B455">
            <v>456</v>
          </cell>
          <cell r="C455" t="str">
            <v>PN-14(P)</v>
          </cell>
          <cell r="D455">
            <v>8.15</v>
          </cell>
          <cell r="E455">
            <v>40</v>
          </cell>
          <cell r="F455">
            <v>24</v>
          </cell>
          <cell r="G455">
            <v>40</v>
          </cell>
          <cell r="H455">
            <v>0</v>
          </cell>
          <cell r="I455" t="str">
            <v>-</v>
          </cell>
          <cell r="J455" t="str">
            <v>660/660</v>
          </cell>
          <cell r="K455" t="str">
            <v xml:space="preserve">CPIII 40 RS </v>
          </cell>
          <cell r="L455" t="str">
            <v>CP V</v>
          </cell>
          <cell r="M455" t="str">
            <v>SUPER PLASTIFICANTE</v>
          </cell>
          <cell r="N455" t="str">
            <v>EFLUENTE TRATADO  -  TANQUE RA600TN</v>
          </cell>
          <cell r="O455" t="str">
            <v>FORTANKS</v>
          </cell>
          <cell r="P455" t="str">
            <v>02</v>
          </cell>
          <cell r="Q455" t="str">
            <v>Gean</v>
          </cell>
          <cell r="R455">
            <v>45378</v>
          </cell>
          <cell r="S455">
            <v>0.5</v>
          </cell>
          <cell r="T455">
            <v>0.49</v>
          </cell>
          <cell r="U455" t="str">
            <v>X</v>
          </cell>
          <cell r="V455">
            <v>0.375</v>
          </cell>
          <cell r="W455">
            <v>31.3</v>
          </cell>
          <cell r="X455">
            <v>32.18</v>
          </cell>
          <cell r="Y455">
            <v>0.41666666666666669</v>
          </cell>
          <cell r="Z455">
            <v>87.27</v>
          </cell>
          <cell r="AA455">
            <v>86.46</v>
          </cell>
          <cell r="AW455">
            <v>4</v>
          </cell>
          <cell r="AX455">
            <v>3</v>
          </cell>
          <cell r="AY455">
            <v>0</v>
          </cell>
          <cell r="AZ455">
            <v>0</v>
          </cell>
          <cell r="BA455" t="str">
            <v>VALE</v>
          </cell>
          <cell r="BB455">
            <v>45379</v>
          </cell>
          <cell r="BG455">
            <v>45378</v>
          </cell>
        </row>
        <row r="456">
          <cell r="A456">
            <v>837</v>
          </cell>
          <cell r="B456">
            <v>457</v>
          </cell>
          <cell r="C456" t="str">
            <v>PN-14/PN-15/PN-16/PN-16 - VIGAS INTERNAS</v>
          </cell>
          <cell r="D456">
            <v>1</v>
          </cell>
          <cell r="E456">
            <v>40</v>
          </cell>
          <cell r="F456">
            <v>24</v>
          </cell>
          <cell r="G456">
            <v>40</v>
          </cell>
          <cell r="H456">
            <v>0</v>
          </cell>
          <cell r="I456" t="str">
            <v>-</v>
          </cell>
          <cell r="J456" t="str">
            <v>660/650</v>
          </cell>
          <cell r="K456" t="str">
            <v xml:space="preserve">CPIII 40 RS </v>
          </cell>
          <cell r="L456" t="str">
            <v>CP V</v>
          </cell>
          <cell r="M456" t="str">
            <v>SUPER PLASTIFICANTE</v>
          </cell>
          <cell r="N456" t="str">
            <v>EFLUENTE TRATADO  -  TANQUE RA600TN</v>
          </cell>
          <cell r="O456" t="str">
            <v>FORTANKS</v>
          </cell>
          <cell r="P456" t="str">
            <v>01</v>
          </cell>
          <cell r="Q456" t="str">
            <v>Gean</v>
          </cell>
          <cell r="R456">
            <v>45409</v>
          </cell>
          <cell r="S456">
            <v>0.66666666666666663</v>
          </cell>
          <cell r="T456">
            <v>0.65666666666666662</v>
          </cell>
          <cell r="U456" t="str">
            <v>X</v>
          </cell>
          <cell r="V456">
            <v>0.375</v>
          </cell>
          <cell r="W456">
            <v>15.3</v>
          </cell>
          <cell r="X456">
            <v>15.57</v>
          </cell>
          <cell r="Y456">
            <v>0.41666666666666669</v>
          </cell>
          <cell r="Z456">
            <v>86.62</v>
          </cell>
          <cell r="AA456">
            <v>85.83</v>
          </cell>
          <cell r="AW456">
            <v>4</v>
          </cell>
          <cell r="AX456">
            <v>4</v>
          </cell>
          <cell r="AY456">
            <v>4</v>
          </cell>
          <cell r="AZ456">
            <v>4</v>
          </cell>
          <cell r="BA456" t="str">
            <v>VALE</v>
          </cell>
          <cell r="BB456">
            <v>45410</v>
          </cell>
          <cell r="BG456">
            <v>45409</v>
          </cell>
        </row>
        <row r="457">
          <cell r="A457" t="str">
            <v>0007</v>
          </cell>
          <cell r="B457" t="str">
            <v>BM07</v>
          </cell>
          <cell r="C457" t="str">
            <v>Caixa - P07 / Tampa de Caixa - TPC1</v>
          </cell>
          <cell r="D457">
            <v>3</v>
          </cell>
          <cell r="E457">
            <v>40</v>
          </cell>
          <cell r="F457">
            <v>0</v>
          </cell>
          <cell r="G457">
            <v>40</v>
          </cell>
          <cell r="H457">
            <v>0</v>
          </cell>
          <cell r="I457" t="str">
            <v>-</v>
          </cell>
          <cell r="J457" t="str">
            <v>650/670</v>
          </cell>
          <cell r="K457" t="str">
            <v xml:space="preserve">CPIII 40 RS </v>
          </cell>
          <cell r="L457" t="str">
            <v>CP V</v>
          </cell>
          <cell r="M457" t="str">
            <v>SUPER PLASTIFICANTE</v>
          </cell>
          <cell r="N457" t="str">
            <v>PREBMOL</v>
          </cell>
          <cell r="O457" t="str">
            <v>FORTANKS</v>
          </cell>
          <cell r="P457" t="str">
            <v>01</v>
          </cell>
          <cell r="Q457" t="str">
            <v>Gean</v>
          </cell>
          <cell r="R457">
            <v>45378</v>
          </cell>
          <cell r="S457">
            <v>0.64583333333333337</v>
          </cell>
          <cell r="T457">
            <v>0.63583333333333336</v>
          </cell>
          <cell r="U457" t="str">
            <v>x</v>
          </cell>
          <cell r="BB457">
            <v>45379</v>
          </cell>
          <cell r="BG457">
            <v>45378</v>
          </cell>
        </row>
        <row r="458">
          <cell r="A458" t="str">
            <v>0008</v>
          </cell>
          <cell r="B458" t="str">
            <v>BM08</v>
          </cell>
          <cell r="C458" t="str">
            <v>Caixa - P-05 / CI-03/ CI-04</v>
          </cell>
          <cell r="D458">
            <v>6</v>
          </cell>
          <cell r="E458">
            <v>40</v>
          </cell>
          <cell r="F458">
            <v>0</v>
          </cell>
          <cell r="G458">
            <v>40</v>
          </cell>
          <cell r="H458">
            <v>0</v>
          </cell>
          <cell r="I458" t="str">
            <v>-</v>
          </cell>
          <cell r="J458" t="str">
            <v>640/650</v>
          </cell>
          <cell r="K458" t="str">
            <v xml:space="preserve">CPIII 40 RS </v>
          </cell>
          <cell r="L458" t="str">
            <v>CP V</v>
          </cell>
          <cell r="M458" t="str">
            <v>SUPER PLASTIFICANTE</v>
          </cell>
          <cell r="N458" t="str">
            <v>PREBMOL</v>
          </cell>
          <cell r="O458" t="str">
            <v>FORTANKS</v>
          </cell>
          <cell r="P458" t="str">
            <v>01</v>
          </cell>
          <cell r="Q458" t="str">
            <v>Gean</v>
          </cell>
          <cell r="R458">
            <v>45383</v>
          </cell>
          <cell r="S458">
            <v>0.59027777777777779</v>
          </cell>
          <cell r="T458">
            <v>0.58027777777777778</v>
          </cell>
          <cell r="U458" t="str">
            <v>X</v>
          </cell>
          <cell r="BB458">
            <v>45384</v>
          </cell>
          <cell r="BG458">
            <v>45383</v>
          </cell>
        </row>
        <row r="459">
          <cell r="A459">
            <v>838</v>
          </cell>
          <cell r="B459">
            <v>458</v>
          </cell>
          <cell r="C459" t="str">
            <v>PN-21(P)</v>
          </cell>
          <cell r="D459">
            <v>8.15</v>
          </cell>
          <cell r="E459">
            <v>40</v>
          </cell>
          <cell r="F459">
            <v>24</v>
          </cell>
          <cell r="G459">
            <v>40</v>
          </cell>
          <cell r="H459">
            <v>0</v>
          </cell>
          <cell r="I459" t="str">
            <v>-</v>
          </cell>
          <cell r="J459" t="str">
            <v>670/670</v>
          </cell>
          <cell r="K459" t="str">
            <v xml:space="preserve">CPIII 40 RS </v>
          </cell>
          <cell r="L459" t="str">
            <v>CP V</v>
          </cell>
          <cell r="M459" t="str">
            <v>SUPER PLASTIFICANTE</v>
          </cell>
          <cell r="N459" t="str">
            <v>EFLUENTE TRATADO  -  TANQUE RA600TN</v>
          </cell>
          <cell r="O459" t="str">
            <v>FORTANKS</v>
          </cell>
          <cell r="P459" t="str">
            <v>01</v>
          </cell>
          <cell r="Q459" t="str">
            <v>Gean</v>
          </cell>
          <cell r="R459">
            <v>45384</v>
          </cell>
          <cell r="S459">
            <v>0.54861111111111116</v>
          </cell>
          <cell r="T459">
            <v>0.53861111111111115</v>
          </cell>
          <cell r="U459" t="str">
            <v>X</v>
          </cell>
          <cell r="V459">
            <v>0.54166666666666663</v>
          </cell>
          <cell r="W459">
            <v>26.05</v>
          </cell>
          <cell r="X459">
            <v>25.64</v>
          </cell>
          <cell r="Y459">
            <v>0.41666666666666669</v>
          </cell>
          <cell r="Z459">
            <v>86.38</v>
          </cell>
          <cell r="AA459">
            <v>85.84</v>
          </cell>
          <cell r="AW459">
            <v>4</v>
          </cell>
          <cell r="AX459">
            <v>4</v>
          </cell>
          <cell r="AY459">
            <v>4</v>
          </cell>
          <cell r="AZ459">
            <v>4</v>
          </cell>
          <cell r="BA459" t="str">
            <v>VALE</v>
          </cell>
          <cell r="BB459">
            <v>45385</v>
          </cell>
          <cell r="BG459">
            <v>45384</v>
          </cell>
        </row>
        <row r="460">
          <cell r="A460">
            <v>839</v>
          </cell>
          <cell r="B460">
            <v>459</v>
          </cell>
          <cell r="C460" t="str">
            <v>PN-20(P)</v>
          </cell>
          <cell r="D460">
            <v>8.15</v>
          </cell>
          <cell r="E460">
            <v>40</v>
          </cell>
          <cell r="F460">
            <v>24</v>
          </cell>
          <cell r="G460">
            <v>40</v>
          </cell>
          <cell r="H460">
            <v>0</v>
          </cell>
          <cell r="I460" t="str">
            <v>-</v>
          </cell>
          <cell r="J460" t="str">
            <v>650/660</v>
          </cell>
          <cell r="K460" t="str">
            <v xml:space="preserve">CPIII 40 RS </v>
          </cell>
          <cell r="L460" t="str">
            <v>CP V</v>
          </cell>
          <cell r="M460" t="str">
            <v>SUPER PLASTIFICANTE</v>
          </cell>
          <cell r="N460" t="str">
            <v>EFLUENTE TRATADO  -  TANQUE RA600TN</v>
          </cell>
          <cell r="O460" t="str">
            <v>FORTANKS</v>
          </cell>
          <cell r="P460" t="str">
            <v>02</v>
          </cell>
          <cell r="Q460" t="str">
            <v>Gean</v>
          </cell>
          <cell r="R460">
            <v>45384</v>
          </cell>
          <cell r="S460">
            <v>0.56944444444444442</v>
          </cell>
          <cell r="T460">
            <v>0.55944444444444441</v>
          </cell>
          <cell r="U460" t="str">
            <v>X</v>
          </cell>
          <cell r="V460">
            <v>0.54166666666666663</v>
          </cell>
          <cell r="W460">
            <v>33.299999999999997</v>
          </cell>
          <cell r="X460">
            <v>32.909999999999997</v>
          </cell>
          <cell r="Y460">
            <v>0.41666666666666669</v>
          </cell>
          <cell r="Z460">
            <v>86.28</v>
          </cell>
          <cell r="AA460">
            <v>86.85</v>
          </cell>
          <cell r="AW460">
            <v>4</v>
          </cell>
          <cell r="AX460">
            <v>3</v>
          </cell>
          <cell r="AY460">
            <v>4</v>
          </cell>
          <cell r="AZ460">
            <v>4</v>
          </cell>
          <cell r="BA460" t="str">
            <v>VALE</v>
          </cell>
          <cell r="BB460">
            <v>45385</v>
          </cell>
          <cell r="BG460">
            <v>45384</v>
          </cell>
        </row>
        <row r="461">
          <cell r="A461">
            <v>840</v>
          </cell>
          <cell r="B461">
            <v>460</v>
          </cell>
          <cell r="C461" t="str">
            <v>PN-19(P)</v>
          </cell>
          <cell r="D461">
            <v>8.15</v>
          </cell>
          <cell r="E461">
            <v>40</v>
          </cell>
          <cell r="F461">
            <v>24</v>
          </cell>
          <cell r="G461">
            <v>40</v>
          </cell>
          <cell r="H461">
            <v>0</v>
          </cell>
          <cell r="I461" t="str">
            <v>-</v>
          </cell>
          <cell r="J461" t="str">
            <v>660/660</v>
          </cell>
          <cell r="K461" t="str">
            <v xml:space="preserve">CPIII 40 RS </v>
          </cell>
          <cell r="L461" t="str">
            <v>CP V</v>
          </cell>
          <cell r="M461" t="str">
            <v>SUPER PLASTIFICANTE</v>
          </cell>
          <cell r="N461" t="str">
            <v>EFLUENTE TRATADO  -  TANQUE RA600TN</v>
          </cell>
          <cell r="O461" t="str">
            <v>FORTANKS</v>
          </cell>
          <cell r="P461" t="str">
            <v>01</v>
          </cell>
          <cell r="Q461" t="str">
            <v>Gean</v>
          </cell>
          <cell r="R461">
            <v>45384</v>
          </cell>
          <cell r="S461">
            <v>0.60416666666666663</v>
          </cell>
          <cell r="T461">
            <v>0.59416666666666662</v>
          </cell>
          <cell r="U461" t="str">
            <v>X</v>
          </cell>
          <cell r="V461">
            <v>0.54166666666666663</v>
          </cell>
          <cell r="W461">
            <v>30.93</v>
          </cell>
          <cell r="X461">
            <v>30</v>
          </cell>
          <cell r="Y461">
            <v>0.41666666666666669</v>
          </cell>
          <cell r="Z461">
            <v>86.44</v>
          </cell>
          <cell r="AA461">
            <v>85.92</v>
          </cell>
          <cell r="AW461">
            <v>4</v>
          </cell>
          <cell r="AX461">
            <v>4</v>
          </cell>
          <cell r="AY461">
            <v>4</v>
          </cell>
          <cell r="AZ461">
            <v>4</v>
          </cell>
          <cell r="BA461" t="str">
            <v>VALE</v>
          </cell>
          <cell r="BB461">
            <v>45385</v>
          </cell>
          <cell r="BG461">
            <v>45384</v>
          </cell>
        </row>
        <row r="462">
          <cell r="A462">
            <v>841</v>
          </cell>
          <cell r="B462">
            <v>461</v>
          </cell>
          <cell r="C462" t="str">
            <v>PN-18(P)</v>
          </cell>
          <cell r="D462">
            <v>8.15</v>
          </cell>
          <cell r="E462">
            <v>40</v>
          </cell>
          <cell r="F462">
            <v>24</v>
          </cell>
          <cell r="G462">
            <v>40</v>
          </cell>
          <cell r="H462">
            <v>0</v>
          </cell>
          <cell r="I462" t="str">
            <v>-</v>
          </cell>
          <cell r="J462" t="str">
            <v>650/660</v>
          </cell>
          <cell r="K462" t="str">
            <v xml:space="preserve">CPIII 40 RS </v>
          </cell>
          <cell r="L462" t="str">
            <v>CP V</v>
          </cell>
          <cell r="M462" t="str">
            <v>SUPER PLASTIFICANTE</v>
          </cell>
          <cell r="N462" t="str">
            <v>EFLUENTE TRATADO  -  TANQUE RA600TN</v>
          </cell>
          <cell r="O462" t="str">
            <v>FORTANKS</v>
          </cell>
          <cell r="P462" t="str">
            <v>02</v>
          </cell>
          <cell r="Q462" t="str">
            <v>Gean</v>
          </cell>
          <cell r="R462">
            <v>45384</v>
          </cell>
          <cell r="S462">
            <v>0.63888888888888884</v>
          </cell>
          <cell r="T462">
            <v>0.62888888888888883</v>
          </cell>
          <cell r="U462" t="str">
            <v>X</v>
          </cell>
          <cell r="V462">
            <v>0.54166666666666663</v>
          </cell>
          <cell r="W462">
            <v>27.22</v>
          </cell>
          <cell r="X462">
            <v>27.77</v>
          </cell>
          <cell r="Y462">
            <v>0.41666666666666669</v>
          </cell>
          <cell r="Z462">
            <v>88.27</v>
          </cell>
          <cell r="AA462">
            <v>87.35</v>
          </cell>
          <cell r="AW462">
            <v>4</v>
          </cell>
          <cell r="AX462">
            <v>4</v>
          </cell>
          <cell r="AY462">
            <v>4</v>
          </cell>
          <cell r="AZ462">
            <v>4</v>
          </cell>
          <cell r="BA462" t="str">
            <v>VALE</v>
          </cell>
          <cell r="BB462">
            <v>45385</v>
          </cell>
          <cell r="BG462">
            <v>45384</v>
          </cell>
        </row>
        <row r="463">
          <cell r="A463">
            <v>842</v>
          </cell>
          <cell r="B463">
            <v>462</v>
          </cell>
          <cell r="C463" t="str">
            <v>PN-18/PN-19/PN-20/PN-21 - VIGAS INTERNAS</v>
          </cell>
          <cell r="D463">
            <v>8.15</v>
          </cell>
          <cell r="E463">
            <v>40</v>
          </cell>
          <cell r="F463">
            <v>24</v>
          </cell>
          <cell r="G463">
            <v>40</v>
          </cell>
          <cell r="H463">
            <v>0</v>
          </cell>
          <cell r="I463" t="str">
            <v>-</v>
          </cell>
          <cell r="J463" t="str">
            <v>660/660</v>
          </cell>
          <cell r="K463" t="str">
            <v xml:space="preserve">CPIII 40 RS </v>
          </cell>
          <cell r="L463" t="str">
            <v>CP V</v>
          </cell>
          <cell r="M463" t="str">
            <v>SUPER PLASTIFICANTE</v>
          </cell>
          <cell r="N463" t="str">
            <v>EFLUENTE TRATADO  -  TANQUE RA600TN</v>
          </cell>
          <cell r="O463" t="str">
            <v>FORTANKS</v>
          </cell>
          <cell r="P463" t="str">
            <v>01</v>
          </cell>
          <cell r="Q463" t="str">
            <v>Gean</v>
          </cell>
          <cell r="R463">
            <v>45384</v>
          </cell>
          <cell r="S463">
            <v>0.75</v>
          </cell>
          <cell r="T463">
            <v>0.74</v>
          </cell>
          <cell r="U463" t="str">
            <v>X</v>
          </cell>
          <cell r="V463">
            <v>0.54166666666666663</v>
          </cell>
          <cell r="W463">
            <v>23.83</v>
          </cell>
          <cell r="X463">
            <v>23.5</v>
          </cell>
          <cell r="Y463">
            <v>0.41666666666666669</v>
          </cell>
          <cell r="Z463">
            <v>86.65</v>
          </cell>
          <cell r="AA463">
            <v>86.34</v>
          </cell>
          <cell r="AW463">
            <v>4</v>
          </cell>
          <cell r="AX463">
            <v>4</v>
          </cell>
          <cell r="AY463">
            <v>4</v>
          </cell>
          <cell r="AZ463">
            <v>4</v>
          </cell>
          <cell r="BA463" t="str">
            <v>VALE</v>
          </cell>
          <cell r="BB463">
            <v>45385</v>
          </cell>
          <cell r="BG463">
            <v>45384</v>
          </cell>
        </row>
        <row r="464">
          <cell r="A464">
            <v>843</v>
          </cell>
          <cell r="B464">
            <v>463</v>
          </cell>
          <cell r="C464" t="str">
            <v>PN-25(P)</v>
          </cell>
          <cell r="D464">
            <v>8.15</v>
          </cell>
          <cell r="E464">
            <v>40</v>
          </cell>
          <cell r="F464">
            <v>24</v>
          </cell>
          <cell r="G464">
            <v>40</v>
          </cell>
          <cell r="H464">
            <v>0</v>
          </cell>
          <cell r="I464" t="str">
            <v>-</v>
          </cell>
          <cell r="J464" t="str">
            <v>650/660</v>
          </cell>
          <cell r="K464" t="str">
            <v xml:space="preserve">CPIII 40 RS </v>
          </cell>
          <cell r="L464" t="str">
            <v>CP V</v>
          </cell>
          <cell r="M464" t="str">
            <v>SUPER PLASTIFICANTE</v>
          </cell>
          <cell r="N464" t="str">
            <v>EFLUENTE TRATADO  -  TANQUE RA600TN</v>
          </cell>
          <cell r="O464" t="str">
            <v>FORTANKS</v>
          </cell>
          <cell r="P464" t="str">
            <v>01</v>
          </cell>
          <cell r="Q464" t="str">
            <v>Gean</v>
          </cell>
          <cell r="R464">
            <v>45387</v>
          </cell>
          <cell r="S464">
            <v>0.36458333333333331</v>
          </cell>
          <cell r="T464">
            <v>0.35458333333333331</v>
          </cell>
          <cell r="U464" t="str">
            <v>X</v>
          </cell>
          <cell r="V464">
            <v>0.37152777777777779</v>
          </cell>
          <cell r="W464">
            <v>38.22</v>
          </cell>
          <cell r="X464">
            <v>38.61</v>
          </cell>
          <cell r="Y464">
            <v>0.41666666666666669</v>
          </cell>
          <cell r="Z464">
            <v>86.77</v>
          </cell>
          <cell r="AA464">
            <v>85.67</v>
          </cell>
          <cell r="AW464">
            <v>4</v>
          </cell>
          <cell r="AX464">
            <v>4</v>
          </cell>
          <cell r="AY464">
            <v>4</v>
          </cell>
          <cell r="AZ464">
            <v>4</v>
          </cell>
          <cell r="BA464" t="str">
            <v>VALE</v>
          </cell>
          <cell r="BB464">
            <v>45388</v>
          </cell>
          <cell r="BG464">
            <v>45387</v>
          </cell>
        </row>
        <row r="465">
          <cell r="A465">
            <v>844</v>
          </cell>
          <cell r="B465">
            <v>464</v>
          </cell>
          <cell r="C465" t="str">
            <v>PN-24(P)</v>
          </cell>
          <cell r="D465">
            <v>8.15</v>
          </cell>
          <cell r="E465">
            <v>40</v>
          </cell>
          <cell r="F465">
            <v>24</v>
          </cell>
          <cell r="G465">
            <v>40</v>
          </cell>
          <cell r="H465">
            <v>0</v>
          </cell>
          <cell r="I465" t="str">
            <v>-</v>
          </cell>
          <cell r="J465" t="str">
            <v>660/660</v>
          </cell>
          <cell r="K465" t="str">
            <v xml:space="preserve">CPIII 40 RS </v>
          </cell>
          <cell r="L465" t="str">
            <v>CP V</v>
          </cell>
          <cell r="M465" t="str">
            <v>SUPER PLASTIFICANTE</v>
          </cell>
          <cell r="N465" t="str">
            <v>EFLUENTE TRATADO  -  TANQUE RA600TN</v>
          </cell>
          <cell r="O465" t="str">
            <v>FORTANKS</v>
          </cell>
          <cell r="P465" t="str">
            <v>02</v>
          </cell>
          <cell r="Q465" t="str">
            <v>Gean</v>
          </cell>
          <cell r="R465">
            <v>45387</v>
          </cell>
          <cell r="S465">
            <v>0.38194444444444442</v>
          </cell>
          <cell r="T465">
            <v>0.37194444444444441</v>
          </cell>
          <cell r="U465" t="str">
            <v>X</v>
          </cell>
          <cell r="V465">
            <v>0.37152777777777779</v>
          </cell>
          <cell r="W465">
            <v>41.5</v>
          </cell>
          <cell r="X465">
            <v>40.619999999999997</v>
          </cell>
          <cell r="Y465">
            <v>0.41666666666666669</v>
          </cell>
          <cell r="Z465">
            <v>86.69</v>
          </cell>
          <cell r="AA465">
            <v>84.82</v>
          </cell>
          <cell r="AW465">
            <v>4</v>
          </cell>
          <cell r="AX465">
            <v>4</v>
          </cell>
          <cell r="AY465">
            <v>4</v>
          </cell>
          <cell r="AZ465">
            <v>4</v>
          </cell>
          <cell r="BA465" t="str">
            <v>VALE</v>
          </cell>
          <cell r="BB465">
            <v>45388</v>
          </cell>
          <cell r="BG465">
            <v>45387</v>
          </cell>
        </row>
        <row r="466">
          <cell r="A466">
            <v>845</v>
          </cell>
          <cell r="B466">
            <v>465</v>
          </cell>
          <cell r="C466" t="str">
            <v>PN-23(P)</v>
          </cell>
          <cell r="D466">
            <v>8.15</v>
          </cell>
          <cell r="E466">
            <v>40</v>
          </cell>
          <cell r="F466">
            <v>24</v>
          </cell>
          <cell r="G466">
            <v>40</v>
          </cell>
          <cell r="H466">
            <v>0</v>
          </cell>
          <cell r="I466" t="str">
            <v>-</v>
          </cell>
          <cell r="J466" t="str">
            <v>660/670</v>
          </cell>
          <cell r="K466" t="str">
            <v xml:space="preserve">CPIII 40 RS </v>
          </cell>
          <cell r="L466" t="str">
            <v>CP V</v>
          </cell>
          <cell r="M466" t="str">
            <v>SUPER PLASTIFICANTE</v>
          </cell>
          <cell r="N466" t="str">
            <v>EFLUENTE TRATADO  -  TANQUE RA600TN</v>
          </cell>
          <cell r="O466" t="str">
            <v>FORTANKS</v>
          </cell>
          <cell r="P466" t="str">
            <v>01</v>
          </cell>
          <cell r="Q466" t="str">
            <v>Gean</v>
          </cell>
          <cell r="R466">
            <v>45387</v>
          </cell>
          <cell r="S466">
            <v>0.41666666666666669</v>
          </cell>
          <cell r="T466">
            <v>0.40666666666666668</v>
          </cell>
          <cell r="U466" t="str">
            <v>X</v>
          </cell>
          <cell r="V466">
            <v>0.37152777777777779</v>
          </cell>
          <cell r="W466">
            <v>42.24</v>
          </cell>
          <cell r="X466">
            <v>40.869999999999997</v>
          </cell>
          <cell r="Y466">
            <v>0.41666666666666669</v>
          </cell>
          <cell r="Z466">
            <v>86.74</v>
          </cell>
          <cell r="AA466">
            <v>87.16</v>
          </cell>
          <cell r="AW466">
            <v>4</v>
          </cell>
          <cell r="AX466">
            <v>4</v>
          </cell>
          <cell r="AY466">
            <v>4</v>
          </cell>
          <cell r="AZ466">
            <v>4</v>
          </cell>
          <cell r="BA466" t="str">
            <v>VALE</v>
          </cell>
          <cell r="BB466">
            <v>45388</v>
          </cell>
          <cell r="BG466">
            <v>45387</v>
          </cell>
        </row>
        <row r="467">
          <cell r="A467">
            <v>846</v>
          </cell>
          <cell r="B467">
            <v>466</v>
          </cell>
          <cell r="C467" t="str">
            <v>PN-22(P)</v>
          </cell>
          <cell r="D467">
            <v>8.15</v>
          </cell>
          <cell r="E467">
            <v>40</v>
          </cell>
          <cell r="F467">
            <v>24</v>
          </cell>
          <cell r="G467">
            <v>40</v>
          </cell>
          <cell r="H467">
            <v>0</v>
          </cell>
          <cell r="I467" t="str">
            <v>-</v>
          </cell>
          <cell r="J467" t="str">
            <v>660/660</v>
          </cell>
          <cell r="K467" t="str">
            <v xml:space="preserve">CPIII 40 RS </v>
          </cell>
          <cell r="L467" t="str">
            <v>CP V</v>
          </cell>
          <cell r="M467" t="str">
            <v>SUPER PLASTIFICANTE</v>
          </cell>
          <cell r="N467" t="str">
            <v>EFLUENTE TRATADO  -  TANQUE RA600TN</v>
          </cell>
          <cell r="O467" t="str">
            <v>FORTANKS</v>
          </cell>
          <cell r="P467" t="str">
            <v>02</v>
          </cell>
          <cell r="Q467" t="str">
            <v>Gean</v>
          </cell>
          <cell r="R467">
            <v>45387</v>
          </cell>
          <cell r="S467">
            <v>0.45833333333333331</v>
          </cell>
          <cell r="T467">
            <v>0.44833333333333331</v>
          </cell>
          <cell r="U467" t="str">
            <v>X</v>
          </cell>
          <cell r="V467">
            <v>0.37152777777777779</v>
          </cell>
          <cell r="W467">
            <v>37.06</v>
          </cell>
          <cell r="X467">
            <v>35.229999999999997</v>
          </cell>
          <cell r="Y467">
            <v>0.41666666666666669</v>
          </cell>
          <cell r="Z467">
            <v>86.09</v>
          </cell>
          <cell r="AA467">
            <v>85.91</v>
          </cell>
          <cell r="AW467">
            <v>4</v>
          </cell>
          <cell r="AX467">
            <v>4</v>
          </cell>
          <cell r="AY467">
            <v>4</v>
          </cell>
          <cell r="AZ467">
            <v>4</v>
          </cell>
          <cell r="BA467" t="str">
            <v>VALE</v>
          </cell>
          <cell r="BB467">
            <v>45388</v>
          </cell>
          <cell r="BG467">
            <v>45387</v>
          </cell>
        </row>
        <row r="468">
          <cell r="A468">
            <v>847</v>
          </cell>
          <cell r="B468">
            <v>467</v>
          </cell>
          <cell r="C468" t="str">
            <v>PN-22/ PN-23/ PN-24/ PN-25 - VIGAS INTERNAS</v>
          </cell>
          <cell r="D468">
            <v>4</v>
          </cell>
          <cell r="E468">
            <v>40</v>
          </cell>
          <cell r="F468">
            <v>0</v>
          </cell>
          <cell r="G468">
            <v>40</v>
          </cell>
          <cell r="H468">
            <v>0</v>
          </cell>
          <cell r="I468" t="str">
            <v>-</v>
          </cell>
          <cell r="J468" t="str">
            <v>670/660</v>
          </cell>
          <cell r="K468" t="str">
            <v xml:space="preserve">CPIII 40 RS </v>
          </cell>
          <cell r="L468" t="str">
            <v>CP V</v>
          </cell>
          <cell r="M468" t="str">
            <v>SUPER PLASTIFICANTE</v>
          </cell>
          <cell r="N468" t="str">
            <v>EFLUENTE TRATADO  -  TANQUE RA600TN</v>
          </cell>
          <cell r="O468" t="str">
            <v>FORTANKS</v>
          </cell>
          <cell r="P468" t="str">
            <v>01</v>
          </cell>
          <cell r="Q468" t="str">
            <v>Gean</v>
          </cell>
          <cell r="R468">
            <v>45387</v>
          </cell>
          <cell r="S468">
            <v>0.625</v>
          </cell>
          <cell r="T468">
            <v>0.61499999999999999</v>
          </cell>
          <cell r="U468" t="str">
            <v>X</v>
          </cell>
          <cell r="V468">
            <v>0.37152777777777779</v>
          </cell>
          <cell r="W468">
            <v>17.260000000000002</v>
          </cell>
          <cell r="X468">
            <v>16.850000000000001</v>
          </cell>
          <cell r="Y468">
            <v>0.41666666666666669</v>
          </cell>
          <cell r="Z468">
            <v>86.01</v>
          </cell>
          <cell r="AA468">
            <v>84.9</v>
          </cell>
          <cell r="AW468">
            <v>4</v>
          </cell>
          <cell r="AX468">
            <v>4</v>
          </cell>
          <cell r="AY468">
            <v>4</v>
          </cell>
          <cell r="AZ468">
            <v>4</v>
          </cell>
          <cell r="BA468" t="str">
            <v>VALE</v>
          </cell>
          <cell r="BB468">
            <v>45388</v>
          </cell>
          <cell r="BG468">
            <v>45387</v>
          </cell>
        </row>
        <row r="469">
          <cell r="A469">
            <v>848</v>
          </cell>
          <cell r="B469">
            <v>468</v>
          </cell>
          <cell r="C469" t="str">
            <v>PN-29(P)</v>
          </cell>
          <cell r="D469">
            <v>8.15</v>
          </cell>
          <cell r="E469">
            <v>40</v>
          </cell>
          <cell r="F469">
            <v>24</v>
          </cell>
          <cell r="G469">
            <v>40</v>
          </cell>
          <cell r="H469">
            <v>0</v>
          </cell>
          <cell r="I469" t="str">
            <v>-</v>
          </cell>
          <cell r="J469" t="str">
            <v>650/650</v>
          </cell>
          <cell r="K469" t="str">
            <v xml:space="preserve">CPIII 40 RS </v>
          </cell>
          <cell r="L469" t="str">
            <v>CP V</v>
          </cell>
          <cell r="M469" t="str">
            <v>SUPER PLASTIFICANTE</v>
          </cell>
          <cell r="N469" t="str">
            <v>EFLUENTE TRATADO  -  TANQUE RA600TN</v>
          </cell>
          <cell r="O469" t="str">
            <v>FORTANKS</v>
          </cell>
          <cell r="P469" t="str">
            <v>01</v>
          </cell>
          <cell r="Q469" t="str">
            <v>Gean</v>
          </cell>
          <cell r="R469">
            <v>45392</v>
          </cell>
          <cell r="S469">
            <v>0.36458333333333331</v>
          </cell>
          <cell r="T469">
            <v>0.35458333333333331</v>
          </cell>
          <cell r="U469" t="str">
            <v>X</v>
          </cell>
          <cell r="V469">
            <v>0.3125</v>
          </cell>
          <cell r="W469">
            <v>47.01</v>
          </cell>
          <cell r="X469">
            <v>47.67</v>
          </cell>
          <cell r="Y469">
            <v>0.41666666666666669</v>
          </cell>
          <cell r="Z469">
            <v>86.91</v>
          </cell>
          <cell r="AA469">
            <v>86.5</v>
          </cell>
          <cell r="AW469">
            <v>4</v>
          </cell>
          <cell r="AX469">
            <v>4</v>
          </cell>
          <cell r="AY469">
            <v>4</v>
          </cell>
          <cell r="AZ469">
            <v>4</v>
          </cell>
          <cell r="BA469" t="str">
            <v>VALE</v>
          </cell>
          <cell r="BB469">
            <v>45393</v>
          </cell>
          <cell r="BG469">
            <v>45392</v>
          </cell>
        </row>
        <row r="470">
          <cell r="A470">
            <v>849</v>
          </cell>
          <cell r="B470">
            <v>469</v>
          </cell>
          <cell r="C470" t="str">
            <v>PN-28(P)</v>
          </cell>
          <cell r="D470">
            <v>8.15</v>
          </cell>
          <cell r="E470">
            <v>40</v>
          </cell>
          <cell r="F470">
            <v>24</v>
          </cell>
          <cell r="G470">
            <v>40</v>
          </cell>
          <cell r="H470">
            <v>0</v>
          </cell>
          <cell r="I470" t="str">
            <v>-</v>
          </cell>
          <cell r="J470" t="str">
            <v>660/660</v>
          </cell>
          <cell r="K470" t="str">
            <v xml:space="preserve">CPIII 40 RS </v>
          </cell>
          <cell r="L470" t="str">
            <v>CP V</v>
          </cell>
          <cell r="M470" t="str">
            <v>SUPER PLASTIFICANTE</v>
          </cell>
          <cell r="N470" t="str">
            <v>EFLUENTE TRATADO  -  TANQUE RA600TN</v>
          </cell>
          <cell r="O470" t="str">
            <v>FORTANKS</v>
          </cell>
          <cell r="P470" t="str">
            <v>02</v>
          </cell>
          <cell r="Q470" t="str">
            <v>Gean</v>
          </cell>
          <cell r="R470">
            <v>45392</v>
          </cell>
          <cell r="S470">
            <v>0.375</v>
          </cell>
          <cell r="T470">
            <v>0.36499999999999999</v>
          </cell>
          <cell r="U470" t="str">
            <v>X</v>
          </cell>
          <cell r="V470">
            <v>0.3125</v>
          </cell>
          <cell r="W470">
            <v>46.58</v>
          </cell>
          <cell r="X470">
            <v>47.17</v>
          </cell>
          <cell r="Y470">
            <v>0.41666666666666669</v>
          </cell>
          <cell r="Z470">
            <v>87.06</v>
          </cell>
          <cell r="AA470">
            <v>86.01</v>
          </cell>
          <cell r="AW470">
            <v>4</v>
          </cell>
          <cell r="AX470">
            <v>5</v>
          </cell>
          <cell r="AY470">
            <v>4</v>
          </cell>
          <cell r="AZ470">
            <v>4</v>
          </cell>
          <cell r="BA470" t="str">
            <v>VALE</v>
          </cell>
          <cell r="BB470">
            <v>45393</v>
          </cell>
          <cell r="BG470">
            <v>45392</v>
          </cell>
        </row>
        <row r="471">
          <cell r="A471">
            <v>850</v>
          </cell>
          <cell r="B471">
            <v>470</v>
          </cell>
          <cell r="C471" t="str">
            <v>PN-27(P)</v>
          </cell>
          <cell r="D471">
            <v>8.15</v>
          </cell>
          <cell r="E471">
            <v>40</v>
          </cell>
          <cell r="F471">
            <v>24</v>
          </cell>
          <cell r="G471">
            <v>40</v>
          </cell>
          <cell r="H471">
            <v>0</v>
          </cell>
          <cell r="I471" t="str">
            <v>-</v>
          </cell>
          <cell r="J471" t="str">
            <v>660/670</v>
          </cell>
          <cell r="K471" t="str">
            <v xml:space="preserve">CPIII 40 RS </v>
          </cell>
          <cell r="L471" t="str">
            <v>CP V</v>
          </cell>
          <cell r="M471" t="str">
            <v>SUPER PLASTIFICANTE</v>
          </cell>
          <cell r="N471" t="str">
            <v>EFLUENTE TRATADO  -  TANQUE RA600TN</v>
          </cell>
          <cell r="O471" t="str">
            <v>FORTANKS</v>
          </cell>
          <cell r="P471" t="str">
            <v>01</v>
          </cell>
          <cell r="Q471" t="str">
            <v>Gean</v>
          </cell>
          <cell r="R471">
            <v>45392</v>
          </cell>
          <cell r="S471">
            <v>0.4236111111111111</v>
          </cell>
          <cell r="T471">
            <v>0.4136111111111111</v>
          </cell>
          <cell r="U471" t="str">
            <v>X</v>
          </cell>
          <cell r="V471">
            <v>0.3125</v>
          </cell>
          <cell r="W471">
            <v>44.86</v>
          </cell>
          <cell r="X471">
            <v>45.26</v>
          </cell>
          <cell r="Y471">
            <v>0.41666666666666669</v>
          </cell>
          <cell r="Z471">
            <v>85.76</v>
          </cell>
          <cell r="AA471">
            <v>86.36</v>
          </cell>
          <cell r="AW471">
            <v>3</v>
          </cell>
          <cell r="AX471">
            <v>4</v>
          </cell>
          <cell r="AY471">
            <v>4</v>
          </cell>
          <cell r="AZ471">
            <v>4</v>
          </cell>
          <cell r="BA471" t="str">
            <v>VALE</v>
          </cell>
          <cell r="BB471">
            <v>45393</v>
          </cell>
          <cell r="BG471">
            <v>45392</v>
          </cell>
        </row>
        <row r="472">
          <cell r="A472">
            <v>851</v>
          </cell>
          <cell r="B472">
            <v>471</v>
          </cell>
          <cell r="C472" t="str">
            <v>PN-26(P)</v>
          </cell>
          <cell r="D472">
            <v>8.15</v>
          </cell>
          <cell r="E472">
            <v>40</v>
          </cell>
          <cell r="F472">
            <v>24</v>
          </cell>
          <cell r="G472">
            <v>40</v>
          </cell>
          <cell r="H472">
            <v>0</v>
          </cell>
          <cell r="I472" t="str">
            <v>-</v>
          </cell>
          <cell r="J472" t="str">
            <v>660/660</v>
          </cell>
          <cell r="K472" t="str">
            <v xml:space="preserve">CPIII 40 RS </v>
          </cell>
          <cell r="L472" t="str">
            <v>CP V</v>
          </cell>
          <cell r="M472" t="str">
            <v>SUPER PLASTIFICANTE</v>
          </cell>
          <cell r="N472" t="str">
            <v>EFLUENTE TRATADO  -  TANQUE RA600TN</v>
          </cell>
          <cell r="O472" t="str">
            <v>FORTANKS</v>
          </cell>
          <cell r="P472" t="str">
            <v>02</v>
          </cell>
          <cell r="Q472" t="str">
            <v>Gean</v>
          </cell>
          <cell r="R472">
            <v>45392</v>
          </cell>
          <cell r="S472">
            <v>0.47222222222222221</v>
          </cell>
          <cell r="T472">
            <v>0.4622222222222222</v>
          </cell>
          <cell r="U472" t="str">
            <v>X</v>
          </cell>
          <cell r="V472">
            <v>0.3125</v>
          </cell>
          <cell r="W472">
            <v>40.270000000000003</v>
          </cell>
          <cell r="X472">
            <v>43.2</v>
          </cell>
          <cell r="Y472">
            <v>0.41666666666666669</v>
          </cell>
          <cell r="Z472">
            <v>86.58</v>
          </cell>
          <cell r="AA472">
            <v>86.3</v>
          </cell>
          <cell r="AW472">
            <v>4</v>
          </cell>
          <cell r="AX472">
            <v>4</v>
          </cell>
          <cell r="AY472">
            <v>4</v>
          </cell>
          <cell r="AZ472">
            <v>4</v>
          </cell>
          <cell r="BA472" t="str">
            <v>VALE</v>
          </cell>
          <cell r="BB472">
            <v>45393</v>
          </cell>
          <cell r="BG472">
            <v>45392</v>
          </cell>
        </row>
        <row r="473">
          <cell r="A473">
            <v>852</v>
          </cell>
          <cell r="B473">
            <v>472</v>
          </cell>
          <cell r="C473" t="str">
            <v>PN-26/ PN-27/ PN-28/ PN-29 - VIGAS INTERNAS</v>
          </cell>
          <cell r="D473">
            <v>1</v>
          </cell>
          <cell r="E473">
            <v>40</v>
          </cell>
          <cell r="F473">
            <v>0</v>
          </cell>
          <cell r="G473">
            <v>40</v>
          </cell>
          <cell r="H473">
            <v>0</v>
          </cell>
          <cell r="I473" t="str">
            <v>-</v>
          </cell>
          <cell r="J473" t="str">
            <v>650/650</v>
          </cell>
          <cell r="K473" t="str">
            <v xml:space="preserve">CPIII 40 RS </v>
          </cell>
          <cell r="L473" t="str">
            <v>CP V</v>
          </cell>
          <cell r="M473" t="str">
            <v>SUPER PLASTIFICANTE</v>
          </cell>
          <cell r="N473" t="str">
            <v>EFLUENTE TRATADO  -  TANQUE RA600TN</v>
          </cell>
          <cell r="O473" t="str">
            <v>FORTANKS</v>
          </cell>
          <cell r="P473" t="str">
            <v>02</v>
          </cell>
          <cell r="Q473" t="str">
            <v>Gean</v>
          </cell>
          <cell r="R473">
            <v>45392</v>
          </cell>
          <cell r="S473">
            <v>0.59375</v>
          </cell>
          <cell r="T473">
            <v>0.58374999999999999</v>
          </cell>
          <cell r="U473" t="str">
            <v>X</v>
          </cell>
          <cell r="V473">
            <v>0.3125</v>
          </cell>
          <cell r="W473">
            <v>28.489000000000001</v>
          </cell>
          <cell r="X473">
            <v>28.7</v>
          </cell>
          <cell r="Y473">
            <v>0.41666666666666669</v>
          </cell>
          <cell r="Z473">
            <v>85.94</v>
          </cell>
          <cell r="AA473">
            <v>86.01</v>
          </cell>
          <cell r="AW473">
            <v>4</v>
          </cell>
          <cell r="AX473">
            <v>4</v>
          </cell>
          <cell r="AY473">
            <v>4</v>
          </cell>
          <cell r="AZ473">
            <v>4</v>
          </cell>
          <cell r="BA473" t="str">
            <v>VALE</v>
          </cell>
          <cell r="BB473">
            <v>45393</v>
          </cell>
          <cell r="BG473">
            <v>45392</v>
          </cell>
        </row>
        <row r="474">
          <cell r="A474">
            <v>853</v>
          </cell>
          <cell r="B474">
            <v>473</v>
          </cell>
          <cell r="C474" t="str">
            <v>PN-33(P)</v>
          </cell>
          <cell r="D474">
            <v>8.15</v>
          </cell>
          <cell r="E474">
            <v>40</v>
          </cell>
          <cell r="F474">
            <v>24</v>
          </cell>
          <cell r="G474">
            <v>40</v>
          </cell>
          <cell r="H474">
            <v>0</v>
          </cell>
          <cell r="I474" t="str">
            <v>-</v>
          </cell>
          <cell r="J474" t="str">
            <v>660/670</v>
          </cell>
          <cell r="K474" t="str">
            <v xml:space="preserve">CPIII 40 RS </v>
          </cell>
          <cell r="L474" t="str">
            <v>CP V</v>
          </cell>
          <cell r="M474" t="str">
            <v>SUPER PLASTIFICANTE</v>
          </cell>
          <cell r="N474" t="str">
            <v>EFLUENTE TRATADO  -  TANQUE RA600TN</v>
          </cell>
          <cell r="O474" t="str">
            <v>FORTANKS</v>
          </cell>
          <cell r="P474" t="str">
            <v>01</v>
          </cell>
          <cell r="Q474" t="str">
            <v>Gean</v>
          </cell>
          <cell r="R474">
            <v>45394</v>
          </cell>
          <cell r="S474">
            <v>0.39583333333333331</v>
          </cell>
          <cell r="T474">
            <v>0.38583333333333331</v>
          </cell>
          <cell r="U474" t="str">
            <v>X</v>
          </cell>
          <cell r="V474">
            <v>0.33333333333333331</v>
          </cell>
          <cell r="W474">
            <v>36.01</v>
          </cell>
          <cell r="X474">
            <v>35.35</v>
          </cell>
          <cell r="Y474">
            <v>0.41666666666666669</v>
          </cell>
          <cell r="Z474">
            <v>85.42</v>
          </cell>
          <cell r="AA474">
            <v>86.38</v>
          </cell>
          <cell r="AW474">
            <v>4</v>
          </cell>
          <cell r="AX474">
            <v>4</v>
          </cell>
          <cell r="AY474">
            <v>4</v>
          </cell>
          <cell r="AZ474">
            <v>4</v>
          </cell>
          <cell r="BA474" t="str">
            <v>VALE</v>
          </cell>
          <cell r="BB474">
            <v>45395</v>
          </cell>
          <cell r="BG474">
            <v>45394</v>
          </cell>
        </row>
        <row r="475">
          <cell r="A475">
            <v>854</v>
          </cell>
          <cell r="B475">
            <v>474</v>
          </cell>
          <cell r="C475" t="str">
            <v>PN-32(P)</v>
          </cell>
          <cell r="D475">
            <v>8.15</v>
          </cell>
          <cell r="E475">
            <v>40</v>
          </cell>
          <cell r="F475">
            <v>24</v>
          </cell>
          <cell r="G475">
            <v>40</v>
          </cell>
          <cell r="H475">
            <v>0</v>
          </cell>
          <cell r="I475" t="str">
            <v>-</v>
          </cell>
          <cell r="J475" t="str">
            <v>660/660</v>
          </cell>
          <cell r="K475" t="str">
            <v xml:space="preserve">CPIII 40 RS </v>
          </cell>
          <cell r="L475" t="str">
            <v>CP V</v>
          </cell>
          <cell r="M475" t="str">
            <v>SUPER PLASTIFICANTE</v>
          </cell>
          <cell r="N475" t="str">
            <v>EFLUENTE TRATADO  -  TANQUE RA600TN</v>
          </cell>
          <cell r="O475" t="str">
            <v>FORTANKS</v>
          </cell>
          <cell r="P475" t="str">
            <v>02</v>
          </cell>
          <cell r="Q475" t="str">
            <v>Gean</v>
          </cell>
          <cell r="R475">
            <v>45394</v>
          </cell>
          <cell r="S475">
            <v>0.40972222222222221</v>
          </cell>
          <cell r="T475">
            <v>0.3997222222222222</v>
          </cell>
          <cell r="U475" t="str">
            <v>X</v>
          </cell>
          <cell r="V475">
            <v>0.33333333333333331</v>
          </cell>
          <cell r="W475">
            <v>42.48</v>
          </cell>
          <cell r="X475">
            <v>40.85</v>
          </cell>
          <cell r="Y475">
            <v>0.41666666666666669</v>
          </cell>
          <cell r="Z475">
            <v>86.8</v>
          </cell>
          <cell r="AA475">
            <v>86.61</v>
          </cell>
          <cell r="AW475">
            <v>4</v>
          </cell>
          <cell r="AX475">
            <v>4</v>
          </cell>
          <cell r="AY475">
            <v>4</v>
          </cell>
          <cell r="AZ475">
            <v>4</v>
          </cell>
          <cell r="BA475" t="str">
            <v>VALE</v>
          </cell>
          <cell r="BB475">
            <v>45395</v>
          </cell>
          <cell r="BG475">
            <v>45394</v>
          </cell>
        </row>
        <row r="476">
          <cell r="A476">
            <v>855</v>
          </cell>
          <cell r="B476">
            <v>475</v>
          </cell>
          <cell r="C476" t="str">
            <v>PN-31(P)</v>
          </cell>
          <cell r="D476">
            <v>8.15</v>
          </cell>
          <cell r="E476">
            <v>40</v>
          </cell>
          <cell r="F476">
            <v>24</v>
          </cell>
          <cell r="G476">
            <v>40</v>
          </cell>
          <cell r="H476">
            <v>0</v>
          </cell>
          <cell r="I476" t="str">
            <v>-</v>
          </cell>
          <cell r="J476" t="str">
            <v>650/650</v>
          </cell>
          <cell r="K476" t="str">
            <v xml:space="preserve">CPIII 40 RS </v>
          </cell>
          <cell r="L476" t="str">
            <v>CP V</v>
          </cell>
          <cell r="M476" t="str">
            <v>SUPER PLASTIFICANTE</v>
          </cell>
          <cell r="N476" t="str">
            <v>EFLUENTE TRATADO  -  TANQUE RA600TN</v>
          </cell>
          <cell r="O476" t="str">
            <v>FORTANKS</v>
          </cell>
          <cell r="P476" t="str">
            <v>01</v>
          </cell>
          <cell r="Q476" t="str">
            <v>Gean</v>
          </cell>
          <cell r="R476">
            <v>45394</v>
          </cell>
          <cell r="S476">
            <v>0.47916666666666669</v>
          </cell>
          <cell r="T476">
            <v>0.46916666666666668</v>
          </cell>
          <cell r="U476" t="str">
            <v>X</v>
          </cell>
          <cell r="V476">
            <v>0.33333333333333331</v>
          </cell>
          <cell r="W476">
            <v>41.88</v>
          </cell>
          <cell r="X476">
            <v>41.48</v>
          </cell>
          <cell r="Y476">
            <v>0.41666666666666669</v>
          </cell>
          <cell r="Z476">
            <v>86.34</v>
          </cell>
          <cell r="AA476">
            <v>86.82</v>
          </cell>
          <cell r="AW476">
            <v>4</v>
          </cell>
          <cell r="AX476">
            <v>4</v>
          </cell>
          <cell r="AY476">
            <v>4</v>
          </cell>
          <cell r="AZ476">
            <v>4</v>
          </cell>
          <cell r="BA476" t="str">
            <v>VALE</v>
          </cell>
          <cell r="BB476">
            <v>45395</v>
          </cell>
          <cell r="BG476">
            <v>45394</v>
          </cell>
        </row>
        <row r="477">
          <cell r="A477">
            <v>856</v>
          </cell>
          <cell r="B477">
            <v>476</v>
          </cell>
          <cell r="C477" t="str">
            <v>PN-30(P)</v>
          </cell>
          <cell r="D477">
            <v>8.15</v>
          </cell>
          <cell r="E477">
            <v>40</v>
          </cell>
          <cell r="F477">
            <v>24</v>
          </cell>
          <cell r="G477">
            <v>40</v>
          </cell>
          <cell r="H477">
            <v>0</v>
          </cell>
          <cell r="I477" t="str">
            <v>-</v>
          </cell>
          <cell r="J477" t="str">
            <v>660/650</v>
          </cell>
          <cell r="K477" t="str">
            <v xml:space="preserve">CPIII 40 RS </v>
          </cell>
          <cell r="L477" t="str">
            <v>CP V</v>
          </cell>
          <cell r="M477" t="str">
            <v>SUPER PLASTIFICANTE</v>
          </cell>
          <cell r="N477" t="str">
            <v>EFLUENTE TRATADO  -  TANQUE RA600TN</v>
          </cell>
          <cell r="O477" t="str">
            <v>FORTANKS</v>
          </cell>
          <cell r="P477" t="str">
            <v>02</v>
          </cell>
          <cell r="Q477" t="str">
            <v>Gean</v>
          </cell>
          <cell r="R477">
            <v>45394</v>
          </cell>
          <cell r="S477">
            <v>0.52083333333333337</v>
          </cell>
          <cell r="T477">
            <v>0.51083333333333336</v>
          </cell>
          <cell r="U477" t="str">
            <v>X</v>
          </cell>
          <cell r="V477">
            <v>0.33333333333333331</v>
          </cell>
          <cell r="W477">
            <v>42.68</v>
          </cell>
          <cell r="X477">
            <v>38.85</v>
          </cell>
          <cell r="Y477">
            <v>0.41666666666666669</v>
          </cell>
          <cell r="Z477">
            <v>86.45</v>
          </cell>
          <cell r="AA477">
            <v>85.97</v>
          </cell>
          <cell r="AW477">
            <v>4</v>
          </cell>
          <cell r="AX477">
            <v>4</v>
          </cell>
          <cell r="AY477">
            <v>4</v>
          </cell>
          <cell r="AZ477">
            <v>3</v>
          </cell>
          <cell r="BA477" t="str">
            <v>VALE</v>
          </cell>
          <cell r="BB477">
            <v>45395</v>
          </cell>
          <cell r="BG477">
            <v>45394</v>
          </cell>
        </row>
        <row r="478">
          <cell r="A478">
            <v>857</v>
          </cell>
          <cell r="B478">
            <v>477</v>
          </cell>
          <cell r="C478" t="str">
            <v>PN-30/ PN-31/ PN-32/ PN-33</v>
          </cell>
          <cell r="D478">
            <v>1.5</v>
          </cell>
          <cell r="E478">
            <v>40</v>
          </cell>
          <cell r="F478">
            <v>0</v>
          </cell>
          <cell r="G478">
            <v>40</v>
          </cell>
          <cell r="H478">
            <v>0</v>
          </cell>
          <cell r="I478" t="str">
            <v>-</v>
          </cell>
          <cell r="J478" t="str">
            <v>650/650</v>
          </cell>
          <cell r="K478" t="str">
            <v xml:space="preserve">CPIII 40 RS </v>
          </cell>
          <cell r="L478" t="str">
            <v>CP V</v>
          </cell>
          <cell r="M478" t="str">
            <v>SUPER PLASTIFICANTE</v>
          </cell>
          <cell r="N478" t="str">
            <v>EFLUENTE TRATADO  -  TANQUE RA600TN</v>
          </cell>
          <cell r="O478" t="str">
            <v>FORTANKS</v>
          </cell>
          <cell r="P478" t="str">
            <v>01</v>
          </cell>
          <cell r="Q478" t="str">
            <v>Gean</v>
          </cell>
          <cell r="R478">
            <v>45394</v>
          </cell>
          <cell r="S478">
            <v>0.625</v>
          </cell>
          <cell r="T478">
            <v>0.61499999999999999</v>
          </cell>
          <cell r="U478" t="str">
            <v>X</v>
          </cell>
          <cell r="V478">
            <v>0.33333333333333331</v>
          </cell>
          <cell r="W478">
            <v>23.33</v>
          </cell>
          <cell r="X478">
            <v>22.54</v>
          </cell>
          <cell r="Y478">
            <v>0.41666666666666669</v>
          </cell>
          <cell r="Z478">
            <v>85.78</v>
          </cell>
          <cell r="AA478">
            <v>85.8</v>
          </cell>
          <cell r="AW478">
            <v>3</v>
          </cell>
          <cell r="AX478">
            <v>3</v>
          </cell>
          <cell r="AY478">
            <v>4</v>
          </cell>
          <cell r="AZ478">
            <v>4</v>
          </cell>
          <cell r="BA478" t="str">
            <v>VALE</v>
          </cell>
          <cell r="BB478">
            <v>45395</v>
          </cell>
          <cell r="BG478">
            <v>45394</v>
          </cell>
        </row>
        <row r="479">
          <cell r="A479">
            <v>858</v>
          </cell>
          <cell r="B479">
            <v>478</v>
          </cell>
          <cell r="C479" t="str">
            <v>PN-38(P)</v>
          </cell>
          <cell r="D479">
            <v>8.15</v>
          </cell>
          <cell r="E479">
            <v>40</v>
          </cell>
          <cell r="F479">
            <v>24</v>
          </cell>
          <cell r="G479">
            <v>40</v>
          </cell>
          <cell r="H479">
            <v>0</v>
          </cell>
          <cell r="I479" t="str">
            <v>-</v>
          </cell>
          <cell r="J479" t="str">
            <v>660/660</v>
          </cell>
          <cell r="K479" t="str">
            <v xml:space="preserve">CPIII 40 RS </v>
          </cell>
          <cell r="L479" t="str">
            <v>CP V</v>
          </cell>
          <cell r="M479" t="str">
            <v>SUPER PLASTIFICANTE</v>
          </cell>
          <cell r="N479" t="str">
            <v>EFLUENTE TRATADO  -  TANQUE RA600TN</v>
          </cell>
          <cell r="O479" t="str">
            <v>FORTANKS</v>
          </cell>
          <cell r="P479" t="str">
            <v>01</v>
          </cell>
          <cell r="Q479" t="str">
            <v>Gean</v>
          </cell>
          <cell r="R479">
            <v>45397</v>
          </cell>
          <cell r="S479">
            <v>0.4375</v>
          </cell>
          <cell r="T479">
            <v>0.42749999999999999</v>
          </cell>
          <cell r="U479" t="str">
            <v>X</v>
          </cell>
          <cell r="V479">
            <v>0.39583333333333331</v>
          </cell>
          <cell r="W479">
            <v>44.16</v>
          </cell>
          <cell r="X479">
            <v>42.49</v>
          </cell>
          <cell r="Y479">
            <v>0.41666666666666669</v>
          </cell>
          <cell r="Z479">
            <v>86</v>
          </cell>
          <cell r="AA479">
            <v>86.03</v>
          </cell>
          <cell r="AW479">
            <v>4</v>
          </cell>
          <cell r="AX479">
            <v>4</v>
          </cell>
          <cell r="AY479">
            <v>4</v>
          </cell>
          <cell r="AZ479">
            <v>4</v>
          </cell>
          <cell r="BA479" t="str">
            <v>VALE</v>
          </cell>
          <cell r="BB479">
            <v>45398</v>
          </cell>
          <cell r="BG479">
            <v>45397</v>
          </cell>
        </row>
        <row r="480">
          <cell r="A480">
            <v>859</v>
          </cell>
          <cell r="B480">
            <v>479</v>
          </cell>
          <cell r="C480" t="str">
            <v>PN-36(P)</v>
          </cell>
          <cell r="D480">
            <v>8.15</v>
          </cell>
          <cell r="E480">
            <v>40</v>
          </cell>
          <cell r="F480">
            <v>24</v>
          </cell>
          <cell r="G480">
            <v>40</v>
          </cell>
          <cell r="H480">
            <v>0</v>
          </cell>
          <cell r="I480" t="str">
            <v>-</v>
          </cell>
          <cell r="J480" t="str">
            <v>650/660</v>
          </cell>
          <cell r="K480" t="str">
            <v xml:space="preserve">CPIII 40 RS </v>
          </cell>
          <cell r="L480" t="str">
            <v>CP V</v>
          </cell>
          <cell r="M480" t="str">
            <v>SUPER PLASTIFICANTE</v>
          </cell>
          <cell r="N480" t="str">
            <v>EFLUENTE TRATADO  -  TANQUE RA600TN</v>
          </cell>
          <cell r="O480" t="str">
            <v>FORTANKS</v>
          </cell>
          <cell r="P480" t="str">
            <v>02</v>
          </cell>
          <cell r="Q480" t="str">
            <v>Gean</v>
          </cell>
          <cell r="R480">
            <v>45397</v>
          </cell>
          <cell r="S480">
            <v>0.45833333333333331</v>
          </cell>
          <cell r="T480">
            <v>0.44833333333333331</v>
          </cell>
          <cell r="U480" t="str">
            <v>X</v>
          </cell>
          <cell r="V480">
            <v>0.39583333333333331</v>
          </cell>
          <cell r="W480">
            <v>46.83</v>
          </cell>
          <cell r="X480">
            <v>44.59</v>
          </cell>
          <cell r="Y480">
            <v>0.41666666666666669</v>
          </cell>
          <cell r="Z480">
            <v>86.72</v>
          </cell>
          <cell r="AA480">
            <v>86.87</v>
          </cell>
          <cell r="AW480">
            <v>3</v>
          </cell>
          <cell r="AX480">
            <v>3</v>
          </cell>
          <cell r="AY480">
            <v>4</v>
          </cell>
          <cell r="AZ480">
            <v>4</v>
          </cell>
          <cell r="BA480" t="str">
            <v>VALE</v>
          </cell>
          <cell r="BB480">
            <v>45398</v>
          </cell>
          <cell r="BG480">
            <v>45397</v>
          </cell>
        </row>
        <row r="481">
          <cell r="A481">
            <v>860</v>
          </cell>
          <cell r="B481">
            <v>480</v>
          </cell>
          <cell r="C481" t="str">
            <v>PN-35(P)</v>
          </cell>
          <cell r="D481">
            <v>8.15</v>
          </cell>
          <cell r="E481">
            <v>40</v>
          </cell>
          <cell r="F481">
            <v>24</v>
          </cell>
          <cell r="G481">
            <v>40</v>
          </cell>
          <cell r="H481">
            <v>0</v>
          </cell>
          <cell r="I481" t="str">
            <v>-</v>
          </cell>
          <cell r="J481" t="str">
            <v>660/660</v>
          </cell>
          <cell r="K481" t="str">
            <v xml:space="preserve">CPIII 40 RS </v>
          </cell>
          <cell r="L481" t="str">
            <v>CP V</v>
          </cell>
          <cell r="M481" t="str">
            <v>SUPER PLASTIFICANTE</v>
          </cell>
          <cell r="N481" t="str">
            <v>EFLUENTE TRATADO  -  TANQUE RA600TN</v>
          </cell>
          <cell r="O481" t="str">
            <v>FORTANKS</v>
          </cell>
          <cell r="P481" t="str">
            <v>01</v>
          </cell>
          <cell r="Q481" t="str">
            <v>Gean</v>
          </cell>
          <cell r="R481">
            <v>45397</v>
          </cell>
          <cell r="S481">
            <v>0.52083333333333337</v>
          </cell>
          <cell r="T481">
            <v>0.51083333333333336</v>
          </cell>
          <cell r="U481" t="str">
            <v>X</v>
          </cell>
          <cell r="V481">
            <v>0.39583333333333331</v>
          </cell>
          <cell r="W481">
            <v>41.48</v>
          </cell>
          <cell r="X481">
            <v>45.04</v>
          </cell>
          <cell r="Y481">
            <v>0.41666666666666669</v>
          </cell>
          <cell r="Z481">
            <v>85.81</v>
          </cell>
          <cell r="AA481">
            <v>86.84</v>
          </cell>
          <cell r="AW481">
            <v>4</v>
          </cell>
          <cell r="AX481">
            <v>3</v>
          </cell>
          <cell r="AY481">
            <v>4</v>
          </cell>
          <cell r="AZ481">
            <v>4</v>
          </cell>
          <cell r="BA481" t="str">
            <v>VALE</v>
          </cell>
          <cell r="BB481">
            <v>45398</v>
          </cell>
          <cell r="BG481">
            <v>45397</v>
          </cell>
        </row>
        <row r="482">
          <cell r="A482">
            <v>861</v>
          </cell>
          <cell r="B482">
            <v>481</v>
          </cell>
          <cell r="C482" t="str">
            <v>PN-34(P)</v>
          </cell>
          <cell r="D482">
            <v>8.15</v>
          </cell>
          <cell r="E482">
            <v>40</v>
          </cell>
          <cell r="F482">
            <v>24</v>
          </cell>
          <cell r="G482">
            <v>40</v>
          </cell>
          <cell r="H482">
            <v>0</v>
          </cell>
          <cell r="I482" t="str">
            <v>-</v>
          </cell>
          <cell r="J482" t="str">
            <v>660/650</v>
          </cell>
          <cell r="K482" t="str">
            <v xml:space="preserve">CPIII 40 RS </v>
          </cell>
          <cell r="L482" t="str">
            <v>CP V</v>
          </cell>
          <cell r="M482" t="str">
            <v>SUPER PLASTIFICANTE</v>
          </cell>
          <cell r="N482" t="str">
            <v>EFLUENTE TRATADO  -  TANQUE RA600TN</v>
          </cell>
          <cell r="O482" t="str">
            <v>FORTANKS</v>
          </cell>
          <cell r="P482" t="str">
            <v>02</v>
          </cell>
          <cell r="Q482" t="str">
            <v>Gean</v>
          </cell>
          <cell r="R482">
            <v>45397</v>
          </cell>
          <cell r="S482">
            <v>0.51736111111111116</v>
          </cell>
          <cell r="T482">
            <v>0.50736111111111115</v>
          </cell>
          <cell r="U482" t="str">
            <v>X</v>
          </cell>
          <cell r="V482">
            <v>0.39583333333333331</v>
          </cell>
          <cell r="W482">
            <v>38.17</v>
          </cell>
          <cell r="X482">
            <v>39.42</v>
          </cell>
          <cell r="Y482">
            <v>0.41666666666666669</v>
          </cell>
          <cell r="Z482">
            <v>85.86</v>
          </cell>
          <cell r="AA482">
            <v>86.49</v>
          </cell>
          <cell r="AW482">
            <v>4</v>
          </cell>
          <cell r="AX482">
            <v>4</v>
          </cell>
          <cell r="AY482">
            <v>3</v>
          </cell>
          <cell r="AZ482">
            <v>4</v>
          </cell>
          <cell r="BA482" t="str">
            <v>VALE</v>
          </cell>
          <cell r="BB482">
            <v>45398</v>
          </cell>
          <cell r="BG482">
            <v>45397</v>
          </cell>
        </row>
        <row r="483">
          <cell r="A483">
            <v>862</v>
          </cell>
          <cell r="B483">
            <v>482</v>
          </cell>
          <cell r="C483" t="str">
            <v>PN-34/ PN-35/ PN-36/ PN-38</v>
          </cell>
          <cell r="D483">
            <v>1</v>
          </cell>
          <cell r="E483">
            <v>40</v>
          </cell>
          <cell r="F483">
            <v>0</v>
          </cell>
          <cell r="G483">
            <v>40</v>
          </cell>
          <cell r="H483">
            <v>0</v>
          </cell>
          <cell r="I483" t="str">
            <v>-</v>
          </cell>
          <cell r="J483" t="str">
            <v>660/650</v>
          </cell>
          <cell r="K483" t="str">
            <v xml:space="preserve">CPIII 40 RS </v>
          </cell>
          <cell r="L483" t="str">
            <v>CP V</v>
          </cell>
          <cell r="M483" t="str">
            <v>SUPER PLASTIFICANTE</v>
          </cell>
          <cell r="N483" t="str">
            <v>EFLUENTE TRATADO  -  TANQUE RA600TN</v>
          </cell>
          <cell r="O483" t="str">
            <v>FORTANKS</v>
          </cell>
          <cell r="P483" t="str">
            <v>01</v>
          </cell>
          <cell r="Q483" t="str">
            <v>Gean</v>
          </cell>
          <cell r="R483">
            <v>45397</v>
          </cell>
          <cell r="S483">
            <v>0.60416666666666663</v>
          </cell>
          <cell r="T483">
            <v>0.59416666666666662</v>
          </cell>
          <cell r="U483" t="str">
            <v>X</v>
          </cell>
          <cell r="V483">
            <v>0.39583333333333331</v>
          </cell>
          <cell r="W483">
            <v>25.24</v>
          </cell>
          <cell r="X483">
            <v>23.36</v>
          </cell>
          <cell r="Y483">
            <v>0.41666666666666669</v>
          </cell>
          <cell r="Z483">
            <v>87.6</v>
          </cell>
          <cell r="AA483">
            <v>86.41</v>
          </cell>
          <cell r="AW483">
            <v>4</v>
          </cell>
          <cell r="AX483">
            <v>4</v>
          </cell>
          <cell r="AY483">
            <v>4</v>
          </cell>
          <cell r="AZ483">
            <v>4</v>
          </cell>
          <cell r="BA483" t="str">
            <v>VALE</v>
          </cell>
          <cell r="BB483">
            <v>45398</v>
          </cell>
          <cell r="BG483">
            <v>45397</v>
          </cell>
        </row>
        <row r="484">
          <cell r="A484">
            <v>863</v>
          </cell>
          <cell r="B484">
            <v>483</v>
          </cell>
          <cell r="C484" t="str">
            <v>PN-42(P)</v>
          </cell>
          <cell r="D484">
            <v>8.15</v>
          </cell>
          <cell r="E484">
            <v>40</v>
          </cell>
          <cell r="F484">
            <v>24</v>
          </cell>
          <cell r="G484">
            <v>40</v>
          </cell>
          <cell r="H484">
            <v>0</v>
          </cell>
          <cell r="I484" t="str">
            <v>-</v>
          </cell>
          <cell r="J484" t="str">
            <v>650/650</v>
          </cell>
          <cell r="K484" t="str">
            <v xml:space="preserve">CPIII 40 RS </v>
          </cell>
          <cell r="L484" t="str">
            <v>CP V</v>
          </cell>
          <cell r="M484" t="str">
            <v>SUPER PLASTIFICANTE</v>
          </cell>
          <cell r="N484" t="str">
            <v>EFLUENTE TRATADO  -  TANQUE RA600TN</v>
          </cell>
          <cell r="O484" t="str">
            <v>FORTANKS</v>
          </cell>
          <cell r="P484" t="str">
            <v>01</v>
          </cell>
          <cell r="Q484" t="str">
            <v>Gean</v>
          </cell>
          <cell r="R484">
            <v>45399</v>
          </cell>
          <cell r="S484">
            <v>0.54861111111111116</v>
          </cell>
          <cell r="T484">
            <v>0.53861111111111115</v>
          </cell>
          <cell r="U484" t="str">
            <v>X</v>
          </cell>
          <cell r="V484">
            <v>0.45833333333333331</v>
          </cell>
          <cell r="W484">
            <v>32.450000000000003</v>
          </cell>
          <cell r="X484">
            <v>32.39</v>
          </cell>
          <cell r="Y484">
            <v>0.41666666666666669</v>
          </cell>
          <cell r="Z484">
            <v>86.14</v>
          </cell>
          <cell r="AA484">
            <v>83.89</v>
          </cell>
          <cell r="AW484">
            <v>4</v>
          </cell>
          <cell r="AX484">
            <v>4</v>
          </cell>
          <cell r="AY484">
            <v>4</v>
          </cell>
          <cell r="AZ484">
            <v>4</v>
          </cell>
          <cell r="BA484" t="str">
            <v>VALE</v>
          </cell>
          <cell r="BB484">
            <v>45400</v>
          </cell>
          <cell r="BG484">
            <v>45399</v>
          </cell>
        </row>
        <row r="485">
          <cell r="A485">
            <v>864</v>
          </cell>
          <cell r="B485">
            <v>484</v>
          </cell>
          <cell r="C485" t="str">
            <v>PN-41(P)</v>
          </cell>
          <cell r="D485">
            <v>8.15</v>
          </cell>
          <cell r="E485">
            <v>40</v>
          </cell>
          <cell r="F485">
            <v>24</v>
          </cell>
          <cell r="G485">
            <v>40</v>
          </cell>
          <cell r="H485">
            <v>0</v>
          </cell>
          <cell r="I485" t="str">
            <v>-</v>
          </cell>
          <cell r="J485" t="str">
            <v>650/660</v>
          </cell>
          <cell r="K485" t="str">
            <v xml:space="preserve">CPIII 40 RS </v>
          </cell>
          <cell r="L485" t="str">
            <v>CP V</v>
          </cell>
          <cell r="M485" t="str">
            <v>SUPER PLASTIFICANTE</v>
          </cell>
          <cell r="N485" t="str">
            <v>EFLUENTE TRATADO  -  TANQUE RA600TN</v>
          </cell>
          <cell r="O485" t="str">
            <v>FORTANKS</v>
          </cell>
          <cell r="P485" t="str">
            <v>02</v>
          </cell>
          <cell r="Q485" t="str">
            <v>Gean</v>
          </cell>
          <cell r="R485">
            <v>45399</v>
          </cell>
          <cell r="S485">
            <v>0.56944444444444442</v>
          </cell>
          <cell r="T485">
            <v>0.55944444444444441</v>
          </cell>
          <cell r="U485" t="str">
            <v>X</v>
          </cell>
          <cell r="V485">
            <v>0.45833333333333331</v>
          </cell>
          <cell r="W485">
            <v>33.89</v>
          </cell>
          <cell r="X485">
            <v>33.03</v>
          </cell>
          <cell r="Y485">
            <v>0.41666666666666669</v>
          </cell>
          <cell r="Z485">
            <v>87.21</v>
          </cell>
          <cell r="AA485">
            <v>86.79</v>
          </cell>
          <cell r="AW485">
            <v>4</v>
          </cell>
          <cell r="AX485">
            <v>4</v>
          </cell>
          <cell r="AY485">
            <v>4</v>
          </cell>
          <cell r="AZ485">
            <v>4</v>
          </cell>
          <cell r="BA485" t="str">
            <v>VALE</v>
          </cell>
          <cell r="BB485">
            <v>45400</v>
          </cell>
          <cell r="BG485">
            <v>45399</v>
          </cell>
        </row>
        <row r="486">
          <cell r="A486">
            <v>865</v>
          </cell>
          <cell r="B486">
            <v>485</v>
          </cell>
          <cell r="C486" t="str">
            <v>PN-40(P)</v>
          </cell>
          <cell r="D486">
            <v>8.15</v>
          </cell>
          <cell r="E486">
            <v>40</v>
          </cell>
          <cell r="F486">
            <v>24</v>
          </cell>
          <cell r="G486">
            <v>40</v>
          </cell>
          <cell r="H486">
            <v>0</v>
          </cell>
          <cell r="I486" t="str">
            <v>-</v>
          </cell>
          <cell r="J486" t="str">
            <v>660/660</v>
          </cell>
          <cell r="K486" t="str">
            <v xml:space="preserve">CPIII 40 RS </v>
          </cell>
          <cell r="L486" t="str">
            <v>CP V</v>
          </cell>
          <cell r="M486" t="str">
            <v>SUPER PLASTIFICANTE</v>
          </cell>
          <cell r="N486" t="str">
            <v>EFLUENTE TRATADO  -  TANQUE RA600TN</v>
          </cell>
          <cell r="O486" t="str">
            <v>FORTANKS</v>
          </cell>
          <cell r="P486" t="str">
            <v>01</v>
          </cell>
          <cell r="Q486" t="str">
            <v>Gean</v>
          </cell>
          <cell r="R486">
            <v>45399</v>
          </cell>
          <cell r="S486">
            <v>0.61805555555555558</v>
          </cell>
          <cell r="T486">
            <v>0.60805555555555557</v>
          </cell>
          <cell r="U486" t="str">
            <v>X</v>
          </cell>
          <cell r="V486">
            <v>0.45833333333333331</v>
          </cell>
          <cell r="W486">
            <v>29.87</v>
          </cell>
          <cell r="X486">
            <v>30.97</v>
          </cell>
          <cell r="Y486">
            <v>0.41666666666666669</v>
          </cell>
          <cell r="Z486">
            <v>88.06</v>
          </cell>
          <cell r="AA486">
            <v>88.41</v>
          </cell>
          <cell r="AW486">
            <v>4</v>
          </cell>
          <cell r="AX486">
            <v>4</v>
          </cell>
          <cell r="AY486">
            <v>4</v>
          </cell>
          <cell r="AZ486">
            <v>4</v>
          </cell>
          <cell r="BA486" t="str">
            <v>VALE</v>
          </cell>
          <cell r="BB486">
            <v>45400</v>
          </cell>
          <cell r="BG486">
            <v>45399</v>
          </cell>
        </row>
        <row r="487">
          <cell r="A487">
            <v>866</v>
          </cell>
          <cell r="B487">
            <v>486</v>
          </cell>
          <cell r="C487" t="str">
            <v>PN-39(P) -  VIGAS INTERNAS - PN-39/ PN-40 / PN-41/ PN-42</v>
          </cell>
          <cell r="D487">
            <v>8.15</v>
          </cell>
          <cell r="E487">
            <v>40</v>
          </cell>
          <cell r="F487">
            <v>24</v>
          </cell>
          <cell r="G487">
            <v>40</v>
          </cell>
          <cell r="H487">
            <v>0</v>
          </cell>
          <cell r="I487" t="str">
            <v>-</v>
          </cell>
          <cell r="J487" t="str">
            <v>660/670</v>
          </cell>
          <cell r="K487" t="str">
            <v xml:space="preserve">CPIII 40 RS </v>
          </cell>
          <cell r="L487" t="str">
            <v>CP V</v>
          </cell>
          <cell r="M487" t="str">
            <v>SUPER PLASTIFICANTE</v>
          </cell>
          <cell r="N487" t="str">
            <v>EFLUENTE TRATADO  -  TANQUE RA600TN</v>
          </cell>
          <cell r="O487" t="str">
            <v>FORTANKS</v>
          </cell>
          <cell r="P487" t="str">
            <v>02</v>
          </cell>
          <cell r="Q487" t="str">
            <v>Gean</v>
          </cell>
          <cell r="R487">
            <v>45399</v>
          </cell>
          <cell r="S487">
            <v>0.625</v>
          </cell>
          <cell r="T487">
            <v>0.61499999999999999</v>
          </cell>
          <cell r="U487" t="str">
            <v>X</v>
          </cell>
          <cell r="V487">
            <v>0.45833333333333331</v>
          </cell>
          <cell r="W487">
            <v>26.97</v>
          </cell>
          <cell r="X487">
            <v>24.18</v>
          </cell>
          <cell r="Y487">
            <v>0.45833333333333331</v>
          </cell>
          <cell r="Z487">
            <v>91.01</v>
          </cell>
          <cell r="AA487">
            <v>89.67</v>
          </cell>
          <cell r="AW487">
            <v>4</v>
          </cell>
          <cell r="AX487">
            <v>4</v>
          </cell>
          <cell r="AY487">
            <v>4</v>
          </cell>
          <cell r="AZ487">
            <v>4</v>
          </cell>
          <cell r="BA487" t="str">
            <v>VALE</v>
          </cell>
          <cell r="BB487">
            <v>45400</v>
          </cell>
          <cell r="BG487">
            <v>45399</v>
          </cell>
        </row>
        <row r="488">
          <cell r="A488">
            <v>867</v>
          </cell>
          <cell r="B488">
            <v>488</v>
          </cell>
          <cell r="C488" t="str">
            <v>PN-47(P)</v>
          </cell>
          <cell r="D488">
            <v>8.15</v>
          </cell>
          <cell r="E488">
            <v>40</v>
          </cell>
          <cell r="F488">
            <v>24</v>
          </cell>
          <cell r="G488">
            <v>40</v>
          </cell>
          <cell r="H488">
            <v>0</v>
          </cell>
          <cell r="I488" t="str">
            <v>-</v>
          </cell>
          <cell r="J488" t="str">
            <v>660/660</v>
          </cell>
          <cell r="K488" t="str">
            <v xml:space="preserve">CPIII 40 RS </v>
          </cell>
          <cell r="L488" t="str">
            <v>CP V</v>
          </cell>
          <cell r="M488" t="str">
            <v>SUPER PLASTIFICANTE</v>
          </cell>
          <cell r="N488" t="str">
            <v>EFLUENTE TRATADO  -  TANQUE RA600TN</v>
          </cell>
          <cell r="O488" t="str">
            <v>FORTANKS</v>
          </cell>
          <cell r="P488" t="str">
            <v>01</v>
          </cell>
          <cell r="Q488" t="str">
            <v>Gean</v>
          </cell>
          <cell r="R488">
            <v>45402</v>
          </cell>
          <cell r="S488">
            <v>0.3611111111111111</v>
          </cell>
          <cell r="T488">
            <v>0.3511111111111111</v>
          </cell>
          <cell r="U488" t="str">
            <v>X</v>
          </cell>
          <cell r="V488">
            <v>0.3125</v>
          </cell>
          <cell r="W488">
            <v>42.96</v>
          </cell>
          <cell r="X488">
            <v>44.45</v>
          </cell>
          <cell r="Y488">
            <v>0.41666666666666669</v>
          </cell>
          <cell r="Z488">
            <v>86.31</v>
          </cell>
          <cell r="AA488">
            <v>85.94</v>
          </cell>
          <cell r="AW488">
            <v>4</v>
          </cell>
          <cell r="AX488">
            <v>4</v>
          </cell>
          <cell r="AY488">
            <v>4</v>
          </cell>
          <cell r="AZ488">
            <v>4</v>
          </cell>
          <cell r="BA488" t="str">
            <v>VALE</v>
          </cell>
          <cell r="BB488">
            <v>45403</v>
          </cell>
          <cell r="BG488">
            <v>45402</v>
          </cell>
        </row>
        <row r="489">
          <cell r="A489">
            <v>868</v>
          </cell>
          <cell r="B489">
            <v>489</v>
          </cell>
          <cell r="C489" t="str">
            <v>PN-46(P)</v>
          </cell>
          <cell r="D489">
            <v>8.15</v>
          </cell>
          <cell r="E489">
            <v>40</v>
          </cell>
          <cell r="F489">
            <v>24</v>
          </cell>
          <cell r="G489">
            <v>40</v>
          </cell>
          <cell r="H489">
            <v>0</v>
          </cell>
          <cell r="I489" t="str">
            <v>-</v>
          </cell>
          <cell r="J489" t="str">
            <v>650/660</v>
          </cell>
          <cell r="K489" t="str">
            <v xml:space="preserve">CPIII 40 RS </v>
          </cell>
          <cell r="L489" t="str">
            <v>CP V</v>
          </cell>
          <cell r="M489" t="str">
            <v>SUPER PLASTIFICANTE</v>
          </cell>
          <cell r="N489" t="str">
            <v>EFLUENTE TRATADO  -  TANQUE RA600TN</v>
          </cell>
          <cell r="O489" t="str">
            <v>FORTANKS</v>
          </cell>
          <cell r="P489" t="str">
            <v>02</v>
          </cell>
          <cell r="Q489" t="str">
            <v>Gean</v>
          </cell>
          <cell r="R489">
            <v>45402</v>
          </cell>
          <cell r="S489">
            <v>0.375</v>
          </cell>
          <cell r="T489">
            <v>0.36499999999999999</v>
          </cell>
          <cell r="U489" t="str">
            <v>X</v>
          </cell>
          <cell r="V489">
            <v>0.3125</v>
          </cell>
          <cell r="W489">
            <v>45.16</v>
          </cell>
          <cell r="X489">
            <v>46.73</v>
          </cell>
          <cell r="Y489">
            <v>0.41666666666666669</v>
          </cell>
          <cell r="Z489">
            <v>88.2</v>
          </cell>
          <cell r="AA489">
            <v>87.23</v>
          </cell>
          <cell r="AW489">
            <v>4</v>
          </cell>
          <cell r="AX489">
            <v>4</v>
          </cell>
          <cell r="AY489">
            <v>4</v>
          </cell>
          <cell r="AZ489">
            <v>4</v>
          </cell>
          <cell r="BA489" t="str">
            <v>VALE</v>
          </cell>
          <cell r="BB489">
            <v>45403</v>
          </cell>
          <cell r="BG489">
            <v>45402</v>
          </cell>
        </row>
        <row r="490">
          <cell r="A490">
            <v>869</v>
          </cell>
          <cell r="B490">
            <v>490</v>
          </cell>
          <cell r="C490" t="str">
            <v>PN-45(P)</v>
          </cell>
          <cell r="D490">
            <v>8.15</v>
          </cell>
          <cell r="E490">
            <v>40</v>
          </cell>
          <cell r="F490">
            <v>24</v>
          </cell>
          <cell r="G490">
            <v>40</v>
          </cell>
          <cell r="H490">
            <v>0</v>
          </cell>
          <cell r="I490" t="str">
            <v>-</v>
          </cell>
          <cell r="J490" t="str">
            <v>660/670</v>
          </cell>
          <cell r="K490" t="str">
            <v xml:space="preserve">CPIII 40 RS </v>
          </cell>
          <cell r="L490" t="str">
            <v>CP V</v>
          </cell>
          <cell r="M490" t="str">
            <v>SUPER PLASTIFICANTE</v>
          </cell>
          <cell r="N490" t="str">
            <v>EFLUENTE TRATADO  -  TANQUE RA600TN</v>
          </cell>
          <cell r="O490" t="str">
            <v>FORTANKS</v>
          </cell>
          <cell r="P490" t="str">
            <v>01</v>
          </cell>
          <cell r="Q490" t="str">
            <v>Gean</v>
          </cell>
          <cell r="R490">
            <v>45402</v>
          </cell>
          <cell r="S490">
            <v>0.44791666666666669</v>
          </cell>
          <cell r="T490">
            <v>0.43791666666666668</v>
          </cell>
          <cell r="U490" t="str">
            <v>X</v>
          </cell>
          <cell r="V490">
            <v>0.3125</v>
          </cell>
          <cell r="W490">
            <v>44.97</v>
          </cell>
          <cell r="X490">
            <v>47.39</v>
          </cell>
          <cell r="Y490">
            <v>0.41666666666666669</v>
          </cell>
          <cell r="Z490">
            <v>86.1</v>
          </cell>
          <cell r="AA490">
            <v>84.9</v>
          </cell>
          <cell r="AW490">
            <v>4</v>
          </cell>
          <cell r="AX490">
            <v>3</v>
          </cell>
          <cell r="AY490">
            <v>4</v>
          </cell>
          <cell r="AZ490">
            <v>4</v>
          </cell>
          <cell r="BA490" t="str">
            <v>VALE</v>
          </cell>
          <cell r="BB490">
            <v>45403</v>
          </cell>
          <cell r="BG490">
            <v>45402</v>
          </cell>
        </row>
        <row r="491">
          <cell r="A491">
            <v>870</v>
          </cell>
          <cell r="B491">
            <v>491</v>
          </cell>
          <cell r="C491" t="str">
            <v>PN-44(P)</v>
          </cell>
          <cell r="D491">
            <v>8.15</v>
          </cell>
          <cell r="E491">
            <v>40</v>
          </cell>
          <cell r="F491">
            <v>24</v>
          </cell>
          <cell r="G491">
            <v>40</v>
          </cell>
          <cell r="H491">
            <v>0</v>
          </cell>
          <cell r="I491" t="str">
            <v>-</v>
          </cell>
          <cell r="J491" t="str">
            <v>650/650</v>
          </cell>
          <cell r="K491" t="str">
            <v xml:space="preserve">CPIII 40 RS </v>
          </cell>
          <cell r="L491" t="str">
            <v>CP V</v>
          </cell>
          <cell r="M491" t="str">
            <v>SUPER PLASTIFICANTE</v>
          </cell>
          <cell r="N491" t="str">
            <v>EFLUENTE TRATADO  -  TANQUE RA600TN</v>
          </cell>
          <cell r="O491" t="str">
            <v>FORTANKS</v>
          </cell>
          <cell r="P491" t="str">
            <v>02</v>
          </cell>
          <cell r="Q491" t="str">
            <v>Gean</v>
          </cell>
          <cell r="R491">
            <v>45402</v>
          </cell>
          <cell r="S491">
            <v>0.47916666666666669</v>
          </cell>
          <cell r="T491">
            <v>0.46916666666666668</v>
          </cell>
          <cell r="U491" t="str">
            <v>X</v>
          </cell>
          <cell r="V491">
            <v>0.3125</v>
          </cell>
          <cell r="W491">
            <v>47.85</v>
          </cell>
          <cell r="X491">
            <v>46.4</v>
          </cell>
          <cell r="Y491">
            <v>0.41666666666666669</v>
          </cell>
          <cell r="Z491">
            <v>87.17</v>
          </cell>
          <cell r="AA491">
            <v>88.46</v>
          </cell>
          <cell r="AW491">
            <v>4</v>
          </cell>
          <cell r="AX491">
            <v>4</v>
          </cell>
          <cell r="AY491">
            <v>4</v>
          </cell>
          <cell r="AZ491">
            <v>4</v>
          </cell>
          <cell r="BA491" t="str">
            <v>VALE</v>
          </cell>
          <cell r="BB491">
            <v>45403</v>
          </cell>
          <cell r="BG491">
            <v>45402</v>
          </cell>
        </row>
        <row r="492">
          <cell r="A492">
            <v>871</v>
          </cell>
          <cell r="B492">
            <v>492</v>
          </cell>
          <cell r="C492" t="str">
            <v>PN-44/ PN-45 /PN-46/ PN-47</v>
          </cell>
          <cell r="D492">
            <v>1.5</v>
          </cell>
          <cell r="E492">
            <v>40</v>
          </cell>
          <cell r="F492">
            <v>0</v>
          </cell>
          <cell r="G492">
            <v>40</v>
          </cell>
          <cell r="H492">
            <v>0</v>
          </cell>
          <cell r="I492" t="str">
            <v>-</v>
          </cell>
          <cell r="J492" t="str">
            <v>650/660</v>
          </cell>
          <cell r="K492" t="str">
            <v xml:space="preserve">CPIII 40 RS </v>
          </cell>
          <cell r="L492" t="str">
            <v>CP V</v>
          </cell>
          <cell r="M492" t="str">
            <v>SUPER PLASTIFICANTE</v>
          </cell>
          <cell r="N492" t="str">
            <v>EFLUENTE TRATADO  -  TANQUE RA600TN</v>
          </cell>
          <cell r="O492" t="str">
            <v>FORTANKS</v>
          </cell>
          <cell r="P492" t="str">
            <v>01</v>
          </cell>
          <cell r="Q492" t="str">
            <v>Gean</v>
          </cell>
          <cell r="R492">
            <v>45402</v>
          </cell>
          <cell r="S492">
            <v>0.625</v>
          </cell>
          <cell r="T492">
            <v>0.61499999999999999</v>
          </cell>
          <cell r="U492" t="str">
            <v>X</v>
          </cell>
          <cell r="V492">
            <v>0.3125</v>
          </cell>
          <cell r="W492">
            <v>34.14</v>
          </cell>
          <cell r="X492">
            <v>35.42</v>
          </cell>
          <cell r="Y492">
            <v>0.41666666666666669</v>
          </cell>
          <cell r="Z492">
            <v>87.7</v>
          </cell>
          <cell r="AA492">
            <v>86.34</v>
          </cell>
          <cell r="AW492">
            <v>4</v>
          </cell>
          <cell r="AX492">
            <v>4</v>
          </cell>
          <cell r="AY492">
            <v>4</v>
          </cell>
          <cell r="AZ492">
            <v>4</v>
          </cell>
          <cell r="BA492" t="str">
            <v>VALE</v>
          </cell>
          <cell r="BB492">
            <v>45403</v>
          </cell>
          <cell r="BG492">
            <v>45402</v>
          </cell>
        </row>
        <row r="493">
          <cell r="A493">
            <v>872</v>
          </cell>
          <cell r="B493">
            <v>493</v>
          </cell>
          <cell r="C493" t="str">
            <v>PN-55(P)</v>
          </cell>
          <cell r="D493">
            <v>8.15</v>
          </cell>
          <cell r="E493">
            <v>40</v>
          </cell>
          <cell r="F493">
            <v>24</v>
          </cell>
          <cell r="G493">
            <v>40</v>
          </cell>
          <cell r="H493">
            <v>0</v>
          </cell>
          <cell r="I493" t="str">
            <v>-</v>
          </cell>
          <cell r="J493" t="str">
            <v>660/660</v>
          </cell>
          <cell r="K493" t="str">
            <v xml:space="preserve">CPIII 40 RS </v>
          </cell>
          <cell r="L493" t="str">
            <v>CP V</v>
          </cell>
          <cell r="M493" t="str">
            <v>SUPER PLASTIFICANTE</v>
          </cell>
          <cell r="N493" t="str">
            <v>EFLUENTE TRATADO  -  TANQUE RA600TN</v>
          </cell>
          <cell r="O493" t="str">
            <v>FORTANKS</v>
          </cell>
          <cell r="P493" t="str">
            <v>02</v>
          </cell>
          <cell r="Q493" t="str">
            <v>Gean</v>
          </cell>
          <cell r="R493">
            <v>45406</v>
          </cell>
          <cell r="S493">
            <v>0.375</v>
          </cell>
          <cell r="T493">
            <v>0.36499999999999999</v>
          </cell>
          <cell r="U493" t="str">
            <v>X</v>
          </cell>
          <cell r="V493">
            <v>0.33333333333333331</v>
          </cell>
          <cell r="W493">
            <v>35.520000000000003</v>
          </cell>
          <cell r="X493">
            <v>34.590000000000003</v>
          </cell>
          <cell r="Y493">
            <v>0.41666666666666669</v>
          </cell>
          <cell r="Z493">
            <v>87.38</v>
          </cell>
          <cell r="AA493">
            <v>86.01</v>
          </cell>
          <cell r="AW493">
            <v>4</v>
          </cell>
          <cell r="AX493">
            <v>4</v>
          </cell>
          <cell r="AY493">
            <v>4</v>
          </cell>
          <cell r="AZ493">
            <v>4</v>
          </cell>
          <cell r="BA493" t="str">
            <v>VALE</v>
          </cell>
          <cell r="BB493">
            <v>45407</v>
          </cell>
          <cell r="BG493">
            <v>45406</v>
          </cell>
        </row>
        <row r="494">
          <cell r="A494">
            <v>873</v>
          </cell>
          <cell r="B494">
            <v>494</v>
          </cell>
          <cell r="C494" t="str">
            <v>PN-54(P)</v>
          </cell>
          <cell r="D494">
            <v>8.15</v>
          </cell>
          <cell r="E494">
            <v>40</v>
          </cell>
          <cell r="F494">
            <v>24</v>
          </cell>
          <cell r="G494">
            <v>40</v>
          </cell>
          <cell r="H494">
            <v>0</v>
          </cell>
          <cell r="I494" t="str">
            <v>-</v>
          </cell>
          <cell r="J494" t="str">
            <v>660/660</v>
          </cell>
          <cell r="K494" t="str">
            <v xml:space="preserve">CPIII 40 RS </v>
          </cell>
          <cell r="L494" t="str">
            <v>CP V</v>
          </cell>
          <cell r="M494" t="str">
            <v>SUPER PLASTIFICANTE</v>
          </cell>
          <cell r="N494" t="str">
            <v>EFLUENTE TRATADO  -  TANQUE RA600TN</v>
          </cell>
          <cell r="O494" t="str">
            <v>FORTANKS</v>
          </cell>
          <cell r="P494" t="str">
            <v>01</v>
          </cell>
          <cell r="Q494" t="str">
            <v>Gean</v>
          </cell>
          <cell r="R494">
            <v>45406</v>
          </cell>
          <cell r="S494">
            <v>0.39583333333333331</v>
          </cell>
          <cell r="T494">
            <v>0.38583333333333331</v>
          </cell>
          <cell r="U494" t="str">
            <v>X</v>
          </cell>
          <cell r="V494">
            <v>0.33333333333333331</v>
          </cell>
          <cell r="W494">
            <v>31.05</v>
          </cell>
          <cell r="X494">
            <v>28.61</v>
          </cell>
          <cell r="Y494">
            <v>0.41666666666666669</v>
          </cell>
          <cell r="Z494">
            <v>86.16</v>
          </cell>
          <cell r="AA494">
            <v>84.42</v>
          </cell>
          <cell r="AW494">
            <v>4</v>
          </cell>
          <cell r="AX494">
            <v>4</v>
          </cell>
          <cell r="AY494">
            <v>4</v>
          </cell>
          <cell r="AZ494">
            <v>4</v>
          </cell>
          <cell r="BA494" t="str">
            <v>VALE</v>
          </cell>
          <cell r="BB494">
            <v>45407</v>
          </cell>
          <cell r="BG494">
            <v>45406</v>
          </cell>
        </row>
        <row r="495">
          <cell r="A495">
            <v>874</v>
          </cell>
          <cell r="B495">
            <v>495</v>
          </cell>
          <cell r="C495" t="str">
            <v>PN-52(P)</v>
          </cell>
          <cell r="D495">
            <v>8.15</v>
          </cell>
          <cell r="E495">
            <v>40</v>
          </cell>
          <cell r="F495">
            <v>24</v>
          </cell>
          <cell r="G495">
            <v>40</v>
          </cell>
          <cell r="H495">
            <v>0</v>
          </cell>
          <cell r="I495" t="str">
            <v>-</v>
          </cell>
          <cell r="J495" t="str">
            <v>650/650</v>
          </cell>
          <cell r="K495" t="str">
            <v xml:space="preserve">CPIII 40 RS </v>
          </cell>
          <cell r="L495" t="str">
            <v>CP V</v>
          </cell>
          <cell r="M495" t="str">
            <v>SUPER PLASTIFICANTE</v>
          </cell>
          <cell r="N495" t="str">
            <v>EFLUENTE TRATADO  -  TANQUE RA600TN</v>
          </cell>
          <cell r="O495" t="str">
            <v>FORTANKS</v>
          </cell>
          <cell r="P495" t="str">
            <v>02</v>
          </cell>
          <cell r="Q495" t="str">
            <v>Gean</v>
          </cell>
          <cell r="R495">
            <v>45406</v>
          </cell>
          <cell r="S495">
            <v>0.4375</v>
          </cell>
          <cell r="T495">
            <v>0.42749999999999999</v>
          </cell>
          <cell r="U495" t="str">
            <v>X</v>
          </cell>
          <cell r="V495">
            <v>0.33333333333333331</v>
          </cell>
          <cell r="W495">
            <v>35.31</v>
          </cell>
          <cell r="X495">
            <v>34.85</v>
          </cell>
          <cell r="Y495">
            <v>0.41666666666666669</v>
          </cell>
          <cell r="Z495">
            <v>84.72</v>
          </cell>
          <cell r="AA495">
            <v>83.66</v>
          </cell>
          <cell r="AW495">
            <v>4</v>
          </cell>
          <cell r="AX495">
            <v>4</v>
          </cell>
          <cell r="AY495">
            <v>4</v>
          </cell>
          <cell r="AZ495">
            <v>4</v>
          </cell>
          <cell r="BA495" t="str">
            <v>VALE</v>
          </cell>
          <cell r="BB495">
            <v>45407</v>
          </cell>
          <cell r="BG495">
            <v>45406</v>
          </cell>
        </row>
        <row r="496">
          <cell r="A496">
            <v>875</v>
          </cell>
          <cell r="B496">
            <v>496</v>
          </cell>
          <cell r="C496" t="str">
            <v>PN-51(P)</v>
          </cell>
          <cell r="D496">
            <v>8.15</v>
          </cell>
          <cell r="E496">
            <v>40</v>
          </cell>
          <cell r="F496">
            <v>24</v>
          </cell>
          <cell r="G496">
            <v>40</v>
          </cell>
          <cell r="H496">
            <v>0</v>
          </cell>
          <cell r="I496" t="str">
            <v>-</v>
          </cell>
          <cell r="J496" t="str">
            <v>660/650</v>
          </cell>
          <cell r="K496" t="str">
            <v xml:space="preserve">CPIII 40 RS </v>
          </cell>
          <cell r="L496" t="str">
            <v>CP V</v>
          </cell>
          <cell r="M496" t="str">
            <v>SUPER PLASTIFICANTE</v>
          </cell>
          <cell r="N496" t="str">
            <v>EFLUENTE TRATADO  -  TANQUE RA600TN</v>
          </cell>
          <cell r="O496" t="str">
            <v>FORTANKS</v>
          </cell>
          <cell r="P496" t="str">
            <v>01</v>
          </cell>
          <cell r="Q496" t="str">
            <v>Gean</v>
          </cell>
          <cell r="R496">
            <v>45406</v>
          </cell>
          <cell r="S496">
            <v>0.47916666666666669</v>
          </cell>
          <cell r="T496">
            <v>0.46916666666666668</v>
          </cell>
          <cell r="U496" t="str">
            <v>X</v>
          </cell>
          <cell r="V496">
            <v>0.33333333333333331</v>
          </cell>
          <cell r="W496">
            <v>32.590000000000003</v>
          </cell>
          <cell r="X496">
            <v>30.16</v>
          </cell>
          <cell r="Y496">
            <v>0.41666666666666669</v>
          </cell>
          <cell r="Z496">
            <v>86.55</v>
          </cell>
          <cell r="AA496">
            <v>87.13</v>
          </cell>
          <cell r="AW496">
            <v>4</v>
          </cell>
          <cell r="AX496">
            <v>4</v>
          </cell>
          <cell r="AY496">
            <v>4</v>
          </cell>
          <cell r="AZ496">
            <v>3</v>
          </cell>
          <cell r="BA496" t="str">
            <v>VALE</v>
          </cell>
          <cell r="BB496">
            <v>45407</v>
          </cell>
          <cell r="BG496">
            <v>45406</v>
          </cell>
        </row>
        <row r="497">
          <cell r="A497">
            <v>876</v>
          </cell>
          <cell r="B497">
            <v>497</v>
          </cell>
          <cell r="C497" t="str">
            <v>PN-51/ PN-52/ PN-54/ PN-55 - VIGAS INTERNAS</v>
          </cell>
          <cell r="D497">
            <v>1</v>
          </cell>
          <cell r="E497">
            <v>40</v>
          </cell>
          <cell r="F497">
            <v>0</v>
          </cell>
          <cell r="G497">
            <v>40</v>
          </cell>
          <cell r="H497">
            <v>0</v>
          </cell>
          <cell r="I497" t="str">
            <v>-</v>
          </cell>
          <cell r="J497" t="str">
            <v>660/660</v>
          </cell>
          <cell r="K497" t="str">
            <v xml:space="preserve">CPIII 40 RS </v>
          </cell>
          <cell r="L497" t="str">
            <v>CP V</v>
          </cell>
          <cell r="M497" t="str">
            <v>SUPER PLASTIFICANTE</v>
          </cell>
          <cell r="N497" t="str">
            <v>EFLUENTE TRATADO  -  TANQUE RA600TN</v>
          </cell>
          <cell r="O497" t="str">
            <v>FORTANKS</v>
          </cell>
          <cell r="P497" t="str">
            <v>02</v>
          </cell>
          <cell r="Q497" t="str">
            <v>Gean</v>
          </cell>
          <cell r="R497">
            <v>45406</v>
          </cell>
          <cell r="S497">
            <v>0.58333333333333337</v>
          </cell>
          <cell r="T497">
            <v>0.57333333333333336</v>
          </cell>
          <cell r="U497" t="str">
            <v>X</v>
          </cell>
          <cell r="V497">
            <v>0.33333333333333331</v>
          </cell>
          <cell r="W497">
            <v>12.61</v>
          </cell>
          <cell r="X497">
            <v>13.84</v>
          </cell>
          <cell r="Y497">
            <v>0.41666666666666669</v>
          </cell>
          <cell r="Z497">
            <v>86.44</v>
          </cell>
          <cell r="AA497">
            <v>85.34</v>
          </cell>
          <cell r="AW497">
            <v>4</v>
          </cell>
          <cell r="AX497">
            <v>4</v>
          </cell>
          <cell r="AY497">
            <v>3</v>
          </cell>
          <cell r="AZ497">
            <v>4</v>
          </cell>
          <cell r="BA497" t="str">
            <v>VALE</v>
          </cell>
          <cell r="BB497">
            <v>45407</v>
          </cell>
          <cell r="BG497">
            <v>45406</v>
          </cell>
        </row>
        <row r="498">
          <cell r="A498">
            <v>877</v>
          </cell>
          <cell r="B498">
            <v>498</v>
          </cell>
          <cell r="C498" t="str">
            <v>PN-60(P)</v>
          </cell>
          <cell r="D498">
            <v>8.15</v>
          </cell>
          <cell r="E498">
            <v>40</v>
          </cell>
          <cell r="F498">
            <v>24</v>
          </cell>
          <cell r="G498">
            <v>40</v>
          </cell>
          <cell r="H498">
            <v>0</v>
          </cell>
          <cell r="I498" t="str">
            <v>-</v>
          </cell>
          <cell r="J498" t="str">
            <v>660/670</v>
          </cell>
          <cell r="K498" t="str">
            <v xml:space="preserve">CPIII 40 RS </v>
          </cell>
          <cell r="L498" t="str">
            <v>CP V</v>
          </cell>
          <cell r="M498" t="str">
            <v>SUPER PLASTIFICANTE</v>
          </cell>
          <cell r="N498" t="str">
            <v>EFLUENTE TRATADO  -  TANQUE RA600TN</v>
          </cell>
          <cell r="O498" t="str">
            <v>FORTANKS</v>
          </cell>
          <cell r="P498" t="str">
            <v>01</v>
          </cell>
          <cell r="Q498" t="str">
            <v>Gean</v>
          </cell>
          <cell r="R498">
            <v>45408</v>
          </cell>
          <cell r="S498">
            <v>0.44791666666666669</v>
          </cell>
          <cell r="T498">
            <v>0.43791666666666668</v>
          </cell>
          <cell r="U498" t="str">
            <v>X</v>
          </cell>
          <cell r="V498">
            <v>0.54166666666666663</v>
          </cell>
          <cell r="W498">
            <v>26.11</v>
          </cell>
          <cell r="X498">
            <v>24.77</v>
          </cell>
          <cell r="Y498">
            <v>0.41666666666666669</v>
          </cell>
          <cell r="Z498">
            <v>77.91</v>
          </cell>
          <cell r="AA498">
            <v>77.569999999999993</v>
          </cell>
          <cell r="AW498">
            <v>4</v>
          </cell>
          <cell r="AX498">
            <v>4</v>
          </cell>
          <cell r="AY498">
            <v>3</v>
          </cell>
          <cell r="AZ498">
            <v>3</v>
          </cell>
          <cell r="BA498" t="str">
            <v>VALE</v>
          </cell>
          <cell r="BB498">
            <v>45409</v>
          </cell>
          <cell r="BG498">
            <v>45408</v>
          </cell>
        </row>
        <row r="499">
          <cell r="A499">
            <v>878</v>
          </cell>
          <cell r="B499">
            <v>499</v>
          </cell>
          <cell r="C499" t="str">
            <v>PN-59(P)</v>
          </cell>
          <cell r="D499">
            <v>8.15</v>
          </cell>
          <cell r="E499">
            <v>40</v>
          </cell>
          <cell r="F499">
            <v>24</v>
          </cell>
          <cell r="G499">
            <v>40</v>
          </cell>
          <cell r="H499">
            <v>0</v>
          </cell>
          <cell r="I499" t="str">
            <v>-</v>
          </cell>
          <cell r="J499" t="str">
            <v>660/660</v>
          </cell>
          <cell r="K499" t="str">
            <v xml:space="preserve">CPIII 40 RS </v>
          </cell>
          <cell r="L499" t="str">
            <v>CP V</v>
          </cell>
          <cell r="M499" t="str">
            <v>SUPER PLASTIFICANTE</v>
          </cell>
          <cell r="N499" t="str">
            <v>EFLUENTE TRATADO  -  TANQUE RA600TN</v>
          </cell>
          <cell r="O499" t="str">
            <v>FORTANKS</v>
          </cell>
          <cell r="P499" t="str">
            <v>02</v>
          </cell>
          <cell r="Q499" t="str">
            <v>Gean</v>
          </cell>
          <cell r="R499">
            <v>45408</v>
          </cell>
          <cell r="S499">
            <v>0.47916666666666669</v>
          </cell>
          <cell r="T499">
            <v>0.46916666666666668</v>
          </cell>
          <cell r="U499" t="str">
            <v>X</v>
          </cell>
          <cell r="V499">
            <v>0.54166666666666663</v>
          </cell>
          <cell r="W499">
            <v>25.96</v>
          </cell>
          <cell r="X499">
            <v>24.37</v>
          </cell>
          <cell r="Y499">
            <v>0.41666666666666669</v>
          </cell>
          <cell r="Z499">
            <v>86.09</v>
          </cell>
          <cell r="AA499">
            <v>85.67</v>
          </cell>
          <cell r="AW499">
            <v>4</v>
          </cell>
          <cell r="AX499">
            <v>4</v>
          </cell>
          <cell r="AY499">
            <v>4</v>
          </cell>
          <cell r="AZ499">
            <v>4</v>
          </cell>
          <cell r="BA499" t="str">
            <v>VALE</v>
          </cell>
          <cell r="BB499">
            <v>45409</v>
          </cell>
          <cell r="BG499">
            <v>45408</v>
          </cell>
        </row>
        <row r="500">
          <cell r="A500">
            <v>879</v>
          </cell>
          <cell r="B500">
            <v>500</v>
          </cell>
          <cell r="C500" t="str">
            <v>PN-58(P)</v>
          </cell>
          <cell r="D500">
            <v>8.15</v>
          </cell>
          <cell r="E500">
            <v>40</v>
          </cell>
          <cell r="F500">
            <v>24</v>
          </cell>
          <cell r="G500">
            <v>40</v>
          </cell>
          <cell r="H500">
            <v>0</v>
          </cell>
          <cell r="I500" t="str">
            <v>-</v>
          </cell>
          <cell r="J500" t="str">
            <v>650/650</v>
          </cell>
          <cell r="K500" t="str">
            <v xml:space="preserve">CPIII 40 RS </v>
          </cell>
          <cell r="L500" t="str">
            <v>CP V</v>
          </cell>
          <cell r="M500" t="str">
            <v>SUPER PLASTIFICANTE</v>
          </cell>
          <cell r="N500" t="str">
            <v>EFLUENTE TRATADO  -  TANQUE RA600TN</v>
          </cell>
          <cell r="O500" t="str">
            <v>FORTANKS</v>
          </cell>
          <cell r="P500" t="str">
            <v>01</v>
          </cell>
          <cell r="Q500" t="str">
            <v>Gean</v>
          </cell>
          <cell r="R500">
            <v>45408</v>
          </cell>
          <cell r="S500">
            <v>0.5</v>
          </cell>
          <cell r="T500">
            <v>0.49</v>
          </cell>
          <cell r="U500" t="str">
            <v>X</v>
          </cell>
          <cell r="V500">
            <v>0.54166666666666663</v>
          </cell>
          <cell r="W500">
            <v>25.13</v>
          </cell>
          <cell r="X500">
            <v>24.13</v>
          </cell>
          <cell r="Y500">
            <v>0.41666666666666669</v>
          </cell>
          <cell r="Z500">
            <v>86.75</v>
          </cell>
          <cell r="AA500">
            <v>85.95</v>
          </cell>
          <cell r="AW500">
            <v>4</v>
          </cell>
          <cell r="AX500">
            <v>4</v>
          </cell>
          <cell r="AY500">
            <v>4</v>
          </cell>
          <cell r="AZ500">
            <v>4</v>
          </cell>
          <cell r="BA500" t="str">
            <v>VALE</v>
          </cell>
          <cell r="BB500">
            <v>45409</v>
          </cell>
          <cell r="BG500">
            <v>45408</v>
          </cell>
        </row>
        <row r="501">
          <cell r="A501">
            <v>880</v>
          </cell>
          <cell r="B501">
            <v>501</v>
          </cell>
          <cell r="C501" t="str">
            <v>PN-56(P)</v>
          </cell>
          <cell r="D501">
            <v>8.15</v>
          </cell>
          <cell r="E501">
            <v>40</v>
          </cell>
          <cell r="F501">
            <v>24</v>
          </cell>
          <cell r="G501">
            <v>40</v>
          </cell>
          <cell r="H501">
            <v>0</v>
          </cell>
          <cell r="I501" t="str">
            <v>-</v>
          </cell>
          <cell r="J501" t="str">
            <v>670/670</v>
          </cell>
          <cell r="K501" t="str">
            <v xml:space="preserve">CPIII 40 RS </v>
          </cell>
          <cell r="L501" t="str">
            <v>CP V</v>
          </cell>
          <cell r="M501" t="str">
            <v>SUPER PLASTIFICANTE</v>
          </cell>
          <cell r="N501" t="str">
            <v>EFLUENTE TRATADO  -  TANQUE RA600TN</v>
          </cell>
          <cell r="O501" t="str">
            <v>FORTANKS</v>
          </cell>
          <cell r="P501" t="str">
            <v>02</v>
          </cell>
          <cell r="Q501" t="str">
            <v>Gean</v>
          </cell>
          <cell r="R501">
            <v>45408</v>
          </cell>
          <cell r="S501">
            <v>0.54166666666666663</v>
          </cell>
          <cell r="T501">
            <v>0.53166666666666662</v>
          </cell>
          <cell r="U501" t="str">
            <v>X</v>
          </cell>
          <cell r="V501">
            <v>0.54166666666666663</v>
          </cell>
          <cell r="W501">
            <v>27.1</v>
          </cell>
          <cell r="X501">
            <v>26.54</v>
          </cell>
          <cell r="Y501">
            <v>0.41666666666666669</v>
          </cell>
          <cell r="Z501">
            <v>85.55</v>
          </cell>
          <cell r="AA501">
            <v>84.85</v>
          </cell>
          <cell r="AW501">
            <v>4</v>
          </cell>
          <cell r="AX501">
            <v>4</v>
          </cell>
          <cell r="AY501">
            <v>4</v>
          </cell>
          <cell r="AZ501">
            <v>4</v>
          </cell>
          <cell r="BA501" t="str">
            <v>VALE</v>
          </cell>
          <cell r="BB501">
            <v>45409</v>
          </cell>
          <cell r="BG501">
            <v>45408</v>
          </cell>
        </row>
        <row r="502">
          <cell r="A502">
            <v>881</v>
          </cell>
          <cell r="B502">
            <v>502</v>
          </cell>
          <cell r="C502" t="str">
            <v xml:space="preserve">PN-56/ PN-60/ PN-58/ PN-59 - VIGAS INTERNAS </v>
          </cell>
          <cell r="D502">
            <v>8.15</v>
          </cell>
          <cell r="E502">
            <v>40</v>
          </cell>
          <cell r="F502">
            <v>0</v>
          </cell>
          <cell r="G502">
            <v>40</v>
          </cell>
          <cell r="H502">
            <v>0</v>
          </cell>
          <cell r="I502" t="str">
            <v>-</v>
          </cell>
          <cell r="J502" t="str">
            <v>660/670</v>
          </cell>
          <cell r="K502" t="str">
            <v xml:space="preserve">CPIII 40 RS </v>
          </cell>
          <cell r="L502" t="str">
            <v>CP V</v>
          </cell>
          <cell r="M502" t="str">
            <v>SUPER PLASTIFICANTE</v>
          </cell>
          <cell r="N502" t="str">
            <v>EFLUENTE TRATADO  -  TANQUE RA600TN</v>
          </cell>
          <cell r="O502" t="str">
            <v>FORTANKS</v>
          </cell>
          <cell r="P502" t="str">
            <v>01</v>
          </cell>
          <cell r="Q502" t="str">
            <v>Gean</v>
          </cell>
          <cell r="R502">
            <v>45408</v>
          </cell>
          <cell r="S502">
            <v>0.64583333333333337</v>
          </cell>
          <cell r="T502">
            <v>0.63583333333333336</v>
          </cell>
          <cell r="U502" t="str">
            <v>X</v>
          </cell>
          <cell r="V502">
            <v>0.54166666666666663</v>
          </cell>
          <cell r="W502">
            <v>15.14</v>
          </cell>
          <cell r="X502">
            <v>16.18</v>
          </cell>
          <cell r="Y502">
            <v>0.41666666666666669</v>
          </cell>
          <cell r="Z502">
            <v>86.59</v>
          </cell>
          <cell r="AA502">
            <v>58.94</v>
          </cell>
          <cell r="AW502">
            <v>4</v>
          </cell>
          <cell r="AX502">
            <v>4</v>
          </cell>
          <cell r="AY502">
            <v>4</v>
          </cell>
          <cell r="AZ502">
            <v>4</v>
          </cell>
          <cell r="BA502" t="str">
            <v>VALE</v>
          </cell>
          <cell r="BB502">
            <v>45409</v>
          </cell>
          <cell r="BG502">
            <v>45408</v>
          </cell>
        </row>
        <row r="503">
          <cell r="A503">
            <v>882</v>
          </cell>
          <cell r="B503">
            <v>503</v>
          </cell>
          <cell r="C503" t="str">
            <v>PN-65(P)</v>
          </cell>
          <cell r="D503">
            <v>8</v>
          </cell>
          <cell r="E503">
            <v>40</v>
          </cell>
          <cell r="F503">
            <v>24</v>
          </cell>
          <cell r="G503">
            <v>40</v>
          </cell>
          <cell r="H503">
            <v>0</v>
          </cell>
          <cell r="I503" t="str">
            <v>-</v>
          </cell>
          <cell r="J503" t="str">
            <v>650/650</v>
          </cell>
          <cell r="K503" t="str">
            <v xml:space="preserve">CPIII 40 RS </v>
          </cell>
          <cell r="L503" t="str">
            <v>CP V</v>
          </cell>
          <cell r="M503" t="str">
            <v>SUPER PLASTIFICANTE</v>
          </cell>
          <cell r="N503" t="str">
            <v>EFLUENTE TRATADO  -  TANQUE RA600TN</v>
          </cell>
          <cell r="O503" t="str">
            <v>FORTANKS</v>
          </cell>
          <cell r="P503" t="str">
            <v>01</v>
          </cell>
          <cell r="Q503" t="str">
            <v>Gean</v>
          </cell>
          <cell r="R503">
            <v>45412</v>
          </cell>
          <cell r="S503">
            <v>0.39583333333333331</v>
          </cell>
          <cell r="T503">
            <v>0.38583333333333331</v>
          </cell>
          <cell r="U503" t="str">
            <v>X</v>
          </cell>
          <cell r="V503">
            <v>0.3125</v>
          </cell>
          <cell r="W503">
            <v>51.95</v>
          </cell>
          <cell r="X503">
            <v>49.48</v>
          </cell>
          <cell r="Y503">
            <v>0.41666666666666669</v>
          </cell>
          <cell r="Z503">
            <v>85.67</v>
          </cell>
          <cell r="AA503">
            <v>86.19</v>
          </cell>
          <cell r="AW503">
            <v>4</v>
          </cell>
          <cell r="AX503">
            <v>4</v>
          </cell>
          <cell r="AY503">
            <v>4</v>
          </cell>
          <cell r="AZ503">
            <v>4</v>
          </cell>
          <cell r="BA503" t="str">
            <v>VALE</v>
          </cell>
          <cell r="BB503">
            <v>45413</v>
          </cell>
          <cell r="BG503">
            <v>45412</v>
          </cell>
        </row>
        <row r="504">
          <cell r="A504">
            <v>883</v>
          </cell>
          <cell r="B504">
            <v>504</v>
          </cell>
          <cell r="C504" t="str">
            <v>PN-64(P)</v>
          </cell>
          <cell r="D504">
            <v>8</v>
          </cell>
          <cell r="E504">
            <v>40</v>
          </cell>
          <cell r="F504">
            <v>24</v>
          </cell>
          <cell r="G504">
            <v>40</v>
          </cell>
          <cell r="H504">
            <v>0</v>
          </cell>
          <cell r="I504" t="str">
            <v>-</v>
          </cell>
          <cell r="J504" t="str">
            <v>660/670</v>
          </cell>
          <cell r="K504" t="str">
            <v xml:space="preserve">CPIII 40 RS </v>
          </cell>
          <cell r="L504" t="str">
            <v>CP V</v>
          </cell>
          <cell r="M504" t="str">
            <v>SUPER PLASTIFICANTE</v>
          </cell>
          <cell r="N504" t="str">
            <v>EFLUENTE TRATADO  -  TANQUE RA600TN</v>
          </cell>
          <cell r="O504" t="str">
            <v>FORTANKS</v>
          </cell>
          <cell r="P504" t="str">
            <v>02</v>
          </cell>
          <cell r="Q504" t="str">
            <v>Gean</v>
          </cell>
          <cell r="R504">
            <v>45412</v>
          </cell>
          <cell r="S504">
            <v>0.41666666666666669</v>
          </cell>
          <cell r="T504">
            <v>0.40666666666666668</v>
          </cell>
          <cell r="U504" t="str">
            <v>X</v>
          </cell>
          <cell r="V504">
            <v>0.3125</v>
          </cell>
          <cell r="W504">
            <v>44.78</v>
          </cell>
          <cell r="X504">
            <v>44.67</v>
          </cell>
          <cell r="Y504">
            <v>0.41666666666666669</v>
          </cell>
          <cell r="Z504">
            <v>86.01</v>
          </cell>
          <cell r="AA504">
            <v>86.63</v>
          </cell>
          <cell r="AW504">
            <v>4</v>
          </cell>
          <cell r="AX504">
            <v>4</v>
          </cell>
          <cell r="AY504">
            <v>4</v>
          </cell>
          <cell r="AZ504">
            <v>4</v>
          </cell>
          <cell r="BA504" t="str">
            <v>VALE</v>
          </cell>
          <cell r="BB504">
            <v>45413</v>
          </cell>
          <cell r="BG504">
            <v>45412</v>
          </cell>
        </row>
        <row r="505">
          <cell r="A505">
            <v>884</v>
          </cell>
          <cell r="B505">
            <v>505</v>
          </cell>
          <cell r="C505" t="str">
            <v>PN-63(P)</v>
          </cell>
          <cell r="D505">
            <v>8</v>
          </cell>
          <cell r="E505">
            <v>40</v>
          </cell>
          <cell r="F505">
            <v>24</v>
          </cell>
          <cell r="G505">
            <v>40</v>
          </cell>
          <cell r="H505">
            <v>0</v>
          </cell>
          <cell r="I505" t="str">
            <v>-</v>
          </cell>
          <cell r="J505" t="str">
            <v>660/660</v>
          </cell>
          <cell r="K505" t="str">
            <v xml:space="preserve">CPIII 40 RS </v>
          </cell>
          <cell r="L505" t="str">
            <v>CP V</v>
          </cell>
          <cell r="M505" t="str">
            <v>SUPER PLASTIFICANTE</v>
          </cell>
          <cell r="N505" t="str">
            <v>EFLUENTE TRATADO  -  TANQUE RA600TN</v>
          </cell>
          <cell r="O505" t="str">
            <v>FORTANKS</v>
          </cell>
          <cell r="P505" t="str">
            <v>01</v>
          </cell>
          <cell r="Q505" t="str">
            <v>Gean</v>
          </cell>
          <cell r="R505">
            <v>45412</v>
          </cell>
          <cell r="S505">
            <v>0.47916666666666669</v>
          </cell>
          <cell r="T505">
            <v>0.46916666666666668</v>
          </cell>
          <cell r="U505" t="str">
            <v>X</v>
          </cell>
          <cell r="V505">
            <v>0.3125</v>
          </cell>
          <cell r="W505">
            <v>45.86</v>
          </cell>
          <cell r="X505">
            <v>47.35</v>
          </cell>
          <cell r="Y505">
            <v>0.41666666666666669</v>
          </cell>
          <cell r="Z505">
            <v>85.54</v>
          </cell>
          <cell r="AA505">
            <v>83.68</v>
          </cell>
          <cell r="AW505">
            <v>4</v>
          </cell>
          <cell r="AX505">
            <v>4</v>
          </cell>
          <cell r="AY505">
            <v>4</v>
          </cell>
          <cell r="AZ505">
            <v>4</v>
          </cell>
          <cell r="BA505" t="str">
            <v>VALE</v>
          </cell>
          <cell r="BB505">
            <v>45413</v>
          </cell>
          <cell r="BG505">
            <v>45412</v>
          </cell>
        </row>
        <row r="506">
          <cell r="A506">
            <v>885</v>
          </cell>
          <cell r="B506">
            <v>506</v>
          </cell>
          <cell r="C506" t="str">
            <v>PN-62(P)</v>
          </cell>
          <cell r="D506">
            <v>8</v>
          </cell>
          <cell r="E506">
            <v>40</v>
          </cell>
          <cell r="F506">
            <v>24</v>
          </cell>
          <cell r="G506">
            <v>40</v>
          </cell>
          <cell r="H506">
            <v>0</v>
          </cell>
          <cell r="I506" t="str">
            <v>-</v>
          </cell>
          <cell r="J506" t="str">
            <v>660/670</v>
          </cell>
          <cell r="K506" t="str">
            <v xml:space="preserve">CPIII 40 RS </v>
          </cell>
          <cell r="L506" t="str">
            <v>CP V</v>
          </cell>
          <cell r="M506" t="str">
            <v>SUPER PLASTIFICANTE</v>
          </cell>
          <cell r="N506" t="str">
            <v>EFLUENTE TRATADO  -  TANQUE RA600TN</v>
          </cell>
          <cell r="O506" t="str">
            <v>FORTANKS</v>
          </cell>
          <cell r="P506" t="str">
            <v>02</v>
          </cell>
          <cell r="Q506" t="str">
            <v>Gean</v>
          </cell>
          <cell r="R506">
            <v>45412</v>
          </cell>
          <cell r="S506">
            <v>0.5</v>
          </cell>
          <cell r="T506">
            <v>0.49</v>
          </cell>
          <cell r="U506" t="str">
            <v>X</v>
          </cell>
          <cell r="V506">
            <v>0.3125</v>
          </cell>
          <cell r="W506">
            <v>45.1</v>
          </cell>
          <cell r="X506">
            <v>46.43</v>
          </cell>
          <cell r="Y506">
            <v>0.41666666666666669</v>
          </cell>
          <cell r="Z506">
            <v>86.31</v>
          </cell>
          <cell r="AA506">
            <v>85.83</v>
          </cell>
          <cell r="AW506">
            <v>4</v>
          </cell>
          <cell r="AX506">
            <v>4</v>
          </cell>
          <cell r="AY506">
            <v>4</v>
          </cell>
          <cell r="AZ506">
            <v>4</v>
          </cell>
          <cell r="BA506" t="str">
            <v>VALE</v>
          </cell>
          <cell r="BB506">
            <v>45413</v>
          </cell>
          <cell r="BG506">
            <v>45412</v>
          </cell>
        </row>
        <row r="507">
          <cell r="A507">
            <v>886</v>
          </cell>
          <cell r="B507">
            <v>507</v>
          </cell>
          <cell r="C507" t="str">
            <v>PN-62/ PN-63/ PN-64/ PN-65 - VIGAS INTERNAS</v>
          </cell>
          <cell r="D507">
            <v>1</v>
          </cell>
          <cell r="E507">
            <v>40</v>
          </cell>
          <cell r="F507">
            <v>0</v>
          </cell>
          <cell r="G507">
            <v>40</v>
          </cell>
          <cell r="H507">
            <v>0</v>
          </cell>
          <cell r="I507" t="str">
            <v>-</v>
          </cell>
          <cell r="J507" t="str">
            <v>660/660</v>
          </cell>
          <cell r="K507" t="str">
            <v xml:space="preserve">CPIII 40 RS </v>
          </cell>
          <cell r="L507" t="str">
            <v>CP V</v>
          </cell>
          <cell r="M507" t="str">
            <v>SUPER PLASTIFICANTE</v>
          </cell>
          <cell r="N507" t="str">
            <v>EFLUENTE TRATADO  -  TANQUE RA600TN</v>
          </cell>
          <cell r="O507" t="str">
            <v>FORTANKS</v>
          </cell>
          <cell r="P507" t="str">
            <v>01</v>
          </cell>
          <cell r="Q507" t="str">
            <v>Gean</v>
          </cell>
          <cell r="R507">
            <v>45412</v>
          </cell>
          <cell r="S507">
            <v>0.625</v>
          </cell>
          <cell r="T507">
            <v>0.61499999999999999</v>
          </cell>
          <cell r="U507" t="str">
            <v>X</v>
          </cell>
          <cell r="V507">
            <v>0.3125</v>
          </cell>
          <cell r="W507">
            <v>40.799999999999997</v>
          </cell>
          <cell r="X507">
            <v>38.92</v>
          </cell>
          <cell r="Y507">
            <v>0.41666666666666669</v>
          </cell>
          <cell r="Z507">
            <v>87.01</v>
          </cell>
          <cell r="AA507">
            <v>86.99</v>
          </cell>
          <cell r="AW507">
            <v>4</v>
          </cell>
          <cell r="AX507">
            <v>4</v>
          </cell>
          <cell r="AY507">
            <v>4</v>
          </cell>
          <cell r="AZ507">
            <v>4</v>
          </cell>
          <cell r="BA507" t="str">
            <v>VALE</v>
          </cell>
          <cell r="BB507">
            <v>45413</v>
          </cell>
          <cell r="BG507">
            <v>45412</v>
          </cell>
        </row>
        <row r="508">
          <cell r="A508">
            <v>887</v>
          </cell>
          <cell r="B508">
            <v>508</v>
          </cell>
          <cell r="C508" t="str">
            <v>PN-69(P)</v>
          </cell>
          <cell r="D508">
            <v>8</v>
          </cell>
          <cell r="E508">
            <v>40</v>
          </cell>
          <cell r="F508">
            <v>24</v>
          </cell>
          <cell r="G508">
            <v>40</v>
          </cell>
          <cell r="H508">
            <v>0</v>
          </cell>
          <cell r="I508" t="str">
            <v>-</v>
          </cell>
          <cell r="J508" t="str">
            <v>660/660</v>
          </cell>
          <cell r="K508" t="str">
            <v xml:space="preserve">CPIII 40 RS </v>
          </cell>
          <cell r="L508" t="str">
            <v>CP V</v>
          </cell>
          <cell r="M508" t="str">
            <v>SUPER PLASTIFICANTE</v>
          </cell>
          <cell r="N508" t="str">
            <v>EFLUENTE TRATADO  -  TANQUE RA600TN</v>
          </cell>
          <cell r="O508" t="str">
            <v>FORTANKS</v>
          </cell>
          <cell r="P508" t="str">
            <v>01</v>
          </cell>
          <cell r="Q508" t="str">
            <v>Gean</v>
          </cell>
          <cell r="R508">
            <v>45415</v>
          </cell>
          <cell r="S508">
            <v>0.4375</v>
          </cell>
          <cell r="T508">
            <v>0.42749999999999999</v>
          </cell>
          <cell r="U508" t="str">
            <v>X</v>
          </cell>
          <cell r="V508">
            <v>0.3125</v>
          </cell>
          <cell r="W508">
            <v>33.4</v>
          </cell>
          <cell r="X508">
            <v>34.090000000000003</v>
          </cell>
          <cell r="Y508">
            <v>0.41666666666666669</v>
          </cell>
          <cell r="Z508">
            <v>86.44</v>
          </cell>
          <cell r="AA508">
            <v>87.13</v>
          </cell>
          <cell r="AW508">
            <v>4</v>
          </cell>
          <cell r="AX508">
            <v>4</v>
          </cell>
          <cell r="AY508">
            <v>4</v>
          </cell>
          <cell r="AZ508">
            <v>4</v>
          </cell>
          <cell r="BA508" t="str">
            <v>VALE</v>
          </cell>
          <cell r="BB508">
            <v>45416</v>
          </cell>
          <cell r="BG508">
            <v>45415</v>
          </cell>
        </row>
        <row r="509">
          <cell r="A509">
            <v>888</v>
          </cell>
          <cell r="B509">
            <v>509</v>
          </cell>
          <cell r="C509" t="str">
            <v>PN-68(P)</v>
          </cell>
          <cell r="D509">
            <v>8</v>
          </cell>
          <cell r="E509">
            <v>40</v>
          </cell>
          <cell r="F509">
            <v>24</v>
          </cell>
          <cell r="G509">
            <v>40</v>
          </cell>
          <cell r="H509">
            <v>0</v>
          </cell>
          <cell r="I509" t="str">
            <v>-</v>
          </cell>
          <cell r="J509" t="str">
            <v>660/650</v>
          </cell>
          <cell r="K509" t="str">
            <v xml:space="preserve">CPIII 40 RS </v>
          </cell>
          <cell r="L509" t="str">
            <v>CP V</v>
          </cell>
          <cell r="M509" t="str">
            <v>SUPER PLASTIFICANTE</v>
          </cell>
          <cell r="N509" t="str">
            <v>EFLUENTE TRATADO  -  TANQUE RA600TN</v>
          </cell>
          <cell r="O509" t="str">
            <v>FORTANKS</v>
          </cell>
          <cell r="P509" t="str">
            <v>02</v>
          </cell>
          <cell r="Q509" t="str">
            <v>Gean</v>
          </cell>
          <cell r="R509">
            <v>45415</v>
          </cell>
          <cell r="S509">
            <v>0.47916666666666669</v>
          </cell>
          <cell r="T509">
            <v>0.46916666666666668</v>
          </cell>
          <cell r="U509" t="str">
            <v>X</v>
          </cell>
          <cell r="V509">
            <v>0.3125</v>
          </cell>
          <cell r="W509">
            <v>27.54</v>
          </cell>
          <cell r="X509">
            <v>27.92</v>
          </cell>
          <cell r="Y509">
            <v>0.41666666666666669</v>
          </cell>
          <cell r="Z509">
            <v>86.5</v>
          </cell>
          <cell r="AA509">
            <v>86.72</v>
          </cell>
          <cell r="AW509">
            <v>4</v>
          </cell>
          <cell r="AX509">
            <v>4</v>
          </cell>
          <cell r="AY509">
            <v>4</v>
          </cell>
          <cell r="AZ509">
            <v>4</v>
          </cell>
          <cell r="BA509" t="str">
            <v>VALE</v>
          </cell>
          <cell r="BB509">
            <v>45416</v>
          </cell>
          <cell r="BG509">
            <v>45415</v>
          </cell>
        </row>
        <row r="510">
          <cell r="A510">
            <v>889</v>
          </cell>
          <cell r="B510">
            <v>510</v>
          </cell>
          <cell r="C510" t="str">
            <v>PN-67(P)</v>
          </cell>
          <cell r="D510">
            <v>8</v>
          </cell>
          <cell r="E510">
            <v>40</v>
          </cell>
          <cell r="F510">
            <v>24</v>
          </cell>
          <cell r="G510">
            <v>40</v>
          </cell>
          <cell r="H510">
            <v>0</v>
          </cell>
          <cell r="I510" t="str">
            <v>-</v>
          </cell>
          <cell r="J510" t="str">
            <v>650/650</v>
          </cell>
          <cell r="K510" t="str">
            <v xml:space="preserve">CPIII 40 RS </v>
          </cell>
          <cell r="L510" t="str">
            <v>CP V</v>
          </cell>
          <cell r="M510" t="str">
            <v>SUPER PLASTIFICANTE</v>
          </cell>
          <cell r="N510" t="str">
            <v>EFLUENTE TRATADO  -  TANQUE RA600TN</v>
          </cell>
          <cell r="O510" t="str">
            <v>FORTANKS</v>
          </cell>
          <cell r="P510" t="str">
            <v>01</v>
          </cell>
          <cell r="Q510" t="str">
            <v>Gean</v>
          </cell>
          <cell r="R510">
            <v>45415</v>
          </cell>
          <cell r="S510">
            <v>0.48958333333333331</v>
          </cell>
          <cell r="T510">
            <v>0.47958333333333331</v>
          </cell>
          <cell r="U510" t="str">
            <v>X</v>
          </cell>
          <cell r="V510">
            <v>0.3125</v>
          </cell>
          <cell r="W510">
            <v>27.19</v>
          </cell>
          <cell r="X510">
            <v>28.41</v>
          </cell>
          <cell r="Y510">
            <v>0.41666666666666669</v>
          </cell>
          <cell r="Z510">
            <v>85.55</v>
          </cell>
          <cell r="AA510">
            <v>83.57</v>
          </cell>
          <cell r="AW510">
            <v>4</v>
          </cell>
          <cell r="AX510">
            <v>4</v>
          </cell>
          <cell r="AY510">
            <v>4</v>
          </cell>
          <cell r="AZ510">
            <v>4</v>
          </cell>
          <cell r="BA510" t="str">
            <v>VALE</v>
          </cell>
          <cell r="BB510">
            <v>45416</v>
          </cell>
          <cell r="BG510">
            <v>45415</v>
          </cell>
        </row>
        <row r="511">
          <cell r="A511">
            <v>890</v>
          </cell>
          <cell r="B511">
            <v>511</v>
          </cell>
          <cell r="C511" t="str">
            <v>PN-66(P)</v>
          </cell>
          <cell r="D511">
            <v>8</v>
          </cell>
          <cell r="E511">
            <v>40</v>
          </cell>
          <cell r="F511">
            <v>24</v>
          </cell>
          <cell r="G511">
            <v>40</v>
          </cell>
          <cell r="H511">
            <v>0</v>
          </cell>
          <cell r="I511" t="str">
            <v>-</v>
          </cell>
          <cell r="J511" t="str">
            <v>660/660</v>
          </cell>
          <cell r="K511" t="str">
            <v xml:space="preserve">CPIII 40 RS </v>
          </cell>
          <cell r="L511" t="str">
            <v>CP V</v>
          </cell>
          <cell r="M511" t="str">
            <v>SUPER PLASTIFICANTE</v>
          </cell>
          <cell r="N511" t="str">
            <v>EFLUENTE TRATADO  -  TANQUE RA600TN</v>
          </cell>
          <cell r="O511" t="str">
            <v>FORTANKS</v>
          </cell>
          <cell r="P511" t="str">
            <v>02</v>
          </cell>
          <cell r="Q511" t="str">
            <v>Gean</v>
          </cell>
          <cell r="R511">
            <v>45415</v>
          </cell>
          <cell r="S511">
            <v>0.5</v>
          </cell>
          <cell r="T511">
            <v>0.49</v>
          </cell>
          <cell r="U511" t="str">
            <v>X</v>
          </cell>
          <cell r="V511">
            <v>0.3125</v>
          </cell>
          <cell r="W511">
            <v>28.56</v>
          </cell>
          <cell r="X511">
            <v>28.74</v>
          </cell>
          <cell r="Y511">
            <v>0.41666666666666669</v>
          </cell>
          <cell r="Z511">
            <v>85.92</v>
          </cell>
          <cell r="AA511">
            <v>86.75</v>
          </cell>
          <cell r="AW511">
            <v>4</v>
          </cell>
          <cell r="AX511">
            <v>4</v>
          </cell>
          <cell r="AY511">
            <v>4</v>
          </cell>
          <cell r="AZ511">
            <v>4</v>
          </cell>
          <cell r="BA511" t="str">
            <v>VALE</v>
          </cell>
          <cell r="BB511">
            <v>45416</v>
          </cell>
          <cell r="BG511">
            <v>45415</v>
          </cell>
        </row>
        <row r="512">
          <cell r="A512">
            <v>891</v>
          </cell>
          <cell r="B512">
            <v>512</v>
          </cell>
          <cell r="C512" t="str">
            <v>PN-66/ PN-67/ PN-68/ PN-69 - VIGAS INTERNAS</v>
          </cell>
          <cell r="D512">
            <v>1</v>
          </cell>
          <cell r="E512">
            <v>40</v>
          </cell>
          <cell r="F512">
            <v>0</v>
          </cell>
          <cell r="G512">
            <v>40</v>
          </cell>
          <cell r="H512">
            <v>0</v>
          </cell>
          <cell r="I512" t="str">
            <v>-</v>
          </cell>
          <cell r="J512" t="str">
            <v>650/660</v>
          </cell>
          <cell r="K512" t="str">
            <v xml:space="preserve">CPIII 40 RS </v>
          </cell>
          <cell r="L512" t="str">
            <v>CP V</v>
          </cell>
          <cell r="M512" t="str">
            <v>SUPER PLASTIFICANTE</v>
          </cell>
          <cell r="N512" t="str">
            <v>EFLUENTE TRATADO  -  TANQUE RA600TN</v>
          </cell>
          <cell r="O512" t="str">
            <v>FORTANKS</v>
          </cell>
          <cell r="P512" t="str">
            <v>01</v>
          </cell>
          <cell r="Q512" t="str">
            <v>Gean</v>
          </cell>
          <cell r="R512">
            <v>45415</v>
          </cell>
          <cell r="S512">
            <v>0.625</v>
          </cell>
          <cell r="T512">
            <v>0.61499999999999999</v>
          </cell>
          <cell r="U512" t="str">
            <v>X</v>
          </cell>
          <cell r="V512">
            <v>0.3125</v>
          </cell>
          <cell r="W512">
            <v>24.07</v>
          </cell>
          <cell r="X512">
            <v>23.25</v>
          </cell>
          <cell r="Y512">
            <v>0.41666666666666669</v>
          </cell>
          <cell r="Z512">
            <v>86.34</v>
          </cell>
          <cell r="AA512">
            <v>87.73</v>
          </cell>
          <cell r="AW512">
            <v>4</v>
          </cell>
          <cell r="AX512">
            <v>4</v>
          </cell>
          <cell r="AY512">
            <v>4</v>
          </cell>
          <cell r="AZ512">
            <v>4</v>
          </cell>
          <cell r="BA512" t="str">
            <v>VALE</v>
          </cell>
          <cell r="BB512">
            <v>45416</v>
          </cell>
          <cell r="BG512">
            <v>45415</v>
          </cell>
        </row>
        <row r="513">
          <cell r="A513">
            <v>892</v>
          </cell>
          <cell r="B513">
            <v>513</v>
          </cell>
          <cell r="C513" t="str">
            <v>PN-71(P)</v>
          </cell>
          <cell r="D513">
            <v>8</v>
          </cell>
          <cell r="E513">
            <v>40</v>
          </cell>
          <cell r="F513">
            <v>24</v>
          </cell>
          <cell r="G513">
            <v>40</v>
          </cell>
          <cell r="H513">
            <v>0</v>
          </cell>
          <cell r="I513" t="str">
            <v>-</v>
          </cell>
          <cell r="J513" t="str">
            <v>660/660</v>
          </cell>
          <cell r="K513" t="str">
            <v xml:space="preserve">CPIII 40 RS </v>
          </cell>
          <cell r="L513" t="str">
            <v>CP V</v>
          </cell>
          <cell r="M513" t="str">
            <v>SUPER PLASTIFICANTE</v>
          </cell>
          <cell r="N513" t="str">
            <v>EFLUENTE TRATADO  -  TANQUE RA600TN</v>
          </cell>
          <cell r="O513" t="str">
            <v>FORTANKS</v>
          </cell>
          <cell r="P513" t="str">
            <v>01</v>
          </cell>
          <cell r="Q513" t="str">
            <v>Gean</v>
          </cell>
          <cell r="R513">
            <v>45419</v>
          </cell>
          <cell r="S513">
            <v>0.39930555555555558</v>
          </cell>
          <cell r="T513">
            <v>0.38930555555555557</v>
          </cell>
          <cell r="U513" t="str">
            <v>X</v>
          </cell>
          <cell r="V513">
            <v>0.375</v>
          </cell>
          <cell r="W513">
            <v>31.85</v>
          </cell>
          <cell r="X513">
            <v>31.47</v>
          </cell>
          <cell r="Y513">
            <v>0.41666666666666669</v>
          </cell>
          <cell r="Z513">
            <v>72.930000000000007</v>
          </cell>
          <cell r="AA513">
            <v>71.33</v>
          </cell>
          <cell r="AW513">
            <v>4</v>
          </cell>
          <cell r="AX513">
            <v>4</v>
          </cell>
          <cell r="AY513">
            <v>4</v>
          </cell>
          <cell r="AZ513">
            <v>4</v>
          </cell>
          <cell r="BA513" t="str">
            <v>VALE</v>
          </cell>
          <cell r="BB513">
            <v>45420</v>
          </cell>
          <cell r="BG513">
            <v>45419</v>
          </cell>
        </row>
        <row r="514">
          <cell r="A514">
            <v>893</v>
          </cell>
          <cell r="B514">
            <v>514</v>
          </cell>
          <cell r="C514" t="str">
            <v>PN-70(P)</v>
          </cell>
          <cell r="D514">
            <v>8</v>
          </cell>
          <cell r="E514">
            <v>40</v>
          </cell>
          <cell r="F514">
            <v>24</v>
          </cell>
          <cell r="G514">
            <v>40</v>
          </cell>
          <cell r="H514">
            <v>0</v>
          </cell>
          <cell r="I514" t="str">
            <v>-</v>
          </cell>
          <cell r="J514" t="str">
            <v>660/650</v>
          </cell>
          <cell r="K514" t="str">
            <v xml:space="preserve">CPIII 40 RS </v>
          </cell>
          <cell r="L514" t="str">
            <v>CP V</v>
          </cell>
          <cell r="M514" t="str">
            <v>SUPER PLASTIFICANTE</v>
          </cell>
          <cell r="N514" t="str">
            <v>EFLUENTE TRATADO  -  TANQUE RA600TN</v>
          </cell>
          <cell r="O514" t="str">
            <v>FORTANKS</v>
          </cell>
          <cell r="P514" t="str">
            <v>02</v>
          </cell>
          <cell r="Q514" t="str">
            <v>Gean</v>
          </cell>
          <cell r="R514">
            <v>45419</v>
          </cell>
          <cell r="S514">
            <v>0.4152777777777778</v>
          </cell>
          <cell r="T514">
            <v>0.40527777777777779</v>
          </cell>
          <cell r="U514" t="str">
            <v>X</v>
          </cell>
          <cell r="V514">
            <v>0.375</v>
          </cell>
          <cell r="W514">
            <v>27.03</v>
          </cell>
          <cell r="X514">
            <v>29.96</v>
          </cell>
          <cell r="Y514">
            <v>0.41666666666666669</v>
          </cell>
          <cell r="Z514">
            <v>77.89</v>
          </cell>
          <cell r="AA514">
            <v>76.22</v>
          </cell>
          <cell r="AW514">
            <v>4</v>
          </cell>
          <cell r="AX514">
            <v>4</v>
          </cell>
          <cell r="AY514">
            <v>4</v>
          </cell>
          <cell r="AZ514">
            <v>4</v>
          </cell>
          <cell r="BA514" t="str">
            <v>VALE</v>
          </cell>
          <cell r="BB514">
            <v>45420</v>
          </cell>
          <cell r="BG514">
            <v>45419</v>
          </cell>
        </row>
        <row r="515">
          <cell r="A515">
            <v>894</v>
          </cell>
          <cell r="B515">
            <v>515</v>
          </cell>
          <cell r="C515" t="str">
            <v>PE-53(A)</v>
          </cell>
          <cell r="D515">
            <v>8</v>
          </cell>
          <cell r="E515">
            <v>40</v>
          </cell>
          <cell r="F515">
            <v>24</v>
          </cell>
          <cell r="G515">
            <v>40</v>
          </cell>
          <cell r="H515">
            <v>0</v>
          </cell>
          <cell r="I515" t="str">
            <v>-</v>
          </cell>
          <cell r="J515" t="str">
            <v>650/650</v>
          </cell>
          <cell r="K515" t="str">
            <v xml:space="preserve">CPIII 40 RS </v>
          </cell>
          <cell r="L515" t="str">
            <v>CP V</v>
          </cell>
          <cell r="M515" t="str">
            <v>SUPER PLASTIFICANTE</v>
          </cell>
          <cell r="N515" t="str">
            <v>EFLUENTE TRATADO  -  TANQUE RA600TN</v>
          </cell>
          <cell r="O515" t="str">
            <v>FORTANKS</v>
          </cell>
          <cell r="P515" t="str">
            <v>01</v>
          </cell>
          <cell r="Q515" t="str">
            <v>Gean</v>
          </cell>
          <cell r="R515">
            <v>45419</v>
          </cell>
          <cell r="S515">
            <v>0.44444444444444442</v>
          </cell>
          <cell r="T515">
            <v>0.43444444444444441</v>
          </cell>
          <cell r="U515" t="str">
            <v>X</v>
          </cell>
          <cell r="V515">
            <v>0.375</v>
          </cell>
          <cell r="W515">
            <v>27.42</v>
          </cell>
          <cell r="X515">
            <v>26.66</v>
          </cell>
          <cell r="Y515">
            <v>0.41666666666666669</v>
          </cell>
          <cell r="Z515">
            <v>75.91</v>
          </cell>
          <cell r="AA515">
            <v>75.709999999999994</v>
          </cell>
          <cell r="AW515">
            <v>4</v>
          </cell>
          <cell r="AX515">
            <v>4</v>
          </cell>
          <cell r="AY515">
            <v>4</v>
          </cell>
          <cell r="AZ515">
            <v>4</v>
          </cell>
          <cell r="BA515" t="str">
            <v>VALE</v>
          </cell>
          <cell r="BB515">
            <v>45420</v>
          </cell>
          <cell r="BG515">
            <v>45419</v>
          </cell>
        </row>
        <row r="516">
          <cell r="A516">
            <v>895</v>
          </cell>
          <cell r="B516">
            <v>516</v>
          </cell>
          <cell r="C516" t="str">
            <v>PE-48(B)</v>
          </cell>
          <cell r="D516">
            <v>8</v>
          </cell>
          <cell r="E516">
            <v>40</v>
          </cell>
          <cell r="F516">
            <v>24</v>
          </cell>
          <cell r="G516">
            <v>40</v>
          </cell>
          <cell r="H516">
            <v>0</v>
          </cell>
          <cell r="I516" t="str">
            <v>-</v>
          </cell>
          <cell r="J516" t="str">
            <v>660/660</v>
          </cell>
          <cell r="K516" t="str">
            <v xml:space="preserve">CPIII 40 RS </v>
          </cell>
          <cell r="L516" t="str">
            <v>CP V</v>
          </cell>
          <cell r="M516" t="str">
            <v>SUPER PLASTIFICANTE</v>
          </cell>
          <cell r="N516" t="str">
            <v>EFLUENTE TRATADO  -  TANQUE RA600TN</v>
          </cell>
          <cell r="O516" t="str">
            <v>FORTANKS</v>
          </cell>
          <cell r="P516" t="str">
            <v>02</v>
          </cell>
          <cell r="Q516" t="str">
            <v>Gean</v>
          </cell>
          <cell r="R516">
            <v>45419</v>
          </cell>
          <cell r="S516">
            <v>0.47569444444444442</v>
          </cell>
          <cell r="T516">
            <v>0.46569444444444441</v>
          </cell>
          <cell r="U516" t="str">
            <v>X</v>
          </cell>
          <cell r="V516">
            <v>0.375</v>
          </cell>
          <cell r="W516">
            <v>27.21</v>
          </cell>
          <cell r="X516">
            <v>25.55</v>
          </cell>
          <cell r="Y516">
            <v>0.41666666666666669</v>
          </cell>
          <cell r="Z516">
            <v>84.95</v>
          </cell>
          <cell r="AA516">
            <v>84.23</v>
          </cell>
          <cell r="AW516">
            <v>4</v>
          </cell>
          <cell r="AX516">
            <v>4</v>
          </cell>
          <cell r="AY516">
            <v>4</v>
          </cell>
          <cell r="AZ516">
            <v>4</v>
          </cell>
          <cell r="BA516" t="str">
            <v>VALE</v>
          </cell>
          <cell r="BB516">
            <v>45420</v>
          </cell>
          <cell r="BG516">
            <v>45419</v>
          </cell>
        </row>
        <row r="517">
          <cell r="A517">
            <v>896</v>
          </cell>
          <cell r="B517">
            <v>517</v>
          </cell>
          <cell r="C517" t="str">
            <v>PE-48/ PN-53/ PN-70/ PN-71</v>
          </cell>
          <cell r="D517">
            <v>2.5</v>
          </cell>
          <cell r="E517">
            <v>40</v>
          </cell>
          <cell r="F517">
            <v>0</v>
          </cell>
          <cell r="G517">
            <v>40</v>
          </cell>
          <cell r="H517">
            <v>0</v>
          </cell>
          <cell r="I517" t="str">
            <v>-</v>
          </cell>
          <cell r="J517" t="str">
            <v>650/650</v>
          </cell>
          <cell r="K517" t="str">
            <v xml:space="preserve">CPIII 40 RS </v>
          </cell>
          <cell r="L517" t="str">
            <v>CP V</v>
          </cell>
          <cell r="M517" t="str">
            <v>SUPER PLASTIFICANTE</v>
          </cell>
          <cell r="N517" t="str">
            <v>EFLUENTE TRATADO  -  TANQUE RA600TN</v>
          </cell>
          <cell r="O517" t="str">
            <v>FORTANKS</v>
          </cell>
          <cell r="P517" t="str">
            <v>01</v>
          </cell>
          <cell r="Q517" t="str">
            <v>Gean</v>
          </cell>
          <cell r="R517">
            <v>45419</v>
          </cell>
          <cell r="S517">
            <v>0.63888888888888884</v>
          </cell>
          <cell r="T517">
            <v>0.62888888888888883</v>
          </cell>
          <cell r="U517" t="str">
            <v>X</v>
          </cell>
          <cell r="V517">
            <v>0.375</v>
          </cell>
          <cell r="W517">
            <v>12.5</v>
          </cell>
          <cell r="X517">
            <v>15.12</v>
          </cell>
          <cell r="Y517">
            <v>0.41666666666666669</v>
          </cell>
          <cell r="Z517">
            <v>81.489999999999995</v>
          </cell>
          <cell r="AA517">
            <v>80.61</v>
          </cell>
          <cell r="AW517">
            <v>4</v>
          </cell>
          <cell r="AX517">
            <v>4</v>
          </cell>
          <cell r="AY517">
            <v>1</v>
          </cell>
          <cell r="AZ517">
            <v>1</v>
          </cell>
          <cell r="BA517" t="str">
            <v>VALE</v>
          </cell>
          <cell r="BB517">
            <v>45420</v>
          </cell>
          <cell r="BG517">
            <v>45419</v>
          </cell>
        </row>
        <row r="518">
          <cell r="A518">
            <v>897</v>
          </cell>
          <cell r="B518">
            <v>518</v>
          </cell>
          <cell r="C518" t="str">
            <v>PE-57(E)</v>
          </cell>
          <cell r="D518">
            <v>8</v>
          </cell>
          <cell r="E518">
            <v>40</v>
          </cell>
          <cell r="F518">
            <v>24</v>
          </cell>
          <cell r="G518">
            <v>40</v>
          </cell>
          <cell r="H518">
            <v>0</v>
          </cell>
          <cell r="I518" t="str">
            <v>-</v>
          </cell>
          <cell r="J518" t="str">
            <v>650/650</v>
          </cell>
          <cell r="K518" t="str">
            <v xml:space="preserve">CPIII 40 RS </v>
          </cell>
          <cell r="L518" t="str">
            <v>CP V</v>
          </cell>
          <cell r="M518" t="str">
            <v>SUPER PLASTIFICANTE</v>
          </cell>
          <cell r="N518" t="str">
            <v>EFLUENTE TRATADO  -  TANQUE RA600TN</v>
          </cell>
          <cell r="O518" t="str">
            <v>FORTANKS</v>
          </cell>
          <cell r="P518" t="str">
            <v>01</v>
          </cell>
          <cell r="Q518" t="str">
            <v>Gean</v>
          </cell>
          <cell r="R518">
            <v>45422</v>
          </cell>
          <cell r="S518">
            <v>0.3923611111111111</v>
          </cell>
          <cell r="T518">
            <v>0.3823611111111111</v>
          </cell>
          <cell r="U518" t="str">
            <v>X</v>
          </cell>
          <cell r="V518">
            <v>0.54166666666666663</v>
          </cell>
          <cell r="W518">
            <v>30.8</v>
          </cell>
          <cell r="X518">
            <v>32.07</v>
          </cell>
          <cell r="Y518">
            <v>0.41666666666666669</v>
          </cell>
          <cell r="Z518">
            <v>71.42</v>
          </cell>
          <cell r="AA518">
            <v>73.19</v>
          </cell>
          <cell r="AW518">
            <v>4</v>
          </cell>
          <cell r="AX518">
            <v>4</v>
          </cell>
          <cell r="AY518">
            <v>3</v>
          </cell>
          <cell r="AZ518">
            <v>3</v>
          </cell>
          <cell r="BA518" t="str">
            <v>VALE</v>
          </cell>
          <cell r="BB518">
            <v>45423</v>
          </cell>
          <cell r="BG518">
            <v>45422</v>
          </cell>
        </row>
        <row r="519">
          <cell r="A519">
            <v>898</v>
          </cell>
          <cell r="B519">
            <v>519</v>
          </cell>
          <cell r="C519" t="str">
            <v>PN-72(P)</v>
          </cell>
          <cell r="D519">
            <v>8</v>
          </cell>
          <cell r="E519">
            <v>40</v>
          </cell>
          <cell r="F519">
            <v>24</v>
          </cell>
          <cell r="G519">
            <v>40</v>
          </cell>
          <cell r="H519">
            <v>0</v>
          </cell>
          <cell r="I519" t="str">
            <v>-</v>
          </cell>
          <cell r="J519" t="str">
            <v>660/660</v>
          </cell>
          <cell r="K519" t="str">
            <v xml:space="preserve">CPIII 40 RS </v>
          </cell>
          <cell r="L519" t="str">
            <v>CP V</v>
          </cell>
          <cell r="M519" t="str">
            <v>SUPER PLASTIFICANTE</v>
          </cell>
          <cell r="N519" t="str">
            <v>EFLUENTE TRATADO  -  TANQUE RA600TN</v>
          </cell>
          <cell r="O519" t="str">
            <v>FORTANKS</v>
          </cell>
          <cell r="P519" t="str">
            <v>02</v>
          </cell>
          <cell r="Q519" t="str">
            <v>Gean</v>
          </cell>
          <cell r="R519">
            <v>45422</v>
          </cell>
          <cell r="S519">
            <v>0.41666666666666669</v>
          </cell>
          <cell r="T519">
            <v>0.40666666666666668</v>
          </cell>
          <cell r="U519" t="str">
            <v>X</v>
          </cell>
          <cell r="V519">
            <v>0.54166666666666663</v>
          </cell>
          <cell r="W519">
            <v>30.12</v>
          </cell>
          <cell r="X519">
            <v>29.09</v>
          </cell>
          <cell r="Y519">
            <v>0.41666666666666669</v>
          </cell>
          <cell r="Z519">
            <v>71.400000000000006</v>
          </cell>
          <cell r="AA519">
            <v>71.260000000000005</v>
          </cell>
          <cell r="AW519">
            <v>3</v>
          </cell>
          <cell r="AX519">
            <v>4</v>
          </cell>
          <cell r="AY519">
            <v>4</v>
          </cell>
          <cell r="AZ519">
            <v>4</v>
          </cell>
          <cell r="BA519" t="str">
            <v>VALE</v>
          </cell>
          <cell r="BB519">
            <v>45423</v>
          </cell>
          <cell r="BG519">
            <v>45422</v>
          </cell>
        </row>
        <row r="520">
          <cell r="A520">
            <v>899</v>
          </cell>
          <cell r="B520">
            <v>520</v>
          </cell>
          <cell r="C520" t="str">
            <v>PE-50(B)</v>
          </cell>
          <cell r="D520">
            <v>8</v>
          </cell>
          <cell r="E520">
            <v>40</v>
          </cell>
          <cell r="F520">
            <v>24</v>
          </cell>
          <cell r="G520">
            <v>40</v>
          </cell>
          <cell r="H520">
            <v>0</v>
          </cell>
          <cell r="I520" t="str">
            <v>-</v>
          </cell>
          <cell r="J520" t="str">
            <v>660/670</v>
          </cell>
          <cell r="K520" t="str">
            <v xml:space="preserve">CPIII 40 RS </v>
          </cell>
          <cell r="L520" t="str">
            <v>CP V</v>
          </cell>
          <cell r="M520" t="str">
            <v>SUPER PLASTIFICANTE</v>
          </cell>
          <cell r="N520" t="str">
            <v>EFLUENTE TRATADO  -  TANQUE RA600TN</v>
          </cell>
          <cell r="O520" t="str">
            <v>FORTANKS</v>
          </cell>
          <cell r="P520" t="str">
            <v>01</v>
          </cell>
          <cell r="Q520" t="str">
            <v>Gean</v>
          </cell>
          <cell r="R520">
            <v>45422</v>
          </cell>
          <cell r="S520">
            <v>0.46527777777777779</v>
          </cell>
          <cell r="T520">
            <v>0.45527777777777778</v>
          </cell>
          <cell r="U520" t="str">
            <v>X</v>
          </cell>
          <cell r="V520">
            <v>0.3125</v>
          </cell>
          <cell r="W520">
            <v>37.6</v>
          </cell>
          <cell r="X520">
            <v>38.82</v>
          </cell>
          <cell r="Y520">
            <v>0.41666666666666669</v>
          </cell>
          <cell r="Z520">
            <v>72.209999999999994</v>
          </cell>
          <cell r="AA520">
            <v>71.22</v>
          </cell>
          <cell r="AW520">
            <v>4</v>
          </cell>
          <cell r="AX520">
            <v>4</v>
          </cell>
          <cell r="AY520">
            <v>4</v>
          </cell>
          <cell r="AZ520">
            <v>4</v>
          </cell>
          <cell r="BA520" t="str">
            <v>VALE</v>
          </cell>
          <cell r="BB520">
            <v>45423</v>
          </cell>
          <cell r="BG520">
            <v>45422</v>
          </cell>
        </row>
        <row r="521">
          <cell r="A521">
            <v>900</v>
          </cell>
          <cell r="B521">
            <v>521</v>
          </cell>
          <cell r="C521" t="str">
            <v>PE-49(B)</v>
          </cell>
          <cell r="D521">
            <v>8</v>
          </cell>
          <cell r="E521">
            <v>40</v>
          </cell>
          <cell r="F521">
            <v>24</v>
          </cell>
          <cell r="G521">
            <v>40</v>
          </cell>
          <cell r="H521">
            <v>0</v>
          </cell>
          <cell r="I521" t="str">
            <v>-</v>
          </cell>
          <cell r="J521" t="str">
            <v>660/660</v>
          </cell>
          <cell r="K521" t="str">
            <v xml:space="preserve">CPIII 40 RS </v>
          </cell>
          <cell r="L521" t="str">
            <v>CP V</v>
          </cell>
          <cell r="M521" t="str">
            <v>SUPER PLASTIFICANTE</v>
          </cell>
          <cell r="N521" t="str">
            <v>EFLUENTE TRATADO  -  TANQUE RA600TN</v>
          </cell>
          <cell r="O521" t="str">
            <v>FORTANKS</v>
          </cell>
          <cell r="P521" t="str">
            <v>02</v>
          </cell>
          <cell r="Q521" t="str">
            <v>Gean</v>
          </cell>
          <cell r="R521">
            <v>45422</v>
          </cell>
          <cell r="S521">
            <v>0.47916666666666669</v>
          </cell>
          <cell r="T521">
            <v>0.46916666666666668</v>
          </cell>
          <cell r="U521" t="str">
            <v>X</v>
          </cell>
          <cell r="V521">
            <v>0.54166666666666663</v>
          </cell>
          <cell r="W521">
            <v>29.05</v>
          </cell>
          <cell r="X521">
            <v>28.14</v>
          </cell>
          <cell r="Y521">
            <v>0.41666666666666669</v>
          </cell>
          <cell r="Z521">
            <v>77.78</v>
          </cell>
          <cell r="AA521">
            <v>76.319999999999993</v>
          </cell>
          <cell r="AW521">
            <v>4</v>
          </cell>
          <cell r="AX521">
            <v>4</v>
          </cell>
          <cell r="AY521">
            <v>4</v>
          </cell>
          <cell r="AZ521">
            <v>4</v>
          </cell>
          <cell r="BA521" t="str">
            <v>VALE</v>
          </cell>
          <cell r="BB521">
            <v>45423</v>
          </cell>
          <cell r="BG521">
            <v>45422</v>
          </cell>
        </row>
        <row r="522">
          <cell r="A522">
            <v>901</v>
          </cell>
          <cell r="B522">
            <v>522</v>
          </cell>
          <cell r="C522" t="str">
            <v>PE-49/ PE-50/ PE-57/ PN-72</v>
          </cell>
          <cell r="D522">
            <v>1</v>
          </cell>
          <cell r="E522">
            <v>40</v>
          </cell>
          <cell r="F522">
            <v>0</v>
          </cell>
          <cell r="G522">
            <v>40</v>
          </cell>
          <cell r="H522">
            <v>0</v>
          </cell>
          <cell r="I522" t="str">
            <v>-</v>
          </cell>
          <cell r="J522" t="str">
            <v>660/660</v>
          </cell>
          <cell r="K522" t="str">
            <v xml:space="preserve">CPIII 40 RS </v>
          </cell>
          <cell r="L522" t="str">
            <v>CP V</v>
          </cell>
          <cell r="M522" t="str">
            <v>SUPER PLASTIFICANTE</v>
          </cell>
          <cell r="N522" t="str">
            <v>EFLUENTE TRATADO  -  TANQUE RA600TN</v>
          </cell>
          <cell r="O522" t="str">
            <v>FORTANKS</v>
          </cell>
          <cell r="P522" t="str">
            <v>01</v>
          </cell>
          <cell r="Q522" t="str">
            <v>Gean</v>
          </cell>
          <cell r="R522">
            <v>45422</v>
          </cell>
          <cell r="S522">
            <v>0.625</v>
          </cell>
          <cell r="T522">
            <v>0.61499999999999999</v>
          </cell>
          <cell r="U522" t="str">
            <v>X</v>
          </cell>
          <cell r="V522">
            <v>0.54166666666666663</v>
          </cell>
          <cell r="W522">
            <v>19.68</v>
          </cell>
          <cell r="X522">
            <v>20.5</v>
          </cell>
          <cell r="Y522">
            <v>0.41666666666666669</v>
          </cell>
          <cell r="Z522">
            <v>78.83</v>
          </cell>
          <cell r="AA522">
            <v>77.45</v>
          </cell>
          <cell r="AW522">
            <v>4</v>
          </cell>
          <cell r="AX522">
            <v>4</v>
          </cell>
          <cell r="AY522">
            <v>4</v>
          </cell>
          <cell r="AZ522">
            <v>4</v>
          </cell>
          <cell r="BA522" t="str">
            <v>VALE</v>
          </cell>
          <cell r="BB522">
            <v>45423</v>
          </cell>
          <cell r="BG522">
            <v>45422</v>
          </cell>
        </row>
        <row r="523">
          <cell r="A523">
            <v>902</v>
          </cell>
          <cell r="B523">
            <v>523</v>
          </cell>
          <cell r="C523" t="str">
            <v>PE-43( C )</v>
          </cell>
          <cell r="D523">
            <v>8</v>
          </cell>
          <cell r="E523">
            <v>40</v>
          </cell>
          <cell r="F523">
            <v>24</v>
          </cell>
          <cell r="G523">
            <v>40</v>
          </cell>
          <cell r="H523">
            <v>0</v>
          </cell>
          <cell r="I523" t="str">
            <v>-</v>
          </cell>
          <cell r="J523" t="str">
            <v>670/670</v>
          </cell>
          <cell r="K523" t="str">
            <v xml:space="preserve">CPIII 40 RS </v>
          </cell>
          <cell r="L523" t="str">
            <v>CP V</v>
          </cell>
          <cell r="M523" t="str">
            <v>SUPER PLASTIFICANTE</v>
          </cell>
          <cell r="N523" t="str">
            <v>EFLUENTE TRATADO  -  TANQUE RA600TN</v>
          </cell>
          <cell r="O523" t="str">
            <v>FORTANKS</v>
          </cell>
          <cell r="P523" t="str">
            <v>01</v>
          </cell>
          <cell r="Q523" t="str">
            <v>Gean</v>
          </cell>
          <cell r="R523">
            <v>45427</v>
          </cell>
          <cell r="S523">
            <v>0.41666666666666669</v>
          </cell>
          <cell r="T523">
            <v>0.40666666666666668</v>
          </cell>
          <cell r="U523" t="str">
            <v>X</v>
          </cell>
          <cell r="V523">
            <v>0.4375</v>
          </cell>
          <cell r="W523">
            <v>28.7</v>
          </cell>
          <cell r="X523">
            <v>26.62</v>
          </cell>
          <cell r="Y523">
            <v>0.41666666666666669</v>
          </cell>
          <cell r="Z523">
            <v>69.69</v>
          </cell>
          <cell r="AA523">
            <v>67.680000000000007</v>
          </cell>
          <cell r="AW523">
            <v>4</v>
          </cell>
          <cell r="AX523">
            <v>4</v>
          </cell>
          <cell r="AY523">
            <v>4</v>
          </cell>
          <cell r="AZ523">
            <v>4</v>
          </cell>
          <cell r="BA523" t="str">
            <v>VALE</v>
          </cell>
          <cell r="BB523">
            <v>45428</v>
          </cell>
          <cell r="BG523">
            <v>45427</v>
          </cell>
        </row>
        <row r="524">
          <cell r="A524">
            <v>903</v>
          </cell>
          <cell r="B524">
            <v>524</v>
          </cell>
          <cell r="C524" t="str">
            <v>PF-13 (F) - 1° Etapa</v>
          </cell>
          <cell r="D524">
            <v>6</v>
          </cell>
          <cell r="E524">
            <v>40</v>
          </cell>
          <cell r="F524">
            <v>24</v>
          </cell>
          <cell r="G524">
            <v>40</v>
          </cell>
          <cell r="H524">
            <v>0</v>
          </cell>
          <cell r="I524" t="str">
            <v>-</v>
          </cell>
          <cell r="J524" t="str">
            <v>680/680</v>
          </cell>
          <cell r="K524" t="str">
            <v xml:space="preserve">CPIII 40 RS </v>
          </cell>
          <cell r="L524" t="str">
            <v>CP V</v>
          </cell>
          <cell r="M524" t="str">
            <v>SUPER PLASTIFICANTE</v>
          </cell>
          <cell r="N524" t="str">
            <v>EFLUENTE TRATADO  -  TANQUE RA600TN</v>
          </cell>
          <cell r="O524" t="str">
            <v>FORTANKS</v>
          </cell>
          <cell r="P524" t="str">
            <v>01</v>
          </cell>
          <cell r="Q524" t="str">
            <v>Gean</v>
          </cell>
          <cell r="R524">
            <v>45430</v>
          </cell>
          <cell r="S524">
            <v>0.41666666666666669</v>
          </cell>
          <cell r="T524">
            <v>0.40666666666666668</v>
          </cell>
          <cell r="U524" t="str">
            <v>X</v>
          </cell>
          <cell r="V524">
            <v>0.3125</v>
          </cell>
          <cell r="W524">
            <v>46.5</v>
          </cell>
          <cell r="X524">
            <v>49.75</v>
          </cell>
          <cell r="Y524">
            <v>0.41666666666666669</v>
          </cell>
          <cell r="Z524">
            <v>86.22</v>
          </cell>
          <cell r="AA524">
            <v>85.12</v>
          </cell>
          <cell r="AW524">
            <v>4</v>
          </cell>
          <cell r="AX524">
            <v>4</v>
          </cell>
          <cell r="AY524">
            <v>4</v>
          </cell>
          <cell r="AZ524">
            <v>4</v>
          </cell>
          <cell r="BA524" t="str">
            <v>VALE</v>
          </cell>
          <cell r="BB524">
            <v>45431</v>
          </cell>
          <cell r="BG524">
            <v>45430</v>
          </cell>
        </row>
        <row r="525">
          <cell r="A525">
            <v>904</v>
          </cell>
          <cell r="B525">
            <v>525</v>
          </cell>
          <cell r="C525" t="str">
            <v>PF-13 (F) - 2° Etapa</v>
          </cell>
          <cell r="D525">
            <v>5.5</v>
          </cell>
          <cell r="E525">
            <v>40</v>
          </cell>
          <cell r="F525">
            <v>24</v>
          </cell>
          <cell r="G525">
            <v>40</v>
          </cell>
          <cell r="H525">
            <v>0</v>
          </cell>
          <cell r="I525" t="str">
            <v>-</v>
          </cell>
          <cell r="J525" t="str">
            <v>650/650</v>
          </cell>
          <cell r="K525" t="str">
            <v xml:space="preserve">CPIII 40 RS </v>
          </cell>
          <cell r="L525" t="str">
            <v>CP V</v>
          </cell>
          <cell r="M525" t="str">
            <v>SUPER PLASTIFICANTE</v>
          </cell>
          <cell r="N525" t="str">
            <v>EFLUENTE TRATADO  -  TANQUE RA600TN</v>
          </cell>
          <cell r="O525" t="str">
            <v>FORTANKS</v>
          </cell>
          <cell r="P525" t="str">
            <v>02</v>
          </cell>
          <cell r="Q525" t="str">
            <v>Gean</v>
          </cell>
          <cell r="R525">
            <v>45430</v>
          </cell>
          <cell r="S525">
            <v>0.44097222222222221</v>
          </cell>
          <cell r="T525">
            <v>0.4309722222222222</v>
          </cell>
          <cell r="U525" t="str">
            <v>X</v>
          </cell>
          <cell r="V525">
            <v>0.3125</v>
          </cell>
          <cell r="W525">
            <v>46.03</v>
          </cell>
          <cell r="X525">
            <v>44.2</v>
          </cell>
          <cell r="Y525">
            <v>0.41666666666666669</v>
          </cell>
          <cell r="Z525">
            <v>79.92</v>
          </cell>
          <cell r="AA525">
            <v>78.459999999999994</v>
          </cell>
          <cell r="AW525">
            <v>4</v>
          </cell>
          <cell r="AX525">
            <v>4</v>
          </cell>
          <cell r="AY525">
            <v>4</v>
          </cell>
          <cell r="AZ525">
            <v>3</v>
          </cell>
          <cell r="BA525" t="str">
            <v>VALE</v>
          </cell>
          <cell r="BB525">
            <v>45431</v>
          </cell>
          <cell r="BG525">
            <v>45430</v>
          </cell>
        </row>
        <row r="526">
          <cell r="A526">
            <v>905</v>
          </cell>
          <cell r="B526">
            <v>526</v>
          </cell>
          <cell r="C526" t="str">
            <v>PF-13 (F) - VIGA INTERNA</v>
          </cell>
          <cell r="D526">
            <v>1</v>
          </cell>
          <cell r="E526">
            <v>40</v>
          </cell>
          <cell r="F526">
            <v>0</v>
          </cell>
          <cell r="G526">
            <v>40</v>
          </cell>
          <cell r="H526">
            <v>0</v>
          </cell>
          <cell r="I526" t="str">
            <v>-</v>
          </cell>
          <cell r="J526" t="str">
            <v>650/670</v>
          </cell>
          <cell r="K526" t="str">
            <v xml:space="preserve">CPIII 40 RS </v>
          </cell>
          <cell r="L526" t="str">
            <v>CP V</v>
          </cell>
          <cell r="M526" t="str">
            <v>SUPER PLASTIFICANTE</v>
          </cell>
          <cell r="N526" t="str">
            <v>EFLUENTE TRATADO  -  TANQUE RA600TN</v>
          </cell>
          <cell r="O526" t="str">
            <v>FORTANKS</v>
          </cell>
          <cell r="P526" t="str">
            <v>01</v>
          </cell>
          <cell r="Q526" t="str">
            <v>Gean</v>
          </cell>
          <cell r="R526">
            <v>45430</v>
          </cell>
          <cell r="S526">
            <v>0.58333333333333337</v>
          </cell>
          <cell r="T526">
            <v>0.57333333333333336</v>
          </cell>
          <cell r="U526" t="str">
            <v>X</v>
          </cell>
          <cell r="V526">
            <v>0.3125</v>
          </cell>
          <cell r="W526">
            <v>38.04</v>
          </cell>
          <cell r="X526">
            <v>33.68</v>
          </cell>
          <cell r="Y526">
            <v>0.41666666666666669</v>
          </cell>
          <cell r="Z526">
            <v>87.56</v>
          </cell>
          <cell r="AA526">
            <v>85.81</v>
          </cell>
          <cell r="AW526">
            <v>3</v>
          </cell>
          <cell r="AX526">
            <v>3</v>
          </cell>
          <cell r="AY526">
            <v>4</v>
          </cell>
          <cell r="AZ526">
            <v>4</v>
          </cell>
          <cell r="BA526" t="str">
            <v>VALE</v>
          </cell>
          <cell r="BB526">
            <v>45431</v>
          </cell>
          <cell r="BG526">
            <v>45430</v>
          </cell>
        </row>
        <row r="527">
          <cell r="A527">
            <v>906</v>
          </cell>
          <cell r="B527">
            <v>527</v>
          </cell>
          <cell r="C527" t="str">
            <v>PF-37 (F) - 1° Etapa</v>
          </cell>
          <cell r="D527">
            <v>5.5</v>
          </cell>
          <cell r="E527">
            <v>40</v>
          </cell>
          <cell r="F527">
            <v>24</v>
          </cell>
          <cell r="G527">
            <v>40</v>
          </cell>
          <cell r="H527">
            <v>0</v>
          </cell>
          <cell r="I527" t="str">
            <v>-</v>
          </cell>
          <cell r="J527" t="str">
            <v>700/740</v>
          </cell>
          <cell r="K527" t="str">
            <v xml:space="preserve">CPIII 40 RS </v>
          </cell>
          <cell r="L527" t="str">
            <v>CP V</v>
          </cell>
          <cell r="M527" t="str">
            <v>SUPER PLASTIFICANTE</v>
          </cell>
          <cell r="N527" t="str">
            <v>EFLUENTE TRATADO  -  TANQUE RA600TN</v>
          </cell>
          <cell r="O527" t="str">
            <v>FORTANKS</v>
          </cell>
          <cell r="P527" t="str">
            <v>01</v>
          </cell>
          <cell r="Q527" t="str">
            <v>Gean</v>
          </cell>
          <cell r="R527">
            <v>45435</v>
          </cell>
          <cell r="S527">
            <v>0.54166666666666663</v>
          </cell>
          <cell r="T527">
            <v>0.53166666666666662</v>
          </cell>
          <cell r="U527" t="str">
            <v>X</v>
          </cell>
          <cell r="V527">
            <v>0.35416666666666669</v>
          </cell>
          <cell r="W527">
            <v>25.72</v>
          </cell>
          <cell r="X527">
            <v>25.24</v>
          </cell>
          <cell r="Y527">
            <v>0.41666666666666669</v>
          </cell>
          <cell r="Z527">
            <v>84.73</v>
          </cell>
          <cell r="AA527">
            <v>83.93</v>
          </cell>
          <cell r="AW527">
            <v>3</v>
          </cell>
          <cell r="AX527">
            <v>4</v>
          </cell>
          <cell r="AY527">
            <v>3</v>
          </cell>
          <cell r="AZ527">
            <v>3</v>
          </cell>
          <cell r="BA527" t="str">
            <v>VALE</v>
          </cell>
          <cell r="BB527">
            <v>45436</v>
          </cell>
          <cell r="BG527">
            <v>45435</v>
          </cell>
        </row>
        <row r="528">
          <cell r="A528">
            <v>907</v>
          </cell>
          <cell r="B528">
            <v>528</v>
          </cell>
          <cell r="C528" t="str">
            <v>PF-37 (F) - 2° Etapa</v>
          </cell>
          <cell r="D528">
            <v>5</v>
          </cell>
          <cell r="E528">
            <v>40</v>
          </cell>
          <cell r="F528">
            <v>24</v>
          </cell>
          <cell r="G528">
            <v>40</v>
          </cell>
          <cell r="H528">
            <v>0</v>
          </cell>
          <cell r="I528" t="str">
            <v>-</v>
          </cell>
          <cell r="J528" t="str">
            <v>650/660</v>
          </cell>
          <cell r="K528" t="str">
            <v xml:space="preserve">CPIII 40 RS </v>
          </cell>
          <cell r="L528" t="str">
            <v>CP V</v>
          </cell>
          <cell r="M528" t="str">
            <v>SUPER PLASTIFICANTE</v>
          </cell>
          <cell r="N528" t="str">
            <v>EFLUENTE TRATADO  -  TANQUE RA600TN</v>
          </cell>
          <cell r="O528" t="str">
            <v>FORTANKS</v>
          </cell>
          <cell r="P528" t="str">
            <v>02</v>
          </cell>
          <cell r="Q528" t="str">
            <v>Gean</v>
          </cell>
          <cell r="R528">
            <v>45435</v>
          </cell>
          <cell r="S528">
            <v>0.5625</v>
          </cell>
          <cell r="T528">
            <v>0.55249999999999999</v>
          </cell>
          <cell r="U528" t="str">
            <v>X</v>
          </cell>
          <cell r="V528">
            <v>0.35416666666666669</v>
          </cell>
          <cell r="W528">
            <v>33.49</v>
          </cell>
          <cell r="X528">
            <v>33.99</v>
          </cell>
          <cell r="Y528">
            <v>0.41666666666666669</v>
          </cell>
          <cell r="Z528">
            <v>86.21</v>
          </cell>
          <cell r="AA528">
            <v>87.41</v>
          </cell>
          <cell r="AW528">
            <v>4</v>
          </cell>
          <cell r="AX528">
            <v>4</v>
          </cell>
          <cell r="AY528">
            <v>4</v>
          </cell>
          <cell r="AZ528">
            <v>4</v>
          </cell>
          <cell r="BA528" t="str">
            <v>VALE</v>
          </cell>
          <cell r="BB528">
            <v>45436</v>
          </cell>
          <cell r="BG528">
            <v>45435</v>
          </cell>
        </row>
        <row r="529">
          <cell r="A529">
            <v>908</v>
          </cell>
          <cell r="B529">
            <v>529</v>
          </cell>
          <cell r="C529" t="str">
            <v>PF-37 (F) - VIGA INTERNA</v>
          </cell>
          <cell r="D529">
            <v>1</v>
          </cell>
          <cell r="E529">
            <v>40</v>
          </cell>
          <cell r="F529">
            <v>0</v>
          </cell>
          <cell r="G529">
            <v>40</v>
          </cell>
          <cell r="H529">
            <v>0</v>
          </cell>
          <cell r="I529" t="str">
            <v>-</v>
          </cell>
          <cell r="J529" t="str">
            <v>660/660</v>
          </cell>
          <cell r="K529" t="str">
            <v xml:space="preserve">CPIII 40 RS </v>
          </cell>
          <cell r="L529" t="str">
            <v>CP V</v>
          </cell>
          <cell r="M529" t="str">
            <v>SUPER PLASTIFICANTE</v>
          </cell>
          <cell r="N529" t="str">
            <v>EFLUENTE TRATADO  -  TANQUE RA600TN</v>
          </cell>
          <cell r="O529" t="str">
            <v>FORTANKS</v>
          </cell>
          <cell r="P529" t="str">
            <v>01</v>
          </cell>
          <cell r="Q529" t="str">
            <v>Gean</v>
          </cell>
          <cell r="R529">
            <v>45435</v>
          </cell>
          <cell r="S529">
            <v>0.625</v>
          </cell>
          <cell r="T529">
            <v>0.61499999999999999</v>
          </cell>
          <cell r="U529" t="str">
            <v>X</v>
          </cell>
          <cell r="V529">
            <v>0.35416666666666669</v>
          </cell>
          <cell r="W529">
            <v>18.440000000000001</v>
          </cell>
          <cell r="X529">
            <v>18.670000000000002</v>
          </cell>
          <cell r="Y529">
            <v>0.41666666666666669</v>
          </cell>
          <cell r="Z529">
            <v>80.290000000000006</v>
          </cell>
          <cell r="AA529">
            <v>79.900000000000006</v>
          </cell>
          <cell r="AW529">
            <v>4</v>
          </cell>
          <cell r="AX529">
            <v>4</v>
          </cell>
          <cell r="AY529">
            <v>4</v>
          </cell>
          <cell r="AZ529">
            <v>4</v>
          </cell>
          <cell r="BA529" t="str">
            <v>VALE</v>
          </cell>
          <cell r="BB529">
            <v>45436</v>
          </cell>
          <cell r="BG529">
            <v>45435</v>
          </cell>
        </row>
        <row r="530">
          <cell r="A530">
            <v>909</v>
          </cell>
          <cell r="B530">
            <v>530</v>
          </cell>
          <cell r="C530" t="str">
            <v>PF-61 (F) - 1° Etapa</v>
          </cell>
          <cell r="D530">
            <v>5.5</v>
          </cell>
          <cell r="E530">
            <v>40</v>
          </cell>
          <cell r="F530">
            <v>24</v>
          </cell>
          <cell r="G530">
            <v>40</v>
          </cell>
          <cell r="H530">
            <v>0</v>
          </cell>
          <cell r="I530" t="str">
            <v>-</v>
          </cell>
          <cell r="J530" t="str">
            <v>690/690</v>
          </cell>
          <cell r="K530" t="str">
            <v xml:space="preserve">CPIII 40 RS </v>
          </cell>
          <cell r="L530" t="str">
            <v>CP V</v>
          </cell>
          <cell r="M530" t="str">
            <v>SUPER PLASTIFICANTE</v>
          </cell>
          <cell r="N530" t="str">
            <v>EFLUENTE TRATADO  -  TANQUE RA600TN</v>
          </cell>
          <cell r="O530" t="str">
            <v>FORTANKS</v>
          </cell>
          <cell r="P530" t="str">
            <v>02</v>
          </cell>
          <cell r="Q530" t="str">
            <v>Gean</v>
          </cell>
          <cell r="R530">
            <v>45439</v>
          </cell>
          <cell r="S530">
            <v>0.43055555555555558</v>
          </cell>
          <cell r="T530">
            <v>0.42055555555555557</v>
          </cell>
          <cell r="U530" t="str">
            <v>X</v>
          </cell>
          <cell r="V530">
            <v>0.39583333333333331</v>
          </cell>
          <cell r="W530">
            <v>44.59</v>
          </cell>
          <cell r="X530">
            <v>46.91</v>
          </cell>
          <cell r="Y530">
            <v>0.41666666666666669</v>
          </cell>
          <cell r="Z530">
            <v>79.92</v>
          </cell>
          <cell r="AA530">
            <v>78.790000000000006</v>
          </cell>
          <cell r="AW530">
            <v>4</v>
          </cell>
          <cell r="AX530">
            <v>5</v>
          </cell>
          <cell r="AY530">
            <v>4</v>
          </cell>
          <cell r="AZ530">
            <v>4</v>
          </cell>
          <cell r="BA530" t="str">
            <v>VALE</v>
          </cell>
          <cell r="BB530">
            <v>45440</v>
          </cell>
          <cell r="BG530">
            <v>45439</v>
          </cell>
        </row>
        <row r="531">
          <cell r="A531">
            <v>910</v>
          </cell>
          <cell r="B531">
            <v>531</v>
          </cell>
          <cell r="C531" t="str">
            <v>PF-61 (F) - 2° Etapa</v>
          </cell>
          <cell r="D531">
            <v>5</v>
          </cell>
          <cell r="E531">
            <v>40</v>
          </cell>
          <cell r="F531">
            <v>24</v>
          </cell>
          <cell r="G531">
            <v>40</v>
          </cell>
          <cell r="H531">
            <v>0</v>
          </cell>
          <cell r="I531" t="str">
            <v>-</v>
          </cell>
          <cell r="J531" t="str">
            <v>660/650</v>
          </cell>
          <cell r="K531" t="str">
            <v xml:space="preserve">CPIII 40 RS </v>
          </cell>
          <cell r="L531" t="str">
            <v>CP V</v>
          </cell>
          <cell r="M531" t="str">
            <v>SUPER PLASTIFICANTE</v>
          </cell>
          <cell r="N531" t="str">
            <v>EFLUENTE TRATADO  -  TANQUE RA600TN</v>
          </cell>
          <cell r="O531" t="str">
            <v>FORTANKS</v>
          </cell>
          <cell r="P531" t="str">
            <v>01</v>
          </cell>
          <cell r="Q531" t="str">
            <v>Gean</v>
          </cell>
          <cell r="R531">
            <v>45439</v>
          </cell>
          <cell r="S531">
            <v>0.43402777777777779</v>
          </cell>
          <cell r="T531">
            <v>0.42402777777777778</v>
          </cell>
          <cell r="U531" t="str">
            <v>X</v>
          </cell>
          <cell r="V531">
            <v>0.39583333333333331</v>
          </cell>
          <cell r="W531">
            <v>53.04</v>
          </cell>
          <cell r="X531">
            <v>53.57</v>
          </cell>
          <cell r="Y531">
            <v>0.41666666666666669</v>
          </cell>
          <cell r="Z531">
            <v>85.89</v>
          </cell>
          <cell r="AA531">
            <v>85.63</v>
          </cell>
          <cell r="AW531">
            <v>4</v>
          </cell>
          <cell r="AX531">
            <v>4</v>
          </cell>
          <cell r="AY531">
            <v>4</v>
          </cell>
          <cell r="AZ531">
            <v>4</v>
          </cell>
          <cell r="BA531" t="str">
            <v>VALE</v>
          </cell>
          <cell r="BB531">
            <v>45440</v>
          </cell>
          <cell r="BG531">
            <v>45439</v>
          </cell>
        </row>
        <row r="532">
          <cell r="A532">
            <v>911</v>
          </cell>
          <cell r="B532">
            <v>532</v>
          </cell>
          <cell r="C532" t="str">
            <v>PF-61 (F) - VIGA INTERNA</v>
          </cell>
          <cell r="D532">
            <v>1</v>
          </cell>
          <cell r="E532">
            <v>40</v>
          </cell>
          <cell r="F532">
            <v>0</v>
          </cell>
          <cell r="G532">
            <v>40</v>
          </cell>
          <cell r="H532">
            <v>0</v>
          </cell>
          <cell r="I532" t="str">
            <v>-</v>
          </cell>
          <cell r="J532" t="str">
            <v>660/660</v>
          </cell>
          <cell r="K532" t="str">
            <v xml:space="preserve">CPIII 40 RS </v>
          </cell>
          <cell r="L532" t="str">
            <v>CP V</v>
          </cell>
          <cell r="M532" t="str">
            <v>SUPER PLASTIFICANTE</v>
          </cell>
          <cell r="N532" t="str">
            <v>EFLUENTE TRATADO  -  TANQUE RA600TN</v>
          </cell>
          <cell r="O532" t="str">
            <v>FORTANKS</v>
          </cell>
          <cell r="P532" t="str">
            <v>02</v>
          </cell>
          <cell r="Q532" t="str">
            <v>Gean</v>
          </cell>
          <cell r="R532">
            <v>45439</v>
          </cell>
          <cell r="S532">
            <v>0.56944444444444442</v>
          </cell>
          <cell r="T532">
            <v>0.55944444444444441</v>
          </cell>
          <cell r="U532" t="str">
            <v>X</v>
          </cell>
          <cell r="V532">
            <v>0.39583333333333331</v>
          </cell>
          <cell r="W532">
            <v>43.85</v>
          </cell>
          <cell r="X532">
            <v>45.09</v>
          </cell>
          <cell r="Y532">
            <v>0.41666666666666669</v>
          </cell>
          <cell r="Z532">
            <v>86.09</v>
          </cell>
          <cell r="AA532">
            <v>85.67</v>
          </cell>
          <cell r="AW532">
            <v>3</v>
          </cell>
          <cell r="AX532">
            <v>3</v>
          </cell>
          <cell r="AY532">
            <v>4</v>
          </cell>
          <cell r="AZ532">
            <v>4</v>
          </cell>
          <cell r="BA532" t="str">
            <v>VALE</v>
          </cell>
          <cell r="BB532">
            <v>45440</v>
          </cell>
          <cell r="BG532">
            <v>45439</v>
          </cell>
        </row>
        <row r="533">
          <cell r="A533">
            <v>912</v>
          </cell>
          <cell r="B533">
            <v>533</v>
          </cell>
          <cell r="C533" t="str">
            <v>PN-12(P) / PN-13(P) / PN-14(P)</v>
          </cell>
          <cell r="D533">
            <v>6</v>
          </cell>
          <cell r="E533">
            <v>40</v>
          </cell>
          <cell r="F533">
            <v>24</v>
          </cell>
          <cell r="G533">
            <v>40</v>
          </cell>
          <cell r="H533">
            <v>0</v>
          </cell>
          <cell r="I533" t="str">
            <v>-</v>
          </cell>
          <cell r="J533" t="str">
            <v>600/600</v>
          </cell>
          <cell r="K533" t="str">
            <v xml:space="preserve">CPIII 40 RS </v>
          </cell>
          <cell r="L533" t="str">
            <v>CP V</v>
          </cell>
          <cell r="M533" t="str">
            <v>SUPER PLASTIFICANTE</v>
          </cell>
          <cell r="N533" t="str">
            <v>RESERVATÓRIO DE EFLUENTE BRUTO SUL 
OP-3100TU-17-10SUL</v>
          </cell>
          <cell r="O533" t="str">
            <v>FORTANKS</v>
          </cell>
          <cell r="P533" t="str">
            <v>01</v>
          </cell>
          <cell r="Q533" t="str">
            <v>Gean</v>
          </cell>
          <cell r="R533">
            <v>45523</v>
          </cell>
          <cell r="S533">
            <v>0.4201388888888889</v>
          </cell>
          <cell r="T533">
            <v>0.41013888888888889</v>
          </cell>
          <cell r="U533" t="str">
            <v>X</v>
          </cell>
          <cell r="V533">
            <v>0.33333333333333331</v>
          </cell>
          <cell r="W533">
            <v>30.54</v>
          </cell>
          <cell r="X533">
            <v>33.979999999999997</v>
          </cell>
          <cell r="Y533">
            <v>0.41666666666666669</v>
          </cell>
          <cell r="Z533">
            <v>85.76</v>
          </cell>
          <cell r="AA533">
            <v>84.9</v>
          </cell>
          <cell r="AW533">
            <v>4</v>
          </cell>
          <cell r="AX533">
            <v>4</v>
          </cell>
          <cell r="AY533">
            <v>4</v>
          </cell>
          <cell r="AZ533">
            <v>3</v>
          </cell>
          <cell r="BA533" t="str">
            <v>VALE</v>
          </cell>
          <cell r="BB533">
            <v>45524</v>
          </cell>
          <cell r="BG533">
            <v>45523</v>
          </cell>
        </row>
        <row r="534">
          <cell r="A534">
            <v>913</v>
          </cell>
          <cell r="B534">
            <v>534</v>
          </cell>
          <cell r="C534" t="str">
            <v>PN-09(P) / PN-10(P) / PN-11(P)</v>
          </cell>
          <cell r="D534">
            <v>6</v>
          </cell>
          <cell r="E534">
            <v>40</v>
          </cell>
          <cell r="F534">
            <v>24</v>
          </cell>
          <cell r="G534">
            <v>40</v>
          </cell>
          <cell r="H534">
            <v>0</v>
          </cell>
          <cell r="I534" t="str">
            <v>-</v>
          </cell>
          <cell r="J534" t="str">
            <v>640/660</v>
          </cell>
          <cell r="K534" t="str">
            <v xml:space="preserve">CPIII 40 RS </v>
          </cell>
          <cell r="L534" t="str">
            <v>CP V</v>
          </cell>
          <cell r="M534" t="str">
            <v>SUPER PLASTIFICANTE</v>
          </cell>
          <cell r="N534" t="str">
            <v>RESERVATÓRIO DE EFLUENTE BRUTO SUL 
OP-3100TU-17-10SUL</v>
          </cell>
          <cell r="O534" t="str">
            <v>FORTANKS</v>
          </cell>
          <cell r="P534" t="str">
            <v>02</v>
          </cell>
          <cell r="Q534" t="str">
            <v>Gean</v>
          </cell>
          <cell r="R534">
            <v>45523</v>
          </cell>
          <cell r="S534">
            <v>0.44791666666666669</v>
          </cell>
          <cell r="T534">
            <v>0.43791666666666668</v>
          </cell>
          <cell r="U534" t="str">
            <v>X</v>
          </cell>
          <cell r="V534">
            <v>0.33680555555555558</v>
          </cell>
          <cell r="W534">
            <v>30.75</v>
          </cell>
          <cell r="X534">
            <v>31.11</v>
          </cell>
          <cell r="Y534">
            <v>0.41666666666666669</v>
          </cell>
          <cell r="Z534">
            <v>87.16</v>
          </cell>
          <cell r="AA534">
            <v>86.07</v>
          </cell>
          <cell r="AW534">
            <v>4</v>
          </cell>
          <cell r="AX534">
            <v>4</v>
          </cell>
          <cell r="AY534">
            <v>4</v>
          </cell>
          <cell r="AZ534">
            <v>4</v>
          </cell>
          <cell r="BA534" t="str">
            <v>VALE</v>
          </cell>
          <cell r="BB534">
            <v>45524</v>
          </cell>
          <cell r="BG534">
            <v>45523</v>
          </cell>
        </row>
        <row r="535">
          <cell r="A535">
            <v>914</v>
          </cell>
          <cell r="B535">
            <v>535</v>
          </cell>
          <cell r="C535" t="str">
            <v>PN-06(P) / PN-07(P) / PN-08(P)</v>
          </cell>
          <cell r="D535">
            <v>6.5</v>
          </cell>
          <cell r="E535">
            <v>40</v>
          </cell>
          <cell r="F535">
            <v>24</v>
          </cell>
          <cell r="G535">
            <v>40</v>
          </cell>
          <cell r="H535">
            <v>0</v>
          </cell>
          <cell r="I535" t="str">
            <v>-</v>
          </cell>
          <cell r="J535" t="str">
            <v>620/630</v>
          </cell>
          <cell r="K535" t="str">
            <v xml:space="preserve">CPIII 40 RS </v>
          </cell>
          <cell r="L535" t="str">
            <v>CP V</v>
          </cell>
          <cell r="M535" t="str">
            <v>SUPER PLASTIFICANTE</v>
          </cell>
          <cell r="N535" t="str">
            <v>RESERVATÓRIO DE EFLUENTE BRUTO SUL 
OP-3100TU-17-10SUL</v>
          </cell>
          <cell r="O535" t="str">
            <v>FORTANKS</v>
          </cell>
          <cell r="P535" t="str">
            <v>01</v>
          </cell>
          <cell r="Q535" t="str">
            <v>Gean</v>
          </cell>
          <cell r="R535">
            <v>45523</v>
          </cell>
          <cell r="S535">
            <v>0.4826388888888889</v>
          </cell>
          <cell r="T535">
            <v>0.47263888888888889</v>
          </cell>
          <cell r="U535" t="str">
            <v>X</v>
          </cell>
          <cell r="V535">
            <v>0.34027777777777779</v>
          </cell>
          <cell r="W535">
            <v>25.84</v>
          </cell>
          <cell r="X535">
            <v>29.8</v>
          </cell>
          <cell r="Y535">
            <v>0.41666666666666669</v>
          </cell>
          <cell r="Z535">
            <v>85.62</v>
          </cell>
          <cell r="AA535">
            <v>83.35</v>
          </cell>
          <cell r="AW535">
            <v>4</v>
          </cell>
          <cell r="AX535">
            <v>4</v>
          </cell>
          <cell r="AY535">
            <v>4</v>
          </cell>
          <cell r="AZ535">
            <v>4</v>
          </cell>
          <cell r="BA535" t="str">
            <v>VALE</v>
          </cell>
          <cell r="BB535">
            <v>45524</v>
          </cell>
          <cell r="BG535">
            <v>45523</v>
          </cell>
        </row>
        <row r="536">
          <cell r="A536">
            <v>915</v>
          </cell>
          <cell r="B536">
            <v>536</v>
          </cell>
          <cell r="C536" t="str">
            <v>PN-01(P) / PN-02(P) / PN-03(P) / PN-04(P)</v>
          </cell>
          <cell r="D536">
            <v>7.5</v>
          </cell>
          <cell r="E536">
            <v>40</v>
          </cell>
          <cell r="F536">
            <v>24</v>
          </cell>
          <cell r="G536">
            <v>40</v>
          </cell>
          <cell r="H536">
            <v>0</v>
          </cell>
          <cell r="I536" t="str">
            <v>-</v>
          </cell>
          <cell r="J536" t="str">
            <v>660/690</v>
          </cell>
          <cell r="K536" t="str">
            <v xml:space="preserve">CPIII 40 RS </v>
          </cell>
          <cell r="L536" t="str">
            <v>CP V</v>
          </cell>
          <cell r="M536" t="str">
            <v>SUPER PLASTIFICANTE</v>
          </cell>
          <cell r="N536" t="str">
            <v>RESERVATÓRIO DE EFLUENTE BRUTO SUL 
OP-3100TU-17-10SUL</v>
          </cell>
          <cell r="O536" t="str">
            <v>FORTANKS</v>
          </cell>
          <cell r="P536" t="str">
            <v>02</v>
          </cell>
          <cell r="Q536" t="str">
            <v>Gean</v>
          </cell>
          <cell r="R536">
            <v>45523</v>
          </cell>
          <cell r="S536">
            <v>0.51041666666666663</v>
          </cell>
          <cell r="T536">
            <v>0.50041666666666662</v>
          </cell>
          <cell r="U536" t="str">
            <v>X</v>
          </cell>
          <cell r="V536">
            <v>0.34375</v>
          </cell>
          <cell r="W536">
            <v>26.05</v>
          </cell>
          <cell r="X536">
            <v>26.33</v>
          </cell>
          <cell r="Y536">
            <v>0.41666666666666669</v>
          </cell>
          <cell r="Z536">
            <v>86.69</v>
          </cell>
          <cell r="AA536">
            <v>86.89</v>
          </cell>
          <cell r="AW536">
            <v>3</v>
          </cell>
          <cell r="AX536">
            <v>4</v>
          </cell>
          <cell r="AY536">
            <v>4</v>
          </cell>
          <cell r="AZ536">
            <v>4</v>
          </cell>
          <cell r="BA536" t="str">
            <v>VALE</v>
          </cell>
          <cell r="BB536">
            <v>45524</v>
          </cell>
          <cell r="BG536">
            <v>45523</v>
          </cell>
        </row>
        <row r="537">
          <cell r="A537">
            <v>916</v>
          </cell>
          <cell r="B537">
            <v>537</v>
          </cell>
          <cell r="C537" t="str">
            <v>PN-25(P) / PN-26(P) / PN-27(P)</v>
          </cell>
          <cell r="D537">
            <v>6</v>
          </cell>
          <cell r="E537">
            <v>40</v>
          </cell>
          <cell r="F537">
            <v>24</v>
          </cell>
          <cell r="G537">
            <v>40</v>
          </cell>
          <cell r="H537">
            <v>0</v>
          </cell>
          <cell r="I537" t="str">
            <v>-</v>
          </cell>
          <cell r="J537" t="str">
            <v>650/690</v>
          </cell>
          <cell r="K537" t="str">
            <v xml:space="preserve">CPIII 40 RS </v>
          </cell>
          <cell r="L537" t="str">
            <v>CP V</v>
          </cell>
          <cell r="M537" t="str">
            <v>SUPER PLASTIFICANTE</v>
          </cell>
          <cell r="N537" t="str">
            <v>RESERVATÓRIO DE EFLUENTE BRUTO SUL 
OP-3100TU-17-10SUL</v>
          </cell>
          <cell r="O537" t="str">
            <v>FORTANKS</v>
          </cell>
          <cell r="P537" t="str">
            <v>01</v>
          </cell>
          <cell r="Q537" t="str">
            <v>Gean</v>
          </cell>
          <cell r="R537">
            <v>45525</v>
          </cell>
          <cell r="S537">
            <v>0.4236111111111111</v>
          </cell>
          <cell r="T537">
            <v>0.4136111111111111</v>
          </cell>
          <cell r="U537" t="str">
            <v>X</v>
          </cell>
          <cell r="V537">
            <v>0.33333333333333331</v>
          </cell>
          <cell r="W537">
            <v>30.24</v>
          </cell>
          <cell r="X537">
            <v>30.18</v>
          </cell>
          <cell r="Y537">
            <v>0.41666666666666669</v>
          </cell>
          <cell r="Z537">
            <v>85.63</v>
          </cell>
          <cell r="AA537">
            <v>86.13</v>
          </cell>
          <cell r="AW537">
            <v>4</v>
          </cell>
          <cell r="AX537">
            <v>4</v>
          </cell>
          <cell r="AY537">
            <v>4</v>
          </cell>
          <cell r="AZ537">
            <v>4</v>
          </cell>
          <cell r="BA537" t="str">
            <v>VALE</v>
          </cell>
          <cell r="BB537">
            <v>45526</v>
          </cell>
          <cell r="BG537">
            <v>45525</v>
          </cell>
        </row>
        <row r="538">
          <cell r="A538">
            <v>917</v>
          </cell>
          <cell r="B538">
            <v>538</v>
          </cell>
          <cell r="C538" t="str">
            <v>PN-22(P) / PN-23(P) / PN-24(P)</v>
          </cell>
          <cell r="D538">
            <v>6</v>
          </cell>
          <cell r="E538">
            <v>40</v>
          </cell>
          <cell r="F538">
            <v>24</v>
          </cell>
          <cell r="G538">
            <v>40</v>
          </cell>
          <cell r="H538">
            <v>0</v>
          </cell>
          <cell r="I538" t="str">
            <v>-</v>
          </cell>
          <cell r="J538" t="str">
            <v>630/630</v>
          </cell>
          <cell r="K538" t="str">
            <v xml:space="preserve">CPIII 40 RS </v>
          </cell>
          <cell r="L538" t="str">
            <v>CP V</v>
          </cell>
          <cell r="M538" t="str">
            <v>SUPER PLASTIFICANTE</v>
          </cell>
          <cell r="N538" t="str">
            <v>RESERVATÓRIO DE EFLUENTE BRUTO SUL 
OP-3100TU-17-10SUL</v>
          </cell>
          <cell r="O538" t="str">
            <v>FORTANKS</v>
          </cell>
          <cell r="P538" t="str">
            <v>02</v>
          </cell>
          <cell r="Q538" t="str">
            <v>Gean</v>
          </cell>
          <cell r="R538">
            <v>45525</v>
          </cell>
          <cell r="S538">
            <v>0.44444444444444442</v>
          </cell>
          <cell r="T538">
            <v>0.43444444444444441</v>
          </cell>
          <cell r="U538" t="str">
            <v>X</v>
          </cell>
          <cell r="V538">
            <v>0.33333333333333331</v>
          </cell>
          <cell r="W538">
            <v>30.76</v>
          </cell>
          <cell r="X538">
            <v>31.63</v>
          </cell>
          <cell r="Y538">
            <v>0.41666666666666669</v>
          </cell>
          <cell r="Z538">
            <v>85.79</v>
          </cell>
          <cell r="AA538">
            <v>86.84</v>
          </cell>
          <cell r="AW538">
            <v>4</v>
          </cell>
          <cell r="AX538">
            <v>4</v>
          </cell>
          <cell r="AY538">
            <v>4</v>
          </cell>
          <cell r="AZ538">
            <v>4</v>
          </cell>
          <cell r="BA538" t="str">
            <v>VALE</v>
          </cell>
          <cell r="BB538">
            <v>45526</v>
          </cell>
          <cell r="BG538">
            <v>45525</v>
          </cell>
        </row>
        <row r="539">
          <cell r="A539">
            <v>918</v>
          </cell>
          <cell r="B539">
            <v>539</v>
          </cell>
          <cell r="C539" t="str">
            <v>PN-18(P) 50% / PN-19 (P) / PN-20 (P) / PN-21(P)</v>
          </cell>
          <cell r="D539">
            <v>6</v>
          </cell>
          <cell r="E539">
            <v>40</v>
          </cell>
          <cell r="F539">
            <v>24</v>
          </cell>
          <cell r="G539">
            <v>40</v>
          </cell>
          <cell r="H539">
            <v>0</v>
          </cell>
          <cell r="I539" t="str">
            <v>-</v>
          </cell>
          <cell r="J539" t="str">
            <v>650/650</v>
          </cell>
          <cell r="K539" t="str">
            <v xml:space="preserve">CPIII 40 RS </v>
          </cell>
          <cell r="L539" t="str">
            <v>CP V</v>
          </cell>
          <cell r="M539" t="str">
            <v>SUPER PLASTIFICANTE</v>
          </cell>
          <cell r="N539" t="str">
            <v>RESERVATÓRIO DE EFLUENTE BRUTO SUL 
OP-3100TU-17-10SUL</v>
          </cell>
          <cell r="O539" t="str">
            <v>FORTANKS</v>
          </cell>
          <cell r="P539" t="str">
            <v>01</v>
          </cell>
          <cell r="Q539" t="str">
            <v>Gean</v>
          </cell>
          <cell r="R539">
            <v>45525</v>
          </cell>
          <cell r="S539">
            <v>0.47569444444444442</v>
          </cell>
          <cell r="T539">
            <v>0.46569444444444441</v>
          </cell>
          <cell r="U539" t="str">
            <v>X</v>
          </cell>
          <cell r="V539">
            <v>0.33333333333333331</v>
          </cell>
          <cell r="W539">
            <v>29.73</v>
          </cell>
          <cell r="X539">
            <v>30.13</v>
          </cell>
          <cell r="Y539">
            <v>0.41666666666666669</v>
          </cell>
          <cell r="Z539">
            <v>86.52</v>
          </cell>
          <cell r="AA539">
            <v>85.63</v>
          </cell>
          <cell r="AW539">
            <v>4</v>
          </cell>
          <cell r="AX539">
            <v>4</v>
          </cell>
          <cell r="AY539">
            <v>4</v>
          </cell>
          <cell r="AZ539">
            <v>4</v>
          </cell>
          <cell r="BA539" t="str">
            <v>VALE</v>
          </cell>
          <cell r="BB539">
            <v>45526</v>
          </cell>
          <cell r="BG539">
            <v>45525</v>
          </cell>
        </row>
        <row r="540">
          <cell r="A540">
            <v>919</v>
          </cell>
          <cell r="B540">
            <v>540</v>
          </cell>
          <cell r="C540" t="str">
            <v>PN-15(P) / PN-16(P) / PN-17(P) / PN-18(P) 50%</v>
          </cell>
          <cell r="D540">
            <v>7</v>
          </cell>
          <cell r="E540">
            <v>40</v>
          </cell>
          <cell r="F540">
            <v>24</v>
          </cell>
          <cell r="G540">
            <v>40</v>
          </cell>
          <cell r="H540">
            <v>0</v>
          </cell>
          <cell r="I540" t="str">
            <v>-</v>
          </cell>
          <cell r="J540" t="str">
            <v>650/650</v>
          </cell>
          <cell r="K540" t="str">
            <v xml:space="preserve">CPIII 40 RS </v>
          </cell>
          <cell r="L540" t="str">
            <v>CP V</v>
          </cell>
          <cell r="M540" t="str">
            <v>SUPER PLASTIFICANTE</v>
          </cell>
          <cell r="N540" t="str">
            <v>RESERVATÓRIO DE EFLUENTE BRUTO SUL 
OP-3100TU-17-10SUL</v>
          </cell>
          <cell r="O540" t="str">
            <v>FORTANKS</v>
          </cell>
          <cell r="P540" t="str">
            <v>02</v>
          </cell>
          <cell r="Q540" t="str">
            <v>Gean</v>
          </cell>
          <cell r="R540">
            <v>45525</v>
          </cell>
          <cell r="S540">
            <v>0.49652777777777779</v>
          </cell>
          <cell r="T540">
            <v>0.48652777777777778</v>
          </cell>
          <cell r="U540" t="str">
            <v>X</v>
          </cell>
          <cell r="V540">
            <v>0.33333333333333331</v>
          </cell>
          <cell r="W540">
            <v>30.24</v>
          </cell>
          <cell r="X540">
            <v>28.45</v>
          </cell>
          <cell r="Y540">
            <v>0.41666666666666669</v>
          </cell>
          <cell r="Z540">
            <v>85.76</v>
          </cell>
          <cell r="AA540">
            <v>86.88</v>
          </cell>
          <cell r="AW540">
            <v>4</v>
          </cell>
          <cell r="AX540">
            <v>4</v>
          </cell>
          <cell r="AY540">
            <v>4</v>
          </cell>
          <cell r="AZ540">
            <v>4</v>
          </cell>
          <cell r="BA540" t="str">
            <v>VALE</v>
          </cell>
          <cell r="BB540">
            <v>45526</v>
          </cell>
          <cell r="BG540">
            <v>45525</v>
          </cell>
        </row>
        <row r="541">
          <cell r="A541">
            <v>920</v>
          </cell>
          <cell r="B541">
            <v>541</v>
          </cell>
          <cell r="C541" t="str">
            <v>PN-38(P) / PN-39 (P)/ PN-41 (P)</v>
          </cell>
          <cell r="D541">
            <v>6</v>
          </cell>
          <cell r="E541">
            <v>40</v>
          </cell>
          <cell r="F541">
            <v>24</v>
          </cell>
          <cell r="G541">
            <v>40</v>
          </cell>
          <cell r="H541">
            <v>0</v>
          </cell>
          <cell r="I541" t="str">
            <v>-</v>
          </cell>
          <cell r="J541" t="str">
            <v>640/650</v>
          </cell>
          <cell r="K541" t="str">
            <v xml:space="preserve">CPIII 40 RS </v>
          </cell>
          <cell r="L541" t="str">
            <v>CP V</v>
          </cell>
          <cell r="M541" t="str">
            <v>SUPER PLASTIFICANTE</v>
          </cell>
          <cell r="N541" t="str">
            <v>RESERVATÓRIO DE EFLUENTE BRUTO SUL 
OP-3100TU-17-10SUL</v>
          </cell>
          <cell r="O541" t="str">
            <v>FORTANKS</v>
          </cell>
          <cell r="P541" t="str">
            <v>01</v>
          </cell>
          <cell r="Q541" t="str">
            <v>Gean</v>
          </cell>
          <cell r="R541">
            <v>45527</v>
          </cell>
          <cell r="S541">
            <v>0.39583333333333331</v>
          </cell>
          <cell r="T541">
            <v>0.38583333333333331</v>
          </cell>
          <cell r="U541" t="str">
            <v>X</v>
          </cell>
          <cell r="V541">
            <v>0.375</v>
          </cell>
          <cell r="W541">
            <v>57.63</v>
          </cell>
          <cell r="X541">
            <v>62.65</v>
          </cell>
          <cell r="Y541">
            <v>0.41666666666666669</v>
          </cell>
          <cell r="Z541">
            <v>85.91</v>
          </cell>
          <cell r="AA541">
            <v>86.38</v>
          </cell>
          <cell r="AW541">
            <v>4</v>
          </cell>
          <cell r="AX541">
            <v>4</v>
          </cell>
          <cell r="AY541">
            <v>4</v>
          </cell>
          <cell r="AZ541">
            <v>4</v>
          </cell>
          <cell r="BA541" t="str">
            <v>VALE</v>
          </cell>
          <cell r="BB541">
            <v>45528</v>
          </cell>
          <cell r="BG541">
            <v>45527</v>
          </cell>
        </row>
        <row r="542">
          <cell r="A542">
            <v>921</v>
          </cell>
          <cell r="B542">
            <v>542</v>
          </cell>
          <cell r="C542" t="str">
            <v>PN-35(P) / PN-36(P) / PN-37(P)</v>
          </cell>
          <cell r="D542">
            <v>6</v>
          </cell>
          <cell r="E542">
            <v>40</v>
          </cell>
          <cell r="F542">
            <v>24</v>
          </cell>
          <cell r="G542">
            <v>40</v>
          </cell>
          <cell r="H542">
            <v>0</v>
          </cell>
          <cell r="I542" t="str">
            <v>-</v>
          </cell>
          <cell r="J542" t="str">
            <v>650/650</v>
          </cell>
          <cell r="K542" t="str">
            <v xml:space="preserve">CPIII 40 RS </v>
          </cell>
          <cell r="L542" t="str">
            <v>CP V</v>
          </cell>
          <cell r="M542" t="str">
            <v>SUPER PLASTIFICANTE</v>
          </cell>
          <cell r="N542" t="str">
            <v>RESERVATÓRIO DE EFLUENTE BRUTO SUL 
OP-3100TU-17-10SUL</v>
          </cell>
          <cell r="O542" t="str">
            <v>FORTANKS</v>
          </cell>
          <cell r="P542" t="str">
            <v>02</v>
          </cell>
          <cell r="Q542" t="str">
            <v>Gean</v>
          </cell>
          <cell r="R542">
            <v>45527</v>
          </cell>
          <cell r="S542">
            <v>0.41319444444444442</v>
          </cell>
          <cell r="T542">
            <v>0.40319444444444441</v>
          </cell>
          <cell r="U542" t="str">
            <v>X</v>
          </cell>
          <cell r="V542">
            <v>0.375</v>
          </cell>
          <cell r="W542">
            <v>65.16</v>
          </cell>
          <cell r="X542">
            <v>67.59</v>
          </cell>
          <cell r="Y542">
            <v>0.41666666666666669</v>
          </cell>
          <cell r="Z542">
            <v>85.75</v>
          </cell>
          <cell r="AA542">
            <v>87.13</v>
          </cell>
          <cell r="AW542">
            <v>4</v>
          </cell>
          <cell r="AX542">
            <v>4</v>
          </cell>
          <cell r="AY542">
            <v>4</v>
          </cell>
          <cell r="AZ542">
            <v>4</v>
          </cell>
          <cell r="BA542" t="str">
            <v>VALE</v>
          </cell>
          <cell r="BB542">
            <v>45528</v>
          </cell>
          <cell r="BG542">
            <v>45527</v>
          </cell>
        </row>
        <row r="543">
          <cell r="A543">
            <v>922</v>
          </cell>
          <cell r="B543">
            <v>543</v>
          </cell>
          <cell r="C543" t="str">
            <v>PN-31(P) 50% / PN-32(P) / PN-33(P) / PN-34(P)</v>
          </cell>
          <cell r="D543">
            <v>6</v>
          </cell>
          <cell r="E543">
            <v>40</v>
          </cell>
          <cell r="F543">
            <v>24</v>
          </cell>
          <cell r="G543">
            <v>40</v>
          </cell>
          <cell r="H543">
            <v>0</v>
          </cell>
          <cell r="I543" t="str">
            <v>-</v>
          </cell>
          <cell r="J543" t="str">
            <v>650/650</v>
          </cell>
          <cell r="K543" t="str">
            <v xml:space="preserve">CPIII 40 RS </v>
          </cell>
          <cell r="L543" t="str">
            <v>CP V</v>
          </cell>
          <cell r="M543" t="str">
            <v>SUPER PLASTIFICANTE</v>
          </cell>
          <cell r="N543" t="str">
            <v>RESERVATÓRIO DE EFLUENTE BRUTO SUL 
OP-3100TU-17-10SUL</v>
          </cell>
          <cell r="O543" t="str">
            <v>FORTANKS</v>
          </cell>
          <cell r="P543" t="str">
            <v>01</v>
          </cell>
          <cell r="Q543" t="str">
            <v>Gean</v>
          </cell>
          <cell r="R543">
            <v>45527</v>
          </cell>
          <cell r="S543">
            <v>0.4513888888888889</v>
          </cell>
          <cell r="T543">
            <v>0.44138888888888889</v>
          </cell>
          <cell r="U543" t="str">
            <v>X</v>
          </cell>
          <cell r="V543">
            <v>0.375</v>
          </cell>
          <cell r="W543">
            <v>59.38</v>
          </cell>
          <cell r="X543">
            <v>63.25</v>
          </cell>
          <cell r="Y543">
            <v>0.41666666666666669</v>
          </cell>
          <cell r="Z543">
            <v>86</v>
          </cell>
          <cell r="AA543">
            <v>86.28</v>
          </cell>
          <cell r="AW543">
            <v>4</v>
          </cell>
          <cell r="AX543">
            <v>4</v>
          </cell>
          <cell r="AY543">
            <v>4</v>
          </cell>
          <cell r="AZ543">
            <v>4</v>
          </cell>
          <cell r="BA543" t="str">
            <v>VALE</v>
          </cell>
          <cell r="BB543">
            <v>45528</v>
          </cell>
          <cell r="BG543">
            <v>45527</v>
          </cell>
        </row>
        <row r="544">
          <cell r="A544">
            <v>923</v>
          </cell>
          <cell r="B544">
            <v>544</v>
          </cell>
          <cell r="C544" t="str">
            <v>PN-28(P) /PN-29(P) / PN-30(P) / PN-31(P) 50%</v>
          </cell>
          <cell r="D544">
            <v>6.5</v>
          </cell>
          <cell r="E544">
            <v>40</v>
          </cell>
          <cell r="F544">
            <v>24</v>
          </cell>
          <cell r="G544">
            <v>40</v>
          </cell>
          <cell r="H544">
            <v>0</v>
          </cell>
          <cell r="I544" t="str">
            <v>-</v>
          </cell>
          <cell r="J544" t="str">
            <v>650/650</v>
          </cell>
          <cell r="K544" t="str">
            <v xml:space="preserve">CPIII 40 RS </v>
          </cell>
          <cell r="L544" t="str">
            <v>CP V</v>
          </cell>
          <cell r="M544" t="str">
            <v>SUPER PLASTIFICANTE</v>
          </cell>
          <cell r="N544" t="str">
            <v>RESERVATÓRIO DE EFLUENTE BRUTO SUL 
OP-3100TU-17-10SUL</v>
          </cell>
          <cell r="O544" t="str">
            <v>FORTANKS</v>
          </cell>
          <cell r="P544" t="str">
            <v>02</v>
          </cell>
          <cell r="Q544" t="str">
            <v>Gean</v>
          </cell>
          <cell r="R544">
            <v>45527</v>
          </cell>
          <cell r="S544">
            <v>0.47916666666666669</v>
          </cell>
          <cell r="T544">
            <v>0.46916666666666668</v>
          </cell>
          <cell r="U544" t="str">
            <v>X</v>
          </cell>
          <cell r="V544">
            <v>0.375</v>
          </cell>
          <cell r="W544">
            <v>61.69</v>
          </cell>
          <cell r="X544">
            <v>66.64</v>
          </cell>
          <cell r="Y544">
            <v>0.41666666666666669</v>
          </cell>
          <cell r="Z544">
            <v>86.82</v>
          </cell>
          <cell r="AA544">
            <v>85.31</v>
          </cell>
          <cell r="AW544">
            <v>4</v>
          </cell>
          <cell r="AX544">
            <v>4</v>
          </cell>
          <cell r="AY544">
            <v>4</v>
          </cell>
          <cell r="AZ544">
            <v>4</v>
          </cell>
          <cell r="BA544" t="str">
            <v>VALE</v>
          </cell>
          <cell r="BB544">
            <v>45528</v>
          </cell>
          <cell r="BG544">
            <v>45527</v>
          </cell>
        </row>
        <row r="545">
          <cell r="A545">
            <v>924</v>
          </cell>
          <cell r="B545">
            <v>545</v>
          </cell>
          <cell r="C545" t="str">
            <v xml:space="preserve">PF-05 / PF-40 </v>
          </cell>
          <cell r="D545">
            <v>5.5</v>
          </cell>
          <cell r="E545">
            <v>40</v>
          </cell>
          <cell r="F545">
            <v>24</v>
          </cell>
          <cell r="G545">
            <v>40</v>
          </cell>
          <cell r="H545">
            <v>0</v>
          </cell>
          <cell r="I545" t="str">
            <v>-</v>
          </cell>
          <cell r="J545" t="str">
            <v>650/660</v>
          </cell>
          <cell r="K545" t="str">
            <v xml:space="preserve">CPIII 40 RS </v>
          </cell>
          <cell r="L545" t="str">
            <v>CP V</v>
          </cell>
          <cell r="M545" t="str">
            <v>SUPER PLASTIFICANTE</v>
          </cell>
          <cell r="N545" t="str">
            <v>RESERVATÓRIO DE EFLUENTE BRUTO SUL 
OP-3100TU-17-10SUL</v>
          </cell>
          <cell r="O545" t="str">
            <v>FORTANKS</v>
          </cell>
          <cell r="P545" t="str">
            <v>01</v>
          </cell>
          <cell r="Q545" t="str">
            <v>Gean</v>
          </cell>
          <cell r="R545">
            <v>45527</v>
          </cell>
          <cell r="S545">
            <v>0.58333333333333337</v>
          </cell>
          <cell r="T545">
            <v>0.57333333333333336</v>
          </cell>
          <cell r="U545" t="str">
            <v>X</v>
          </cell>
          <cell r="V545">
            <v>0.375</v>
          </cell>
          <cell r="W545">
            <v>57.52</v>
          </cell>
          <cell r="X545">
            <v>59.49</v>
          </cell>
          <cell r="Y545">
            <v>0.41666666666666669</v>
          </cell>
          <cell r="Z545">
            <v>86.38</v>
          </cell>
          <cell r="AA545">
            <v>87.76</v>
          </cell>
          <cell r="AW545">
            <v>4</v>
          </cell>
          <cell r="AX545">
            <v>4</v>
          </cell>
          <cell r="AY545">
            <v>4</v>
          </cell>
          <cell r="AZ545">
            <v>4</v>
          </cell>
          <cell r="BA545" t="str">
            <v>VALE</v>
          </cell>
          <cell r="BB545">
            <v>45528</v>
          </cell>
          <cell r="BG545">
            <v>45527</v>
          </cell>
        </row>
        <row r="546">
          <cell r="A546">
            <v>925</v>
          </cell>
          <cell r="B546">
            <v>546</v>
          </cell>
          <cell r="C546" t="str">
            <v>PN-52(P) / PN-53 (P) / PN-54 (P)</v>
          </cell>
          <cell r="D546">
            <v>6</v>
          </cell>
          <cell r="E546">
            <v>40</v>
          </cell>
          <cell r="F546">
            <v>24</v>
          </cell>
          <cell r="G546">
            <v>40</v>
          </cell>
          <cell r="H546">
            <v>0</v>
          </cell>
          <cell r="I546" t="str">
            <v>-</v>
          </cell>
          <cell r="J546" t="str">
            <v>640/650</v>
          </cell>
          <cell r="K546" t="str">
            <v xml:space="preserve">CPIII 40 RS </v>
          </cell>
          <cell r="L546" t="str">
            <v>CP V</v>
          </cell>
          <cell r="M546" t="str">
            <v>SUPER PLASTIFICANTE</v>
          </cell>
          <cell r="N546" t="str">
            <v>RESERVATÓRIO DE EFLUENTE BRUTO SUL 
OP-3100TU-17-10SUL</v>
          </cell>
          <cell r="O546" t="str">
            <v>FORTANKS</v>
          </cell>
          <cell r="P546" t="str">
            <v>02</v>
          </cell>
          <cell r="Q546" t="str">
            <v>Gean</v>
          </cell>
          <cell r="R546">
            <v>45546</v>
          </cell>
          <cell r="S546">
            <v>0.34722222222222221</v>
          </cell>
          <cell r="T546">
            <v>0.3372222222222222</v>
          </cell>
          <cell r="U546" t="str">
            <v>X</v>
          </cell>
          <cell r="V546">
            <v>0.3125</v>
          </cell>
          <cell r="W546">
            <v>30.4</v>
          </cell>
          <cell r="X546">
            <v>34</v>
          </cell>
          <cell r="Y546">
            <v>0.41666666666666669</v>
          </cell>
          <cell r="Z546">
            <v>89.14</v>
          </cell>
          <cell r="AA546">
            <v>87.48</v>
          </cell>
          <cell r="AW546">
            <v>4</v>
          </cell>
          <cell r="AX546">
            <v>4</v>
          </cell>
          <cell r="AY546">
            <v>4</v>
          </cell>
          <cell r="AZ546">
            <v>4</v>
          </cell>
          <cell r="BA546" t="str">
            <v>VALE</v>
          </cell>
          <cell r="BB546">
            <v>45547</v>
          </cell>
          <cell r="BG546">
            <v>45546</v>
          </cell>
        </row>
        <row r="547">
          <cell r="A547">
            <v>926</v>
          </cell>
          <cell r="B547">
            <v>547</v>
          </cell>
          <cell r="C547" t="str">
            <v>PN-49 (P) / PN-50 (P) / PN-51 (P)</v>
          </cell>
          <cell r="D547">
            <v>6</v>
          </cell>
          <cell r="E547">
            <v>40</v>
          </cell>
          <cell r="F547">
            <v>24</v>
          </cell>
          <cell r="G547">
            <v>40</v>
          </cell>
          <cell r="H547">
            <v>0</v>
          </cell>
          <cell r="I547" t="str">
            <v>-</v>
          </cell>
          <cell r="J547" t="str">
            <v>690/700</v>
          </cell>
          <cell r="K547" t="str">
            <v xml:space="preserve">CPIII 40 RS </v>
          </cell>
          <cell r="L547" t="str">
            <v>CP V</v>
          </cell>
          <cell r="M547" t="str">
            <v>SUPER PLASTIFICANTE</v>
          </cell>
          <cell r="N547" t="str">
            <v>RESERVATÓRIO DE EFLUENTE BRUTO SUL 
OP-3100TU-17-10SUL</v>
          </cell>
          <cell r="O547" t="str">
            <v>FORTANKS</v>
          </cell>
          <cell r="P547" t="str">
            <v>01</v>
          </cell>
          <cell r="Q547" t="str">
            <v>Gean</v>
          </cell>
          <cell r="R547">
            <v>45546</v>
          </cell>
          <cell r="S547">
            <v>0.3888888888888889</v>
          </cell>
          <cell r="T547">
            <v>0.37888888888888889</v>
          </cell>
          <cell r="U547" t="str">
            <v>X</v>
          </cell>
          <cell r="V547">
            <v>0.3125</v>
          </cell>
          <cell r="W547">
            <v>33.61</v>
          </cell>
          <cell r="X547">
            <v>34.369999999999997</v>
          </cell>
          <cell r="Y547">
            <v>0.41666666666666669</v>
          </cell>
          <cell r="Z547">
            <v>87.27</v>
          </cell>
          <cell r="AA547">
            <v>86.63</v>
          </cell>
          <cell r="AW547">
            <v>4</v>
          </cell>
          <cell r="AX547">
            <v>4</v>
          </cell>
          <cell r="AY547">
            <v>4</v>
          </cell>
          <cell r="AZ547">
            <v>4</v>
          </cell>
          <cell r="BA547" t="str">
            <v>VALE</v>
          </cell>
          <cell r="BB547">
            <v>45547</v>
          </cell>
          <cell r="BG547">
            <v>45546</v>
          </cell>
        </row>
        <row r="548">
          <cell r="A548">
            <v>927</v>
          </cell>
          <cell r="B548">
            <v>548</v>
          </cell>
          <cell r="C548" t="str">
            <v xml:space="preserve">PN-46 (P) / PN-47 (P) /PN-48 (P) </v>
          </cell>
          <cell r="D548">
            <v>6</v>
          </cell>
          <cell r="E548">
            <v>40</v>
          </cell>
          <cell r="F548">
            <v>24</v>
          </cell>
          <cell r="G548">
            <v>40</v>
          </cell>
          <cell r="H548">
            <v>0</v>
          </cell>
          <cell r="I548" t="str">
            <v>-</v>
          </cell>
          <cell r="J548" t="str">
            <v>630/650</v>
          </cell>
          <cell r="K548" t="str">
            <v xml:space="preserve">CPIII 40 RS </v>
          </cell>
          <cell r="L548" t="str">
            <v>CP V</v>
          </cell>
          <cell r="M548" t="str">
            <v>SUPER PLASTIFICANTE</v>
          </cell>
          <cell r="N548" t="str">
            <v>RESERVATÓRIO DE EFLUENTE BRUTO SUL 
OP-3100TU-17-10SUL</v>
          </cell>
          <cell r="O548" t="str">
            <v>FORTANKS</v>
          </cell>
          <cell r="P548" t="str">
            <v>02</v>
          </cell>
          <cell r="Q548" t="str">
            <v>Gean</v>
          </cell>
          <cell r="R548">
            <v>45546</v>
          </cell>
          <cell r="S548">
            <v>0.43055555555555558</v>
          </cell>
          <cell r="T548">
            <v>0.42055555555555557</v>
          </cell>
          <cell r="U548" t="str">
            <v>X</v>
          </cell>
          <cell r="V548">
            <v>0.3125</v>
          </cell>
          <cell r="W548">
            <v>29.82</v>
          </cell>
          <cell r="X548">
            <v>30.22</v>
          </cell>
          <cell r="Y548">
            <v>0.41666666666666669</v>
          </cell>
          <cell r="Z548">
            <v>85.91</v>
          </cell>
          <cell r="AA548">
            <v>86.51</v>
          </cell>
          <cell r="AW548">
            <v>3</v>
          </cell>
          <cell r="AX548">
            <v>4</v>
          </cell>
          <cell r="AY548">
            <v>3</v>
          </cell>
          <cell r="AZ548">
            <v>3</v>
          </cell>
          <cell r="BA548" t="str">
            <v>VALE</v>
          </cell>
          <cell r="BB548">
            <v>45547</v>
          </cell>
          <cell r="BG548">
            <v>45546</v>
          </cell>
        </row>
        <row r="549">
          <cell r="A549">
            <v>928</v>
          </cell>
          <cell r="B549">
            <v>549</v>
          </cell>
          <cell r="C549" t="str">
            <v>PN-42 (P) / PN-43 (P) / PN-44 (P) / PN-45 (P)</v>
          </cell>
          <cell r="D549">
            <v>6.5</v>
          </cell>
          <cell r="E549">
            <v>40</v>
          </cell>
          <cell r="F549">
            <v>24</v>
          </cell>
          <cell r="G549">
            <v>40</v>
          </cell>
          <cell r="H549">
            <v>0</v>
          </cell>
          <cell r="I549" t="str">
            <v>-</v>
          </cell>
          <cell r="J549" t="str">
            <v>640/650</v>
          </cell>
          <cell r="K549" t="str">
            <v xml:space="preserve">CPIII 40 RS </v>
          </cell>
          <cell r="L549" t="str">
            <v>CP V</v>
          </cell>
          <cell r="M549" t="str">
            <v>SUPER PLASTIFICANTE</v>
          </cell>
          <cell r="N549" t="str">
            <v>RESERVATÓRIO DE EFLUENTE BRUTO SUL 
OP-3100TU-17-10SUL</v>
          </cell>
          <cell r="O549" t="str">
            <v>FORTANKS</v>
          </cell>
          <cell r="P549" t="str">
            <v>01</v>
          </cell>
          <cell r="Q549" t="str">
            <v>Gean</v>
          </cell>
          <cell r="R549">
            <v>45546</v>
          </cell>
          <cell r="S549">
            <v>0.4375</v>
          </cell>
          <cell r="T549">
            <v>0.42749999999999999</v>
          </cell>
          <cell r="U549" t="str">
            <v>X</v>
          </cell>
          <cell r="V549">
            <v>0.3125</v>
          </cell>
          <cell r="W549">
            <v>31.6</v>
          </cell>
          <cell r="X549">
            <v>34.409999999999997</v>
          </cell>
          <cell r="Y549">
            <v>0.41666666666666669</v>
          </cell>
          <cell r="Z549">
            <v>84.75</v>
          </cell>
          <cell r="AA549">
            <v>83.63</v>
          </cell>
          <cell r="AW549">
            <v>4</v>
          </cell>
          <cell r="AX549">
            <v>4</v>
          </cell>
          <cell r="AY549">
            <v>4</v>
          </cell>
          <cell r="AZ549">
            <v>3</v>
          </cell>
          <cell r="BA549" t="str">
            <v>VALE</v>
          </cell>
          <cell r="BB549">
            <v>45547</v>
          </cell>
          <cell r="BG549">
            <v>45546</v>
          </cell>
        </row>
        <row r="550">
          <cell r="A550">
            <v>929</v>
          </cell>
          <cell r="B550">
            <v>550</v>
          </cell>
          <cell r="C550" t="str">
            <v>PN-64 (P) / PN-65 (P) / PN-66 (P) / PN-67(P)</v>
          </cell>
          <cell r="D550">
            <v>7.5</v>
          </cell>
          <cell r="E550">
            <v>40</v>
          </cell>
          <cell r="F550">
            <v>24</v>
          </cell>
          <cell r="G550">
            <v>40</v>
          </cell>
          <cell r="H550">
            <v>0</v>
          </cell>
          <cell r="I550" t="str">
            <v>-</v>
          </cell>
          <cell r="J550" t="str">
            <v>650/650</v>
          </cell>
          <cell r="K550" t="str">
            <v xml:space="preserve">CPIII 40 RS </v>
          </cell>
          <cell r="L550" t="str">
            <v>CP V</v>
          </cell>
          <cell r="M550" t="str">
            <v>SUPER PLASTIFICANTE</v>
          </cell>
          <cell r="N550" t="str">
            <v>RESERVATÓRIO DE EFLUENTE BRUTO SUL 
OP-3100TU-17-10SUL</v>
          </cell>
          <cell r="O550" t="str">
            <v>FORTANKS</v>
          </cell>
          <cell r="P550" t="str">
            <v>01</v>
          </cell>
          <cell r="Q550" t="str">
            <v>Gean</v>
          </cell>
          <cell r="R550">
            <v>45548</v>
          </cell>
          <cell r="S550">
            <v>0.43055555555555558</v>
          </cell>
          <cell r="T550">
            <v>0.42055555555555557</v>
          </cell>
          <cell r="U550" t="str">
            <v>X</v>
          </cell>
          <cell r="V550">
            <v>0.33333333333333331</v>
          </cell>
          <cell r="W550">
            <v>64.400000000000006</v>
          </cell>
          <cell r="X550">
            <v>61.53</v>
          </cell>
          <cell r="Y550">
            <v>0.41666666666666669</v>
          </cell>
          <cell r="Z550">
            <v>87.75</v>
          </cell>
          <cell r="AA550">
            <v>85.68</v>
          </cell>
          <cell r="AW550">
            <v>4</v>
          </cell>
          <cell r="AX550">
            <v>4</v>
          </cell>
          <cell r="AY550">
            <v>4</v>
          </cell>
          <cell r="AZ550">
            <v>3</v>
          </cell>
          <cell r="BA550" t="str">
            <v>VALE</v>
          </cell>
          <cell r="BB550">
            <v>45549</v>
          </cell>
          <cell r="BG550">
            <v>45548</v>
          </cell>
        </row>
        <row r="551">
          <cell r="A551">
            <v>930</v>
          </cell>
          <cell r="B551">
            <v>551</v>
          </cell>
          <cell r="C551" t="str">
            <v>PN-60(P) / PN-61 (P) / PN-62 (P) / PN-63 (P)</v>
          </cell>
          <cell r="D551">
            <v>7.5</v>
          </cell>
          <cell r="E551">
            <v>40</v>
          </cell>
          <cell r="F551">
            <v>24</v>
          </cell>
          <cell r="G551">
            <v>40</v>
          </cell>
          <cell r="H551">
            <v>0</v>
          </cell>
          <cell r="I551" t="str">
            <v>-</v>
          </cell>
          <cell r="J551" t="str">
            <v>650/650</v>
          </cell>
          <cell r="K551" t="str">
            <v xml:space="preserve">CPIII 40 RS </v>
          </cell>
          <cell r="L551" t="str">
            <v>CP V</v>
          </cell>
          <cell r="M551" t="str">
            <v>SUPER PLASTIFICANTE</v>
          </cell>
          <cell r="N551" t="str">
            <v>RESERVATÓRIO DE EFLUENTE BRUTO SUL 
OP-3100TU-17-10SUL</v>
          </cell>
          <cell r="O551" t="str">
            <v>FORTANKS</v>
          </cell>
          <cell r="P551" t="str">
            <v>02</v>
          </cell>
          <cell r="Q551" t="str">
            <v>Gean</v>
          </cell>
          <cell r="R551">
            <v>45548</v>
          </cell>
          <cell r="S551">
            <v>0.44444444444444442</v>
          </cell>
          <cell r="T551">
            <v>0.43444444444444441</v>
          </cell>
          <cell r="U551" t="str">
            <v>X</v>
          </cell>
          <cell r="V551">
            <v>0.33333333333333331</v>
          </cell>
          <cell r="W551">
            <v>62.42</v>
          </cell>
          <cell r="X551">
            <v>62.99</v>
          </cell>
          <cell r="Y551">
            <v>0.41666666666666669</v>
          </cell>
          <cell r="Z551">
            <v>88.38</v>
          </cell>
          <cell r="AA551">
            <v>88.64</v>
          </cell>
          <cell r="AW551">
            <v>4</v>
          </cell>
          <cell r="AX551">
            <v>4</v>
          </cell>
          <cell r="AY551">
            <v>4</v>
          </cell>
          <cell r="AZ551">
            <v>4</v>
          </cell>
          <cell r="BA551" t="str">
            <v>VALE</v>
          </cell>
          <cell r="BB551">
            <v>45549</v>
          </cell>
          <cell r="BG551">
            <v>45548</v>
          </cell>
        </row>
        <row r="552">
          <cell r="A552">
            <v>931</v>
          </cell>
          <cell r="B552">
            <v>552</v>
          </cell>
          <cell r="C552" t="str">
            <v>PN-56 (P) / PN-57 (P) / PN-58 (P) / PN-59 (P)</v>
          </cell>
          <cell r="D552">
            <v>7.5</v>
          </cell>
          <cell r="E552">
            <v>40</v>
          </cell>
          <cell r="F552">
            <v>24</v>
          </cell>
          <cell r="G552">
            <v>40</v>
          </cell>
          <cell r="H552">
            <v>0</v>
          </cell>
          <cell r="I552" t="str">
            <v>-</v>
          </cell>
          <cell r="J552" t="str">
            <v>650/650</v>
          </cell>
          <cell r="K552" t="str">
            <v xml:space="preserve">CPIII 40 RS </v>
          </cell>
          <cell r="L552" t="str">
            <v>CP V</v>
          </cell>
          <cell r="M552" t="str">
            <v>SUPER PLASTIFICANTE</v>
          </cell>
          <cell r="N552" t="str">
            <v>RESERVATÓRIO DE EFLUENTE BRUTO SUL 
OP-3100TU-17-10SUL</v>
          </cell>
          <cell r="O552" t="str">
            <v>FORTANKS</v>
          </cell>
          <cell r="P552" t="str">
            <v>01</v>
          </cell>
          <cell r="Q552" t="str">
            <v>Gean</v>
          </cell>
          <cell r="R552">
            <v>45548</v>
          </cell>
          <cell r="S552">
            <v>0.47222222222222221</v>
          </cell>
          <cell r="T552">
            <v>0.4622222222222222</v>
          </cell>
          <cell r="U552" t="str">
            <v>X</v>
          </cell>
          <cell r="V552">
            <v>0.33333333333333331</v>
          </cell>
          <cell r="W552">
            <v>66.040000000000006</v>
          </cell>
          <cell r="X552">
            <v>64.89</v>
          </cell>
          <cell r="Y552">
            <v>0.41666666666666669</v>
          </cell>
          <cell r="Z552">
            <v>86.09</v>
          </cell>
          <cell r="AA552">
            <v>84.77</v>
          </cell>
          <cell r="AW552">
            <v>4</v>
          </cell>
          <cell r="AX552">
            <v>3</v>
          </cell>
          <cell r="AY552">
            <v>4</v>
          </cell>
          <cell r="AZ552">
            <v>4</v>
          </cell>
          <cell r="BA552" t="str">
            <v>VALE</v>
          </cell>
          <cell r="BB552">
            <v>45549</v>
          </cell>
          <cell r="BG552">
            <v>45548</v>
          </cell>
        </row>
        <row r="553">
          <cell r="A553">
            <v>932</v>
          </cell>
          <cell r="B553">
            <v>553</v>
          </cell>
          <cell r="C553" t="str">
            <v>PN-55 (P)</v>
          </cell>
          <cell r="D553">
            <v>2.5</v>
          </cell>
          <cell r="E553">
            <v>40</v>
          </cell>
          <cell r="F553">
            <v>24</v>
          </cell>
          <cell r="G553">
            <v>40</v>
          </cell>
          <cell r="H553">
            <v>0</v>
          </cell>
          <cell r="I553" t="str">
            <v>-</v>
          </cell>
          <cell r="J553" t="str">
            <v>670/660</v>
          </cell>
          <cell r="K553" t="str">
            <v xml:space="preserve">CPIII 40 RS </v>
          </cell>
          <cell r="L553" t="str">
            <v>CP V</v>
          </cell>
          <cell r="M553" t="str">
            <v>SUPER PLASTIFICANTE</v>
          </cell>
          <cell r="N553" t="str">
            <v>RESERVATÓRIO DE EFLUENTE BRUTO SUL 
OP-3100TU-17-10SUL</v>
          </cell>
          <cell r="O553" t="str">
            <v>FORTANKS</v>
          </cell>
          <cell r="P553" t="str">
            <v>02</v>
          </cell>
          <cell r="Q553" t="str">
            <v>Gean</v>
          </cell>
          <cell r="R553">
            <v>45548</v>
          </cell>
          <cell r="S553">
            <v>0.50694444444444442</v>
          </cell>
          <cell r="T553">
            <v>0.49694444444444441</v>
          </cell>
          <cell r="U553" t="str">
            <v>X</v>
          </cell>
          <cell r="V553">
            <v>0.33333333333333331</v>
          </cell>
          <cell r="W553">
            <v>65.459999999999994</v>
          </cell>
          <cell r="X553">
            <v>66.8</v>
          </cell>
          <cell r="Y553">
            <v>0.41666666666666669</v>
          </cell>
          <cell r="Z553">
            <v>86.01</v>
          </cell>
          <cell r="AA553">
            <v>87.45</v>
          </cell>
          <cell r="AW553">
            <v>4</v>
          </cell>
          <cell r="AX553">
            <v>4</v>
          </cell>
          <cell r="AY553">
            <v>4</v>
          </cell>
          <cell r="AZ553">
            <v>4</v>
          </cell>
          <cell r="BA553" t="str">
            <v>VALE</v>
          </cell>
          <cell r="BB553">
            <v>45549</v>
          </cell>
          <cell r="BG553">
            <v>45548</v>
          </cell>
        </row>
        <row r="554">
          <cell r="A554">
            <v>933</v>
          </cell>
          <cell r="B554">
            <v>554</v>
          </cell>
          <cell r="C554" t="str">
            <v>PILAR P.1 /A  // PILAR P.2 / A // VIGA VPR 101</v>
          </cell>
          <cell r="D554">
            <v>3.5</v>
          </cell>
          <cell r="E554">
            <v>40</v>
          </cell>
          <cell r="F554">
            <v>25</v>
          </cell>
          <cell r="G554">
            <v>40</v>
          </cell>
          <cell r="H554">
            <v>0</v>
          </cell>
          <cell r="I554" t="str">
            <v>-</v>
          </cell>
          <cell r="J554" t="str">
            <v>650/650</v>
          </cell>
          <cell r="K554" t="str">
            <v xml:space="preserve">CPIII 40 RS </v>
          </cell>
          <cell r="L554" t="str">
            <v>CP V</v>
          </cell>
          <cell r="M554" t="str">
            <v>SUPER PLASTIFICANTE</v>
          </cell>
          <cell r="N554" t="str">
            <v>RESERVATÓRIO DE EFLUENTE BRUTO SUL 
OP-3100TU-17-10SUL</v>
          </cell>
          <cell r="O554" t="str">
            <v>FORTANKS</v>
          </cell>
          <cell r="P554" t="str">
            <v>01</v>
          </cell>
          <cell r="Q554" t="str">
            <v>Gean</v>
          </cell>
          <cell r="R554">
            <v>45601</v>
          </cell>
          <cell r="S554">
            <v>0.54166666666666663</v>
          </cell>
          <cell r="T554">
            <v>0.53166666666666662</v>
          </cell>
          <cell r="U554" t="str">
            <v>X</v>
          </cell>
          <cell r="V554">
            <v>0.375</v>
          </cell>
          <cell r="W554">
            <v>26.07</v>
          </cell>
          <cell r="X554">
            <v>25.2</v>
          </cell>
          <cell r="Y554">
            <v>0.41666666666666669</v>
          </cell>
          <cell r="Z554">
            <v>85.67</v>
          </cell>
          <cell r="AA554">
            <v>84.9</v>
          </cell>
          <cell r="AW554">
            <v>4</v>
          </cell>
          <cell r="AX554">
            <v>3</v>
          </cell>
          <cell r="AY554">
            <v>4</v>
          </cell>
          <cell r="AZ554">
            <v>4</v>
          </cell>
          <cell r="BA554" t="str">
            <v>VALE</v>
          </cell>
          <cell r="BB554">
            <v>45602</v>
          </cell>
          <cell r="BG554">
            <v>45601</v>
          </cell>
        </row>
        <row r="555">
          <cell r="A555">
            <v>934</v>
          </cell>
          <cell r="B555">
            <v>555</v>
          </cell>
          <cell r="C555" t="str">
            <v>PE-B2 / PN-68 (P) / PE-B1</v>
          </cell>
          <cell r="D555">
            <v>6</v>
          </cell>
          <cell r="E555">
            <v>40</v>
          </cell>
          <cell r="F555">
            <v>24</v>
          </cell>
          <cell r="G555">
            <v>40</v>
          </cell>
          <cell r="H555">
            <v>0</v>
          </cell>
          <cell r="I555" t="str">
            <v>-</v>
          </cell>
          <cell r="J555" t="str">
            <v>650/640</v>
          </cell>
          <cell r="K555" t="str">
            <v xml:space="preserve">CPIII 40 RS </v>
          </cell>
          <cell r="L555" t="str">
            <v>CP V</v>
          </cell>
          <cell r="M555" t="str">
            <v>SUPER PLASTIFICANTE</v>
          </cell>
          <cell r="N555" t="str">
            <v>RESERVATÓRIO DE EFLUENTE BRUTO SUL 
OP-3100TU-17-10SUL</v>
          </cell>
          <cell r="O555" t="str">
            <v>FORTANKS</v>
          </cell>
          <cell r="P555" t="str">
            <v>01</v>
          </cell>
          <cell r="Q555" t="str">
            <v>Gean</v>
          </cell>
          <cell r="R555">
            <v>45604</v>
          </cell>
          <cell r="S555">
            <v>0.54166666666666663</v>
          </cell>
          <cell r="T555">
            <v>0.53166666666666662</v>
          </cell>
          <cell r="U555" t="str">
            <v>X</v>
          </cell>
          <cell r="V555">
            <v>0.375</v>
          </cell>
          <cell r="W555">
            <v>53.19</v>
          </cell>
          <cell r="X555">
            <v>51.6</v>
          </cell>
          <cell r="Y555">
            <v>0.41666666666666669</v>
          </cell>
          <cell r="Z555">
            <v>85.91</v>
          </cell>
          <cell r="AA555">
            <v>86.68</v>
          </cell>
          <cell r="AW555">
            <v>4</v>
          </cell>
          <cell r="AX555">
            <v>4</v>
          </cell>
          <cell r="AY555">
            <v>4</v>
          </cell>
          <cell r="AZ555">
            <v>4</v>
          </cell>
          <cell r="BA555" t="str">
            <v>VALE</v>
          </cell>
          <cell r="BB555">
            <v>45605</v>
          </cell>
          <cell r="BG555">
            <v>45604</v>
          </cell>
        </row>
        <row r="556">
          <cell r="A556">
            <v>935</v>
          </cell>
          <cell r="B556">
            <v>556</v>
          </cell>
          <cell r="C556" t="str">
            <v>VIGA VPR 102</v>
          </cell>
          <cell r="D556">
            <v>2</v>
          </cell>
          <cell r="E556">
            <v>40</v>
          </cell>
          <cell r="F556">
            <v>24</v>
          </cell>
          <cell r="G556">
            <v>40</v>
          </cell>
          <cell r="H556">
            <v>0</v>
          </cell>
          <cell r="I556" t="str">
            <v>-</v>
          </cell>
          <cell r="J556" t="str">
            <v>650/640</v>
          </cell>
          <cell r="K556" t="str">
            <v xml:space="preserve">CPIII 40 RS </v>
          </cell>
          <cell r="L556" t="str">
            <v>CP V</v>
          </cell>
          <cell r="M556" t="str">
            <v>SUPER PLASTIFICANTE</v>
          </cell>
          <cell r="N556" t="str">
            <v>RESERVATÓRIO DE EFLUENTE BRUTO SUL 
OP-3100TU-17-10SUL</v>
          </cell>
          <cell r="O556" t="str">
            <v>FORTANKS</v>
          </cell>
          <cell r="P556" t="str">
            <v>01</v>
          </cell>
          <cell r="Q556" t="str">
            <v>Gean</v>
          </cell>
          <cell r="R556">
            <v>45608</v>
          </cell>
          <cell r="S556">
            <v>0.61805555555555558</v>
          </cell>
          <cell r="T556">
            <v>0.60805555555555557</v>
          </cell>
          <cell r="U556" t="str">
            <v>X</v>
          </cell>
          <cell r="V556">
            <v>0.375</v>
          </cell>
          <cell r="W556">
            <v>28.4</v>
          </cell>
          <cell r="X556">
            <v>29.38</v>
          </cell>
          <cell r="Y556">
            <v>0.41666666666666669</v>
          </cell>
          <cell r="Z556">
            <v>84.52</v>
          </cell>
          <cell r="AA556">
            <v>83.51</v>
          </cell>
          <cell r="AW556">
            <v>4</v>
          </cell>
          <cell r="AX556">
            <v>4</v>
          </cell>
          <cell r="AY556">
            <v>4</v>
          </cell>
          <cell r="AZ556">
            <v>4</v>
          </cell>
          <cell r="BA556" t="str">
            <v>VALE</v>
          </cell>
          <cell r="BB556">
            <v>45609</v>
          </cell>
          <cell r="BG556">
            <v>45608</v>
          </cell>
        </row>
        <row r="557">
          <cell r="A557">
            <v>936</v>
          </cell>
          <cell r="B557">
            <v>557</v>
          </cell>
          <cell r="C557" t="str">
            <v>POÇO DE BOMBAS PN-71 / PN-72 / PN-73</v>
          </cell>
          <cell r="D557">
            <v>9</v>
          </cell>
          <cell r="E557">
            <v>40</v>
          </cell>
          <cell r="F557">
            <v>15</v>
          </cell>
          <cell r="G557">
            <v>40</v>
          </cell>
          <cell r="H557">
            <v>0</v>
          </cell>
          <cell r="I557" t="str">
            <v>-</v>
          </cell>
          <cell r="J557" t="str">
            <v>650/650</v>
          </cell>
          <cell r="K557" t="str">
            <v xml:space="preserve">CPIII 40 RS </v>
          </cell>
          <cell r="L557" t="str">
            <v>CP V</v>
          </cell>
          <cell r="M557" t="str">
            <v>SUPER PLASTIFICANTE</v>
          </cell>
          <cell r="N557" t="str">
            <v>RESERVATÓRIO DE EFLUENTE BRUTO SUL 
OP-3100TU-17-10SUL</v>
          </cell>
          <cell r="O557" t="str">
            <v>FORTANKS</v>
          </cell>
          <cell r="P557" t="str">
            <v>01</v>
          </cell>
          <cell r="Q557" t="str">
            <v>Gean</v>
          </cell>
          <cell r="R557">
            <v>45614</v>
          </cell>
          <cell r="S557">
            <v>0.4375</v>
          </cell>
          <cell r="T557">
            <v>0.42749999999999999</v>
          </cell>
          <cell r="U557" t="str">
            <v>X</v>
          </cell>
          <cell r="V557">
            <v>0.54166666666666663</v>
          </cell>
          <cell r="W557">
            <v>35.49</v>
          </cell>
          <cell r="X557">
            <v>35.19</v>
          </cell>
          <cell r="Y557">
            <v>0.41666666666666669</v>
          </cell>
          <cell r="Z557">
            <v>84.56</v>
          </cell>
          <cell r="AA557">
            <v>86</v>
          </cell>
          <cell r="AW557">
            <v>4</v>
          </cell>
          <cell r="AX557">
            <v>4</v>
          </cell>
          <cell r="AY557">
            <v>4</v>
          </cell>
          <cell r="AZ557">
            <v>4</v>
          </cell>
          <cell r="BA557" t="str">
            <v>VALE</v>
          </cell>
          <cell r="BB557">
            <v>45615</v>
          </cell>
          <cell r="BG557">
            <v>45614</v>
          </cell>
        </row>
        <row r="558">
          <cell r="A558">
            <v>937</v>
          </cell>
          <cell r="B558">
            <v>558</v>
          </cell>
          <cell r="C558" t="str">
            <v>LAJE L2 / VIGA V1-1 / VIGA VPR-103 / LAJE PL6-1  LAJE PL8-1 // POÇO DE BOMBAS PN-74</v>
          </cell>
          <cell r="D558">
            <v>8</v>
          </cell>
          <cell r="E558">
            <v>40</v>
          </cell>
          <cell r="F558">
            <v>25</v>
          </cell>
          <cell r="G558">
            <v>40</v>
          </cell>
          <cell r="H558">
            <v>0</v>
          </cell>
          <cell r="I558" t="str">
            <v>-</v>
          </cell>
          <cell r="J558" t="str">
            <v>650/650</v>
          </cell>
          <cell r="K558" t="str">
            <v xml:space="preserve">CPIII 40 RS </v>
          </cell>
          <cell r="L558" t="str">
            <v>CP V</v>
          </cell>
          <cell r="M558" t="str">
            <v>SUPER PLASTIFICANTE</v>
          </cell>
          <cell r="N558" t="str">
            <v>RESERVATÓRIO DE EFLUENTE BRUTO SUL 
OP-3100TU-17-10SUL</v>
          </cell>
          <cell r="O558" t="str">
            <v>FORTANKS</v>
          </cell>
          <cell r="P558" t="str">
            <v>01</v>
          </cell>
          <cell r="Q558" t="str">
            <v>Gean</v>
          </cell>
          <cell r="R558">
            <v>45621</v>
          </cell>
          <cell r="S558">
            <v>0.6875</v>
          </cell>
          <cell r="T558">
            <v>0.67749999999999999</v>
          </cell>
          <cell r="U558" t="str">
            <v>X</v>
          </cell>
          <cell r="V558">
            <v>0.54166666666666663</v>
          </cell>
          <cell r="W558">
            <v>25.11</v>
          </cell>
          <cell r="X558">
            <v>22.45</v>
          </cell>
          <cell r="Y558">
            <v>0.41666666666666669</v>
          </cell>
          <cell r="Z558">
            <v>79.73</v>
          </cell>
          <cell r="AA558">
            <v>78.790000000000006</v>
          </cell>
          <cell r="AW558">
            <v>4</v>
          </cell>
          <cell r="AX558">
            <v>4</v>
          </cell>
          <cell r="AY558">
            <v>4</v>
          </cell>
          <cell r="AZ558">
            <v>4</v>
          </cell>
          <cell r="BA558" t="str">
            <v>VALE</v>
          </cell>
          <cell r="BB558">
            <v>45622</v>
          </cell>
          <cell r="BG558">
            <v>45621</v>
          </cell>
        </row>
        <row r="559">
          <cell r="A559">
            <v>938</v>
          </cell>
          <cell r="B559">
            <v>559</v>
          </cell>
          <cell r="C559" t="str">
            <v>POÇO DE BOMBAS PC-70 / PN-75</v>
          </cell>
          <cell r="D559">
            <v>8</v>
          </cell>
          <cell r="E559">
            <v>40</v>
          </cell>
          <cell r="F559">
            <v>15</v>
          </cell>
          <cell r="G559">
            <v>40</v>
          </cell>
          <cell r="H559">
            <v>0</v>
          </cell>
          <cell r="I559" t="str">
            <v>-</v>
          </cell>
          <cell r="J559" t="str">
            <v>650/650</v>
          </cell>
          <cell r="K559" t="str">
            <v xml:space="preserve">CPIII 40 RS </v>
          </cell>
          <cell r="L559" t="str">
            <v>CP V</v>
          </cell>
          <cell r="M559" t="str">
            <v>SUPER PLASTIFICANTE</v>
          </cell>
          <cell r="N559" t="str">
            <v>RESERVATÓRIO DE EFLUENTE BRUTO SUL 
OP-3100TU-17-10SUL</v>
          </cell>
          <cell r="O559" t="str">
            <v>FORTANKS</v>
          </cell>
          <cell r="P559" t="str">
            <v>01</v>
          </cell>
          <cell r="Q559" t="str">
            <v>Gean</v>
          </cell>
          <cell r="R559">
            <v>45621</v>
          </cell>
          <cell r="S559">
            <v>0.625</v>
          </cell>
          <cell r="T559">
            <v>0.61499999999999999</v>
          </cell>
          <cell r="U559" t="str">
            <v>X</v>
          </cell>
          <cell r="V559">
            <v>0.54166666666666663</v>
          </cell>
          <cell r="W559">
            <v>20.48</v>
          </cell>
          <cell r="X559">
            <v>20.079999999999998</v>
          </cell>
          <cell r="Y559">
            <v>0.41666666666666669</v>
          </cell>
          <cell r="Z559">
            <v>86.06</v>
          </cell>
          <cell r="AA559">
            <v>87.54</v>
          </cell>
          <cell r="AW559">
            <v>4</v>
          </cell>
          <cell r="AX559">
            <v>4</v>
          </cell>
          <cell r="AY559">
            <v>4</v>
          </cell>
          <cell r="AZ559">
            <v>4</v>
          </cell>
          <cell r="BA559" t="str">
            <v>VALE</v>
          </cell>
          <cell r="BB559">
            <v>45622</v>
          </cell>
          <cell r="BG559">
            <v>45621</v>
          </cell>
        </row>
        <row r="560">
          <cell r="A560">
            <v>939</v>
          </cell>
          <cell r="B560">
            <v>560</v>
          </cell>
          <cell r="C560" t="str">
            <v>POÇO DE BOMBAS PN-80 /  VIGA V1-2 / LAJE PL6-2 / LAJE PL8/2</v>
          </cell>
          <cell r="D560">
            <v>5</v>
          </cell>
          <cell r="E560">
            <v>40</v>
          </cell>
          <cell r="F560">
            <v>25</v>
          </cell>
          <cell r="G560">
            <v>40</v>
          </cell>
          <cell r="H560">
            <v>0</v>
          </cell>
          <cell r="I560" t="str">
            <v>-</v>
          </cell>
          <cell r="J560" t="str">
            <v>650/650</v>
          </cell>
          <cell r="K560" t="str">
            <v xml:space="preserve">CPIII 40 RS </v>
          </cell>
          <cell r="L560" t="str">
            <v>CP V</v>
          </cell>
          <cell r="M560" t="str">
            <v>SUPER PLASTIFICANTE</v>
          </cell>
          <cell r="N560" t="str">
            <v>RESERVATÓRIO DE EFLUENTE BRUTO SUL 
OP-3100TU-17-10SUL</v>
          </cell>
          <cell r="O560" t="str">
            <v>FORTANKS</v>
          </cell>
          <cell r="P560" t="str">
            <v>01</v>
          </cell>
          <cell r="Q560" t="str">
            <v>Gean</v>
          </cell>
          <cell r="R560">
            <v>45623</v>
          </cell>
          <cell r="S560">
            <v>0.54166666666666663</v>
          </cell>
          <cell r="T560">
            <v>0.53166666666666662</v>
          </cell>
          <cell r="U560" t="str">
            <v>X</v>
          </cell>
          <cell r="V560">
            <v>0.375</v>
          </cell>
          <cell r="W560">
            <v>25.97</v>
          </cell>
          <cell r="X560">
            <v>26.1</v>
          </cell>
          <cell r="Y560">
            <v>0.41666666666666669</v>
          </cell>
          <cell r="Z560">
            <v>89.83</v>
          </cell>
          <cell r="AA560">
            <v>85.07</v>
          </cell>
          <cell r="AW560">
            <v>4</v>
          </cell>
          <cell r="AX560">
            <v>4</v>
          </cell>
          <cell r="AY560">
            <v>4</v>
          </cell>
          <cell r="AZ560">
            <v>4</v>
          </cell>
          <cell r="BA560" t="str">
            <v>VALE</v>
          </cell>
          <cell r="BB560">
            <v>45624</v>
          </cell>
          <cell r="BG560">
            <v>45623</v>
          </cell>
        </row>
        <row r="561">
          <cell r="A561">
            <v>940</v>
          </cell>
          <cell r="B561">
            <v>561</v>
          </cell>
          <cell r="C561" t="str">
            <v>POÇO DE BOMBAS PC-69</v>
          </cell>
          <cell r="D561">
            <v>3.5</v>
          </cell>
          <cell r="E561">
            <v>40</v>
          </cell>
          <cell r="F561">
            <v>15</v>
          </cell>
          <cell r="G561">
            <v>40</v>
          </cell>
          <cell r="H561">
            <v>0</v>
          </cell>
          <cell r="I561" t="str">
            <v>-</v>
          </cell>
          <cell r="J561" t="str">
            <v>650/650</v>
          </cell>
          <cell r="K561" t="str">
            <v xml:space="preserve">CPIII 40 RS </v>
          </cell>
          <cell r="L561" t="str">
            <v>CP V</v>
          </cell>
          <cell r="M561" t="str">
            <v>SUPER PLASTIFICANTE</v>
          </cell>
          <cell r="N561" t="str">
            <v>RESERVATÓRIO DE EFLUENTE BRUTO SUL 
OP-3100TU-17-10SUL</v>
          </cell>
          <cell r="O561" t="str">
            <v>FORTANKS</v>
          </cell>
          <cell r="P561" t="str">
            <v>01</v>
          </cell>
          <cell r="Q561" t="str">
            <v>Gean</v>
          </cell>
          <cell r="R561">
            <v>45623</v>
          </cell>
          <cell r="S561">
            <v>0.66666666666666663</v>
          </cell>
          <cell r="T561">
            <v>0.65666666666666662</v>
          </cell>
          <cell r="U561" t="str">
            <v>X</v>
          </cell>
          <cell r="V561">
            <v>0.375</v>
          </cell>
          <cell r="W561">
            <v>24.93</v>
          </cell>
          <cell r="X561">
            <v>27.58</v>
          </cell>
          <cell r="Y561">
            <v>0.41666666666666669</v>
          </cell>
          <cell r="Z561">
            <v>86.8</v>
          </cell>
          <cell r="AA561">
            <v>84.9</v>
          </cell>
          <cell r="AW561">
            <v>4</v>
          </cell>
          <cell r="AX561">
            <v>4</v>
          </cell>
          <cell r="AY561">
            <v>4</v>
          </cell>
          <cell r="AZ561">
            <v>4</v>
          </cell>
          <cell r="BA561" t="str">
            <v>VALE</v>
          </cell>
          <cell r="BB561">
            <v>45624</v>
          </cell>
          <cell r="BG561">
            <v>45623</v>
          </cell>
        </row>
        <row r="562">
          <cell r="A562">
            <v>941</v>
          </cell>
          <cell r="B562">
            <v>562</v>
          </cell>
          <cell r="C562" t="str">
            <v>LAJE L1 / VIGA VPR-104</v>
          </cell>
          <cell r="D562">
            <v>4</v>
          </cell>
          <cell r="E562">
            <v>40</v>
          </cell>
          <cell r="F562">
            <v>15</v>
          </cell>
          <cell r="G562">
            <v>40</v>
          </cell>
          <cell r="H562">
            <v>0</v>
          </cell>
          <cell r="I562" t="str">
            <v>-</v>
          </cell>
          <cell r="J562" t="str">
            <v>650/640</v>
          </cell>
          <cell r="K562" t="str">
            <v xml:space="preserve">CPIII 40 RS </v>
          </cell>
          <cell r="L562" t="str">
            <v>CP V</v>
          </cell>
          <cell r="M562" t="str">
            <v>SUPER PLASTIFICANTE</v>
          </cell>
          <cell r="N562" t="str">
            <v>RESERVATÓRIO DE EFLUENTE BRUTO SUL 
OP-3100TU-17-10SUL</v>
          </cell>
          <cell r="O562" t="str">
            <v>FORTANKS</v>
          </cell>
          <cell r="P562" t="str">
            <v>01</v>
          </cell>
          <cell r="Q562" t="str">
            <v>Gean</v>
          </cell>
          <cell r="R562">
            <v>45626</v>
          </cell>
          <cell r="S562">
            <v>0.625</v>
          </cell>
          <cell r="T562">
            <v>0.61499999999999999</v>
          </cell>
          <cell r="U562" t="str">
            <v>X</v>
          </cell>
          <cell r="V562">
            <v>0.3125</v>
          </cell>
          <cell r="W562">
            <v>40.770000000000003</v>
          </cell>
          <cell r="X562">
            <v>39.46</v>
          </cell>
          <cell r="Y562">
            <v>0.41666666666666669</v>
          </cell>
          <cell r="Z562">
            <v>95.06</v>
          </cell>
          <cell r="AA562">
            <v>91.77</v>
          </cell>
          <cell r="AW562">
            <v>4</v>
          </cell>
          <cell r="AX562">
            <v>4</v>
          </cell>
          <cell r="AY562">
            <v>4</v>
          </cell>
          <cell r="AZ562">
            <v>4</v>
          </cell>
          <cell r="BA562" t="str">
            <v>VALE</v>
          </cell>
          <cell r="BB562">
            <v>45627</v>
          </cell>
          <cell r="BG562">
            <v>45626</v>
          </cell>
        </row>
        <row r="563">
          <cell r="A563">
            <v>942</v>
          </cell>
          <cell r="B563">
            <v>563</v>
          </cell>
          <cell r="C563" t="str">
            <v>POÇO DE BOMBAS PN-81 / PN-82 / PN-84</v>
          </cell>
          <cell r="D563">
            <v>8</v>
          </cell>
          <cell r="E563">
            <v>40</v>
          </cell>
          <cell r="F563">
            <v>15</v>
          </cell>
          <cell r="G563">
            <v>40</v>
          </cell>
          <cell r="H563">
            <v>0</v>
          </cell>
          <cell r="I563" t="str">
            <v>-</v>
          </cell>
          <cell r="J563" t="str">
            <v>650/650</v>
          </cell>
          <cell r="K563" t="str">
            <v xml:space="preserve">CPIII 40 RS </v>
          </cell>
          <cell r="L563" t="str">
            <v>CP V</v>
          </cell>
          <cell r="M563" t="str">
            <v>SUPER PLASTIFICANTE</v>
          </cell>
          <cell r="N563" t="str">
            <v>RESERVATÓRIO DE EFLUENTE BRUTO SUL 
OP-3100TU-17-10SUL</v>
          </cell>
          <cell r="O563" t="str">
            <v>FORTANKS</v>
          </cell>
          <cell r="P563" t="str">
            <v>01</v>
          </cell>
          <cell r="Q563" t="str">
            <v>Gean</v>
          </cell>
          <cell r="R563">
            <v>45626</v>
          </cell>
          <cell r="S563">
            <v>0.54166666666666663</v>
          </cell>
          <cell r="T563">
            <v>0.53166666666666662</v>
          </cell>
          <cell r="U563" t="str">
            <v>X</v>
          </cell>
          <cell r="V563">
            <v>0.3125</v>
          </cell>
          <cell r="W563">
            <v>45.77</v>
          </cell>
          <cell r="X563">
            <v>47.88</v>
          </cell>
          <cell r="Y563">
            <v>0.41666666666666669</v>
          </cell>
          <cell r="Z563">
            <v>85.64</v>
          </cell>
          <cell r="AA563">
            <v>84.76</v>
          </cell>
          <cell r="AW563">
            <v>4</v>
          </cell>
          <cell r="AX563">
            <v>4</v>
          </cell>
          <cell r="AY563">
            <v>4</v>
          </cell>
          <cell r="AZ563">
            <v>4</v>
          </cell>
          <cell r="BA563" t="str">
            <v>VALE</v>
          </cell>
          <cell r="BB563">
            <v>45627</v>
          </cell>
          <cell r="BG563">
            <v>45626</v>
          </cell>
        </row>
        <row r="564">
          <cell r="A564">
            <v>943</v>
          </cell>
          <cell r="B564">
            <v>564</v>
          </cell>
          <cell r="C564" t="str">
            <v>POÇO DE BOMBAS PC-77 / PC-B4</v>
          </cell>
          <cell r="D564">
            <v>7</v>
          </cell>
          <cell r="E564">
            <v>40</v>
          </cell>
          <cell r="F564">
            <v>15</v>
          </cell>
          <cell r="G564">
            <v>40</v>
          </cell>
          <cell r="H564">
            <v>0</v>
          </cell>
          <cell r="I564" t="str">
            <v>-</v>
          </cell>
          <cell r="J564" t="str">
            <v>650/650</v>
          </cell>
          <cell r="K564" t="str">
            <v xml:space="preserve">CPIII 40 RS </v>
          </cell>
          <cell r="L564" t="str">
            <v>CP V</v>
          </cell>
          <cell r="M564" t="str">
            <v>SUPER PLASTIFICANTE</v>
          </cell>
          <cell r="N564" t="str">
            <v>RESERVATÓRIO DE EFLUENTE BRUTO SUL 
OP-3100TU-17-10SUL</v>
          </cell>
          <cell r="O564" t="str">
            <v>FORTANKS</v>
          </cell>
          <cell r="P564" t="str">
            <v>01</v>
          </cell>
          <cell r="Q564" t="str">
            <v>Gean</v>
          </cell>
          <cell r="R564">
            <v>45626</v>
          </cell>
          <cell r="S564">
            <v>0.625</v>
          </cell>
          <cell r="T564">
            <v>0.61499999999999999</v>
          </cell>
          <cell r="U564" t="str">
            <v>X</v>
          </cell>
          <cell r="V564">
            <v>0.3125</v>
          </cell>
          <cell r="W564">
            <v>39.51</v>
          </cell>
          <cell r="X564">
            <v>39.659999999999997</v>
          </cell>
          <cell r="Y564">
            <v>0.41666666666666669</v>
          </cell>
          <cell r="Z564">
            <v>85.32</v>
          </cell>
          <cell r="AA564">
            <v>84.11</v>
          </cell>
          <cell r="AW564">
            <v>4</v>
          </cell>
          <cell r="AX564">
            <v>4</v>
          </cell>
          <cell r="AY564">
            <v>4</v>
          </cell>
          <cell r="AZ564">
            <v>4</v>
          </cell>
          <cell r="BA564" t="str">
            <v>VALE</v>
          </cell>
          <cell r="BB564">
            <v>45627</v>
          </cell>
          <cell r="BG564">
            <v>45626</v>
          </cell>
        </row>
        <row r="565">
          <cell r="A565">
            <v>944</v>
          </cell>
          <cell r="B565">
            <v>565</v>
          </cell>
          <cell r="C565" t="str">
            <v>POÇO DE BOMBAS PC-76 / VIGA V1-3 / LAJE PL8-3</v>
          </cell>
          <cell r="D565">
            <v>3.5</v>
          </cell>
          <cell r="E565">
            <v>40</v>
          </cell>
          <cell r="F565">
            <v>25</v>
          </cell>
          <cell r="G565">
            <v>40</v>
          </cell>
          <cell r="H565">
            <v>0</v>
          </cell>
          <cell r="I565" t="str">
            <v>-</v>
          </cell>
          <cell r="J565" t="str">
            <v>650/650</v>
          </cell>
          <cell r="K565" t="str">
            <v xml:space="preserve">CPIII 40 RS </v>
          </cell>
          <cell r="L565" t="str">
            <v>CP V</v>
          </cell>
          <cell r="M565" t="str">
            <v>SUPER PLASTIFICANTE</v>
          </cell>
          <cell r="N565" t="str">
            <v>RESERVATÓRIO DE EFLUENTE BRUTO SUL 
OP-3100TU-17-10SUL</v>
          </cell>
          <cell r="O565" t="str">
            <v>FORTANKS</v>
          </cell>
          <cell r="P565" t="str">
            <v>01</v>
          </cell>
          <cell r="Q565" t="str">
            <v>Gean</v>
          </cell>
          <cell r="R565">
            <v>45599</v>
          </cell>
          <cell r="S565">
            <v>0.6875</v>
          </cell>
          <cell r="T565">
            <v>0.67749999999999999</v>
          </cell>
          <cell r="U565" t="str">
            <v>X</v>
          </cell>
          <cell r="V565">
            <v>0.3125</v>
          </cell>
          <cell r="W565">
            <v>30.1</v>
          </cell>
          <cell r="X565">
            <v>33</v>
          </cell>
          <cell r="Y565">
            <v>0.41666666666666669</v>
          </cell>
          <cell r="Z565">
            <v>85.26</v>
          </cell>
          <cell r="AA565">
            <v>85.91</v>
          </cell>
          <cell r="AW565">
            <v>4</v>
          </cell>
          <cell r="AX565">
            <v>4</v>
          </cell>
          <cell r="AY565">
            <v>4</v>
          </cell>
          <cell r="AZ565">
            <v>4</v>
          </cell>
          <cell r="BA565" t="str">
            <v>VALE</v>
          </cell>
          <cell r="BB565">
            <v>45600</v>
          </cell>
          <cell r="BG565">
            <v>45599</v>
          </cell>
        </row>
        <row r="566">
          <cell r="A566">
            <v>945</v>
          </cell>
          <cell r="B566">
            <v>566</v>
          </cell>
          <cell r="C566" t="str">
            <v>POÇO DE BOMBAS PC-79 // PL-09</v>
          </cell>
          <cell r="D566">
            <v>4</v>
          </cell>
          <cell r="E566">
            <v>40</v>
          </cell>
          <cell r="F566">
            <v>25</v>
          </cell>
          <cell r="G566">
            <v>40</v>
          </cell>
          <cell r="H566">
            <v>0</v>
          </cell>
          <cell r="I566" t="str">
            <v>-</v>
          </cell>
          <cell r="J566" t="str">
            <v>650/650</v>
          </cell>
          <cell r="K566" t="str">
            <v xml:space="preserve">CPIII 40 RS </v>
          </cell>
          <cell r="L566" t="str">
            <v>CP V</v>
          </cell>
          <cell r="M566" t="str">
            <v>SUPER PLASTIFICANTE</v>
          </cell>
          <cell r="N566" t="str">
            <v>RESERVATÓRIO DE EFLUENTE BRUTO SUL 
OP-3100TU-17-10SUL</v>
          </cell>
          <cell r="O566" t="str">
            <v>FORTANKS</v>
          </cell>
          <cell r="P566" t="str">
            <v>01</v>
          </cell>
          <cell r="Q566" t="str">
            <v>Gean</v>
          </cell>
          <cell r="R566">
            <v>45630</v>
          </cell>
          <cell r="S566">
            <v>0.66666666666666663</v>
          </cell>
          <cell r="T566">
            <v>0.65666666666666662</v>
          </cell>
          <cell r="U566" t="str">
            <v>X</v>
          </cell>
          <cell r="V566">
            <v>0.41666666666666669</v>
          </cell>
          <cell r="W566">
            <v>25.5</v>
          </cell>
          <cell r="X566">
            <v>24.46</v>
          </cell>
          <cell r="Y566">
            <v>0.41666666666666669</v>
          </cell>
          <cell r="Z566">
            <v>70.31</v>
          </cell>
          <cell r="AA566">
            <v>68.83</v>
          </cell>
          <cell r="AW566">
            <v>4</v>
          </cell>
          <cell r="AX566">
            <v>4</v>
          </cell>
          <cell r="AY566">
            <v>4</v>
          </cell>
          <cell r="AZ566">
            <v>4</v>
          </cell>
          <cell r="BA566" t="str">
            <v>VALE</v>
          </cell>
          <cell r="BB566">
            <v>45631</v>
          </cell>
          <cell r="BG566">
            <v>45630</v>
          </cell>
        </row>
        <row r="567">
          <cell r="A567">
            <v>946</v>
          </cell>
          <cell r="B567">
            <v>567</v>
          </cell>
          <cell r="C567" t="str">
            <v xml:space="preserve">POÇO DE BOMBAS PC-78 / PN-83  / VIGA V1-4// LAJE PL5-1 / PL5-2 </v>
          </cell>
          <cell r="D567">
            <v>8</v>
          </cell>
          <cell r="E567">
            <v>40</v>
          </cell>
          <cell r="F567">
            <v>25</v>
          </cell>
          <cell r="G567">
            <v>40</v>
          </cell>
          <cell r="H567">
            <v>0</v>
          </cell>
          <cell r="I567" t="str">
            <v>-</v>
          </cell>
          <cell r="J567" t="str">
            <v>650/650</v>
          </cell>
          <cell r="K567" t="str">
            <v xml:space="preserve">CPIII 40 RS </v>
          </cell>
          <cell r="L567" t="str">
            <v>CP V</v>
          </cell>
          <cell r="M567" t="str">
            <v>SUPER PLASTIFICANTE</v>
          </cell>
          <cell r="N567" t="str">
            <v>RESERVATÓRIO DE EFLUENTE BRUTO SUL 
OP-3100TU-17-10SUL</v>
          </cell>
          <cell r="O567" t="str">
            <v>FORTANKS</v>
          </cell>
          <cell r="P567" t="str">
            <v>01</v>
          </cell>
          <cell r="Q567" t="str">
            <v>Gean</v>
          </cell>
          <cell r="R567">
            <v>45632</v>
          </cell>
          <cell r="S567">
            <v>0.74652777777777779</v>
          </cell>
          <cell r="T567">
            <v>0.73652777777777778</v>
          </cell>
          <cell r="U567" t="str">
            <v>X</v>
          </cell>
          <cell r="V567">
            <v>0.5</v>
          </cell>
          <cell r="W567">
            <v>23.7</v>
          </cell>
          <cell r="X567">
            <v>25.39</v>
          </cell>
          <cell r="Y567">
            <v>0.41666666666666669</v>
          </cell>
          <cell r="Z567">
            <v>70.09</v>
          </cell>
          <cell r="AA567">
            <v>72.23</v>
          </cell>
          <cell r="AW567">
            <v>4</v>
          </cell>
          <cell r="AX567">
            <v>4</v>
          </cell>
          <cell r="AY567">
            <v>3</v>
          </cell>
          <cell r="AZ567">
            <v>4</v>
          </cell>
          <cell r="BA567" t="str">
            <v>VALE</v>
          </cell>
          <cell r="BB567">
            <v>45633</v>
          </cell>
          <cell r="BG567">
            <v>45632</v>
          </cell>
        </row>
        <row r="568">
          <cell r="A568">
            <v>947</v>
          </cell>
          <cell r="B568">
            <v>568</v>
          </cell>
          <cell r="C568" t="str">
            <v>POÇO DE BOMBAS PC-B3</v>
          </cell>
          <cell r="D568">
            <v>4</v>
          </cell>
          <cell r="E568">
            <v>40</v>
          </cell>
          <cell r="F568">
            <v>15</v>
          </cell>
          <cell r="G568">
            <v>40</v>
          </cell>
          <cell r="H568">
            <v>0</v>
          </cell>
          <cell r="I568" t="str">
            <v>-</v>
          </cell>
          <cell r="J568" t="str">
            <v>650/640</v>
          </cell>
          <cell r="K568" t="str">
            <v xml:space="preserve">CPIII 40 RS </v>
          </cell>
          <cell r="L568" t="str">
            <v>CP V</v>
          </cell>
          <cell r="M568" t="str">
            <v>SUPER PLASTIFICANTE</v>
          </cell>
          <cell r="N568" t="str">
            <v>RESERVATÓRIO DE EFLUENTE BRUTO SUL 
OP-3100TU-17-10SUL</v>
          </cell>
          <cell r="O568" t="str">
            <v>FORTANKS</v>
          </cell>
          <cell r="P568" t="str">
            <v>01</v>
          </cell>
          <cell r="Q568" t="str">
            <v>Gean</v>
          </cell>
          <cell r="R568">
            <v>45635</v>
          </cell>
          <cell r="S568">
            <v>0.74305555555555558</v>
          </cell>
          <cell r="T568">
            <v>0.73305555555555557</v>
          </cell>
          <cell r="U568" t="str">
            <v>X</v>
          </cell>
          <cell r="V568">
            <v>0.5</v>
          </cell>
          <cell r="W568">
            <v>39.35</v>
          </cell>
          <cell r="X568">
            <v>40.11</v>
          </cell>
          <cell r="Y568">
            <v>0.41666666666666669</v>
          </cell>
          <cell r="Z568">
            <v>75.23</v>
          </cell>
          <cell r="AA568">
            <v>74.23</v>
          </cell>
          <cell r="AW568">
            <v>4</v>
          </cell>
          <cell r="AX568">
            <v>4</v>
          </cell>
          <cell r="AY568">
            <v>4</v>
          </cell>
          <cell r="AZ568">
            <v>4</v>
          </cell>
          <cell r="BA568" t="str">
            <v>VALE</v>
          </cell>
          <cell r="BB568">
            <v>45636</v>
          </cell>
          <cell r="BG568">
            <v>45635</v>
          </cell>
        </row>
        <row r="569">
          <cell r="A569">
            <v>948</v>
          </cell>
          <cell r="B569">
            <v>569</v>
          </cell>
          <cell r="C569" t="str">
            <v>LAJE PL5-3 / LAJE PL5-4 / PILAR P2.B / PILAR P2.A</v>
          </cell>
          <cell r="D569">
            <v>3</v>
          </cell>
          <cell r="E569">
            <v>40</v>
          </cell>
          <cell r="F569">
            <v>25</v>
          </cell>
          <cell r="G569">
            <v>40</v>
          </cell>
          <cell r="H569">
            <v>0</v>
          </cell>
          <cell r="I569" t="str">
            <v>-</v>
          </cell>
          <cell r="J569" t="str">
            <v>640/660</v>
          </cell>
          <cell r="K569" t="str">
            <v xml:space="preserve">CPIII 40 RS </v>
          </cell>
          <cell r="L569" t="str">
            <v>CP V</v>
          </cell>
          <cell r="M569" t="str">
            <v>SUPER PLASTIFICANTE</v>
          </cell>
          <cell r="N569" t="str">
            <v>RESERVATÓRIO DE EFLUENTE BRUTO SUL 
OP-3100TU-17-10SUL</v>
          </cell>
          <cell r="O569" t="str">
            <v>FORTANKS</v>
          </cell>
          <cell r="P569" t="str">
            <v>01</v>
          </cell>
          <cell r="Q569" t="str">
            <v>Gean</v>
          </cell>
          <cell r="R569">
            <v>45636</v>
          </cell>
          <cell r="S569">
            <v>0.70138888888888884</v>
          </cell>
          <cell r="T569">
            <v>0.69138888888888883</v>
          </cell>
          <cell r="U569" t="str">
            <v>X</v>
          </cell>
          <cell r="V569">
            <v>0.5</v>
          </cell>
          <cell r="W569">
            <v>26.08</v>
          </cell>
          <cell r="X569">
            <v>24.89</v>
          </cell>
          <cell r="Y569">
            <v>0.41666666666666669</v>
          </cell>
          <cell r="Z569">
            <v>76.290000000000006</v>
          </cell>
          <cell r="AA569">
            <v>75.22</v>
          </cell>
          <cell r="AW569">
            <v>4</v>
          </cell>
          <cell r="AX569">
            <v>4</v>
          </cell>
          <cell r="AY569">
            <v>5</v>
          </cell>
          <cell r="AZ569">
            <v>4</v>
          </cell>
          <cell r="BA569" t="str">
            <v>VALE</v>
          </cell>
          <cell r="BB569">
            <v>45637</v>
          </cell>
          <cell r="BG569">
            <v>45636</v>
          </cell>
        </row>
        <row r="570">
          <cell r="A570">
            <v>949</v>
          </cell>
          <cell r="B570">
            <v>570</v>
          </cell>
          <cell r="C570" t="str">
            <v>LAJE PL5-5 / LAJE PL5-6</v>
          </cell>
          <cell r="D570">
            <v>1.5</v>
          </cell>
          <cell r="E570">
            <v>40</v>
          </cell>
          <cell r="F570">
            <v>25</v>
          </cell>
          <cell r="G570">
            <v>40</v>
          </cell>
          <cell r="H570">
            <v>0</v>
          </cell>
          <cell r="I570" t="str">
            <v>-</v>
          </cell>
          <cell r="J570" t="str">
            <v>650/630</v>
          </cell>
          <cell r="K570" t="str">
            <v xml:space="preserve">CPIII 40 RS </v>
          </cell>
          <cell r="L570" t="str">
            <v>CP V</v>
          </cell>
          <cell r="M570" t="str">
            <v>SUPER PLASTIFICANTE</v>
          </cell>
          <cell r="N570" t="str">
            <v>RESERVATÓRIO DE EFLUENTE BRUTO SUL 
OP-3100TU-17-10SUL</v>
          </cell>
          <cell r="O570" t="str">
            <v>FORTANKS</v>
          </cell>
          <cell r="P570" t="str">
            <v>01</v>
          </cell>
          <cell r="Q570" t="str">
            <v>Gean</v>
          </cell>
          <cell r="R570">
            <v>45638</v>
          </cell>
          <cell r="S570">
            <v>0.66666666666666663</v>
          </cell>
          <cell r="T570">
            <v>0.65666666666666662</v>
          </cell>
          <cell r="U570" t="str">
            <v>X</v>
          </cell>
          <cell r="V570">
            <v>0.66666666666666663</v>
          </cell>
          <cell r="W570">
            <v>27.3</v>
          </cell>
          <cell r="X570">
            <v>28.62</v>
          </cell>
          <cell r="Y570">
            <v>0.41666666666666669</v>
          </cell>
          <cell r="Z570">
            <v>77.23</v>
          </cell>
          <cell r="AA570">
            <v>76.739999999999995</v>
          </cell>
          <cell r="AW570">
            <v>4</v>
          </cell>
          <cell r="AX570">
            <v>4</v>
          </cell>
          <cell r="AY570">
            <v>4</v>
          </cell>
          <cell r="AZ570">
            <v>4</v>
          </cell>
          <cell r="BA570" t="str">
            <v>VALE</v>
          </cell>
          <cell r="BB570">
            <v>45639</v>
          </cell>
          <cell r="BG570">
            <v>45638</v>
          </cell>
        </row>
        <row r="571">
          <cell r="A571" t="str">
            <v>G-01</v>
          </cell>
          <cell r="B571" t="str">
            <v>G-01</v>
          </cell>
          <cell r="C571" t="str">
            <v>POÇO DE BOMBAS - NIVELAMENTO CHAPA NA PLACA PC-B3</v>
          </cell>
          <cell r="D571">
            <v>0.1</v>
          </cell>
          <cell r="E571">
            <v>40</v>
          </cell>
          <cell r="F571" t="str">
            <v>-</v>
          </cell>
          <cell r="G571">
            <v>40</v>
          </cell>
          <cell r="H571">
            <v>0</v>
          </cell>
          <cell r="I571" t="str">
            <v>-</v>
          </cell>
          <cell r="J571" t="str">
            <v>-</v>
          </cell>
          <cell r="K571" t="str">
            <v>-</v>
          </cell>
          <cell r="L571" t="str">
            <v>-</v>
          </cell>
          <cell r="M571" t="str">
            <v>-</v>
          </cell>
          <cell r="N571" t="str">
            <v>RESERVATÓRIO DE EFLUENTE BRUTO SUL 
OP-3100TU-17-10SUL</v>
          </cell>
          <cell r="O571" t="str">
            <v>FORTANKS</v>
          </cell>
          <cell r="P571" t="str">
            <v>-</v>
          </cell>
          <cell r="Q571" t="str">
            <v>Gean</v>
          </cell>
          <cell r="R571">
            <v>45638</v>
          </cell>
          <cell r="S571">
            <v>0.70833333333333337</v>
          </cell>
          <cell r="T571">
            <v>0.69833333333333336</v>
          </cell>
          <cell r="U571" t="str">
            <v>X</v>
          </cell>
          <cell r="V571">
            <v>0.33333333333333331</v>
          </cell>
          <cell r="W571">
            <v>35.950000000000003</v>
          </cell>
          <cell r="X571">
            <v>34.64</v>
          </cell>
          <cell r="Y571">
            <v>0.41666666666666669</v>
          </cell>
          <cell r="Z571">
            <v>75.959999999999994</v>
          </cell>
          <cell r="AA571">
            <v>75.12</v>
          </cell>
          <cell r="AW571">
            <v>4</v>
          </cell>
          <cell r="AX571">
            <v>4</v>
          </cell>
          <cell r="AY571">
            <v>4</v>
          </cell>
          <cell r="AZ571">
            <v>4</v>
          </cell>
          <cell r="BA571" t="str">
            <v>VALE</v>
          </cell>
          <cell r="BB571">
            <v>45639</v>
          </cell>
          <cell r="BG571">
            <v>45638</v>
          </cell>
        </row>
        <row r="572">
          <cell r="A572">
            <v>950</v>
          </cell>
          <cell r="B572">
            <v>571</v>
          </cell>
          <cell r="C572" t="str">
            <v>LAJE PL7-1 / LAJE PL-2</v>
          </cell>
          <cell r="D572">
            <v>1.5</v>
          </cell>
          <cell r="E572">
            <v>40</v>
          </cell>
          <cell r="F572">
            <v>25</v>
          </cell>
          <cell r="G572">
            <v>40</v>
          </cell>
          <cell r="H572">
            <v>0</v>
          </cell>
          <cell r="I572" t="str">
            <v>-</v>
          </cell>
          <cell r="J572" t="str">
            <v>650/670</v>
          </cell>
          <cell r="K572" t="str">
            <v xml:space="preserve">CPIII 40 RS </v>
          </cell>
          <cell r="L572" t="str">
            <v>CP V</v>
          </cell>
          <cell r="M572" t="str">
            <v>SUPER PLASTIFICANTE</v>
          </cell>
          <cell r="N572" t="str">
            <v>RESERVATÓRIO DE EFLUENTE BRUTO SUL 
OP-3100TU-17-10SUL</v>
          </cell>
          <cell r="O572" t="str">
            <v>FORTANKS</v>
          </cell>
          <cell r="P572">
            <v>1</v>
          </cell>
          <cell r="Q572" t="str">
            <v>Gean</v>
          </cell>
          <cell r="R572">
            <v>45642</v>
          </cell>
          <cell r="S572">
            <v>0.375</v>
          </cell>
          <cell r="T572">
            <v>0.36499999999999999</v>
          </cell>
          <cell r="U572" t="str">
            <v>X</v>
          </cell>
          <cell r="V572">
            <v>0.35416666666666669</v>
          </cell>
          <cell r="W572">
            <v>29.51</v>
          </cell>
          <cell r="X572">
            <v>27.28</v>
          </cell>
          <cell r="Y572">
            <v>0.41666666666666669</v>
          </cell>
          <cell r="Z572">
            <v>70.489999999999995</v>
          </cell>
          <cell r="AA572">
            <v>71.680000000000007</v>
          </cell>
          <cell r="AW572">
            <v>4</v>
          </cell>
          <cell r="AX572">
            <v>4</v>
          </cell>
          <cell r="AY572">
            <v>4</v>
          </cell>
          <cell r="AZ572">
            <v>4</v>
          </cell>
          <cell r="BA572" t="str">
            <v>VALE</v>
          </cell>
          <cell r="BB572">
            <v>45643</v>
          </cell>
          <cell r="BG572">
            <v>45642</v>
          </cell>
        </row>
        <row r="573">
          <cell r="A573">
            <v>951</v>
          </cell>
          <cell r="B573">
            <v>572</v>
          </cell>
          <cell r="C573" t="str">
            <v>LAJE PL4-1 / LAJE PL4-2</v>
          </cell>
          <cell r="D573">
            <v>1.5</v>
          </cell>
          <cell r="E573">
            <v>40</v>
          </cell>
          <cell r="F573">
            <v>25</v>
          </cell>
          <cell r="G573">
            <v>40</v>
          </cell>
          <cell r="H573">
            <v>0</v>
          </cell>
          <cell r="I573" t="str">
            <v>-</v>
          </cell>
          <cell r="J573" t="str">
            <v>650/650</v>
          </cell>
          <cell r="K573" t="str">
            <v xml:space="preserve">CPIII 40 RS </v>
          </cell>
          <cell r="L573" t="str">
            <v>CP V</v>
          </cell>
          <cell r="M573" t="str">
            <v>SUPER PLASTIFICANTE</v>
          </cell>
          <cell r="N573" t="str">
            <v>RESERVATÓRIO DE EFLUENTE BRUTO SUL 
OP-3100TU-17-10SUL</v>
          </cell>
          <cell r="O573" t="str">
            <v>FORTANKS</v>
          </cell>
          <cell r="P573">
            <v>1</v>
          </cell>
          <cell r="Q573" t="str">
            <v>Gean</v>
          </cell>
          <cell r="R573">
            <v>45643</v>
          </cell>
          <cell r="S573">
            <v>0.625</v>
          </cell>
          <cell r="T573">
            <v>0.61499999999999999</v>
          </cell>
          <cell r="U573" t="str">
            <v>X</v>
          </cell>
          <cell r="V573">
            <v>0.66666666666666663</v>
          </cell>
          <cell r="W573">
            <v>28.03</v>
          </cell>
          <cell r="X573">
            <v>26.08</v>
          </cell>
          <cell r="Y573">
            <v>0.41666666666666669</v>
          </cell>
          <cell r="Z573">
            <v>74.31</v>
          </cell>
          <cell r="AA573">
            <v>75.89</v>
          </cell>
          <cell r="AW573">
            <v>4</v>
          </cell>
          <cell r="AX573">
            <v>4</v>
          </cell>
          <cell r="AY573">
            <v>4</v>
          </cell>
          <cell r="AZ573">
            <v>4</v>
          </cell>
          <cell r="BA573" t="str">
            <v>VALE</v>
          </cell>
          <cell r="BB573">
            <v>45644</v>
          </cell>
          <cell r="BG573">
            <v>45643</v>
          </cell>
        </row>
        <row r="574">
          <cell r="A574">
            <v>952</v>
          </cell>
          <cell r="B574">
            <v>573</v>
          </cell>
          <cell r="C574" t="str">
            <v>LAJE PL4-3 / LAJE PL4-4 / VIGA VPR-108</v>
          </cell>
          <cell r="D574">
            <v>2.5</v>
          </cell>
          <cell r="E574">
            <v>40</v>
          </cell>
          <cell r="F574">
            <v>25</v>
          </cell>
          <cell r="G574">
            <v>40</v>
          </cell>
          <cell r="H574">
            <v>0</v>
          </cell>
          <cell r="I574" t="str">
            <v>-</v>
          </cell>
          <cell r="J574" t="str">
            <v>650/660</v>
          </cell>
          <cell r="K574" t="str">
            <v xml:space="preserve">CPIII 40 RS </v>
          </cell>
          <cell r="L574" t="str">
            <v>CP V</v>
          </cell>
          <cell r="M574" t="str">
            <v>SUPER PLASTIFICANTE</v>
          </cell>
          <cell r="N574" t="str">
            <v>RESERVATÓRIO DE EFLUENTE BRUTO SUL 
OP-3100TU-17-10SUL</v>
          </cell>
          <cell r="O574" t="str">
            <v>FORTANKS</v>
          </cell>
          <cell r="P574">
            <v>1</v>
          </cell>
          <cell r="Q574" t="str">
            <v>Gean</v>
          </cell>
          <cell r="R574">
            <v>45646</v>
          </cell>
          <cell r="S574">
            <v>0.63888888888888884</v>
          </cell>
          <cell r="T574">
            <v>0.62888888888888883</v>
          </cell>
          <cell r="U574" t="str">
            <v>X</v>
          </cell>
          <cell r="V574">
            <v>0.33333333333333331</v>
          </cell>
          <cell r="W574">
            <v>79.989999999999995</v>
          </cell>
          <cell r="X574">
            <v>78.67</v>
          </cell>
          <cell r="Y574">
            <v>0.41666666666666669</v>
          </cell>
          <cell r="Z574">
            <v>72.56</v>
          </cell>
          <cell r="AA574">
            <v>73.680000000000007</v>
          </cell>
          <cell r="AW574">
            <v>4</v>
          </cell>
          <cell r="AX574">
            <v>4</v>
          </cell>
          <cell r="AY574">
            <v>4</v>
          </cell>
          <cell r="AZ574">
            <v>4</v>
          </cell>
          <cell r="BA574" t="str">
            <v>VALE</v>
          </cell>
          <cell r="BB574">
            <v>45647</v>
          </cell>
          <cell r="BG574">
            <v>45646</v>
          </cell>
        </row>
        <row r="575">
          <cell r="A575">
            <v>953</v>
          </cell>
          <cell r="B575">
            <v>574</v>
          </cell>
          <cell r="C575" t="str">
            <v>LAJE PL1-1 / LAJE PL1-2 / VIGA VPR-105</v>
          </cell>
          <cell r="D575">
            <v>2</v>
          </cell>
          <cell r="E575">
            <v>40</v>
          </cell>
          <cell r="F575">
            <v>25</v>
          </cell>
          <cell r="G575">
            <v>40</v>
          </cell>
          <cell r="H575">
            <v>0</v>
          </cell>
          <cell r="I575" t="str">
            <v>-</v>
          </cell>
          <cell r="J575" t="str">
            <v>660/670</v>
          </cell>
          <cell r="K575" t="str">
            <v xml:space="preserve">CPIII 40 RS </v>
          </cell>
          <cell r="L575" t="str">
            <v>CP V</v>
          </cell>
          <cell r="M575" t="str">
            <v>SUPER PLASTIFICANTE</v>
          </cell>
          <cell r="N575" t="str">
            <v>RESERVATÓRIO DE EFLUENTE BRUTO SUL 
OP-3100TU-17-10SUL</v>
          </cell>
          <cell r="O575" t="str">
            <v>FORTANKS</v>
          </cell>
          <cell r="P575">
            <v>1</v>
          </cell>
          <cell r="Q575" t="str">
            <v>Gean</v>
          </cell>
          <cell r="R575">
            <v>45661</v>
          </cell>
          <cell r="S575">
            <v>0.625</v>
          </cell>
          <cell r="T575">
            <v>0.61499999999999999</v>
          </cell>
          <cell r="U575" t="str">
            <v>X</v>
          </cell>
          <cell r="V575">
            <v>0.33333333333333331</v>
          </cell>
          <cell r="W575">
            <v>39.26</v>
          </cell>
          <cell r="X575">
            <v>41.28</v>
          </cell>
          <cell r="Y575">
            <v>0.41666666666666669</v>
          </cell>
          <cell r="Z575">
            <v>75.69</v>
          </cell>
          <cell r="AA575">
            <v>76.58</v>
          </cell>
          <cell r="AW575">
            <v>4</v>
          </cell>
          <cell r="AX575">
            <v>4</v>
          </cell>
          <cell r="AY575">
            <v>4</v>
          </cell>
          <cell r="AZ575">
            <v>4</v>
          </cell>
          <cell r="BA575" t="str">
            <v>VALE</v>
          </cell>
          <cell r="BB575">
            <v>45662</v>
          </cell>
          <cell r="BG575">
            <v>45661</v>
          </cell>
        </row>
        <row r="576">
          <cell r="A576">
            <v>954</v>
          </cell>
          <cell r="B576">
            <v>575</v>
          </cell>
          <cell r="C576" t="str">
            <v>LAJE PL2-1 / LAJE PL2-2 / VIGA VPR-112</v>
          </cell>
          <cell r="D576">
            <v>2.5</v>
          </cell>
          <cell r="E576">
            <v>40</v>
          </cell>
          <cell r="F576">
            <v>25</v>
          </cell>
          <cell r="G576">
            <v>40</v>
          </cell>
          <cell r="H576">
            <v>0</v>
          </cell>
          <cell r="I576" t="str">
            <v>-</v>
          </cell>
          <cell r="J576" t="str">
            <v>670/670</v>
          </cell>
          <cell r="K576" t="str">
            <v xml:space="preserve">CPIII 40 RS </v>
          </cell>
          <cell r="L576" t="str">
            <v>CP V</v>
          </cell>
          <cell r="M576" t="str">
            <v>SUPER PLASTIFICANTE</v>
          </cell>
          <cell r="N576" t="str">
            <v>RESERVATÓRIO DE EFLUENTE BRUTO SUL 
OP-3100TU-17-10SUL</v>
          </cell>
          <cell r="O576" t="str">
            <v>FORTANKS</v>
          </cell>
          <cell r="P576">
            <v>1</v>
          </cell>
          <cell r="Q576" t="str">
            <v>Gean</v>
          </cell>
          <cell r="R576">
            <v>45663</v>
          </cell>
          <cell r="S576">
            <v>0.625</v>
          </cell>
          <cell r="T576">
            <v>0.61499999999999999</v>
          </cell>
          <cell r="U576" t="str">
            <v>X</v>
          </cell>
          <cell r="V576">
            <v>0.33333333333333331</v>
          </cell>
          <cell r="W576">
            <v>33.950000000000003</v>
          </cell>
          <cell r="X576">
            <v>35.31</v>
          </cell>
          <cell r="Y576">
            <v>0.41666666666666669</v>
          </cell>
          <cell r="Z576">
            <v>74.569999999999993</v>
          </cell>
          <cell r="AA576">
            <v>74.239999999999995</v>
          </cell>
          <cell r="AW576">
            <v>4</v>
          </cell>
          <cell r="AX576">
            <v>4</v>
          </cell>
          <cell r="AY576">
            <v>4</v>
          </cell>
          <cell r="AZ576">
            <v>4</v>
          </cell>
          <cell r="BA576" t="str">
            <v>VALE</v>
          </cell>
          <cell r="BB576">
            <v>45664</v>
          </cell>
          <cell r="BG576">
            <v>45663</v>
          </cell>
        </row>
        <row r="577">
          <cell r="A577">
            <v>955</v>
          </cell>
          <cell r="B577">
            <v>576</v>
          </cell>
          <cell r="C577" t="str">
            <v>VIGA VPR-109 / VIGA VPR-106</v>
          </cell>
          <cell r="D577">
            <v>2.5</v>
          </cell>
          <cell r="E577">
            <v>40</v>
          </cell>
          <cell r="F577">
            <v>25</v>
          </cell>
          <cell r="G577">
            <v>40</v>
          </cell>
          <cell r="H577">
            <v>0</v>
          </cell>
          <cell r="I577" t="str">
            <v>-</v>
          </cell>
          <cell r="J577" t="str">
            <v>650/650</v>
          </cell>
          <cell r="K577" t="str">
            <v xml:space="preserve">CPIII 40 RS </v>
          </cell>
          <cell r="L577" t="str">
            <v>CP V</v>
          </cell>
          <cell r="M577" t="str">
            <v>SUPER PLASTIFICANTE</v>
          </cell>
          <cell r="N577" t="str">
            <v>RESERVATÓRIO DE EFLUENTE BRUTO SUL 
OP-3100TU-17-10SUL</v>
          </cell>
          <cell r="O577" t="str">
            <v>FORTANKS</v>
          </cell>
          <cell r="P577">
            <v>1</v>
          </cell>
          <cell r="Q577" t="str">
            <v>Gean</v>
          </cell>
          <cell r="R577">
            <v>45666</v>
          </cell>
          <cell r="S577">
            <v>0.4375</v>
          </cell>
          <cell r="T577">
            <v>0.42749999999999999</v>
          </cell>
          <cell r="U577" t="str">
            <v>X</v>
          </cell>
          <cell r="V577">
            <v>0.54166666666666663</v>
          </cell>
          <cell r="W577">
            <v>34.090000000000003</v>
          </cell>
          <cell r="X577">
            <v>35.21</v>
          </cell>
          <cell r="Y577">
            <v>0.41666666666666669</v>
          </cell>
          <cell r="Z577">
            <v>72.36</v>
          </cell>
          <cell r="AA577">
            <v>73.650000000000006</v>
          </cell>
          <cell r="AW577">
            <v>4</v>
          </cell>
          <cell r="AX577">
            <v>4</v>
          </cell>
          <cell r="AY577">
            <v>4</v>
          </cell>
          <cell r="AZ577">
            <v>4</v>
          </cell>
          <cell r="BA577" t="str">
            <v>VALE</v>
          </cell>
          <cell r="BB577">
            <v>45667</v>
          </cell>
          <cell r="BG577">
            <v>45666</v>
          </cell>
        </row>
        <row r="578">
          <cell r="A578">
            <v>956</v>
          </cell>
          <cell r="B578">
            <v>577</v>
          </cell>
          <cell r="C578" t="str">
            <v>LAJE PL2-3 / VIGA VPR-110</v>
          </cell>
          <cell r="D578">
            <v>2</v>
          </cell>
          <cell r="E578">
            <v>40</v>
          </cell>
          <cell r="F578">
            <v>25</v>
          </cell>
          <cell r="G578">
            <v>40</v>
          </cell>
          <cell r="H578">
            <v>0</v>
          </cell>
          <cell r="I578" t="str">
            <v>-</v>
          </cell>
          <cell r="J578" t="str">
            <v>650/650</v>
          </cell>
          <cell r="K578" t="str">
            <v xml:space="preserve">CPIII 40 RS </v>
          </cell>
          <cell r="L578" t="str">
            <v>CP V</v>
          </cell>
          <cell r="M578" t="str">
            <v>SUPER PLASTIFICANTE</v>
          </cell>
          <cell r="N578" t="str">
            <v>RESERVATÓRIO DE EFLUENTE BRUTO SUL 
OP-3100TU-17-10SUL</v>
          </cell>
          <cell r="O578" t="str">
            <v>FORTANKS</v>
          </cell>
          <cell r="P578">
            <v>1</v>
          </cell>
          <cell r="Q578" t="str">
            <v>Gean</v>
          </cell>
          <cell r="R578">
            <v>45666</v>
          </cell>
          <cell r="S578">
            <v>0.3888888888888889</v>
          </cell>
          <cell r="T578">
            <v>0.37888888888888889</v>
          </cell>
          <cell r="U578" t="str">
            <v>X</v>
          </cell>
          <cell r="V578">
            <v>0.33333333333333331</v>
          </cell>
          <cell r="W578">
            <v>23.25</v>
          </cell>
          <cell r="X578">
            <v>25.19</v>
          </cell>
          <cell r="Y578">
            <v>0.41666666666666669</v>
          </cell>
          <cell r="Z578">
            <v>76.849999999999994</v>
          </cell>
          <cell r="AA578">
            <v>77.92</v>
          </cell>
          <cell r="AW578">
            <v>4</v>
          </cell>
          <cell r="AX578">
            <v>4</v>
          </cell>
          <cell r="AY578">
            <v>4</v>
          </cell>
          <cell r="AZ578">
            <v>4</v>
          </cell>
          <cell r="BA578" t="str">
            <v>VALE</v>
          </cell>
          <cell r="BB578">
            <v>45667</v>
          </cell>
          <cell r="BG578">
            <v>45666</v>
          </cell>
        </row>
        <row r="579">
          <cell r="A579">
            <v>957</v>
          </cell>
          <cell r="B579">
            <v>578</v>
          </cell>
          <cell r="C579" t="str">
            <v>LAJE PL3 / VIGA VPR-107 / VIGA VPR-11</v>
          </cell>
          <cell r="D579">
            <v>3</v>
          </cell>
          <cell r="E579">
            <v>40</v>
          </cell>
          <cell r="F579">
            <v>25</v>
          </cell>
          <cell r="G579">
            <v>40</v>
          </cell>
          <cell r="H579">
            <v>0</v>
          </cell>
          <cell r="I579" t="str">
            <v>-</v>
          </cell>
          <cell r="J579" t="str">
            <v>650/650</v>
          </cell>
          <cell r="K579" t="str">
            <v xml:space="preserve">CPIII 40 RS </v>
          </cell>
          <cell r="L579" t="str">
            <v>CP V</v>
          </cell>
          <cell r="M579" t="str">
            <v>SUPER PLASTIFICANTE</v>
          </cell>
          <cell r="N579" t="str">
            <v>RESERVATÓRIO DE EFLUENTE BRUTO SUL 
OP-3100TU-17-10SUL</v>
          </cell>
          <cell r="O579" t="str">
            <v>FORTANKS</v>
          </cell>
          <cell r="P579">
            <v>1</v>
          </cell>
          <cell r="Q579" t="str">
            <v>Gean</v>
          </cell>
          <cell r="R579">
            <v>45668</v>
          </cell>
          <cell r="S579">
            <v>0.59027777777777779</v>
          </cell>
          <cell r="T579">
            <v>0.58027777777777778</v>
          </cell>
          <cell r="U579" t="str">
            <v>X</v>
          </cell>
          <cell r="V579">
            <v>0.41666666666666669</v>
          </cell>
          <cell r="W579">
            <v>43.72</v>
          </cell>
          <cell r="X579">
            <v>47.73</v>
          </cell>
          <cell r="Y579">
            <v>0.41666666666666669</v>
          </cell>
          <cell r="Z579">
            <v>75.56</v>
          </cell>
          <cell r="AA579">
            <v>76.27</v>
          </cell>
          <cell r="AW579">
            <v>4</v>
          </cell>
          <cell r="AX579">
            <v>4</v>
          </cell>
          <cell r="AY579">
            <v>4</v>
          </cell>
          <cell r="AZ579">
            <v>4</v>
          </cell>
          <cell r="BA579" t="str">
            <v>VALE</v>
          </cell>
          <cell r="BB579">
            <v>45669</v>
          </cell>
          <cell r="BG579">
            <v>45668</v>
          </cell>
        </row>
        <row r="580">
          <cell r="A580">
            <v>958</v>
          </cell>
          <cell r="B580">
            <v>579</v>
          </cell>
          <cell r="C580" t="str">
            <v>ETE PIER - PN-21 / PN-22 / PN-23</v>
          </cell>
          <cell r="D580">
            <v>5</v>
          </cell>
          <cell r="E580">
            <v>40</v>
          </cell>
          <cell r="F580">
            <v>15</v>
          </cell>
          <cell r="G580">
            <v>40</v>
          </cell>
          <cell r="H580">
            <v>0</v>
          </cell>
          <cell r="I580" t="str">
            <v>-</v>
          </cell>
          <cell r="J580" t="str">
            <v>640/650</v>
          </cell>
          <cell r="K580" t="str">
            <v xml:space="preserve">CPIII 40 RS </v>
          </cell>
          <cell r="L580" t="str">
            <v>CP V</v>
          </cell>
          <cell r="M580" t="str">
            <v>SUPER PLASTIFICANTE</v>
          </cell>
          <cell r="N580" t="str">
            <v>RESERVATÓRIO DE EFLUENTE BRUTO PIER 
OP-3100TU-17-10PIE</v>
          </cell>
          <cell r="O580" t="str">
            <v>FORTANKS</v>
          </cell>
          <cell r="P580">
            <v>1</v>
          </cell>
          <cell r="Q580" t="str">
            <v>Gean</v>
          </cell>
          <cell r="R580">
            <v>45680</v>
          </cell>
          <cell r="S580">
            <v>0.45833333333333331</v>
          </cell>
          <cell r="T580">
            <v>0.44833333333333331</v>
          </cell>
          <cell r="U580" t="str">
            <v>X</v>
          </cell>
          <cell r="V580">
            <v>0.41666666666666669</v>
          </cell>
          <cell r="W580">
            <v>39.020000000000003</v>
          </cell>
          <cell r="X580">
            <v>39.17</v>
          </cell>
          <cell r="Y580">
            <v>0.41666666666666669</v>
          </cell>
          <cell r="Z580">
            <v>86.845989000000003</v>
          </cell>
          <cell r="AA580">
            <v>85.830318000000005</v>
          </cell>
          <cell r="AW580">
            <v>4</v>
          </cell>
          <cell r="AX580">
            <v>4</v>
          </cell>
          <cell r="AY580">
            <v>4</v>
          </cell>
          <cell r="AZ580">
            <v>4</v>
          </cell>
          <cell r="BA580" t="str">
            <v>VALE</v>
          </cell>
          <cell r="BB580">
            <v>45681</v>
          </cell>
          <cell r="BG580">
            <v>45680</v>
          </cell>
        </row>
        <row r="581">
          <cell r="A581">
            <v>959</v>
          </cell>
          <cell r="B581">
            <v>580</v>
          </cell>
          <cell r="C581" t="str">
            <v>ETE PIER - PN-18 / PN-19 / PN-20</v>
          </cell>
          <cell r="D581">
            <v>5</v>
          </cell>
          <cell r="E581">
            <v>40</v>
          </cell>
          <cell r="F581">
            <v>15</v>
          </cell>
          <cell r="G581">
            <v>40</v>
          </cell>
          <cell r="H581">
            <v>0</v>
          </cell>
          <cell r="I581" t="str">
            <v>-</v>
          </cell>
          <cell r="J581" t="str">
            <v>650/640</v>
          </cell>
          <cell r="K581" t="str">
            <v xml:space="preserve">CPIII 40 RS </v>
          </cell>
          <cell r="L581" t="str">
            <v>CP V</v>
          </cell>
          <cell r="M581" t="str">
            <v>SUPER PLASTIFICANTE</v>
          </cell>
          <cell r="N581" t="str">
            <v>RESERVATÓRIO DE EFLUENTE BRUTO PIER 
OP-3100TU-17-10PIE</v>
          </cell>
          <cell r="O581" t="str">
            <v>FORTANKS</v>
          </cell>
          <cell r="P581">
            <v>1</v>
          </cell>
          <cell r="Q581" t="str">
            <v>Gean</v>
          </cell>
          <cell r="R581">
            <v>45684</v>
          </cell>
          <cell r="S581">
            <v>0.58333333333333337</v>
          </cell>
          <cell r="T581">
            <v>0.57333333333333336</v>
          </cell>
          <cell r="U581" t="str">
            <v>X</v>
          </cell>
          <cell r="V581">
            <v>0.33333333333333331</v>
          </cell>
          <cell r="W581">
            <v>25.13</v>
          </cell>
          <cell r="X581">
            <v>25.75</v>
          </cell>
          <cell r="Y581">
            <v>0.41666666666666669</v>
          </cell>
          <cell r="Z581">
            <v>84.753462000000013</v>
          </cell>
          <cell r="AA581">
            <v>84.141612000000009</v>
          </cell>
          <cell r="AW581">
            <v>4</v>
          </cell>
          <cell r="AX581">
            <v>4</v>
          </cell>
          <cell r="AY581">
            <v>4</v>
          </cell>
          <cell r="AZ581">
            <v>4</v>
          </cell>
          <cell r="BA581" t="str">
            <v>VALE</v>
          </cell>
          <cell r="BB581">
            <v>45685</v>
          </cell>
          <cell r="BG581">
            <v>45684</v>
          </cell>
        </row>
        <row r="582">
          <cell r="A582">
            <v>960</v>
          </cell>
          <cell r="B582">
            <v>581</v>
          </cell>
          <cell r="C582" t="str">
            <v>ETE PIER - PN-15 / PN-16 / PN-17</v>
          </cell>
          <cell r="D582">
            <v>5</v>
          </cell>
          <cell r="E582">
            <v>40</v>
          </cell>
          <cell r="F582">
            <v>15</v>
          </cell>
          <cell r="G582">
            <v>40</v>
          </cell>
          <cell r="H582">
            <v>0</v>
          </cell>
          <cell r="I582" t="str">
            <v>-</v>
          </cell>
          <cell r="J582" t="str">
            <v>650/63</v>
          </cell>
          <cell r="K582" t="str">
            <v xml:space="preserve">CPIII 40 RS </v>
          </cell>
          <cell r="L582" t="str">
            <v>CP V</v>
          </cell>
          <cell r="M582" t="str">
            <v>SUPER PLASTIFICANTE</v>
          </cell>
          <cell r="N582" t="str">
            <v>RESERVATÓRIO DE EFLUENTE BRUTO PIER 
OP-3100TU-17-10PIE</v>
          </cell>
          <cell r="O582" t="str">
            <v>FORTANKS</v>
          </cell>
          <cell r="P582">
            <v>1</v>
          </cell>
          <cell r="Q582" t="str">
            <v>Gean</v>
          </cell>
          <cell r="R582">
            <v>45685</v>
          </cell>
          <cell r="S582">
            <v>0.63541666666666663</v>
          </cell>
          <cell r="T582">
            <v>0.62541666666666662</v>
          </cell>
          <cell r="U582" t="str">
            <v>X</v>
          </cell>
          <cell r="V582">
            <v>0.3125</v>
          </cell>
          <cell r="W582">
            <v>21.32</v>
          </cell>
          <cell r="X582">
            <v>22.19</v>
          </cell>
          <cell r="Y582">
            <v>0.41666666666666669</v>
          </cell>
          <cell r="Z582">
            <v>85.671237000000005</v>
          </cell>
          <cell r="AA582">
            <v>87.188625000000002</v>
          </cell>
          <cell r="AW582">
            <v>4</v>
          </cell>
          <cell r="AX582">
            <v>4</v>
          </cell>
          <cell r="AY582">
            <v>4</v>
          </cell>
          <cell r="AZ582">
            <v>4</v>
          </cell>
          <cell r="BA582" t="str">
            <v>VALE</v>
          </cell>
          <cell r="BB582">
            <v>45686</v>
          </cell>
          <cell r="BG582">
            <v>45685</v>
          </cell>
        </row>
        <row r="583">
          <cell r="A583">
            <v>961</v>
          </cell>
          <cell r="B583">
            <v>582</v>
          </cell>
          <cell r="C583" t="str">
            <v>ETE PIER - PN-12 / PN-13 / PN-14</v>
          </cell>
          <cell r="D583">
            <v>5</v>
          </cell>
          <cell r="E583">
            <v>40</v>
          </cell>
          <cell r="F583">
            <v>15</v>
          </cell>
          <cell r="G583">
            <v>40</v>
          </cell>
          <cell r="H583">
            <v>0</v>
          </cell>
          <cell r="I583" t="str">
            <v>-</v>
          </cell>
          <cell r="J583" t="str">
            <v>650/630</v>
          </cell>
          <cell r="K583" t="str">
            <v xml:space="preserve">CPIII 40 RS </v>
          </cell>
          <cell r="L583" t="str">
            <v>CP V</v>
          </cell>
          <cell r="M583" t="str">
            <v>SUPER PLASTIFICANTE</v>
          </cell>
          <cell r="N583" t="str">
            <v>RESERVATÓRIO DE EFLUENTE BRUTO PIER 
OP-3100TU-17-10PIE</v>
          </cell>
          <cell r="O583" t="str">
            <v>FORTANKS</v>
          </cell>
          <cell r="P583">
            <v>1</v>
          </cell>
          <cell r="Q583" t="str">
            <v>Gean</v>
          </cell>
          <cell r="R583">
            <v>45686</v>
          </cell>
          <cell r="S583">
            <v>0.625</v>
          </cell>
          <cell r="T583">
            <v>0.61499999999999999</v>
          </cell>
          <cell r="U583" t="str">
            <v>X</v>
          </cell>
          <cell r="V583">
            <v>0.33333333333333331</v>
          </cell>
          <cell r="W583">
            <v>20.23</v>
          </cell>
          <cell r="X583">
            <v>19.87</v>
          </cell>
          <cell r="Y583">
            <v>0.41666666666666702</v>
          </cell>
          <cell r="Z583">
            <v>88.057451999999998</v>
          </cell>
          <cell r="AA583">
            <v>87.384416999999999</v>
          </cell>
          <cell r="AW583">
            <v>4</v>
          </cell>
          <cell r="AX583">
            <v>4</v>
          </cell>
          <cell r="AY583">
            <v>4</v>
          </cell>
          <cell r="AZ583">
            <v>4</v>
          </cell>
          <cell r="BA583" t="str">
            <v>VALE</v>
          </cell>
          <cell r="BB583">
            <v>45687</v>
          </cell>
          <cell r="BG583">
            <v>45686</v>
          </cell>
        </row>
        <row r="584">
          <cell r="A584">
            <v>962</v>
          </cell>
          <cell r="B584">
            <v>583</v>
          </cell>
          <cell r="C584" t="str">
            <v>ETE PIER - PN-09 / PN-10 / PN-11</v>
          </cell>
          <cell r="D584">
            <v>5</v>
          </cell>
          <cell r="E584">
            <v>40</v>
          </cell>
          <cell r="F584">
            <v>15</v>
          </cell>
          <cell r="G584">
            <v>40</v>
          </cell>
          <cell r="H584">
            <v>0</v>
          </cell>
          <cell r="I584" t="str">
            <v>-</v>
          </cell>
          <cell r="J584" t="str">
            <v>650/620</v>
          </cell>
          <cell r="K584" t="str">
            <v xml:space="preserve">CPIII 40 RS </v>
          </cell>
          <cell r="L584" t="str">
            <v>CP V</v>
          </cell>
          <cell r="M584" t="str">
            <v>SUPER PLASTIFICANTE</v>
          </cell>
          <cell r="N584" t="str">
            <v>RESERVATÓRIO DE EFLUENTE BRUTO PIER 
OP-3100TU-17-10PIE</v>
          </cell>
          <cell r="O584" t="str">
            <v>FORTANKS</v>
          </cell>
          <cell r="P584">
            <v>1</v>
          </cell>
          <cell r="Q584" t="str">
            <v>Gean</v>
          </cell>
          <cell r="R584">
            <v>45687</v>
          </cell>
          <cell r="S584">
            <v>0.57986111111111116</v>
          </cell>
          <cell r="T584">
            <v>0.56986111111111115</v>
          </cell>
          <cell r="U584" t="str">
            <v>X</v>
          </cell>
          <cell r="V584">
            <v>0.3125</v>
          </cell>
          <cell r="W584">
            <v>21.89</v>
          </cell>
          <cell r="X584">
            <v>21.69</v>
          </cell>
          <cell r="Y584">
            <v>0.41666666666666702</v>
          </cell>
          <cell r="Z584">
            <v>80.862095999999994</v>
          </cell>
          <cell r="AA584">
            <v>80.433801000000003</v>
          </cell>
          <cell r="AW584">
            <v>4</v>
          </cell>
          <cell r="AX584">
            <v>4</v>
          </cell>
          <cell r="AY584">
            <v>4</v>
          </cell>
          <cell r="AZ584">
            <v>4</v>
          </cell>
          <cell r="BA584" t="str">
            <v>VALE</v>
          </cell>
          <cell r="BB584">
            <v>45688</v>
          </cell>
          <cell r="BG584">
            <v>45687</v>
          </cell>
        </row>
        <row r="585">
          <cell r="A585">
            <v>963</v>
          </cell>
          <cell r="B585">
            <v>584</v>
          </cell>
          <cell r="C585" t="str">
            <v>ETE PIER - PC-72 / PC-24</v>
          </cell>
          <cell r="D585">
            <v>3</v>
          </cell>
          <cell r="E585">
            <v>40</v>
          </cell>
          <cell r="F585">
            <v>15</v>
          </cell>
          <cell r="G585">
            <v>40</v>
          </cell>
          <cell r="H585">
            <v>0</v>
          </cell>
          <cell r="I585" t="str">
            <v>-</v>
          </cell>
          <cell r="J585" t="str">
            <v>640/650</v>
          </cell>
          <cell r="K585" t="str">
            <v xml:space="preserve">CPIII 40 RS </v>
          </cell>
          <cell r="L585" t="str">
            <v>CP V</v>
          </cell>
          <cell r="M585" t="str">
            <v>SUPER PLASTIFICANTE</v>
          </cell>
          <cell r="N585" t="str">
            <v>RESERVATÓRIO DE EFLUENTE BRUTO PIER 
OP-3100TU-17-10PIE</v>
          </cell>
          <cell r="O585" t="str">
            <v>FORTANKS</v>
          </cell>
          <cell r="P585">
            <v>2</v>
          </cell>
          <cell r="Q585" t="str">
            <v>Gean</v>
          </cell>
          <cell r="R585">
            <v>45687</v>
          </cell>
          <cell r="S585">
            <v>0.625</v>
          </cell>
          <cell r="T585">
            <v>0.61499999999999999</v>
          </cell>
          <cell r="U585" t="str">
            <v>X</v>
          </cell>
          <cell r="V585">
            <v>0.5</v>
          </cell>
          <cell r="W585">
            <v>16.21</v>
          </cell>
          <cell r="X585">
            <v>18.04</v>
          </cell>
          <cell r="Y585">
            <v>0.41666666666666702</v>
          </cell>
          <cell r="Z585">
            <v>86.417694000000012</v>
          </cell>
          <cell r="AA585">
            <v>85.671237000000005</v>
          </cell>
          <cell r="AW585">
            <v>4</v>
          </cell>
          <cell r="AX585">
            <v>4</v>
          </cell>
          <cell r="AY585">
            <v>4</v>
          </cell>
          <cell r="AZ585">
            <v>4</v>
          </cell>
          <cell r="BA585" t="str">
            <v>VALE</v>
          </cell>
          <cell r="BB585">
            <v>45688</v>
          </cell>
          <cell r="BG585">
            <v>45687</v>
          </cell>
        </row>
        <row r="586">
          <cell r="A586">
            <v>964</v>
          </cell>
          <cell r="B586">
            <v>585</v>
          </cell>
          <cell r="C586" t="str">
            <v>ETE PIER - PN-06 / PN-07 / PN-08</v>
          </cell>
          <cell r="D586">
            <v>5</v>
          </cell>
          <cell r="E586">
            <v>40</v>
          </cell>
          <cell r="F586">
            <v>15</v>
          </cell>
          <cell r="G586">
            <v>40</v>
          </cell>
          <cell r="H586">
            <v>0</v>
          </cell>
          <cell r="I586" t="str">
            <v>-</v>
          </cell>
          <cell r="J586" t="str">
            <v>640/650</v>
          </cell>
          <cell r="K586" t="str">
            <v xml:space="preserve">CPIII 40 RS </v>
          </cell>
          <cell r="L586" t="str">
            <v>CP V</v>
          </cell>
          <cell r="M586" t="str">
            <v>SUPER PLASTIFICANTE</v>
          </cell>
          <cell r="N586" t="str">
            <v>RESERVATÓRIO DE EFLUENTE BRUTO PIER 
OP-3100TU-17-10PIE</v>
          </cell>
          <cell r="O586" t="str">
            <v>FORTANKS</v>
          </cell>
          <cell r="P586">
            <v>1</v>
          </cell>
          <cell r="Q586" t="str">
            <v>Gean</v>
          </cell>
          <cell r="R586">
            <v>45688</v>
          </cell>
          <cell r="S586">
            <v>0.58333333333333337</v>
          </cell>
          <cell r="T586">
            <v>0.57333333333333336</v>
          </cell>
          <cell r="U586" t="str">
            <v>X</v>
          </cell>
          <cell r="V586">
            <v>0.33333333333333331</v>
          </cell>
          <cell r="W586">
            <v>17.22</v>
          </cell>
          <cell r="X586">
            <v>16.82</v>
          </cell>
          <cell r="Y586">
            <v>0.41666666666666702</v>
          </cell>
          <cell r="Z586">
            <v>86.515590000000003</v>
          </cell>
          <cell r="AA586">
            <v>84.985965000000007</v>
          </cell>
          <cell r="AW586">
            <v>4</v>
          </cell>
          <cell r="AX586">
            <v>4</v>
          </cell>
          <cell r="AY586">
            <v>4</v>
          </cell>
          <cell r="AZ586">
            <v>4</v>
          </cell>
          <cell r="BA586" t="str">
            <v>VALE</v>
          </cell>
          <cell r="BB586">
            <v>45689</v>
          </cell>
          <cell r="BG586">
            <v>45688</v>
          </cell>
        </row>
        <row r="587">
          <cell r="A587">
            <v>965</v>
          </cell>
          <cell r="B587">
            <v>586</v>
          </cell>
          <cell r="C587" t="str">
            <v xml:space="preserve">ETE PIER - PC-71 / PC-78 </v>
          </cell>
          <cell r="D587">
            <v>3.5</v>
          </cell>
          <cell r="E587">
            <v>40</v>
          </cell>
          <cell r="F587">
            <v>15</v>
          </cell>
          <cell r="G587">
            <v>40</v>
          </cell>
          <cell r="H587">
            <v>0</v>
          </cell>
          <cell r="I587" t="str">
            <v>-</v>
          </cell>
          <cell r="J587" t="str">
            <v>650/630</v>
          </cell>
          <cell r="K587" t="str">
            <v xml:space="preserve">CPIII 40 RS </v>
          </cell>
          <cell r="L587" t="str">
            <v>CP V</v>
          </cell>
          <cell r="M587" t="str">
            <v>SUPER PLASTIFICANTE</v>
          </cell>
          <cell r="N587" t="str">
            <v>RESERVATÓRIO DE EFLUENTE BRUTO PIER 
OP-3100TU-17-10PIE</v>
          </cell>
          <cell r="O587" t="str">
            <v>FORTANKS</v>
          </cell>
          <cell r="P587">
            <v>1</v>
          </cell>
          <cell r="Q587" t="str">
            <v>Gean</v>
          </cell>
          <cell r="R587">
            <v>45689</v>
          </cell>
          <cell r="S587">
            <v>0.54166666666666663</v>
          </cell>
          <cell r="T587">
            <v>0.53166666666666662</v>
          </cell>
          <cell r="U587" t="str">
            <v>X</v>
          </cell>
          <cell r="V587">
            <v>0.29166666666666669</v>
          </cell>
          <cell r="W587">
            <v>35.24</v>
          </cell>
          <cell r="X587">
            <v>35.9</v>
          </cell>
          <cell r="Y587">
            <v>0.41666666666666702</v>
          </cell>
          <cell r="Z587">
            <v>83.407392000000002</v>
          </cell>
          <cell r="AA587">
            <v>83.933582999999999</v>
          </cell>
          <cell r="AW587">
            <v>4</v>
          </cell>
          <cell r="AX587">
            <v>4</v>
          </cell>
          <cell r="AY587">
            <v>4</v>
          </cell>
          <cell r="AZ587">
            <v>4</v>
          </cell>
          <cell r="BA587" t="str">
            <v>VALE</v>
          </cell>
          <cell r="BB587">
            <v>45690</v>
          </cell>
          <cell r="BG587">
            <v>45689</v>
          </cell>
        </row>
        <row r="588">
          <cell r="A588">
            <v>966</v>
          </cell>
          <cell r="B588">
            <v>587</v>
          </cell>
          <cell r="C588" t="str">
            <v>ETE PIER - PN-03 / PN-04 / PN-05</v>
          </cell>
          <cell r="D588">
            <v>5</v>
          </cell>
          <cell r="E588">
            <v>40</v>
          </cell>
          <cell r="F588">
            <v>15</v>
          </cell>
          <cell r="G588">
            <v>40</v>
          </cell>
          <cell r="H588">
            <v>0</v>
          </cell>
          <cell r="I588" t="str">
            <v>-</v>
          </cell>
          <cell r="J588" t="str">
            <v>640/650</v>
          </cell>
          <cell r="K588" t="str">
            <v xml:space="preserve">CPIII 40 RS </v>
          </cell>
          <cell r="L588" t="str">
            <v>CP V</v>
          </cell>
          <cell r="M588" t="str">
            <v>SUPER PLASTIFICANTE</v>
          </cell>
          <cell r="N588" t="str">
            <v>RESERVATÓRIO DE EFLUENTE BRUTO PIER 
OP-3100TU-17-10PIE</v>
          </cell>
          <cell r="O588" t="str">
            <v>FORTANKS</v>
          </cell>
          <cell r="P588">
            <v>2</v>
          </cell>
          <cell r="Q588" t="str">
            <v>Gean</v>
          </cell>
          <cell r="R588">
            <v>45689</v>
          </cell>
          <cell r="S588">
            <v>0.625</v>
          </cell>
          <cell r="T588">
            <v>0.61499999999999999</v>
          </cell>
          <cell r="U588" t="str">
            <v>X</v>
          </cell>
          <cell r="V588">
            <v>0.3125</v>
          </cell>
          <cell r="W588">
            <v>44.24</v>
          </cell>
          <cell r="X588">
            <v>42.9</v>
          </cell>
          <cell r="Y588">
            <v>0.41666666666666702</v>
          </cell>
          <cell r="Z588">
            <v>85.989398999999992</v>
          </cell>
          <cell r="AA588">
            <v>85.793606999999994</v>
          </cell>
          <cell r="AW588">
            <v>4</v>
          </cell>
          <cell r="AX588">
            <v>4</v>
          </cell>
          <cell r="AY588">
            <v>4</v>
          </cell>
          <cell r="AZ588">
            <v>4</v>
          </cell>
          <cell r="BA588" t="str">
            <v>VALE</v>
          </cell>
          <cell r="BB588">
            <v>45690</v>
          </cell>
          <cell r="BG588">
            <v>45689</v>
          </cell>
        </row>
        <row r="589">
          <cell r="A589">
            <v>967</v>
          </cell>
          <cell r="B589">
            <v>588</v>
          </cell>
          <cell r="C589" t="str">
            <v>ETE PIER - PN-40 / PN-45 / PN-46</v>
          </cell>
          <cell r="D589">
            <v>5</v>
          </cell>
          <cell r="E589">
            <v>40</v>
          </cell>
          <cell r="F589">
            <v>15</v>
          </cell>
          <cell r="G589">
            <v>40</v>
          </cell>
          <cell r="H589">
            <v>0</v>
          </cell>
          <cell r="I589" t="str">
            <v>-</v>
          </cell>
          <cell r="J589" t="str">
            <v>630/50</v>
          </cell>
          <cell r="K589" t="str">
            <v xml:space="preserve">CPIII 40 RS </v>
          </cell>
          <cell r="L589" t="str">
            <v>CP V</v>
          </cell>
          <cell r="M589" t="str">
            <v>SUPER PLASTIFICANTE</v>
          </cell>
          <cell r="N589" t="str">
            <v>RESERVATÓRIO DE EFLUENTE BRUTO PIER 
OP-3100TU-17-10PIE</v>
          </cell>
          <cell r="O589" t="str">
            <v>FORTANKS</v>
          </cell>
          <cell r="P589">
            <v>1</v>
          </cell>
          <cell r="Q589" t="str">
            <v>Gean</v>
          </cell>
          <cell r="R589">
            <v>45691</v>
          </cell>
          <cell r="S589">
            <v>0.56944444444444442</v>
          </cell>
          <cell r="T589">
            <v>0.55944444444444441</v>
          </cell>
          <cell r="U589" t="str">
            <v>X</v>
          </cell>
          <cell r="V589">
            <v>0.3125</v>
          </cell>
          <cell r="W589">
            <v>21.97</v>
          </cell>
          <cell r="X589">
            <v>20.8</v>
          </cell>
          <cell r="Y589">
            <v>0.41666666666666702</v>
          </cell>
          <cell r="Z589">
            <v>84.276219000000012</v>
          </cell>
          <cell r="AA589">
            <v>83.590947</v>
          </cell>
          <cell r="AW589">
            <v>4</v>
          </cell>
          <cell r="AX589">
            <v>4</v>
          </cell>
          <cell r="AY589">
            <v>4</v>
          </cell>
          <cell r="AZ589">
            <v>4</v>
          </cell>
          <cell r="BA589" t="str">
            <v>VALE</v>
          </cell>
          <cell r="BB589">
            <v>45692</v>
          </cell>
          <cell r="BG589">
            <v>45691</v>
          </cell>
        </row>
        <row r="590">
          <cell r="A590">
            <v>968</v>
          </cell>
          <cell r="B590">
            <v>589</v>
          </cell>
          <cell r="C590" t="str">
            <v>ETE PIER - PN-41 / PN-42 / PN-43 / PN-44</v>
          </cell>
          <cell r="D590">
            <v>6.5</v>
          </cell>
          <cell r="E590">
            <v>40</v>
          </cell>
          <cell r="F590">
            <v>15</v>
          </cell>
          <cell r="G590">
            <v>40</v>
          </cell>
          <cell r="H590">
            <v>0</v>
          </cell>
          <cell r="I590" t="str">
            <v>-</v>
          </cell>
          <cell r="J590" t="str">
            <v>630/650</v>
          </cell>
          <cell r="K590" t="str">
            <v xml:space="preserve">CPIII 40 RS </v>
          </cell>
          <cell r="L590" t="str">
            <v>CP V</v>
          </cell>
          <cell r="M590" t="str">
            <v>SUPER PLASTIFICANTE</v>
          </cell>
          <cell r="N590" t="str">
            <v>RESERVATÓRIO DE EFLUENTE BRUTO PIER 
OP-3100TU-17-10PIE</v>
          </cell>
          <cell r="O590" t="str">
            <v>FORTANKS</v>
          </cell>
          <cell r="P590">
            <v>1</v>
          </cell>
          <cell r="Q590" t="str">
            <v>Gean</v>
          </cell>
          <cell r="R590">
            <v>45692</v>
          </cell>
          <cell r="S590">
            <v>0.60069444444444442</v>
          </cell>
          <cell r="T590">
            <v>0.59069444444444441</v>
          </cell>
          <cell r="U590" t="str">
            <v>X</v>
          </cell>
          <cell r="V590">
            <v>0.34097222222222223</v>
          </cell>
          <cell r="W590">
            <v>18.600000000000001</v>
          </cell>
          <cell r="X590">
            <v>18.66</v>
          </cell>
          <cell r="Y590">
            <v>0.41666666666666702</v>
          </cell>
          <cell r="Z590">
            <v>85.964924999999994</v>
          </cell>
          <cell r="AA590">
            <v>85.353075000000004</v>
          </cell>
          <cell r="AW590">
            <v>4</v>
          </cell>
          <cell r="AX590">
            <v>4</v>
          </cell>
          <cell r="AY590">
            <v>4</v>
          </cell>
          <cell r="AZ590">
            <v>4</v>
          </cell>
          <cell r="BA590" t="str">
            <v>VALE</v>
          </cell>
          <cell r="BB590">
            <v>45693</v>
          </cell>
          <cell r="BG590">
            <v>45692</v>
          </cell>
        </row>
        <row r="591">
          <cell r="A591">
            <v>969</v>
          </cell>
          <cell r="B591">
            <v>590</v>
          </cell>
          <cell r="C591" t="str">
            <v>ETE PIER - PN-36 / PN-37 / PN-38 / PN-39</v>
          </cell>
          <cell r="D591">
            <v>6.5</v>
          </cell>
          <cell r="E591">
            <v>40</v>
          </cell>
          <cell r="F591">
            <v>15</v>
          </cell>
          <cell r="G591">
            <v>40</v>
          </cell>
          <cell r="H591">
            <v>0</v>
          </cell>
          <cell r="I591" t="str">
            <v>-</v>
          </cell>
          <cell r="J591" t="str">
            <v>640/650</v>
          </cell>
          <cell r="K591" t="str">
            <v xml:space="preserve">CPIII 40 RS </v>
          </cell>
          <cell r="L591" t="str">
            <v>CP V</v>
          </cell>
          <cell r="M591" t="str">
            <v>SUPER PLASTIFICANTE</v>
          </cell>
          <cell r="N591" t="str">
            <v>RESERVATÓRIO DE EFLUENTE BRUTO PIER 
OP-3100TU-17-10PIE</v>
          </cell>
          <cell r="O591" t="str">
            <v>FORTANKS</v>
          </cell>
          <cell r="P591">
            <v>1</v>
          </cell>
          <cell r="Q591" t="str">
            <v>Gean</v>
          </cell>
          <cell r="R591">
            <v>45693</v>
          </cell>
          <cell r="S591">
            <v>0.59027777777777779</v>
          </cell>
          <cell r="T591">
            <v>0.58027777777777778</v>
          </cell>
          <cell r="U591" t="str">
            <v>X</v>
          </cell>
          <cell r="V591">
            <v>0.33333333333333331</v>
          </cell>
          <cell r="W591">
            <v>16.149999999999999</v>
          </cell>
          <cell r="X591">
            <v>15.51</v>
          </cell>
          <cell r="Y591">
            <v>0.41666666666666702</v>
          </cell>
          <cell r="Z591">
            <v>85.010439000000005</v>
          </cell>
          <cell r="AA591">
            <v>83.505287999999993</v>
          </cell>
          <cell r="AW591">
            <v>4</v>
          </cell>
          <cell r="AX591">
            <v>4</v>
          </cell>
          <cell r="AY591">
            <v>4</v>
          </cell>
          <cell r="AZ591">
            <v>4</v>
          </cell>
          <cell r="BA591" t="str">
            <v>VALE</v>
          </cell>
          <cell r="BB591">
            <v>45694</v>
          </cell>
          <cell r="BG591">
            <v>45693</v>
          </cell>
        </row>
        <row r="592">
          <cell r="A592">
            <v>970</v>
          </cell>
          <cell r="B592">
            <v>591</v>
          </cell>
          <cell r="C592" t="str">
            <v>ETE PIER - PN-32 / PN-33 / PN-34 / PN-35</v>
          </cell>
          <cell r="D592">
            <v>6.5</v>
          </cell>
          <cell r="E592">
            <v>40</v>
          </cell>
          <cell r="F592">
            <v>15</v>
          </cell>
          <cell r="G592">
            <v>40</v>
          </cell>
          <cell r="H592">
            <v>0</v>
          </cell>
          <cell r="I592" t="str">
            <v>-</v>
          </cell>
          <cell r="J592" t="str">
            <v>650/620</v>
          </cell>
          <cell r="K592" t="str">
            <v xml:space="preserve">CPIII 40 RS </v>
          </cell>
          <cell r="L592" t="str">
            <v>CP V</v>
          </cell>
          <cell r="M592" t="str">
            <v>SUPER PLASTIFICANTE</v>
          </cell>
          <cell r="N592" t="str">
            <v>RESERVATÓRIO DE EFLUENTE BRUTO PIER 
OP-3100TU-17-10PIE</v>
          </cell>
          <cell r="O592" t="str">
            <v>FORTANKS</v>
          </cell>
          <cell r="P592">
            <v>1</v>
          </cell>
          <cell r="Q592" t="str">
            <v>Gean</v>
          </cell>
          <cell r="R592">
            <v>45694</v>
          </cell>
          <cell r="S592">
            <v>0.625</v>
          </cell>
          <cell r="T592">
            <v>0.61499999999999999</v>
          </cell>
          <cell r="U592" t="str">
            <v>X</v>
          </cell>
          <cell r="V592">
            <v>0.33333333333333331</v>
          </cell>
          <cell r="W592">
            <v>17.05</v>
          </cell>
          <cell r="X592">
            <v>17.38</v>
          </cell>
          <cell r="Y592">
            <v>0.41666666666666702</v>
          </cell>
          <cell r="Z592">
            <v>85.610051999999996</v>
          </cell>
          <cell r="AA592">
            <v>85.94045100000001</v>
          </cell>
          <cell r="AW592">
            <v>4</v>
          </cell>
          <cell r="AX592">
            <v>4</v>
          </cell>
          <cell r="AY592">
            <v>4</v>
          </cell>
          <cell r="AZ592">
            <v>4</v>
          </cell>
          <cell r="BA592" t="str">
            <v>VALE</v>
          </cell>
          <cell r="BB592">
            <v>45695</v>
          </cell>
          <cell r="BG592">
            <v>45694</v>
          </cell>
        </row>
        <row r="593">
          <cell r="A593">
            <v>971</v>
          </cell>
          <cell r="B593">
            <v>592</v>
          </cell>
          <cell r="C593" t="str">
            <v>ETE PIER - PN-02 / PN-28 / PN-29 / PN-30 / PN-31</v>
          </cell>
          <cell r="D593">
            <v>7.5</v>
          </cell>
          <cell r="E593">
            <v>40</v>
          </cell>
          <cell r="F593">
            <v>15</v>
          </cell>
          <cell r="G593">
            <v>40</v>
          </cell>
          <cell r="H593">
            <v>0</v>
          </cell>
          <cell r="I593" t="str">
            <v>-</v>
          </cell>
          <cell r="J593" t="str">
            <v>650/640</v>
          </cell>
          <cell r="K593" t="str">
            <v xml:space="preserve">CPIII 40 RS </v>
          </cell>
          <cell r="L593" t="str">
            <v>CP V</v>
          </cell>
          <cell r="M593" t="str">
            <v>SUPER PLASTIFICANTE</v>
          </cell>
          <cell r="N593" t="str">
            <v>RESERVATÓRIO DE EFLUENTE BRUTO PIER 
OP-3100TU-17-10PIE</v>
          </cell>
          <cell r="O593" t="str">
            <v>FORTANKS</v>
          </cell>
          <cell r="P593">
            <v>1</v>
          </cell>
          <cell r="Q593" t="str">
            <v>Gean</v>
          </cell>
          <cell r="R593">
            <v>45695</v>
          </cell>
          <cell r="S593">
            <v>0.58333333333333337</v>
          </cell>
          <cell r="T593">
            <v>0.57333333333333336</v>
          </cell>
          <cell r="U593" t="str">
            <v>X</v>
          </cell>
          <cell r="V593">
            <v>0.33333333333333331</v>
          </cell>
          <cell r="W593">
            <v>14.68</v>
          </cell>
          <cell r="X593">
            <v>15.66</v>
          </cell>
          <cell r="Y593">
            <v>0.41666666666666702</v>
          </cell>
          <cell r="Z593">
            <v>65.431239000000005</v>
          </cell>
          <cell r="AA593">
            <v>63.767007</v>
          </cell>
          <cell r="AW593">
            <v>4</v>
          </cell>
          <cell r="AX593">
            <v>4</v>
          </cell>
          <cell r="AY593">
            <v>4</v>
          </cell>
          <cell r="AZ593">
            <v>4</v>
          </cell>
          <cell r="BA593" t="str">
            <v>VALE</v>
          </cell>
          <cell r="BB593">
            <v>45696</v>
          </cell>
          <cell r="BG593">
            <v>45695</v>
          </cell>
        </row>
        <row r="594">
          <cell r="A594">
            <v>972</v>
          </cell>
          <cell r="B594">
            <v>593</v>
          </cell>
          <cell r="C594" t="str">
            <v>ETE PIER - PN-73 / PN-26 / PN-27 / PN-69 / PN-70</v>
          </cell>
          <cell r="D594">
            <v>7.5</v>
          </cell>
          <cell r="E594">
            <v>40</v>
          </cell>
          <cell r="F594">
            <v>15</v>
          </cell>
          <cell r="G594">
            <v>40</v>
          </cell>
          <cell r="H594">
            <v>0</v>
          </cell>
          <cell r="I594" t="str">
            <v>-</v>
          </cell>
          <cell r="J594" t="str">
            <v>640/650</v>
          </cell>
          <cell r="K594" t="str">
            <v xml:space="preserve">CPIII 40 RS </v>
          </cell>
          <cell r="L594" t="str">
            <v>CP V</v>
          </cell>
          <cell r="M594" t="str">
            <v>SUPER PLASTIFICANTE</v>
          </cell>
          <cell r="N594" t="str">
            <v>RESERVATÓRIO DE EFLUENTE BRUTO PIER 
OP-3100TU-17-10PIE</v>
          </cell>
          <cell r="O594" t="str">
            <v>FORTANKS</v>
          </cell>
          <cell r="P594">
            <v>1</v>
          </cell>
          <cell r="Q594" t="str">
            <v>Gean</v>
          </cell>
          <cell r="R594">
            <v>45696</v>
          </cell>
          <cell r="S594">
            <v>0.59027777777777779</v>
          </cell>
          <cell r="T594">
            <v>0.58027777777777778</v>
          </cell>
          <cell r="U594" t="str">
            <v>X</v>
          </cell>
          <cell r="V594">
            <v>0.29166666666666669</v>
          </cell>
          <cell r="W594">
            <v>29.22</v>
          </cell>
          <cell r="X594">
            <v>28.07</v>
          </cell>
          <cell r="Y594">
            <v>0.41666666666666702</v>
          </cell>
          <cell r="Z594">
            <v>72.332907000000006</v>
          </cell>
          <cell r="AA594">
            <v>72.540936000000002</v>
          </cell>
          <cell r="AW594">
            <v>4</v>
          </cell>
          <cell r="AX594">
            <v>4</v>
          </cell>
          <cell r="AY594">
            <v>4</v>
          </cell>
          <cell r="AZ594">
            <v>4</v>
          </cell>
          <cell r="BA594" t="str">
            <v>VALE</v>
          </cell>
          <cell r="BB594">
            <v>45697</v>
          </cell>
          <cell r="BG594">
            <v>45696</v>
          </cell>
        </row>
        <row r="595">
          <cell r="A595">
            <v>973</v>
          </cell>
          <cell r="B595">
            <v>594</v>
          </cell>
          <cell r="C595" t="str">
            <v>ETE PIER - PN-77 / PN-65 / PN-66 / PN-67 / PN-68</v>
          </cell>
          <cell r="D595">
            <v>7.5</v>
          </cell>
          <cell r="E595">
            <v>40</v>
          </cell>
          <cell r="F595">
            <v>15</v>
          </cell>
          <cell r="G595">
            <v>40</v>
          </cell>
          <cell r="H595">
            <v>0</v>
          </cell>
          <cell r="I595" t="str">
            <v>-</v>
          </cell>
          <cell r="J595" t="str">
            <v>640/650</v>
          </cell>
          <cell r="K595" t="str">
            <v xml:space="preserve">CPIII 40 RS </v>
          </cell>
          <cell r="L595" t="str">
            <v>CP V</v>
          </cell>
          <cell r="M595" t="str">
            <v>SUPER PLASTIFICANTE</v>
          </cell>
          <cell r="N595" t="str">
            <v>RESERVATÓRIO DE EFLUENTE BRUTO PIER 
OP-3100TU-17-10PIE</v>
          </cell>
          <cell r="O595" t="str">
            <v>FORTANKS</v>
          </cell>
          <cell r="P595">
            <v>1</v>
          </cell>
          <cell r="Q595" t="str">
            <v>Gean</v>
          </cell>
          <cell r="R595">
            <v>45698</v>
          </cell>
          <cell r="S595">
            <v>0.58333333333333337</v>
          </cell>
          <cell r="T595">
            <v>0.57333333333333336</v>
          </cell>
          <cell r="U595" t="str">
            <v>X</v>
          </cell>
          <cell r="V595">
            <v>0.41666666666666669</v>
          </cell>
          <cell r="W595">
            <v>15.72</v>
          </cell>
          <cell r="X595">
            <v>15.85</v>
          </cell>
          <cell r="Y595">
            <v>0.41666666666666702</v>
          </cell>
          <cell r="Z595">
            <v>74.376486</v>
          </cell>
          <cell r="AA595">
            <v>74.939388000000008</v>
          </cell>
          <cell r="AW595">
            <v>4</v>
          </cell>
          <cell r="AX595">
            <v>4</v>
          </cell>
          <cell r="AY595">
            <v>4</v>
          </cell>
          <cell r="AZ595">
            <v>4</v>
          </cell>
          <cell r="BA595" t="str">
            <v>VALE</v>
          </cell>
          <cell r="BB595">
            <v>45699</v>
          </cell>
          <cell r="BG595">
            <v>45698</v>
          </cell>
        </row>
        <row r="596">
          <cell r="A596">
            <v>974</v>
          </cell>
          <cell r="B596">
            <v>595</v>
          </cell>
          <cell r="C596" t="str">
            <v>ETE PIER - PN-49 / PN-63 / PN-64</v>
          </cell>
          <cell r="D596">
            <v>4.5</v>
          </cell>
          <cell r="E596">
            <v>40</v>
          </cell>
          <cell r="F596">
            <v>15</v>
          </cell>
          <cell r="G596">
            <v>40</v>
          </cell>
          <cell r="H596">
            <v>0</v>
          </cell>
          <cell r="I596" t="str">
            <v>-</v>
          </cell>
          <cell r="J596" t="str">
            <v>640/650</v>
          </cell>
          <cell r="K596" t="str">
            <v xml:space="preserve">CPIII 40 RS </v>
          </cell>
          <cell r="L596" t="str">
            <v>CP V</v>
          </cell>
          <cell r="M596" t="str">
            <v>SUPER PLASTIFICANTE</v>
          </cell>
          <cell r="N596" t="str">
            <v>RESERVATÓRIO DE EFLUENTE BRUTO PIER 
OP-3100TU-17-10PIE</v>
          </cell>
          <cell r="O596" t="str">
            <v>FORTANKS</v>
          </cell>
          <cell r="P596">
            <v>1</v>
          </cell>
          <cell r="Q596" t="str">
            <v>Gean</v>
          </cell>
          <cell r="R596">
            <v>45699</v>
          </cell>
          <cell r="S596">
            <v>0.60763888888888884</v>
          </cell>
          <cell r="T596">
            <v>0.59763888888888883</v>
          </cell>
          <cell r="U596" t="str">
            <v>X</v>
          </cell>
          <cell r="V596">
            <v>0.54166666666666663</v>
          </cell>
          <cell r="W596">
            <v>18.489999999999998</v>
          </cell>
          <cell r="X596">
            <v>19.32</v>
          </cell>
          <cell r="Y596">
            <v>0.41666666666666702</v>
          </cell>
          <cell r="Z596">
            <v>73.05489</v>
          </cell>
          <cell r="AA596">
            <v>72.088166999999999</v>
          </cell>
          <cell r="AW596">
            <v>4</v>
          </cell>
          <cell r="AX596">
            <v>4</v>
          </cell>
          <cell r="AY596">
            <v>0</v>
          </cell>
          <cell r="AZ596">
            <v>0</v>
          </cell>
          <cell r="BA596" t="str">
            <v>VALE</v>
          </cell>
          <cell r="BB596">
            <v>45700</v>
          </cell>
          <cell r="BG596">
            <v>45699</v>
          </cell>
        </row>
        <row r="597">
          <cell r="A597">
            <v>975</v>
          </cell>
          <cell r="B597">
            <v>596</v>
          </cell>
          <cell r="C597" t="str">
            <v>ETE PIER - PN-61 / PN-62</v>
          </cell>
          <cell r="D597">
            <v>3.5</v>
          </cell>
          <cell r="E597">
            <v>40</v>
          </cell>
          <cell r="F597">
            <v>15</v>
          </cell>
          <cell r="G597">
            <v>40</v>
          </cell>
          <cell r="H597">
            <v>0</v>
          </cell>
          <cell r="I597" t="str">
            <v>-</v>
          </cell>
          <cell r="J597" t="str">
            <v>650/650</v>
          </cell>
          <cell r="K597" t="str">
            <v xml:space="preserve">CPIII 40 RS </v>
          </cell>
          <cell r="L597" t="str">
            <v>CP V</v>
          </cell>
          <cell r="M597" t="str">
            <v>SUPER PLASTIFICANTE</v>
          </cell>
          <cell r="N597" t="str">
            <v>RESERVATÓRIO DE EFLUENTE BRUTO PIER 
OP-3100TU-17-10PIE</v>
          </cell>
          <cell r="O597" t="str">
            <v>FORTANKS</v>
          </cell>
          <cell r="P597">
            <v>1</v>
          </cell>
          <cell r="Q597" t="str">
            <v>Gean</v>
          </cell>
          <cell r="R597">
            <v>45700</v>
          </cell>
          <cell r="S597">
            <v>0.61111111111111116</v>
          </cell>
          <cell r="T597">
            <v>0.60111111111111115</v>
          </cell>
          <cell r="U597" t="str">
            <v>X</v>
          </cell>
          <cell r="V597">
            <v>0.61111111111111116</v>
          </cell>
          <cell r="W597">
            <v>17.920000000000002</v>
          </cell>
          <cell r="X597">
            <v>19.13</v>
          </cell>
          <cell r="Y597">
            <v>0.41666666666666702</v>
          </cell>
          <cell r="Z597">
            <v>76.615857000000005</v>
          </cell>
          <cell r="AA597">
            <v>74.878202999999999</v>
          </cell>
          <cell r="AW597">
            <v>4</v>
          </cell>
          <cell r="AX597">
            <v>4</v>
          </cell>
          <cell r="AY597">
            <v>0</v>
          </cell>
          <cell r="AZ597">
            <v>0</v>
          </cell>
          <cell r="BA597" t="str">
            <v>VALE</v>
          </cell>
          <cell r="BB597">
            <v>45701</v>
          </cell>
          <cell r="BG597">
            <v>45700</v>
          </cell>
        </row>
        <row r="598">
          <cell r="A598">
            <v>976</v>
          </cell>
          <cell r="B598">
            <v>597</v>
          </cell>
          <cell r="C598" t="str">
            <v>ETE PIER - PN-58 / PN-59 / PN-60</v>
          </cell>
          <cell r="D598">
            <v>5</v>
          </cell>
          <cell r="E598">
            <v>40</v>
          </cell>
          <cell r="F598">
            <v>15</v>
          </cell>
          <cell r="G598">
            <v>40</v>
          </cell>
          <cell r="H598">
            <v>0</v>
          </cell>
          <cell r="I598" t="str">
            <v>-</v>
          </cell>
          <cell r="J598" t="str">
            <v>650/650</v>
          </cell>
          <cell r="K598" t="str">
            <v xml:space="preserve">CPIII 40 RS </v>
          </cell>
          <cell r="L598" t="str">
            <v>CP V</v>
          </cell>
          <cell r="M598" t="str">
            <v>SUPER PLASTIFICANTE</v>
          </cell>
          <cell r="N598" t="str">
            <v>RESERVATÓRIO DE EFLUENTE BRUTO PIER 
OP-3100TU-17-10PIE</v>
          </cell>
          <cell r="O598" t="str">
            <v>FORTANKS</v>
          </cell>
          <cell r="P598">
            <v>1</v>
          </cell>
          <cell r="Q598" t="str">
            <v>Gean</v>
          </cell>
          <cell r="R598">
            <v>45701</v>
          </cell>
          <cell r="S598">
            <v>0.625</v>
          </cell>
          <cell r="T598">
            <v>0.61499999999999999</v>
          </cell>
          <cell r="U598" t="str">
            <v>X</v>
          </cell>
          <cell r="V598">
            <v>0.375</v>
          </cell>
          <cell r="W598">
            <v>18.84</v>
          </cell>
          <cell r="X598">
            <v>17.48</v>
          </cell>
          <cell r="Y598">
            <v>0.41666666666666702</v>
          </cell>
          <cell r="Z598">
            <v>85.744658999999999</v>
          </cell>
          <cell r="AA598">
            <v>85.475444999999993</v>
          </cell>
          <cell r="AW598">
            <v>4</v>
          </cell>
          <cell r="AX598">
            <v>4</v>
          </cell>
          <cell r="AY598">
            <v>0</v>
          </cell>
          <cell r="AZ598">
            <v>0</v>
          </cell>
          <cell r="BA598" t="str">
            <v>VALE</v>
          </cell>
          <cell r="BB598">
            <v>45702</v>
          </cell>
          <cell r="BG598">
            <v>45701</v>
          </cell>
        </row>
        <row r="599">
          <cell r="A599">
            <v>977</v>
          </cell>
          <cell r="B599">
            <v>598</v>
          </cell>
          <cell r="C599" t="str">
            <v>ETE PIER - PE-B1(1) / PN-56 / PN-57</v>
          </cell>
          <cell r="D599">
            <v>4.5</v>
          </cell>
          <cell r="E599">
            <v>40</v>
          </cell>
          <cell r="F599">
            <v>15</v>
          </cell>
          <cell r="G599">
            <v>40</v>
          </cell>
          <cell r="H599">
            <v>0</v>
          </cell>
          <cell r="I599" t="str">
            <v>-</v>
          </cell>
          <cell r="J599" t="str">
            <v>650/660</v>
          </cell>
          <cell r="K599" t="str">
            <v xml:space="preserve">CPIII 40 RS </v>
          </cell>
          <cell r="L599" t="str">
            <v>CP V</v>
          </cell>
          <cell r="M599" t="str">
            <v>SUPER PLASTIFICANTE</v>
          </cell>
          <cell r="N599" t="str">
            <v>RESERVATÓRIO DE EFLUENTE BRUTO PIER 
OP-3100TU-17-10PIE</v>
          </cell>
          <cell r="O599" t="str">
            <v>FORTANKS</v>
          </cell>
          <cell r="P599">
            <v>1</v>
          </cell>
          <cell r="Q599" t="str">
            <v>Gean</v>
          </cell>
          <cell r="R599">
            <v>45702</v>
          </cell>
          <cell r="S599">
            <v>0.60416666666666663</v>
          </cell>
          <cell r="T599">
            <v>0.59416666666666662</v>
          </cell>
          <cell r="U599" t="str">
            <v>X</v>
          </cell>
          <cell r="V599">
            <v>0.41666666666666669</v>
          </cell>
          <cell r="W599">
            <v>20.41</v>
          </cell>
          <cell r="X599">
            <v>22.03</v>
          </cell>
          <cell r="Y599">
            <v>0.41666666666666702</v>
          </cell>
          <cell r="Z599">
            <v>85.242941999999999</v>
          </cell>
          <cell r="AA599">
            <v>84.386351999999988</v>
          </cell>
          <cell r="AW599">
            <v>4</v>
          </cell>
          <cell r="AX599">
            <v>4</v>
          </cell>
          <cell r="AY599">
            <v>0</v>
          </cell>
          <cell r="AZ599">
            <v>0</v>
          </cell>
          <cell r="BA599" t="str">
            <v>VALE</v>
          </cell>
          <cell r="BB599">
            <v>45703</v>
          </cell>
          <cell r="BG599">
            <v>45702</v>
          </cell>
        </row>
        <row r="600">
          <cell r="A600">
            <v>978</v>
          </cell>
          <cell r="B600">
            <v>599</v>
          </cell>
          <cell r="C600" t="str">
            <v>ETE PEIR - PE-B1(2) / PN-53 / PN-54 / PN-55</v>
          </cell>
          <cell r="D600">
            <v>6</v>
          </cell>
          <cell r="E600">
            <v>40</v>
          </cell>
          <cell r="F600">
            <v>15</v>
          </cell>
          <cell r="G600">
            <v>40</v>
          </cell>
          <cell r="H600">
            <v>0</v>
          </cell>
          <cell r="I600" t="str">
            <v>-</v>
          </cell>
          <cell r="J600" t="str">
            <v>650/650</v>
          </cell>
          <cell r="K600" t="str">
            <v xml:space="preserve">CPIII 40 RS </v>
          </cell>
          <cell r="L600" t="str">
            <v>CP V</v>
          </cell>
          <cell r="M600" t="str">
            <v>SUPER PLASTIFICANTE</v>
          </cell>
          <cell r="N600" t="str">
            <v>RESERVATÓRIO DE EFLUENTE BRUTO PIER 
OP-3100TU-17-10PIE</v>
          </cell>
          <cell r="O600" t="str">
            <v>FORTANKS</v>
          </cell>
          <cell r="P600">
            <v>1</v>
          </cell>
          <cell r="Q600" t="str">
            <v>Gean</v>
          </cell>
          <cell r="R600">
            <v>45705</v>
          </cell>
          <cell r="S600">
            <v>0.4375</v>
          </cell>
          <cell r="T600">
            <v>0.42749999999999999</v>
          </cell>
          <cell r="U600" t="str">
            <v>X</v>
          </cell>
          <cell r="V600">
            <v>0.4375</v>
          </cell>
          <cell r="W600">
            <v>25.66</v>
          </cell>
          <cell r="X600">
            <v>24.46</v>
          </cell>
          <cell r="Y600">
            <v>0.41666666666666702</v>
          </cell>
          <cell r="Z600">
            <v>84.117137999999997</v>
          </cell>
          <cell r="AA600">
            <v>82.856726999999992</v>
          </cell>
          <cell r="AW600">
            <v>4</v>
          </cell>
          <cell r="AX600">
            <v>4</v>
          </cell>
          <cell r="AY600">
            <v>0</v>
          </cell>
          <cell r="AZ600">
            <v>0</v>
          </cell>
          <cell r="BA600" t="str">
            <v>VALE</v>
          </cell>
          <cell r="BB600">
            <v>45706</v>
          </cell>
          <cell r="BG600">
            <v>45705</v>
          </cell>
        </row>
        <row r="601">
          <cell r="A601">
            <v>979</v>
          </cell>
          <cell r="B601">
            <v>600</v>
          </cell>
          <cell r="C601" t="str">
            <v>ETE PIER - PN-48 / PN-50 / PN-51 / PN-52</v>
          </cell>
          <cell r="D601">
            <v>6</v>
          </cell>
          <cell r="E601">
            <v>40</v>
          </cell>
          <cell r="F601">
            <v>15</v>
          </cell>
          <cell r="G601">
            <v>40</v>
          </cell>
          <cell r="H601">
            <v>0</v>
          </cell>
          <cell r="I601" t="str">
            <v>-</v>
          </cell>
          <cell r="J601" t="str">
            <v>650/650</v>
          </cell>
          <cell r="K601" t="str">
            <v xml:space="preserve">CPIII 40 RS </v>
          </cell>
          <cell r="L601" t="str">
            <v>CP V</v>
          </cell>
          <cell r="M601" t="str">
            <v>SUPER PLASTIFICANTE</v>
          </cell>
          <cell r="N601" t="str">
            <v>RESERVATÓRIO DE EFLUENTE BRUTO PIER 
OP-3100TU-17-10PIE</v>
          </cell>
          <cell r="O601" t="str">
            <v>FORTANKS</v>
          </cell>
          <cell r="P601">
            <v>1</v>
          </cell>
          <cell r="Q601" t="str">
            <v>Gean</v>
          </cell>
          <cell r="R601">
            <v>45708</v>
          </cell>
          <cell r="S601">
            <v>0.58333333333333337</v>
          </cell>
          <cell r="T601">
            <v>0.57333333333333336</v>
          </cell>
          <cell r="U601" t="str">
            <v>X</v>
          </cell>
          <cell r="V601">
            <v>0.41666666666666669</v>
          </cell>
          <cell r="W601">
            <v>21.79</v>
          </cell>
          <cell r="X601">
            <v>22.23</v>
          </cell>
          <cell r="Y601">
            <v>0.41666666666666702</v>
          </cell>
          <cell r="Z601">
            <v>83.762264999999999</v>
          </cell>
          <cell r="AA601">
            <v>82.367247000000006</v>
          </cell>
          <cell r="AW601">
            <v>4</v>
          </cell>
          <cell r="AX601">
            <v>4</v>
          </cell>
          <cell r="AY601">
            <v>0</v>
          </cell>
          <cell r="AZ601">
            <v>0</v>
          </cell>
          <cell r="BA601" t="str">
            <v>VALE</v>
          </cell>
          <cell r="BB601">
            <v>45709</v>
          </cell>
          <cell r="BG601">
            <v>45708</v>
          </cell>
        </row>
        <row r="602">
          <cell r="A602">
            <v>980</v>
          </cell>
          <cell r="B602">
            <v>601</v>
          </cell>
          <cell r="C602" t="str">
            <v>ETE PIER - PN-01 /  PN-25</v>
          </cell>
          <cell r="D602">
            <v>3</v>
          </cell>
          <cell r="E602">
            <v>40</v>
          </cell>
          <cell r="F602">
            <v>15</v>
          </cell>
          <cell r="G602">
            <v>40</v>
          </cell>
          <cell r="H602">
            <v>0</v>
          </cell>
          <cell r="I602" t="str">
            <v>-</v>
          </cell>
          <cell r="J602" t="str">
            <v>650/650</v>
          </cell>
          <cell r="K602" t="str">
            <v xml:space="preserve">CPIII 40 RS </v>
          </cell>
          <cell r="L602" t="str">
            <v>CP V</v>
          </cell>
          <cell r="M602" t="str">
            <v>SUPER PLASTIFICANTE</v>
          </cell>
          <cell r="N602" t="str">
            <v>RESERVATÓRIO DE EFLUENTE BRUTO PIER 
OP-3100TU-17-10PIE</v>
          </cell>
          <cell r="O602" t="str">
            <v>FORTANKS</v>
          </cell>
          <cell r="P602">
            <v>1</v>
          </cell>
          <cell r="Q602" t="str">
            <v>Gean</v>
          </cell>
          <cell r="R602">
            <v>45713</v>
          </cell>
          <cell r="S602">
            <v>0.57638888888888884</v>
          </cell>
          <cell r="T602">
            <v>0.56638888888888883</v>
          </cell>
          <cell r="U602" t="str">
            <v>X</v>
          </cell>
          <cell r="V602">
            <v>0.41666666666666669</v>
          </cell>
          <cell r="W602">
            <v>14.12</v>
          </cell>
          <cell r="X602">
            <v>15.05</v>
          </cell>
          <cell r="Y602">
            <v>0.41666666666666702</v>
          </cell>
          <cell r="Z602">
            <v>69.518397000000007</v>
          </cell>
          <cell r="AA602">
            <v>70.081299000000001</v>
          </cell>
          <cell r="AW602">
            <v>4</v>
          </cell>
          <cell r="AX602">
            <v>4</v>
          </cell>
          <cell r="AY602">
            <v>0</v>
          </cell>
          <cell r="AZ602">
            <v>0</v>
          </cell>
          <cell r="BA602" t="str">
            <v>VALE</v>
          </cell>
          <cell r="BB602">
            <v>45714</v>
          </cell>
          <cell r="BG602">
            <v>45713</v>
          </cell>
        </row>
        <row r="603">
          <cell r="A603">
            <v>981</v>
          </cell>
          <cell r="B603">
            <v>602</v>
          </cell>
          <cell r="C603" t="str">
            <v>ETE PIER - PLACAS PE-74 / PT-75 / PT-76 / PT-47</v>
          </cell>
          <cell r="D603">
            <v>6</v>
          </cell>
          <cell r="E603">
            <v>40</v>
          </cell>
          <cell r="F603">
            <v>15</v>
          </cell>
          <cell r="G603">
            <v>40</v>
          </cell>
          <cell r="H603">
            <v>0</v>
          </cell>
          <cell r="I603" t="str">
            <v>-</v>
          </cell>
          <cell r="J603" t="str">
            <v>650/640</v>
          </cell>
          <cell r="K603" t="str">
            <v xml:space="preserve">CPIII 40 RS </v>
          </cell>
          <cell r="L603" t="str">
            <v>CP V</v>
          </cell>
          <cell r="M603" t="str">
            <v>SUPER PLASTIFICANTE</v>
          </cell>
          <cell r="N603" t="str">
            <v>RESERVATÓRIO DE EFLUENTE BRUTO PIER 
OP-3100TU-17-10PIE</v>
          </cell>
          <cell r="O603" t="str">
            <v>FORTANKS</v>
          </cell>
          <cell r="P603">
            <v>1</v>
          </cell>
          <cell r="Q603" t="str">
            <v>Gean</v>
          </cell>
          <cell r="R603">
            <v>45721</v>
          </cell>
          <cell r="S603">
            <v>0.625</v>
          </cell>
          <cell r="T603">
            <v>0.61499999999999999</v>
          </cell>
          <cell r="U603" t="str">
            <v>X</v>
          </cell>
          <cell r="V603">
            <v>0.41666666666666669</v>
          </cell>
          <cell r="W603">
            <v>45.49</v>
          </cell>
          <cell r="X603">
            <v>44.93</v>
          </cell>
          <cell r="Y603">
            <v>0.41666666666666669</v>
          </cell>
          <cell r="Z603">
            <v>68.600622000000001</v>
          </cell>
          <cell r="AA603">
            <v>70.130246999999997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 t="str">
            <v>VALE</v>
          </cell>
          <cell r="BB603">
            <v>45722</v>
          </cell>
          <cell r="BG603">
            <v>45721</v>
          </cell>
        </row>
        <row r="604">
          <cell r="A604">
            <v>982</v>
          </cell>
          <cell r="B604">
            <v>603</v>
          </cell>
          <cell r="C604" t="str">
            <v>PLACA    PN-11</v>
          </cell>
          <cell r="D604">
            <v>5.5</v>
          </cell>
          <cell r="E604">
            <v>40</v>
          </cell>
          <cell r="F604">
            <v>24</v>
          </cell>
          <cell r="G604">
            <v>40</v>
          </cell>
          <cell r="H604">
            <v>0</v>
          </cell>
          <cell r="I604" t="str">
            <v>-</v>
          </cell>
          <cell r="J604" t="str">
            <v>650/660</v>
          </cell>
          <cell r="K604" t="str">
            <v xml:space="preserve">CPIII 40 RS </v>
          </cell>
          <cell r="L604" t="str">
            <v>CP V</v>
          </cell>
          <cell r="M604" t="str">
            <v>SUPER PLASTIFICANTE</v>
          </cell>
          <cell r="N604" t="str">
            <v>ETE - PARQUE NOVO MUNDO (REATORES NEREDA)</v>
          </cell>
          <cell r="O604" t="str">
            <v>FORTANKS</v>
          </cell>
          <cell r="P604">
            <v>1</v>
          </cell>
          <cell r="Q604" t="str">
            <v>Gean</v>
          </cell>
          <cell r="R604">
            <v>45733</v>
          </cell>
          <cell r="S604">
            <v>0.58333333333333337</v>
          </cell>
          <cell r="T604">
            <v>0.57333333333333336</v>
          </cell>
          <cell r="U604" t="str">
            <v>X</v>
          </cell>
          <cell r="V604">
            <v>0.29166666666666669</v>
          </cell>
          <cell r="W604">
            <v>44.16</v>
          </cell>
          <cell r="X604">
            <v>44.4</v>
          </cell>
          <cell r="Y604">
            <v>0.41666666666666669</v>
          </cell>
          <cell r="Z604">
            <v>67.77</v>
          </cell>
          <cell r="AA604">
            <v>67.650000000000006</v>
          </cell>
          <cell r="AW604">
            <v>4</v>
          </cell>
          <cell r="AX604">
            <v>4</v>
          </cell>
          <cell r="AY604">
            <v>4</v>
          </cell>
          <cell r="AZ604">
            <v>3</v>
          </cell>
          <cell r="BA604" t="str">
            <v>CONSORCIO NOVA ETE - PARQUE NOVO MUNDO</v>
          </cell>
          <cell r="BB604">
            <v>45736</v>
          </cell>
          <cell r="BC604">
            <v>2</v>
          </cell>
          <cell r="BG604">
            <v>45733</v>
          </cell>
        </row>
        <row r="605">
          <cell r="A605" t="str">
            <v>982-A</v>
          </cell>
          <cell r="B605">
            <v>603</v>
          </cell>
          <cell r="C605" t="str">
            <v>PLACA PR_PN-02</v>
          </cell>
          <cell r="D605">
            <v>5.5</v>
          </cell>
          <cell r="F605">
            <v>24</v>
          </cell>
          <cell r="J605" t="str">
            <v>650/660</v>
          </cell>
          <cell r="M605" t="str">
            <v>SUPER PLASTIFICANTE</v>
          </cell>
          <cell r="N605" t="str">
            <v>ETE - PROJETO SUCURIÚ - CLARIFICADOR PRIMARIO</v>
          </cell>
          <cell r="O605" t="str">
            <v>FORTANKS</v>
          </cell>
          <cell r="P605">
            <v>1</v>
          </cell>
          <cell r="Q605" t="str">
            <v>Gean</v>
          </cell>
          <cell r="R605">
            <v>45733</v>
          </cell>
          <cell r="S605">
            <v>0.58333333333333337</v>
          </cell>
          <cell r="T605">
            <v>0.57333333333333336</v>
          </cell>
          <cell r="U605" t="str">
            <v>X</v>
          </cell>
          <cell r="V605">
            <v>0.29166666666666669</v>
          </cell>
          <cell r="W605">
            <v>44.16</v>
          </cell>
          <cell r="X605">
            <v>44.4</v>
          </cell>
          <cell r="Y605">
            <v>0.41666666666666669</v>
          </cell>
          <cell r="Z605">
            <v>67.77</v>
          </cell>
          <cell r="AA605">
            <v>67.650000000000006</v>
          </cell>
          <cell r="AW605">
            <v>4</v>
          </cell>
          <cell r="AX605">
            <v>4</v>
          </cell>
          <cell r="AY605">
            <v>4</v>
          </cell>
          <cell r="AZ605">
            <v>3</v>
          </cell>
          <cell r="BA605" t="str">
            <v>FORTES ENGENHARIA</v>
          </cell>
          <cell r="BB605">
            <v>45736</v>
          </cell>
          <cell r="BC605">
            <v>2</v>
          </cell>
          <cell r="BG605">
            <v>45733</v>
          </cell>
        </row>
        <row r="606">
          <cell r="A606">
            <v>983</v>
          </cell>
          <cell r="B606">
            <v>604</v>
          </cell>
          <cell r="C606" t="str">
            <v>PLACAS   PN-06 / PN-10</v>
          </cell>
          <cell r="D606">
            <v>6.5</v>
          </cell>
          <cell r="E606">
            <v>40</v>
          </cell>
          <cell r="F606">
            <v>24</v>
          </cell>
          <cell r="G606">
            <v>40</v>
          </cell>
          <cell r="H606">
            <v>0</v>
          </cell>
          <cell r="I606" t="str">
            <v>-</v>
          </cell>
          <cell r="J606" t="str">
            <v>650/650</v>
          </cell>
          <cell r="K606" t="str">
            <v xml:space="preserve">CPIII 40 RS </v>
          </cell>
          <cell r="L606" t="str">
            <v>CP V</v>
          </cell>
          <cell r="M606" t="str">
            <v>SUPER PLASTIFICANTE</v>
          </cell>
          <cell r="N606" t="str">
            <v>ETE - PARQUE NOVO MUNDO (REATORES NEREDA)</v>
          </cell>
          <cell r="O606" t="str">
            <v>FORTANKS</v>
          </cell>
          <cell r="P606">
            <v>2</v>
          </cell>
          <cell r="Q606" t="str">
            <v>Gean</v>
          </cell>
          <cell r="R606">
            <v>45733</v>
          </cell>
          <cell r="S606">
            <v>0.60069444444444442</v>
          </cell>
          <cell r="T606">
            <v>0.59069444444444441</v>
          </cell>
          <cell r="U606" t="str">
            <v>X</v>
          </cell>
          <cell r="V606">
            <v>0.2986111111111111</v>
          </cell>
          <cell r="W606">
            <v>41</v>
          </cell>
          <cell r="X606">
            <v>43</v>
          </cell>
          <cell r="Y606">
            <v>0.41666666666666669</v>
          </cell>
          <cell r="Z606">
            <v>68.19</v>
          </cell>
          <cell r="AA606">
            <v>67.36</v>
          </cell>
          <cell r="AW606">
            <v>4</v>
          </cell>
          <cell r="AX606">
            <v>1</v>
          </cell>
          <cell r="AY606">
            <v>3</v>
          </cell>
          <cell r="AZ606">
            <v>0</v>
          </cell>
          <cell r="BA606" t="str">
            <v>CONSORCIO NOVA ETE - PARQUE NOVO MUNDO</v>
          </cell>
          <cell r="BB606">
            <v>45736</v>
          </cell>
          <cell r="BC606">
            <v>2</v>
          </cell>
          <cell r="BG606">
            <v>45733</v>
          </cell>
        </row>
        <row r="607">
          <cell r="A607">
            <v>984</v>
          </cell>
          <cell r="B607">
            <v>605</v>
          </cell>
          <cell r="C607" t="str">
            <v>PLACAS   PN-04 / PN-05</v>
          </cell>
          <cell r="D607">
            <v>6.5</v>
          </cell>
          <cell r="E607">
            <v>40</v>
          </cell>
          <cell r="F607">
            <v>24</v>
          </cell>
          <cell r="G607">
            <v>40</v>
          </cell>
          <cell r="H607">
            <v>0</v>
          </cell>
          <cell r="I607" t="str">
            <v>-</v>
          </cell>
          <cell r="J607" t="str">
            <v>650/670</v>
          </cell>
          <cell r="K607" t="str">
            <v xml:space="preserve">CPIII 40 RS </v>
          </cell>
          <cell r="L607" t="str">
            <v>CP V</v>
          </cell>
          <cell r="M607" t="str">
            <v>SUPER PLASTIFICANTE</v>
          </cell>
          <cell r="N607" t="str">
            <v>ETE - PARQUE NOVO MUNDO (REATORES NEREDA)</v>
          </cell>
          <cell r="O607" t="str">
            <v>FORTANKS</v>
          </cell>
          <cell r="P607">
            <v>1</v>
          </cell>
          <cell r="Q607" t="str">
            <v>Gean</v>
          </cell>
          <cell r="R607">
            <v>45733</v>
          </cell>
          <cell r="S607">
            <v>0.64236111111111116</v>
          </cell>
          <cell r="T607">
            <v>0.63236111111111115</v>
          </cell>
          <cell r="U607" t="str">
            <v>X</v>
          </cell>
          <cell r="V607">
            <v>0.30208333333333331</v>
          </cell>
          <cell r="W607">
            <v>41.8</v>
          </cell>
          <cell r="X607">
            <v>39.86</v>
          </cell>
          <cell r="Y607">
            <v>0.41666666666666669</v>
          </cell>
          <cell r="Z607">
            <v>67.290000000000006</v>
          </cell>
          <cell r="AA607">
            <v>68.77</v>
          </cell>
          <cell r="AW607">
            <v>4</v>
          </cell>
          <cell r="AX607">
            <v>4</v>
          </cell>
          <cell r="AY607">
            <v>2</v>
          </cell>
          <cell r="AZ607">
            <v>4</v>
          </cell>
          <cell r="BA607" t="str">
            <v>CONSORCIO NOVA ETE - PARQUE NOVO MUNDO</v>
          </cell>
          <cell r="BB607">
            <v>45736</v>
          </cell>
          <cell r="BC607">
            <v>2</v>
          </cell>
          <cell r="BG607">
            <v>45733</v>
          </cell>
        </row>
        <row r="608">
          <cell r="A608">
            <v>985</v>
          </cell>
          <cell r="B608">
            <v>606</v>
          </cell>
          <cell r="C608" t="str">
            <v>PLACAS    PN-02 / PN-03</v>
          </cell>
          <cell r="D608">
            <v>6</v>
          </cell>
          <cell r="E608">
            <v>40</v>
          </cell>
          <cell r="F608">
            <v>24</v>
          </cell>
          <cell r="G608">
            <v>40</v>
          </cell>
          <cell r="H608">
            <v>0</v>
          </cell>
          <cell r="I608" t="str">
            <v>-</v>
          </cell>
          <cell r="J608" t="str">
            <v>650/650</v>
          </cell>
          <cell r="K608" t="str">
            <v xml:space="preserve">CPIII 40 RS </v>
          </cell>
          <cell r="L608" t="str">
            <v>CP V</v>
          </cell>
          <cell r="M608" t="str">
            <v>SUPER PLASTIFICANTE</v>
          </cell>
          <cell r="N608" t="str">
            <v>ETE - PARQUE NOVO MUNDO (REATORES NEREDA)</v>
          </cell>
          <cell r="O608" t="str">
            <v>FORTANKS</v>
          </cell>
          <cell r="P608">
            <v>2</v>
          </cell>
          <cell r="Q608" t="str">
            <v>Gean</v>
          </cell>
          <cell r="R608">
            <v>45733</v>
          </cell>
          <cell r="S608">
            <v>0.68055555555555558</v>
          </cell>
          <cell r="T608">
            <v>0.67055555555555557</v>
          </cell>
          <cell r="U608" t="str">
            <v>X</v>
          </cell>
          <cell r="V608">
            <v>0.30555555555555558</v>
          </cell>
          <cell r="W608">
            <v>44.43</v>
          </cell>
          <cell r="X608">
            <v>43.41</v>
          </cell>
          <cell r="Y608">
            <v>0.41666666666666669</v>
          </cell>
          <cell r="Z608">
            <v>82.78</v>
          </cell>
          <cell r="AA608">
            <v>78.14</v>
          </cell>
          <cell r="AW608">
            <v>4</v>
          </cell>
          <cell r="AX608">
            <v>4</v>
          </cell>
          <cell r="AY608">
            <v>4</v>
          </cell>
          <cell r="AZ608">
            <v>1</v>
          </cell>
          <cell r="BA608" t="str">
            <v>CONSORCIO NOVA ETE - PARQUE NOVO MUNDO</v>
          </cell>
          <cell r="BB608">
            <v>45736</v>
          </cell>
          <cell r="BC608">
            <v>2</v>
          </cell>
          <cell r="BG608">
            <v>45733</v>
          </cell>
        </row>
        <row r="609">
          <cell r="A609">
            <v>986</v>
          </cell>
          <cell r="B609">
            <v>606</v>
          </cell>
          <cell r="C609" t="str">
            <v>PLACA PR_PN-02 (CANALETA)</v>
          </cell>
          <cell r="D609">
            <v>1</v>
          </cell>
          <cell r="F609">
            <v>15</v>
          </cell>
          <cell r="J609" t="str">
            <v>680/700</v>
          </cell>
          <cell r="M609" t="str">
            <v>SUPER PLASTIFICANTE</v>
          </cell>
          <cell r="N609" t="str">
            <v>ETE - PROJETO SUCURIÚ - CLARIFICADOR PRIMARIO</v>
          </cell>
          <cell r="O609" t="str">
            <v>FORTANKS</v>
          </cell>
          <cell r="P609">
            <v>1</v>
          </cell>
          <cell r="Q609" t="str">
            <v>Gean</v>
          </cell>
          <cell r="R609">
            <v>45733</v>
          </cell>
          <cell r="S609">
            <v>0.70833333333333337</v>
          </cell>
          <cell r="T609">
            <v>0.69833333333333336</v>
          </cell>
          <cell r="U609" t="str">
            <v>X</v>
          </cell>
          <cell r="V609">
            <v>0.29166666666666669</v>
          </cell>
          <cell r="W609">
            <v>21.43</v>
          </cell>
          <cell r="X609">
            <v>21.67</v>
          </cell>
          <cell r="Y609">
            <v>0.41666666666666669</v>
          </cell>
          <cell r="Z609">
            <v>78.45</v>
          </cell>
          <cell r="AA609">
            <v>77.17</v>
          </cell>
          <cell r="AW609">
            <v>4</v>
          </cell>
          <cell r="AX609">
            <v>4</v>
          </cell>
          <cell r="AY609">
            <v>3</v>
          </cell>
          <cell r="AZ609">
            <v>4</v>
          </cell>
          <cell r="BA609" t="str">
            <v>FORTES ENGENHARIA</v>
          </cell>
          <cell r="BB609">
            <v>45736</v>
          </cell>
          <cell r="BC609">
            <v>2</v>
          </cell>
          <cell r="BG609">
            <v>45733</v>
          </cell>
        </row>
        <row r="610">
          <cell r="A610">
            <v>987</v>
          </cell>
          <cell r="B610">
            <v>607</v>
          </cell>
          <cell r="C610" t="str">
            <v>PLACA  PN-18</v>
          </cell>
          <cell r="D610">
            <v>5.5</v>
          </cell>
          <cell r="E610">
            <v>40</v>
          </cell>
          <cell r="F610">
            <v>24</v>
          </cell>
          <cell r="G610">
            <v>40</v>
          </cell>
          <cell r="H610">
            <v>0</v>
          </cell>
          <cell r="I610" t="str">
            <v>-</v>
          </cell>
          <cell r="J610" t="str">
            <v>650/670</v>
          </cell>
          <cell r="K610" t="str">
            <v xml:space="preserve">CPIII 40 RS </v>
          </cell>
          <cell r="L610" t="str">
            <v>CP V</v>
          </cell>
          <cell r="M610" t="str">
            <v>SUPER PLASTIFICANTE</v>
          </cell>
          <cell r="N610" t="str">
            <v>ETE - PARQUE NOVO MUNDO (REATORES NEREDA)</v>
          </cell>
          <cell r="O610" t="str">
            <v>FORTANKS</v>
          </cell>
          <cell r="P610">
            <v>1</v>
          </cell>
          <cell r="Q610" t="str">
            <v>Gean</v>
          </cell>
          <cell r="R610">
            <v>45741</v>
          </cell>
          <cell r="S610">
            <v>0.41666666666666669</v>
          </cell>
          <cell r="T610">
            <v>0.40666666666666668</v>
          </cell>
          <cell r="U610" t="str">
            <v>X</v>
          </cell>
          <cell r="V610">
            <v>0.3125</v>
          </cell>
          <cell r="W610">
            <v>35.68</v>
          </cell>
          <cell r="X610">
            <v>35.229999999999997</v>
          </cell>
          <cell r="Y610">
            <v>0.41666666666666669</v>
          </cell>
          <cell r="Z610">
            <v>84.7</v>
          </cell>
          <cell r="AA610">
            <v>85.58</v>
          </cell>
          <cell r="AW610">
            <v>4</v>
          </cell>
          <cell r="AX610">
            <v>4</v>
          </cell>
          <cell r="AY610">
            <v>4</v>
          </cell>
          <cell r="AZ610">
            <v>4</v>
          </cell>
          <cell r="BA610" t="str">
            <v>CONSORCIO NOVA ETE - PARQUE NOVO MUNDO</v>
          </cell>
          <cell r="BB610">
            <v>45742</v>
          </cell>
          <cell r="BG610">
            <v>45741</v>
          </cell>
        </row>
        <row r="611">
          <cell r="A611" t="str">
            <v>987-A</v>
          </cell>
          <cell r="B611">
            <v>608</v>
          </cell>
          <cell r="C611" t="str">
            <v>PLACA PR_PN-03</v>
          </cell>
          <cell r="D611">
            <v>5.5</v>
          </cell>
          <cell r="F611">
            <v>24</v>
          </cell>
          <cell r="J611" t="str">
            <v>650/670</v>
          </cell>
          <cell r="M611" t="str">
            <v>SUPER PLASTIFICANTE</v>
          </cell>
          <cell r="N611" t="str">
            <v>ETE - PROJETO SUCURIÚ - CLARIFICADOR PRIMARIO</v>
          </cell>
          <cell r="O611" t="str">
            <v>FORTANKS</v>
          </cell>
          <cell r="P611">
            <v>1</v>
          </cell>
          <cell r="Q611" t="str">
            <v>Gean</v>
          </cell>
          <cell r="R611">
            <v>45741</v>
          </cell>
          <cell r="S611">
            <v>0.41666666666666669</v>
          </cell>
          <cell r="T611">
            <v>0.40666666666666668</v>
          </cell>
          <cell r="U611" t="str">
            <v>X</v>
          </cell>
          <cell r="V611">
            <v>0.3125</v>
          </cell>
          <cell r="W611">
            <v>35.68</v>
          </cell>
          <cell r="X611">
            <v>35.229999999999997</v>
          </cell>
          <cell r="Y611">
            <v>0.41666666666666669</v>
          </cell>
          <cell r="Z611">
            <v>84.7</v>
          </cell>
          <cell r="AA611">
            <v>85.58</v>
          </cell>
          <cell r="AW611">
            <v>4</v>
          </cell>
          <cell r="AX611">
            <v>4</v>
          </cell>
          <cell r="AY611">
            <v>4</v>
          </cell>
          <cell r="AZ611">
            <v>4</v>
          </cell>
          <cell r="BA611" t="str">
            <v>FORTES ENGENHARIA</v>
          </cell>
          <cell r="BB611">
            <v>45742</v>
          </cell>
          <cell r="BG611">
            <v>45741</v>
          </cell>
        </row>
        <row r="612">
          <cell r="A612">
            <v>988</v>
          </cell>
          <cell r="B612">
            <v>609</v>
          </cell>
          <cell r="C612" t="str">
            <v>PLACAS   PN-16 / PN-17</v>
          </cell>
          <cell r="D612">
            <v>6.5</v>
          </cell>
          <cell r="E612">
            <v>40</v>
          </cell>
          <cell r="F612">
            <v>24</v>
          </cell>
          <cell r="G612">
            <v>40</v>
          </cell>
          <cell r="H612">
            <v>0</v>
          </cell>
          <cell r="I612" t="str">
            <v>-</v>
          </cell>
          <cell r="J612" t="str">
            <v>650/660</v>
          </cell>
          <cell r="K612" t="str">
            <v xml:space="preserve">CPIII 40 RS </v>
          </cell>
          <cell r="L612" t="str">
            <v>CP V</v>
          </cell>
          <cell r="M612" t="str">
            <v>SUPER PLASTIFICANTE</v>
          </cell>
          <cell r="N612" t="str">
            <v>ETE - PARQUE NOVO MUNDO (REATORES NEREDA)</v>
          </cell>
          <cell r="O612" t="str">
            <v>FORTANKS</v>
          </cell>
          <cell r="P612">
            <v>2</v>
          </cell>
          <cell r="Q612" t="str">
            <v>Gean</v>
          </cell>
          <cell r="R612">
            <v>45741</v>
          </cell>
          <cell r="S612">
            <v>0.44444444444444442</v>
          </cell>
          <cell r="T612">
            <v>0.43444444444444441</v>
          </cell>
          <cell r="U612" t="str">
            <v>X</v>
          </cell>
          <cell r="V612">
            <v>0.31597222222222221</v>
          </cell>
          <cell r="W612">
            <v>30.38</v>
          </cell>
          <cell r="X612">
            <v>31.17</v>
          </cell>
          <cell r="Y612">
            <v>0.41666666666666669</v>
          </cell>
          <cell r="Z612">
            <v>84.27</v>
          </cell>
          <cell r="AA612">
            <v>84.01</v>
          </cell>
          <cell r="AW612">
            <v>4</v>
          </cell>
          <cell r="AX612">
            <v>4</v>
          </cell>
          <cell r="AY612">
            <v>4</v>
          </cell>
          <cell r="AZ612">
            <v>4</v>
          </cell>
          <cell r="BA612" t="str">
            <v>CONSORCIO NOVA ETE - PARQUE NOVO MUNDO</v>
          </cell>
          <cell r="BB612">
            <v>45742</v>
          </cell>
          <cell r="BG612">
            <v>45741</v>
          </cell>
        </row>
        <row r="613">
          <cell r="A613">
            <v>989</v>
          </cell>
          <cell r="B613">
            <v>610</v>
          </cell>
          <cell r="C613" t="str">
            <v>PLACAS    PN-14 / PN-15</v>
          </cell>
          <cell r="D613">
            <v>6</v>
          </cell>
          <cell r="E613">
            <v>40</v>
          </cell>
          <cell r="F613">
            <v>24</v>
          </cell>
          <cell r="G613">
            <v>40</v>
          </cell>
          <cell r="H613">
            <v>0</v>
          </cell>
          <cell r="I613" t="str">
            <v>-</v>
          </cell>
          <cell r="J613" t="str">
            <v>660/660</v>
          </cell>
          <cell r="K613" t="str">
            <v xml:space="preserve">CPIII 40 RS </v>
          </cell>
          <cell r="L613" t="str">
            <v>CP V</v>
          </cell>
          <cell r="M613" t="str">
            <v>SUPER PLASTIFICANTE</v>
          </cell>
          <cell r="N613" t="str">
            <v>ETE - PARQUE NOVO MUNDO (REATORES NEREDA)</v>
          </cell>
          <cell r="O613" t="str">
            <v>FORTANKS</v>
          </cell>
          <cell r="P613">
            <v>1</v>
          </cell>
          <cell r="Q613" t="str">
            <v>Gean</v>
          </cell>
          <cell r="R613">
            <v>45741</v>
          </cell>
          <cell r="S613">
            <v>0.46527777777777779</v>
          </cell>
          <cell r="T613">
            <v>0.45527777777777778</v>
          </cell>
          <cell r="U613" t="str">
            <v>X</v>
          </cell>
          <cell r="V613">
            <v>0.31944444444444442</v>
          </cell>
          <cell r="W613">
            <v>26.82</v>
          </cell>
          <cell r="X613">
            <v>27.93</v>
          </cell>
          <cell r="Y613">
            <v>0.41666666666666669</v>
          </cell>
          <cell r="Z613">
            <v>84.11</v>
          </cell>
          <cell r="AA613">
            <v>82.92</v>
          </cell>
          <cell r="AW613">
            <v>4</v>
          </cell>
          <cell r="AX613">
            <v>4</v>
          </cell>
          <cell r="AY613">
            <v>4</v>
          </cell>
          <cell r="AZ613">
            <v>4</v>
          </cell>
          <cell r="BA613" t="str">
            <v>CONSORCIO NOVA ETE - PARQUE NOVO MUNDO</v>
          </cell>
          <cell r="BB613">
            <v>45742</v>
          </cell>
          <cell r="BG613">
            <v>45741</v>
          </cell>
        </row>
        <row r="614">
          <cell r="A614">
            <v>990</v>
          </cell>
          <cell r="B614">
            <v>611</v>
          </cell>
          <cell r="C614" t="str">
            <v>PLACAS   PN-12 / PN-13</v>
          </cell>
          <cell r="D614">
            <v>8.5</v>
          </cell>
          <cell r="E614">
            <v>40</v>
          </cell>
          <cell r="F614">
            <v>24</v>
          </cell>
          <cell r="G614">
            <v>40</v>
          </cell>
          <cell r="H614">
            <v>0</v>
          </cell>
          <cell r="I614" t="str">
            <v>-</v>
          </cell>
          <cell r="J614" t="str">
            <v>650/660</v>
          </cell>
          <cell r="K614" t="str">
            <v xml:space="preserve">CPIII 40 RS </v>
          </cell>
          <cell r="L614" t="str">
            <v>CP V</v>
          </cell>
          <cell r="M614" t="str">
            <v>SUPER PLASTIFICANTE</v>
          </cell>
          <cell r="N614" t="str">
            <v>ETE - PARQUE NOVO MUNDO (REATORES NEREDA)</v>
          </cell>
          <cell r="O614" t="str">
            <v>FORTANKS</v>
          </cell>
          <cell r="P614">
            <v>2</v>
          </cell>
          <cell r="Q614" t="str">
            <v>Gean</v>
          </cell>
          <cell r="R614">
            <v>45741</v>
          </cell>
          <cell r="S614">
            <v>0.48958333333333331</v>
          </cell>
          <cell r="T614">
            <v>0.47958333333333331</v>
          </cell>
          <cell r="U614" t="str">
            <v>X</v>
          </cell>
          <cell r="V614">
            <v>0.32291666666666669</v>
          </cell>
          <cell r="W614">
            <v>25.53</v>
          </cell>
          <cell r="X614">
            <v>26.35</v>
          </cell>
          <cell r="Y614">
            <v>0.41666666666666669</v>
          </cell>
          <cell r="Z614">
            <v>84.49</v>
          </cell>
          <cell r="AA614">
            <v>83.43</v>
          </cell>
          <cell r="AW614">
            <v>4</v>
          </cell>
          <cell r="AX614">
            <v>4</v>
          </cell>
          <cell r="AY614">
            <v>4</v>
          </cell>
          <cell r="AZ614">
            <v>4</v>
          </cell>
          <cell r="BA614" t="str">
            <v>CONSORCIO NOVA ETE - PARQUE NOVO MUNDO</v>
          </cell>
          <cell r="BB614">
            <v>45742</v>
          </cell>
          <cell r="BG614">
            <v>45741</v>
          </cell>
        </row>
        <row r="615">
          <cell r="A615">
            <v>991</v>
          </cell>
          <cell r="B615">
            <v>612</v>
          </cell>
          <cell r="C615" t="str">
            <v>PLACA PR_PN-03 (CANALETA)</v>
          </cell>
          <cell r="D615">
            <v>1</v>
          </cell>
          <cell r="F615">
            <v>15</v>
          </cell>
          <cell r="J615" t="str">
            <v>650/660</v>
          </cell>
          <cell r="M615" t="str">
            <v>SUPER PLASTIFICANTE</v>
          </cell>
          <cell r="N615" t="str">
            <v>ETE - PROJETO SUCURIÚ - CLARIFICADOR PRIMARIO</v>
          </cell>
          <cell r="O615" t="str">
            <v>FORTANKS</v>
          </cell>
          <cell r="P615">
            <v>1</v>
          </cell>
          <cell r="Q615" t="str">
            <v>Gean</v>
          </cell>
          <cell r="R615">
            <v>45741</v>
          </cell>
          <cell r="S615">
            <v>0.66666666666666663</v>
          </cell>
          <cell r="T615">
            <v>0.65666666666666662</v>
          </cell>
          <cell r="U615" t="str">
            <v>X</v>
          </cell>
          <cell r="V615">
            <v>0.3125</v>
          </cell>
          <cell r="W615">
            <v>29.12</v>
          </cell>
          <cell r="X615">
            <v>27.34</v>
          </cell>
          <cell r="Y615">
            <v>0.41666666666666669</v>
          </cell>
          <cell r="Z615">
            <v>83.98</v>
          </cell>
          <cell r="AA615">
            <v>84.13</v>
          </cell>
          <cell r="AW615">
            <v>4</v>
          </cell>
          <cell r="AX615">
            <v>4</v>
          </cell>
          <cell r="AY615">
            <v>4</v>
          </cell>
          <cell r="AZ615">
            <v>4</v>
          </cell>
          <cell r="BA615" t="str">
            <v>FORTES ENGENHARIA</v>
          </cell>
          <cell r="BB615">
            <v>45742</v>
          </cell>
          <cell r="BG615">
            <v>45741</v>
          </cell>
        </row>
        <row r="616">
          <cell r="A616">
            <v>992</v>
          </cell>
          <cell r="B616">
            <v>613</v>
          </cell>
          <cell r="C616" t="str">
            <v>PLACA   PN-19</v>
          </cell>
          <cell r="D616">
            <v>6</v>
          </cell>
          <cell r="E616">
            <v>40</v>
          </cell>
          <cell r="F616">
            <v>24</v>
          </cell>
          <cell r="G616">
            <v>40</v>
          </cell>
          <cell r="H616">
            <v>0</v>
          </cell>
          <cell r="I616" t="str">
            <v>-</v>
          </cell>
          <cell r="J616" t="str">
            <v>650/660</v>
          </cell>
          <cell r="K616" t="str">
            <v xml:space="preserve">CPIII 40 RS </v>
          </cell>
          <cell r="L616" t="str">
            <v>CP V</v>
          </cell>
          <cell r="M616" t="str">
            <v>SUPER PLASTIFICANTE</v>
          </cell>
          <cell r="N616" t="str">
            <v>ETE - PARQUE NOVO MUNDO (REATORES NEREDA)</v>
          </cell>
          <cell r="O616" t="str">
            <v>FORTANKS</v>
          </cell>
          <cell r="P616">
            <v>1</v>
          </cell>
          <cell r="Q616" t="str">
            <v>Gean</v>
          </cell>
          <cell r="R616">
            <v>45742</v>
          </cell>
          <cell r="S616">
            <v>0.54861111111111116</v>
          </cell>
          <cell r="T616">
            <v>0.53861111111111115</v>
          </cell>
          <cell r="U616" t="str">
            <v>X</v>
          </cell>
          <cell r="V616">
            <v>0.33333333333333331</v>
          </cell>
          <cell r="W616">
            <v>27.72</v>
          </cell>
          <cell r="X616">
            <v>28.95</v>
          </cell>
          <cell r="Y616">
            <v>0.41666666666666669</v>
          </cell>
          <cell r="Z616">
            <v>84.4</v>
          </cell>
          <cell r="AA616">
            <v>85.1</v>
          </cell>
          <cell r="AW616">
            <v>4</v>
          </cell>
          <cell r="AX616">
            <v>4</v>
          </cell>
          <cell r="AY616">
            <v>4</v>
          </cell>
          <cell r="AZ616">
            <v>4</v>
          </cell>
          <cell r="BA616" t="str">
            <v>CONSORCIO NOVA ETE - PARQUE NOVO MUNDO</v>
          </cell>
          <cell r="BB616">
            <v>45743</v>
          </cell>
          <cell r="BG616">
            <v>45742</v>
          </cell>
        </row>
        <row r="617">
          <cell r="A617" t="str">
            <v>992-A</v>
          </cell>
          <cell r="B617">
            <v>613</v>
          </cell>
          <cell r="C617" t="str">
            <v>PLACA PR_PN-04</v>
          </cell>
          <cell r="D617">
            <v>6</v>
          </cell>
          <cell r="F617">
            <v>24</v>
          </cell>
          <cell r="J617" t="str">
            <v>650/660</v>
          </cell>
          <cell r="M617" t="str">
            <v>SUPER PLASTIFICANTE</v>
          </cell>
          <cell r="N617" t="str">
            <v>ETE - PROJETO SUCURIÚ - CLARIFICADOR PRIMARIO</v>
          </cell>
          <cell r="O617" t="str">
            <v>FORTANKS</v>
          </cell>
          <cell r="P617">
            <v>1</v>
          </cell>
          <cell r="Q617" t="str">
            <v>Gean</v>
          </cell>
          <cell r="R617">
            <v>45742</v>
          </cell>
          <cell r="S617">
            <v>0.54861111111111116</v>
          </cell>
          <cell r="T617">
            <v>0.53861111111111115</v>
          </cell>
          <cell r="U617" t="str">
            <v>X</v>
          </cell>
          <cell r="V617">
            <v>0.33333333333333331</v>
          </cell>
          <cell r="W617">
            <v>27.72</v>
          </cell>
          <cell r="X617">
            <v>28.95</v>
          </cell>
          <cell r="Y617">
            <v>0.41666666666666669</v>
          </cell>
          <cell r="Z617">
            <v>84.4</v>
          </cell>
          <cell r="AA617">
            <v>85.1</v>
          </cell>
          <cell r="AW617">
            <v>4</v>
          </cell>
          <cell r="AX617">
            <v>4</v>
          </cell>
          <cell r="AY617">
            <v>4</v>
          </cell>
          <cell r="AZ617">
            <v>4</v>
          </cell>
          <cell r="BA617" t="str">
            <v>FORTES ENGENHARIA</v>
          </cell>
          <cell r="BB617">
            <v>45743</v>
          </cell>
          <cell r="BG617">
            <v>45742</v>
          </cell>
        </row>
        <row r="618">
          <cell r="A618">
            <v>993</v>
          </cell>
          <cell r="B618">
            <v>614</v>
          </cell>
          <cell r="C618" t="str">
            <v>PLACAS   PN-20 / PN-21</v>
          </cell>
          <cell r="D618">
            <v>6.5</v>
          </cell>
          <cell r="E618">
            <v>40</v>
          </cell>
          <cell r="F618">
            <v>24</v>
          </cell>
          <cell r="G618">
            <v>40</v>
          </cell>
          <cell r="H618">
            <v>0</v>
          </cell>
          <cell r="I618" t="str">
            <v>-</v>
          </cell>
          <cell r="J618" t="str">
            <v>660/665</v>
          </cell>
          <cell r="K618" t="str">
            <v xml:space="preserve">CPIII 40 RS </v>
          </cell>
          <cell r="L618" t="str">
            <v>CP V</v>
          </cell>
          <cell r="M618" t="str">
            <v>SUPER PLASTIFICANTE</v>
          </cell>
          <cell r="N618" t="str">
            <v>ETE - PARQUE NOVO MUNDO (REATORES NEREDA)</v>
          </cell>
          <cell r="O618" t="str">
            <v>FORTANKS</v>
          </cell>
          <cell r="P618">
            <v>2</v>
          </cell>
          <cell r="Q618" t="str">
            <v>Gean</v>
          </cell>
          <cell r="R618">
            <v>45742</v>
          </cell>
          <cell r="S618">
            <v>0.57638888888888884</v>
          </cell>
          <cell r="T618">
            <v>0.56638888888888883</v>
          </cell>
          <cell r="U618" t="str">
            <v>X</v>
          </cell>
          <cell r="V618">
            <v>0.34027777777777779</v>
          </cell>
          <cell r="W618">
            <v>26.37</v>
          </cell>
          <cell r="X618">
            <v>27.69</v>
          </cell>
          <cell r="Y618">
            <v>0.41666666666666669</v>
          </cell>
          <cell r="Z618">
            <v>81.72</v>
          </cell>
          <cell r="AA618">
            <v>80.86</v>
          </cell>
          <cell r="AW618">
            <v>4</v>
          </cell>
          <cell r="AX618">
            <v>4</v>
          </cell>
          <cell r="AY618">
            <v>1</v>
          </cell>
          <cell r="AZ618">
            <v>4</v>
          </cell>
          <cell r="BA618" t="str">
            <v>CONSORCIO NOVA ETE - PARQUE NOVO MUNDO</v>
          </cell>
          <cell r="BB618">
            <v>45743</v>
          </cell>
          <cell r="BG618">
            <v>45742</v>
          </cell>
        </row>
        <row r="619">
          <cell r="A619">
            <v>994</v>
          </cell>
          <cell r="B619">
            <v>615</v>
          </cell>
          <cell r="C619" t="str">
            <v>PLACAS   PN-25 / PN-26</v>
          </cell>
          <cell r="D619">
            <v>6.5</v>
          </cell>
          <cell r="E619">
            <v>40</v>
          </cell>
          <cell r="F619">
            <v>24</v>
          </cell>
          <cell r="G619">
            <v>40</v>
          </cell>
          <cell r="H619">
            <v>0</v>
          </cell>
          <cell r="I619" t="str">
            <v>-</v>
          </cell>
          <cell r="J619" t="str">
            <v>650/660</v>
          </cell>
          <cell r="K619" t="str">
            <v xml:space="preserve">CPIII 40 RS </v>
          </cell>
          <cell r="L619" t="str">
            <v>CP V</v>
          </cell>
          <cell r="M619" t="str">
            <v>SUPER PLASTIFICANTE</v>
          </cell>
          <cell r="N619" t="str">
            <v>ETE - PARQUE NOVO MUNDO (REATORES NEREDA)</v>
          </cell>
          <cell r="O619" t="str">
            <v>FORTANKS</v>
          </cell>
          <cell r="P619">
            <v>1</v>
          </cell>
          <cell r="Q619" t="str">
            <v>Gean</v>
          </cell>
          <cell r="R619">
            <v>45742</v>
          </cell>
          <cell r="S619">
            <v>0.61111111111111116</v>
          </cell>
          <cell r="T619">
            <v>0.60111111111111115</v>
          </cell>
          <cell r="U619" t="str">
            <v>X</v>
          </cell>
          <cell r="V619">
            <v>0.34375</v>
          </cell>
          <cell r="W619">
            <v>27.74</v>
          </cell>
          <cell r="X619">
            <v>26.21</v>
          </cell>
          <cell r="Y619">
            <v>0.41666666666666669</v>
          </cell>
          <cell r="Z619">
            <v>84.76</v>
          </cell>
          <cell r="AA619">
            <v>84.38</v>
          </cell>
          <cell r="AW619">
            <v>4</v>
          </cell>
          <cell r="AX619">
            <v>4</v>
          </cell>
          <cell r="AY619">
            <v>4</v>
          </cell>
          <cell r="AZ619">
            <v>4</v>
          </cell>
          <cell r="BA619" t="str">
            <v>CONSORCIO NOVA ETE - PARQUE NOVO MUNDO</v>
          </cell>
          <cell r="BB619">
            <v>45743</v>
          </cell>
          <cell r="BG619">
            <v>45742</v>
          </cell>
        </row>
        <row r="620">
          <cell r="A620">
            <v>995</v>
          </cell>
          <cell r="B620">
            <v>616</v>
          </cell>
          <cell r="C620" t="str">
            <v xml:space="preserve">PLACAS   PN-22 / PN-23 </v>
          </cell>
          <cell r="D620">
            <v>6.5</v>
          </cell>
          <cell r="E620">
            <v>40</v>
          </cell>
          <cell r="F620">
            <v>24</v>
          </cell>
          <cell r="G620">
            <v>40</v>
          </cell>
          <cell r="H620">
            <v>0</v>
          </cell>
          <cell r="I620" t="str">
            <v>-</v>
          </cell>
          <cell r="J620" t="str">
            <v>660/660</v>
          </cell>
          <cell r="K620" t="str">
            <v xml:space="preserve">CPIII 40 RS </v>
          </cell>
          <cell r="L620" t="str">
            <v>CP V</v>
          </cell>
          <cell r="M620" t="str">
            <v>SUPER PLASTIFICANTE</v>
          </cell>
          <cell r="N620" t="str">
            <v>ETE - PARQUE NOVO MUNDO (REATORES NEREDA)</v>
          </cell>
          <cell r="O620" t="str">
            <v>FORTANKS</v>
          </cell>
          <cell r="P620">
            <v>2</v>
          </cell>
          <cell r="Q620" t="str">
            <v>Gean</v>
          </cell>
          <cell r="R620">
            <v>45742</v>
          </cell>
          <cell r="S620">
            <v>0.625</v>
          </cell>
          <cell r="T620">
            <v>0.61499999999999999</v>
          </cell>
          <cell r="U620" t="str">
            <v>X</v>
          </cell>
          <cell r="V620">
            <v>0.34722222222222221</v>
          </cell>
          <cell r="W620">
            <v>27.25</v>
          </cell>
          <cell r="X620">
            <v>28.75</v>
          </cell>
          <cell r="Y620">
            <v>0.41666666666666669</v>
          </cell>
          <cell r="Z620">
            <v>84.3</v>
          </cell>
          <cell r="AA620">
            <v>84.25</v>
          </cell>
          <cell r="AW620">
            <v>4</v>
          </cell>
          <cell r="AX620">
            <v>4</v>
          </cell>
          <cell r="AY620">
            <v>4</v>
          </cell>
          <cell r="AZ620">
            <v>4</v>
          </cell>
          <cell r="BA620" t="str">
            <v>CONSORCIO NOVA ETE - PARQUE NOVO MUNDO</v>
          </cell>
          <cell r="BB620">
            <v>45743</v>
          </cell>
          <cell r="BG620">
            <v>45742</v>
          </cell>
        </row>
        <row r="621">
          <cell r="A621">
            <v>996</v>
          </cell>
          <cell r="B621">
            <v>617</v>
          </cell>
          <cell r="C621" t="str">
            <v>PLACA PR_PN-04  (CANALETA)</v>
          </cell>
          <cell r="D621">
            <v>1</v>
          </cell>
          <cell r="F621">
            <v>24</v>
          </cell>
          <cell r="J621" t="str">
            <v>660/660</v>
          </cell>
          <cell r="M621" t="str">
            <v>SUPER PLASTIFICANTE</v>
          </cell>
          <cell r="N621" t="str">
            <v>ETE - PROJETO SUCURIÚ - CLARIFICADOR PRIMARIO</v>
          </cell>
          <cell r="O621" t="str">
            <v>FORTANKS</v>
          </cell>
          <cell r="P621">
            <v>1</v>
          </cell>
          <cell r="Q621" t="str">
            <v>Gean</v>
          </cell>
          <cell r="R621">
            <v>45742</v>
          </cell>
          <cell r="S621">
            <v>0.70833333333333337</v>
          </cell>
          <cell r="T621">
            <v>0.69833333333333336</v>
          </cell>
          <cell r="U621" t="str">
            <v>X</v>
          </cell>
          <cell r="V621">
            <v>0.35416666666666669</v>
          </cell>
          <cell r="W621">
            <v>17.55</v>
          </cell>
          <cell r="X621">
            <v>19.59</v>
          </cell>
          <cell r="Y621">
            <v>0.41666666666666669</v>
          </cell>
          <cell r="Z621">
            <v>64.23</v>
          </cell>
          <cell r="AA621">
            <v>61.86</v>
          </cell>
          <cell r="AW621">
            <v>4</v>
          </cell>
          <cell r="AX621">
            <v>4</v>
          </cell>
          <cell r="AY621">
            <v>4</v>
          </cell>
          <cell r="AZ621">
            <v>4</v>
          </cell>
          <cell r="BA621" t="str">
            <v>FORTES ENGENHARIA</v>
          </cell>
          <cell r="BB621">
            <v>45743</v>
          </cell>
          <cell r="BG621">
            <v>45742</v>
          </cell>
        </row>
        <row r="622">
          <cell r="A622">
            <v>997</v>
          </cell>
          <cell r="B622">
            <v>618</v>
          </cell>
          <cell r="C622" t="str">
            <v>PLACA   PN-34</v>
          </cell>
          <cell r="D622">
            <v>6</v>
          </cell>
          <cell r="E622">
            <v>40</v>
          </cell>
          <cell r="F622">
            <v>24</v>
          </cell>
          <cell r="G622">
            <v>40</v>
          </cell>
          <cell r="H622">
            <v>0</v>
          </cell>
          <cell r="I622" t="str">
            <v>-</v>
          </cell>
          <cell r="J622" t="str">
            <v>660/650</v>
          </cell>
          <cell r="K622" t="str">
            <v xml:space="preserve">CPIII 40 RS </v>
          </cell>
          <cell r="L622" t="str">
            <v>CP V</v>
          </cell>
          <cell r="M622" t="str">
            <v>SUPER PLASTIFICANTE</v>
          </cell>
          <cell r="N622" t="str">
            <v>ETE - PARQUE NOVO MUNDO (REATORES NEREDA)</v>
          </cell>
          <cell r="O622" t="str">
            <v>FORTANKS</v>
          </cell>
          <cell r="P622">
            <v>1</v>
          </cell>
          <cell r="Q622" t="str">
            <v>Gean</v>
          </cell>
          <cell r="R622">
            <v>45743</v>
          </cell>
          <cell r="S622">
            <v>0.54861111111111116</v>
          </cell>
          <cell r="T622">
            <v>0.53861111111111115</v>
          </cell>
          <cell r="U622" t="str">
            <v>X</v>
          </cell>
          <cell r="V622">
            <v>0.39583333333333331</v>
          </cell>
          <cell r="W622">
            <v>29.69</v>
          </cell>
          <cell r="X622">
            <v>27.03</v>
          </cell>
          <cell r="Y622">
            <v>0.41666666666666669</v>
          </cell>
          <cell r="Z622">
            <v>84.4</v>
          </cell>
          <cell r="AA622">
            <v>83.91</v>
          </cell>
          <cell r="AW622">
            <v>4</v>
          </cell>
          <cell r="AX622">
            <v>4</v>
          </cell>
          <cell r="AY622">
            <v>4</v>
          </cell>
          <cell r="AZ622">
            <v>4</v>
          </cell>
          <cell r="BA622" t="str">
            <v>CONSORCIO NOVA ETE - PARQUE NOVO MUNDO</v>
          </cell>
          <cell r="BB622">
            <v>45744</v>
          </cell>
          <cell r="BG622">
            <v>45743</v>
          </cell>
        </row>
        <row r="623">
          <cell r="A623" t="str">
            <v>997-A</v>
          </cell>
          <cell r="B623">
            <v>618</v>
          </cell>
          <cell r="C623" t="str">
            <v>PLACA PR_PN-05</v>
          </cell>
          <cell r="D623">
            <v>6</v>
          </cell>
          <cell r="F623">
            <v>24</v>
          </cell>
          <cell r="J623" t="str">
            <v>660/650</v>
          </cell>
          <cell r="M623" t="str">
            <v>SUPER PLASTIFICANTE</v>
          </cell>
          <cell r="N623" t="str">
            <v>ETE - PROJETO SUCURIÚ - CLARIFICADOR PRIMARIO</v>
          </cell>
          <cell r="O623" t="str">
            <v>FORTANKS</v>
          </cell>
          <cell r="P623">
            <v>1</v>
          </cell>
          <cell r="Q623" t="str">
            <v>Gean</v>
          </cell>
          <cell r="R623">
            <v>45743</v>
          </cell>
          <cell r="S623">
            <v>0.54861111111111116</v>
          </cell>
          <cell r="T623">
            <v>0.53861111111111115</v>
          </cell>
          <cell r="U623" t="str">
            <v>X</v>
          </cell>
          <cell r="V623">
            <v>0.39583333333333331</v>
          </cell>
          <cell r="W623">
            <v>29.69</v>
          </cell>
          <cell r="X623">
            <v>27.03</v>
          </cell>
          <cell r="Y623">
            <v>0.41666666666666669</v>
          </cell>
          <cell r="Z623">
            <v>84.4</v>
          </cell>
          <cell r="AA623">
            <v>83.91</v>
          </cell>
          <cell r="AW623">
            <v>4</v>
          </cell>
          <cell r="AX623">
            <v>4</v>
          </cell>
          <cell r="AY623">
            <v>4</v>
          </cell>
          <cell r="AZ623">
            <v>4</v>
          </cell>
          <cell r="BA623" t="str">
            <v>FORTES ENGENHARIA</v>
          </cell>
          <cell r="BB623">
            <v>45744</v>
          </cell>
          <cell r="BG623">
            <v>45743</v>
          </cell>
        </row>
        <row r="624">
          <cell r="A624">
            <v>998</v>
          </cell>
          <cell r="B624">
            <v>619</v>
          </cell>
          <cell r="C624" t="str">
            <v>PLACAS PN-31 / PN-33</v>
          </cell>
          <cell r="D624">
            <v>6.5</v>
          </cell>
          <cell r="E624">
            <v>40</v>
          </cell>
          <cell r="F624">
            <v>24</v>
          </cell>
          <cell r="G624">
            <v>40</v>
          </cell>
          <cell r="H624">
            <v>0</v>
          </cell>
          <cell r="I624" t="str">
            <v>-</v>
          </cell>
          <cell r="J624" t="str">
            <v>660/660</v>
          </cell>
          <cell r="K624" t="str">
            <v xml:space="preserve">CPIII 40 RS </v>
          </cell>
          <cell r="L624" t="str">
            <v>CP V</v>
          </cell>
          <cell r="M624" t="str">
            <v>SUPER PLASTIFICANTE</v>
          </cell>
          <cell r="N624" t="str">
            <v>ETE - PARQUE NOVO MUNDO (REATORES NEREDA)</v>
          </cell>
          <cell r="O624" t="str">
            <v>FORTANKS</v>
          </cell>
          <cell r="P624">
            <v>2</v>
          </cell>
          <cell r="Q624" t="str">
            <v>Gean</v>
          </cell>
          <cell r="R624">
            <v>45743</v>
          </cell>
          <cell r="S624">
            <v>0.5625</v>
          </cell>
          <cell r="T624">
            <v>0.55249999999999999</v>
          </cell>
          <cell r="U624" t="str">
            <v>X</v>
          </cell>
          <cell r="V624">
            <v>0.39583333333333331</v>
          </cell>
          <cell r="W624">
            <v>31.57</v>
          </cell>
          <cell r="X624">
            <v>31.52</v>
          </cell>
          <cell r="Y624">
            <v>0.41666666666666669</v>
          </cell>
          <cell r="Z624">
            <v>74.459999999999994</v>
          </cell>
          <cell r="AA624">
            <v>73.650000000000006</v>
          </cell>
          <cell r="AW624">
            <v>4</v>
          </cell>
          <cell r="AX624">
            <v>4</v>
          </cell>
          <cell r="AY624">
            <v>1</v>
          </cell>
          <cell r="AZ624">
            <v>1</v>
          </cell>
          <cell r="BA624" t="str">
            <v>CONSORCIO NOVA ETE - PARQUE NOVO MUNDO</v>
          </cell>
          <cell r="BB624">
            <v>45744</v>
          </cell>
          <cell r="BG624">
            <v>45743</v>
          </cell>
        </row>
        <row r="625">
          <cell r="A625">
            <v>999</v>
          </cell>
          <cell r="B625">
            <v>620</v>
          </cell>
          <cell r="C625" t="str">
            <v>PLACAS PN-29 / PN-30</v>
          </cell>
          <cell r="D625">
            <v>7</v>
          </cell>
          <cell r="E625">
            <v>40</v>
          </cell>
          <cell r="F625">
            <v>24</v>
          </cell>
          <cell r="G625">
            <v>40</v>
          </cell>
          <cell r="H625">
            <v>0</v>
          </cell>
          <cell r="I625" t="str">
            <v>-</v>
          </cell>
          <cell r="J625" t="str">
            <v>660/670</v>
          </cell>
          <cell r="K625" t="str">
            <v xml:space="preserve">CPIII 40 RS </v>
          </cell>
          <cell r="L625" t="str">
            <v>CP V</v>
          </cell>
          <cell r="M625" t="str">
            <v>SUPER PLASTIFICANTE</v>
          </cell>
          <cell r="N625" t="str">
            <v>ETE - PARQUE NOVO MUNDO (REATORES NEREDA)</v>
          </cell>
          <cell r="O625" t="str">
            <v>FORTANKS</v>
          </cell>
          <cell r="P625">
            <v>1</v>
          </cell>
          <cell r="Q625" t="str">
            <v>Gean</v>
          </cell>
          <cell r="R625">
            <v>45743</v>
          </cell>
          <cell r="S625">
            <v>0.58333333333333337</v>
          </cell>
          <cell r="T625">
            <v>0.57333333333333336</v>
          </cell>
          <cell r="U625" t="str">
            <v>X</v>
          </cell>
          <cell r="V625">
            <v>0.39583333333333331</v>
          </cell>
          <cell r="W625">
            <v>29.24</v>
          </cell>
          <cell r="X625">
            <v>31.54</v>
          </cell>
          <cell r="Y625">
            <v>0.41666666666666669</v>
          </cell>
          <cell r="Z625">
            <v>84.36</v>
          </cell>
          <cell r="AA625">
            <v>93.97</v>
          </cell>
          <cell r="AW625">
            <v>4</v>
          </cell>
          <cell r="AX625">
            <v>4</v>
          </cell>
          <cell r="AY625">
            <v>4</v>
          </cell>
          <cell r="AZ625">
            <v>4</v>
          </cell>
          <cell r="BA625" t="str">
            <v>CONSORCIO NOVA ETE - PARQUE NOVO MUNDO</v>
          </cell>
          <cell r="BB625">
            <v>45744</v>
          </cell>
          <cell r="BG625">
            <v>45743</v>
          </cell>
        </row>
        <row r="626">
          <cell r="A626">
            <v>1000</v>
          </cell>
          <cell r="B626">
            <v>621</v>
          </cell>
          <cell r="C626" t="str">
            <v>PLACAS  PN-27 / PN-28</v>
          </cell>
          <cell r="D626">
            <v>7.5</v>
          </cell>
          <cell r="E626">
            <v>40</v>
          </cell>
          <cell r="F626">
            <v>24</v>
          </cell>
          <cell r="G626">
            <v>40</v>
          </cell>
          <cell r="H626">
            <v>0</v>
          </cell>
          <cell r="I626" t="str">
            <v>-</v>
          </cell>
          <cell r="J626" t="str">
            <v>660/680</v>
          </cell>
          <cell r="K626" t="str">
            <v xml:space="preserve">CPIII 40 RS </v>
          </cell>
          <cell r="L626" t="str">
            <v>CP V</v>
          </cell>
          <cell r="M626" t="str">
            <v>SUPER PLASTIFICANTE</v>
          </cell>
          <cell r="N626" t="str">
            <v>ETE - PARQUE NOVO MUNDO (REATORES NEREDA)</v>
          </cell>
          <cell r="O626" t="str">
            <v>FORTANKS</v>
          </cell>
          <cell r="P626">
            <v>2</v>
          </cell>
          <cell r="Q626" t="str">
            <v>Gean</v>
          </cell>
          <cell r="R626">
            <v>45743</v>
          </cell>
          <cell r="S626">
            <v>0.60763888888888884</v>
          </cell>
          <cell r="T626">
            <v>0.59763888888888883</v>
          </cell>
          <cell r="U626" t="str">
            <v>X</v>
          </cell>
          <cell r="V626">
            <v>0.39583333333333331</v>
          </cell>
          <cell r="W626">
            <v>25.3</v>
          </cell>
          <cell r="X626">
            <v>24.46</v>
          </cell>
          <cell r="Y626">
            <v>0.41666666666666669</v>
          </cell>
          <cell r="Z626">
            <v>92.02</v>
          </cell>
          <cell r="AA626">
            <v>90.06</v>
          </cell>
          <cell r="AW626">
            <v>4</v>
          </cell>
          <cell r="AX626">
            <v>4</v>
          </cell>
          <cell r="AY626">
            <v>0</v>
          </cell>
          <cell r="AZ626">
            <v>0</v>
          </cell>
          <cell r="BA626" t="str">
            <v>CONSORCIO NOVA ETE - PARQUE NOVO MUNDO</v>
          </cell>
          <cell r="BB626">
            <v>45744</v>
          </cell>
          <cell r="BG626">
            <v>45743</v>
          </cell>
        </row>
        <row r="627">
          <cell r="A627">
            <v>1001</v>
          </cell>
          <cell r="B627">
            <v>622</v>
          </cell>
          <cell r="C627" t="str">
            <v>PLACA PR_PN-05 (CANALETA)</v>
          </cell>
          <cell r="D627">
            <v>1</v>
          </cell>
          <cell r="F627">
            <v>15</v>
          </cell>
          <cell r="J627" t="str">
            <v>650/650</v>
          </cell>
          <cell r="M627" t="str">
            <v>SUPER PLASTIFICANTE</v>
          </cell>
          <cell r="N627" t="str">
            <v>ETE - PROJETO SUCURIÚ - CLARIFICADOR PRIMARIO</v>
          </cell>
          <cell r="O627" t="str">
            <v>FORTANKS</v>
          </cell>
          <cell r="P627">
            <v>1</v>
          </cell>
          <cell r="Q627" t="str">
            <v>Gean</v>
          </cell>
          <cell r="R627">
            <v>45743</v>
          </cell>
          <cell r="S627">
            <v>0.70138888888888884</v>
          </cell>
          <cell r="T627">
            <v>0.69138888888888883</v>
          </cell>
          <cell r="U627" t="str">
            <v>X</v>
          </cell>
          <cell r="V627">
            <v>0.39583333333333331</v>
          </cell>
          <cell r="W627">
            <v>15.13</v>
          </cell>
          <cell r="X627">
            <v>16.16</v>
          </cell>
          <cell r="Y627">
            <v>0.4201388888888889</v>
          </cell>
          <cell r="Z627">
            <v>79.16</v>
          </cell>
          <cell r="AA627">
            <v>79.7</v>
          </cell>
          <cell r="AW627">
            <v>4</v>
          </cell>
          <cell r="AX627">
            <v>4</v>
          </cell>
          <cell r="AY627">
            <v>4</v>
          </cell>
          <cell r="AZ627">
            <v>4</v>
          </cell>
          <cell r="BA627" t="str">
            <v>FORTES ENGENHARIA</v>
          </cell>
          <cell r="BB627">
            <v>45744</v>
          </cell>
          <cell r="BG627">
            <v>45743</v>
          </cell>
        </row>
        <row r="628">
          <cell r="A628">
            <v>1002</v>
          </cell>
          <cell r="B628">
            <v>623</v>
          </cell>
          <cell r="C628" t="str">
            <v>PLACA  PN-35</v>
          </cell>
          <cell r="D628">
            <v>5.5</v>
          </cell>
          <cell r="E628">
            <v>40</v>
          </cell>
          <cell r="F628">
            <v>24</v>
          </cell>
          <cell r="G628">
            <v>40</v>
          </cell>
          <cell r="H628">
            <v>0</v>
          </cell>
          <cell r="I628" t="str">
            <v>-</v>
          </cell>
          <cell r="J628" t="str">
            <v>650/650</v>
          </cell>
          <cell r="K628" t="str">
            <v xml:space="preserve">CPIII 40 RS </v>
          </cell>
          <cell r="L628" t="str">
            <v>CP V</v>
          </cell>
          <cell r="M628" t="str">
            <v>SUPER PLASTIFICANTE</v>
          </cell>
          <cell r="N628" t="str">
            <v>ETE - PARQUE NOVO MUNDO (REATORES NEREDA)</v>
          </cell>
          <cell r="O628" t="str">
            <v>FORTANKS</v>
          </cell>
          <cell r="P628">
            <v>1</v>
          </cell>
          <cell r="Q628" t="str">
            <v>Gean</v>
          </cell>
          <cell r="R628">
            <v>45744</v>
          </cell>
          <cell r="S628">
            <v>0.54166666666666663</v>
          </cell>
          <cell r="T628">
            <v>0.53166666666666662</v>
          </cell>
          <cell r="U628" t="str">
            <v>X</v>
          </cell>
          <cell r="V628">
            <v>0.41666666666666669</v>
          </cell>
          <cell r="W628">
            <v>28.85</v>
          </cell>
          <cell r="X628">
            <v>31.05</v>
          </cell>
          <cell r="Y628">
            <v>0.41666666666666669</v>
          </cell>
          <cell r="Z628">
            <v>82.36</v>
          </cell>
          <cell r="AA628">
            <v>84.14</v>
          </cell>
          <cell r="AW628">
            <v>4</v>
          </cell>
          <cell r="AX628">
            <v>4</v>
          </cell>
          <cell r="AY628">
            <v>4</v>
          </cell>
          <cell r="AZ628">
            <v>4</v>
          </cell>
          <cell r="BA628" t="str">
            <v>CONSORCIO NOVA ETE - PARQUE NOVO MUNDO</v>
          </cell>
          <cell r="BB628">
            <v>45745</v>
          </cell>
          <cell r="BG628">
            <v>45744</v>
          </cell>
        </row>
        <row r="629">
          <cell r="A629" t="str">
            <v>1002-A</v>
          </cell>
          <cell r="B629">
            <v>623</v>
          </cell>
          <cell r="C629" t="str">
            <v>PLACA PR_PN-06</v>
          </cell>
          <cell r="D629">
            <v>5.5</v>
          </cell>
          <cell r="F629">
            <v>24</v>
          </cell>
          <cell r="J629" t="str">
            <v>650/650</v>
          </cell>
          <cell r="M629" t="str">
            <v>SUPER PLASTIFICANTE</v>
          </cell>
          <cell r="N629" t="str">
            <v>ETE - PROJETO SUCURIÚ - CLARIFICADOR PRIMARIO</v>
          </cell>
          <cell r="O629" t="str">
            <v>FORTANKS</v>
          </cell>
          <cell r="P629">
            <v>1</v>
          </cell>
          <cell r="Q629" t="str">
            <v>Gean</v>
          </cell>
          <cell r="R629">
            <v>45744</v>
          </cell>
          <cell r="S629">
            <v>0.54166666666666663</v>
          </cell>
          <cell r="T629">
            <v>0.53166666666666662</v>
          </cell>
          <cell r="U629" t="str">
            <v>X</v>
          </cell>
          <cell r="V629">
            <v>0.41666666666666669</v>
          </cell>
          <cell r="W629">
            <v>28.85</v>
          </cell>
          <cell r="X629">
            <v>31.05</v>
          </cell>
          <cell r="Y629">
            <v>0.41666666666666669</v>
          </cell>
          <cell r="Z629">
            <v>82.36</v>
          </cell>
          <cell r="AA629">
            <v>84.14</v>
          </cell>
          <cell r="AW629">
            <v>4</v>
          </cell>
          <cell r="AX629">
            <v>4</v>
          </cell>
          <cell r="AY629">
            <v>4</v>
          </cell>
          <cell r="AZ629">
            <v>4</v>
          </cell>
          <cell r="BA629" t="str">
            <v>FORTES ENGENHARIA</v>
          </cell>
          <cell r="BB629">
            <v>45745</v>
          </cell>
          <cell r="BG629">
            <v>45744</v>
          </cell>
        </row>
        <row r="630">
          <cell r="A630">
            <v>1003</v>
          </cell>
          <cell r="B630">
            <v>624</v>
          </cell>
          <cell r="C630" t="str">
            <v>PLACAS PN-41 / PN-42</v>
          </cell>
          <cell r="D630">
            <v>6.5</v>
          </cell>
          <cell r="E630">
            <v>40</v>
          </cell>
          <cell r="F630">
            <v>24</v>
          </cell>
          <cell r="G630">
            <v>40</v>
          </cell>
          <cell r="H630">
            <v>0</v>
          </cell>
          <cell r="I630" t="str">
            <v>-</v>
          </cell>
          <cell r="J630" t="str">
            <v>660/660</v>
          </cell>
          <cell r="K630" t="str">
            <v xml:space="preserve">CPIII 40 RS </v>
          </cell>
          <cell r="L630" t="str">
            <v>CP V</v>
          </cell>
          <cell r="M630" t="str">
            <v>SUPER PLASTIFICANTE</v>
          </cell>
          <cell r="N630" t="str">
            <v>ETE - PARQUE NOVO MUNDO (REATORES NEREDA)</v>
          </cell>
          <cell r="O630" t="str">
            <v>FORTANKS</v>
          </cell>
          <cell r="P630">
            <v>2</v>
          </cell>
          <cell r="Q630" t="str">
            <v>Gean</v>
          </cell>
          <cell r="R630">
            <v>45744</v>
          </cell>
          <cell r="S630">
            <v>0.5625</v>
          </cell>
          <cell r="T630">
            <v>0.55249999999999999</v>
          </cell>
          <cell r="U630" t="str">
            <v>X</v>
          </cell>
          <cell r="V630">
            <v>0.41666666666666669</v>
          </cell>
          <cell r="W630">
            <v>30.58</v>
          </cell>
          <cell r="X630">
            <v>28.73</v>
          </cell>
          <cell r="Y630">
            <v>0.41666666666666669</v>
          </cell>
          <cell r="Z630">
            <v>84.64</v>
          </cell>
          <cell r="AA630">
            <v>85.34</v>
          </cell>
          <cell r="AW630">
            <v>4</v>
          </cell>
          <cell r="AX630">
            <v>4</v>
          </cell>
          <cell r="AY630">
            <v>4</v>
          </cell>
          <cell r="AZ630">
            <v>4</v>
          </cell>
          <cell r="BA630" t="str">
            <v>CONSORCIO NOVA ETE - PARQUE NOVO MUNDO</v>
          </cell>
          <cell r="BB630">
            <v>45745</v>
          </cell>
          <cell r="BG630">
            <v>45744</v>
          </cell>
        </row>
        <row r="631">
          <cell r="A631">
            <v>1004</v>
          </cell>
          <cell r="B631">
            <v>625</v>
          </cell>
          <cell r="C631" t="str">
            <v>PLACAS  PN-38 / PN-40</v>
          </cell>
          <cell r="D631">
            <v>6.5</v>
          </cell>
          <cell r="E631">
            <v>40</v>
          </cell>
          <cell r="F631">
            <v>24</v>
          </cell>
          <cell r="G631">
            <v>40</v>
          </cell>
          <cell r="H631">
            <v>0</v>
          </cell>
          <cell r="I631" t="str">
            <v>-</v>
          </cell>
          <cell r="J631" t="str">
            <v>670/660</v>
          </cell>
          <cell r="K631" t="str">
            <v xml:space="preserve">CPIII 40 RS </v>
          </cell>
          <cell r="L631" t="str">
            <v>CP V</v>
          </cell>
          <cell r="M631" t="str">
            <v>SUPER PLASTIFICANTE</v>
          </cell>
          <cell r="N631" t="str">
            <v>ETE - PARQUE NOVO MUNDO (REATORES NEREDA)</v>
          </cell>
          <cell r="O631" t="str">
            <v>FORTANKS</v>
          </cell>
          <cell r="P631">
            <v>1</v>
          </cell>
          <cell r="Q631" t="str">
            <v>Gean</v>
          </cell>
          <cell r="R631">
            <v>45744</v>
          </cell>
          <cell r="S631">
            <v>0.60416666666666663</v>
          </cell>
          <cell r="T631">
            <v>0.59416666666666662</v>
          </cell>
          <cell r="U631" t="str">
            <v>X</v>
          </cell>
          <cell r="V631">
            <v>0.41666666666666669</v>
          </cell>
          <cell r="W631">
            <v>24.66</v>
          </cell>
          <cell r="X631">
            <v>24.13</v>
          </cell>
          <cell r="Y631">
            <v>0.41666666666666669</v>
          </cell>
          <cell r="Z631">
            <v>84.28</v>
          </cell>
          <cell r="AA631">
            <v>85.57</v>
          </cell>
          <cell r="AW631">
            <v>4</v>
          </cell>
          <cell r="AX631">
            <v>4</v>
          </cell>
          <cell r="AY631">
            <v>4</v>
          </cell>
          <cell r="AZ631">
            <v>4</v>
          </cell>
          <cell r="BA631" t="str">
            <v>CONSORCIO NOVA ETE - PARQUE NOVO MUNDO</v>
          </cell>
          <cell r="BB631">
            <v>45745</v>
          </cell>
          <cell r="BG631">
            <v>45744</v>
          </cell>
        </row>
        <row r="632">
          <cell r="A632">
            <v>1005</v>
          </cell>
          <cell r="B632">
            <v>626</v>
          </cell>
          <cell r="C632" t="str">
            <v>PLACAS PN-36 / PN-37</v>
          </cell>
          <cell r="D632">
            <v>8.5</v>
          </cell>
          <cell r="E632">
            <v>40</v>
          </cell>
          <cell r="F632">
            <v>24</v>
          </cell>
          <cell r="G632">
            <v>40</v>
          </cell>
          <cell r="H632">
            <v>0</v>
          </cell>
          <cell r="I632" t="str">
            <v>-</v>
          </cell>
          <cell r="J632" t="str">
            <v>670/670</v>
          </cell>
          <cell r="K632" t="str">
            <v xml:space="preserve">CPIII 40 RS </v>
          </cell>
          <cell r="L632" t="str">
            <v>CP V</v>
          </cell>
          <cell r="M632" t="str">
            <v>SUPER PLASTIFICANTE</v>
          </cell>
          <cell r="N632" t="str">
            <v>ETE - PARQUE NOVO MUNDO (REATORES NEREDA)</v>
          </cell>
          <cell r="O632" t="str">
            <v>FORTANKS</v>
          </cell>
          <cell r="P632">
            <v>2</v>
          </cell>
          <cell r="Q632" t="str">
            <v>Gean</v>
          </cell>
          <cell r="R632">
            <v>45744</v>
          </cell>
          <cell r="S632">
            <v>0.625</v>
          </cell>
          <cell r="T632">
            <v>0.61499999999999999</v>
          </cell>
          <cell r="U632" t="str">
            <v>X</v>
          </cell>
          <cell r="V632">
            <v>0.41666666666666669</v>
          </cell>
          <cell r="W632">
            <v>27.26</v>
          </cell>
          <cell r="X632">
            <v>25.62</v>
          </cell>
          <cell r="Y632">
            <v>0.41666666666666669</v>
          </cell>
          <cell r="Z632">
            <v>82.09</v>
          </cell>
          <cell r="AA632">
            <v>80.86</v>
          </cell>
          <cell r="AW632">
            <v>4</v>
          </cell>
          <cell r="AX632">
            <v>4</v>
          </cell>
          <cell r="AY632">
            <v>1</v>
          </cell>
          <cell r="AZ632">
            <v>3</v>
          </cell>
          <cell r="BA632" t="str">
            <v>CONSORCIO NOVA ETE - PARQUE NOVO MUNDO</v>
          </cell>
          <cell r="BB632">
            <v>45745</v>
          </cell>
          <cell r="BG632">
            <v>45744</v>
          </cell>
        </row>
        <row r="633">
          <cell r="A633" t="str">
            <v xml:space="preserve"> 1005-A</v>
          </cell>
          <cell r="B633">
            <v>626</v>
          </cell>
          <cell r="C633" t="str">
            <v>PLACA PR_PN-06</v>
          </cell>
          <cell r="D633">
            <v>8.5</v>
          </cell>
          <cell r="F633">
            <v>24</v>
          </cell>
          <cell r="J633" t="str">
            <v>670/670</v>
          </cell>
          <cell r="M633" t="str">
            <v>SUPER PLASTIFICANTE</v>
          </cell>
          <cell r="N633" t="str">
            <v>ETE - PROJETO SUCURIÚ - CLARIFICADOR PRIMARIO</v>
          </cell>
          <cell r="O633" t="str">
            <v>FORTANKS</v>
          </cell>
          <cell r="P633">
            <v>2</v>
          </cell>
          <cell r="Q633" t="str">
            <v>Gean</v>
          </cell>
          <cell r="R633">
            <v>45744</v>
          </cell>
          <cell r="S633">
            <v>0.625</v>
          </cell>
          <cell r="T633">
            <v>0.61499999999999999</v>
          </cell>
          <cell r="U633" t="str">
            <v>X</v>
          </cell>
          <cell r="V633">
            <v>0.41666666666666669</v>
          </cell>
          <cell r="W633">
            <v>27.26</v>
          </cell>
          <cell r="X633">
            <v>25.62</v>
          </cell>
          <cell r="Y633">
            <v>0.41666666666666669</v>
          </cell>
          <cell r="Z633">
            <v>82.09</v>
          </cell>
          <cell r="AA633">
            <v>80.86</v>
          </cell>
          <cell r="AW633">
            <v>4</v>
          </cell>
          <cell r="AX633">
            <v>4</v>
          </cell>
          <cell r="AY633">
            <v>1</v>
          </cell>
          <cell r="AZ633">
            <v>3</v>
          </cell>
          <cell r="BA633" t="str">
            <v>FORTES ENGENHARIA</v>
          </cell>
          <cell r="BB633">
            <v>45745</v>
          </cell>
          <cell r="BG633">
            <v>45744</v>
          </cell>
        </row>
        <row r="634">
          <cell r="A634">
            <v>1006</v>
          </cell>
          <cell r="B634">
            <v>627</v>
          </cell>
          <cell r="C634" t="str">
            <v>PLACA PN-49</v>
          </cell>
          <cell r="D634">
            <v>6</v>
          </cell>
          <cell r="E634">
            <v>40</v>
          </cell>
          <cell r="F634">
            <v>24</v>
          </cell>
          <cell r="G634">
            <v>40</v>
          </cell>
          <cell r="H634">
            <v>0</v>
          </cell>
          <cell r="I634" t="str">
            <v>-</v>
          </cell>
          <cell r="J634" t="str">
            <v>650/650</v>
          </cell>
          <cell r="K634" t="str">
            <v xml:space="preserve">CPIII 40 RS </v>
          </cell>
          <cell r="L634" t="str">
            <v>CP V</v>
          </cell>
          <cell r="M634" t="str">
            <v>SUPER PLASTIFICANTE</v>
          </cell>
          <cell r="N634" t="str">
            <v>ETE - PARQUE NOVO MUNDO (REATORES NEREDA)</v>
          </cell>
          <cell r="O634" t="str">
            <v>FORTANKS</v>
          </cell>
          <cell r="P634">
            <v>1</v>
          </cell>
          <cell r="Q634" t="str">
            <v>Gean</v>
          </cell>
          <cell r="R634">
            <v>45747</v>
          </cell>
          <cell r="S634">
            <v>0.33333333333333331</v>
          </cell>
          <cell r="T634">
            <v>0.32333333333333331</v>
          </cell>
          <cell r="U634" t="str">
            <v>X</v>
          </cell>
          <cell r="V634">
            <v>0.3125</v>
          </cell>
          <cell r="W634">
            <v>39.67</v>
          </cell>
          <cell r="X634">
            <v>39.590000000000003</v>
          </cell>
          <cell r="Y634">
            <v>0.41666666666666669</v>
          </cell>
          <cell r="Z634">
            <v>85.62</v>
          </cell>
          <cell r="AA634">
            <v>85.17</v>
          </cell>
          <cell r="AW634">
            <v>4</v>
          </cell>
          <cell r="AX634">
            <v>4</v>
          </cell>
          <cell r="AY634">
            <v>4</v>
          </cell>
          <cell r="AZ634">
            <v>4</v>
          </cell>
          <cell r="BA634" t="str">
            <v>CONSORCIO NOVA ETE - PARQUE NOVO MUNDO</v>
          </cell>
          <cell r="BB634">
            <v>45748</v>
          </cell>
          <cell r="BG634">
            <v>45747</v>
          </cell>
        </row>
        <row r="635">
          <cell r="A635" t="str">
            <v>1006-A</v>
          </cell>
          <cell r="B635">
            <v>627</v>
          </cell>
          <cell r="C635" t="str">
            <v>PLACA PR_PN-08</v>
          </cell>
          <cell r="D635">
            <v>6</v>
          </cell>
          <cell r="F635">
            <v>24</v>
          </cell>
          <cell r="J635" t="str">
            <v>650/650</v>
          </cell>
          <cell r="M635" t="str">
            <v>SUPER PLASTIFICANTE</v>
          </cell>
          <cell r="N635" t="str">
            <v>ETE - PROJETO SUCURIÚ - CLARIFICADOR PRIMARIO</v>
          </cell>
          <cell r="O635" t="str">
            <v>FORTANKS</v>
          </cell>
          <cell r="P635">
            <v>1</v>
          </cell>
          <cell r="Q635" t="str">
            <v>Gean</v>
          </cell>
          <cell r="R635">
            <v>45747</v>
          </cell>
          <cell r="S635">
            <v>0.33333333333333331</v>
          </cell>
          <cell r="T635">
            <v>0.32333333333333331</v>
          </cell>
          <cell r="U635" t="str">
            <v>X</v>
          </cell>
          <cell r="V635">
            <v>0.3125</v>
          </cell>
          <cell r="W635">
            <v>39.67</v>
          </cell>
          <cell r="X635">
            <v>39.590000000000003</v>
          </cell>
          <cell r="Y635">
            <v>0.41666666666666669</v>
          </cell>
          <cell r="Z635">
            <v>85.62</v>
          </cell>
          <cell r="AA635">
            <v>85.17</v>
          </cell>
          <cell r="AW635">
            <v>4</v>
          </cell>
          <cell r="AX635">
            <v>4</v>
          </cell>
          <cell r="AY635">
            <v>4</v>
          </cell>
          <cell r="AZ635">
            <v>4</v>
          </cell>
          <cell r="BA635" t="str">
            <v>FORTES ENGENHARIA</v>
          </cell>
          <cell r="BB635">
            <v>45748</v>
          </cell>
          <cell r="BG635">
            <v>45747</v>
          </cell>
        </row>
        <row r="636">
          <cell r="A636">
            <v>1007</v>
          </cell>
          <cell r="B636">
            <v>628</v>
          </cell>
          <cell r="C636" t="str">
            <v>PLACAS   PN-47 / PN-48</v>
          </cell>
          <cell r="D636">
            <v>6.5</v>
          </cell>
          <cell r="E636">
            <v>40</v>
          </cell>
          <cell r="F636">
            <v>24</v>
          </cell>
          <cell r="G636">
            <v>40</v>
          </cell>
          <cell r="H636">
            <v>0</v>
          </cell>
          <cell r="I636" t="str">
            <v>-</v>
          </cell>
          <cell r="J636" t="str">
            <v>660/670</v>
          </cell>
          <cell r="K636" t="str">
            <v xml:space="preserve">CPIII 40 RS </v>
          </cell>
          <cell r="L636" t="str">
            <v>CP V</v>
          </cell>
          <cell r="M636" t="str">
            <v>SUPER PLASTIFICANTE</v>
          </cell>
          <cell r="N636" t="str">
            <v>ETE - PARQUE NOVO MUNDO (REATORES NEREDA)</v>
          </cell>
          <cell r="O636" t="str">
            <v>FORTANKS</v>
          </cell>
          <cell r="P636">
            <v>2</v>
          </cell>
          <cell r="Q636" t="str">
            <v>Gean</v>
          </cell>
          <cell r="R636">
            <v>45747</v>
          </cell>
          <cell r="S636">
            <v>0.35416666666666669</v>
          </cell>
          <cell r="T636">
            <v>0.34416666666666668</v>
          </cell>
          <cell r="U636" t="str">
            <v>X</v>
          </cell>
          <cell r="V636">
            <v>0.3125</v>
          </cell>
          <cell r="W636">
            <v>38.700000000000003</v>
          </cell>
          <cell r="X636">
            <v>36.729999999999997</v>
          </cell>
          <cell r="Y636">
            <v>0.41666666666666669</v>
          </cell>
          <cell r="Z636">
            <v>84.01</v>
          </cell>
          <cell r="AA636">
            <v>83.26</v>
          </cell>
          <cell r="AW636">
            <v>4</v>
          </cell>
          <cell r="AX636">
            <v>4</v>
          </cell>
          <cell r="AY636">
            <v>4</v>
          </cell>
          <cell r="AZ636">
            <v>4</v>
          </cell>
          <cell r="BA636" t="str">
            <v>CONSORCIO NOVA ETE - PARQUE NOVO MUNDO</v>
          </cell>
          <cell r="BB636">
            <v>45748</v>
          </cell>
          <cell r="BG636">
            <v>45747</v>
          </cell>
        </row>
        <row r="637">
          <cell r="A637">
            <v>1008</v>
          </cell>
          <cell r="B637">
            <v>629</v>
          </cell>
          <cell r="C637" t="str">
            <v>PLACAS PN-45 / PN-46</v>
          </cell>
          <cell r="D637">
            <v>7</v>
          </cell>
          <cell r="E637">
            <v>40</v>
          </cell>
          <cell r="F637">
            <v>24</v>
          </cell>
          <cell r="G637">
            <v>40</v>
          </cell>
          <cell r="H637">
            <v>0</v>
          </cell>
          <cell r="I637" t="str">
            <v>-</v>
          </cell>
          <cell r="J637" t="str">
            <v>660/660</v>
          </cell>
          <cell r="K637" t="str">
            <v xml:space="preserve">CPIII 40 RS </v>
          </cell>
          <cell r="L637" t="str">
            <v>CP V</v>
          </cell>
          <cell r="M637" t="str">
            <v>SUPER PLASTIFICANTE</v>
          </cell>
          <cell r="N637" t="str">
            <v>ETE - PARQUE NOVO MUNDO (REATORES NEREDA)</v>
          </cell>
          <cell r="O637" t="str">
            <v>FORTANKS</v>
          </cell>
          <cell r="P637">
            <v>1</v>
          </cell>
          <cell r="Q637" t="str">
            <v>Gean</v>
          </cell>
          <cell r="R637">
            <v>45747</v>
          </cell>
          <cell r="S637">
            <v>0.41666666666666669</v>
          </cell>
          <cell r="T637">
            <v>0.40666666666666668</v>
          </cell>
          <cell r="U637" t="str">
            <v>X</v>
          </cell>
          <cell r="V637">
            <v>0.3125</v>
          </cell>
          <cell r="W637">
            <v>39.14</v>
          </cell>
          <cell r="X637">
            <v>37.43</v>
          </cell>
          <cell r="Y637">
            <v>0.41666666666666669</v>
          </cell>
          <cell r="Z637">
            <v>85.36</v>
          </cell>
          <cell r="AA637">
            <v>84.37</v>
          </cell>
          <cell r="AW637">
            <v>4</v>
          </cell>
          <cell r="AX637">
            <v>4</v>
          </cell>
          <cell r="AY637">
            <v>4</v>
          </cell>
          <cell r="AZ637">
            <v>4</v>
          </cell>
          <cell r="BA637" t="str">
            <v>CONSORCIO NOVA ETE - PARQUE NOVO MUNDO</v>
          </cell>
          <cell r="BB637">
            <v>45748</v>
          </cell>
          <cell r="BG637">
            <v>45747</v>
          </cell>
        </row>
        <row r="638">
          <cell r="A638">
            <v>1009</v>
          </cell>
          <cell r="B638">
            <v>630</v>
          </cell>
          <cell r="C638" t="str">
            <v>PLACAS  PN-43 / PN-44</v>
          </cell>
          <cell r="D638">
            <v>7</v>
          </cell>
          <cell r="E638">
            <v>40</v>
          </cell>
          <cell r="F638">
            <v>24</v>
          </cell>
          <cell r="G638">
            <v>40</v>
          </cell>
          <cell r="H638">
            <v>0</v>
          </cell>
          <cell r="I638" t="str">
            <v>-</v>
          </cell>
          <cell r="J638" t="str">
            <v>650/650</v>
          </cell>
          <cell r="K638" t="str">
            <v xml:space="preserve">CPIII 40 RS </v>
          </cell>
          <cell r="L638" t="str">
            <v>CP V</v>
          </cell>
          <cell r="M638" t="str">
            <v>SUPER PLASTIFICANTE</v>
          </cell>
          <cell r="N638" t="str">
            <v>ETE - PARQUE NOVO MUNDO (REATORES NEREDA)</v>
          </cell>
          <cell r="O638" t="str">
            <v>FORTANKS</v>
          </cell>
          <cell r="P638">
            <v>2</v>
          </cell>
          <cell r="Q638" t="str">
            <v>Gean</v>
          </cell>
          <cell r="R638">
            <v>45747</v>
          </cell>
          <cell r="S638">
            <v>0.45833333333333331</v>
          </cell>
          <cell r="T638">
            <v>0.44833333333333331</v>
          </cell>
          <cell r="U638" t="str">
            <v>X</v>
          </cell>
          <cell r="V638">
            <v>0.3125</v>
          </cell>
          <cell r="W638">
            <v>31.11</v>
          </cell>
          <cell r="X638">
            <v>31.7</v>
          </cell>
          <cell r="Y638">
            <v>0.41666666666666669</v>
          </cell>
          <cell r="Z638">
            <v>84.26</v>
          </cell>
          <cell r="AA638">
            <v>85.86</v>
          </cell>
          <cell r="AW638">
            <v>4</v>
          </cell>
          <cell r="AX638">
            <v>4</v>
          </cell>
          <cell r="AY638">
            <v>4</v>
          </cell>
          <cell r="AZ638">
            <v>4</v>
          </cell>
          <cell r="BA638" t="str">
            <v>CONSORCIO NOVA ETE - PARQUE NOVO MUNDO</v>
          </cell>
          <cell r="BB638">
            <v>45748</v>
          </cell>
          <cell r="BG638">
            <v>45747</v>
          </cell>
        </row>
        <row r="639">
          <cell r="A639">
            <v>1010</v>
          </cell>
          <cell r="B639">
            <v>631</v>
          </cell>
          <cell r="C639" t="str">
            <v>PLACA PR_PN-08 (CANALETA)</v>
          </cell>
          <cell r="D639">
            <v>1</v>
          </cell>
          <cell r="F639">
            <v>15</v>
          </cell>
          <cell r="J639" t="str">
            <v>650/660</v>
          </cell>
          <cell r="M639" t="str">
            <v>SUPER PLASTIFICANTE</v>
          </cell>
          <cell r="N639" t="str">
            <v>ETE - PROJETO SUCURIÚ - CLARIFICADOR PRIMARIO</v>
          </cell>
          <cell r="O639" t="str">
            <v>FORTANKS</v>
          </cell>
          <cell r="P639">
            <v>2</v>
          </cell>
          <cell r="Q639" t="str">
            <v>Gean</v>
          </cell>
          <cell r="R639">
            <v>45747</v>
          </cell>
          <cell r="S639">
            <v>0.54166666666666663</v>
          </cell>
          <cell r="T639">
            <v>0.53166666666666662</v>
          </cell>
          <cell r="U639" t="str">
            <v>X</v>
          </cell>
          <cell r="V639">
            <v>0.3125</v>
          </cell>
          <cell r="W639">
            <v>25.46</v>
          </cell>
          <cell r="X639">
            <v>24.5</v>
          </cell>
          <cell r="Y639">
            <v>0.4201388888888889</v>
          </cell>
          <cell r="Z639">
            <v>82.62</v>
          </cell>
          <cell r="AA639">
            <v>83.23</v>
          </cell>
          <cell r="AW639">
            <v>4</v>
          </cell>
          <cell r="AX639">
            <v>4</v>
          </cell>
          <cell r="AY639">
            <v>4</v>
          </cell>
          <cell r="AZ639">
            <v>4</v>
          </cell>
          <cell r="BA639" t="str">
            <v>FORTES ENGENHARIA</v>
          </cell>
          <cell r="BB639">
            <v>45748</v>
          </cell>
          <cell r="BG639">
            <v>45747</v>
          </cell>
        </row>
        <row r="640">
          <cell r="A640">
            <v>1011</v>
          </cell>
          <cell r="B640">
            <v>632</v>
          </cell>
          <cell r="C640" t="str">
            <v>PLACA PN-51</v>
          </cell>
          <cell r="D640">
            <v>6</v>
          </cell>
          <cell r="E640">
            <v>40</v>
          </cell>
          <cell r="F640">
            <v>24</v>
          </cell>
          <cell r="G640">
            <v>40</v>
          </cell>
          <cell r="H640">
            <v>0</v>
          </cell>
          <cell r="I640" t="str">
            <v>-</v>
          </cell>
          <cell r="J640" t="str">
            <v>660/670</v>
          </cell>
          <cell r="K640" t="str">
            <v xml:space="preserve">CPIII 40 RS </v>
          </cell>
          <cell r="L640" t="str">
            <v>CP V</v>
          </cell>
          <cell r="M640" t="str">
            <v>SUPER PLASTIFICANTE</v>
          </cell>
          <cell r="N640" t="str">
            <v>ETE - PARQUE NOVO MUNDO (REATORES NEREDA)</v>
          </cell>
          <cell r="O640" t="str">
            <v>FORTANKS</v>
          </cell>
          <cell r="P640">
            <v>1</v>
          </cell>
          <cell r="Q640" t="str">
            <v>Gean</v>
          </cell>
          <cell r="R640">
            <v>45749</v>
          </cell>
          <cell r="S640">
            <v>0.375</v>
          </cell>
          <cell r="T640">
            <v>0.36499999999999999</v>
          </cell>
          <cell r="U640" t="str">
            <v>X</v>
          </cell>
          <cell r="V640">
            <v>0.33333333333333331</v>
          </cell>
          <cell r="W640">
            <v>38.19</v>
          </cell>
          <cell r="X640">
            <v>36.49</v>
          </cell>
          <cell r="Y640">
            <v>0.4375</v>
          </cell>
          <cell r="Z640">
            <v>87.87</v>
          </cell>
          <cell r="AA640">
            <v>86.36</v>
          </cell>
          <cell r="AW640">
            <v>4</v>
          </cell>
          <cell r="AX640">
            <v>4</v>
          </cell>
          <cell r="AY640">
            <v>4</v>
          </cell>
          <cell r="AZ640">
            <v>4</v>
          </cell>
          <cell r="BA640" t="str">
            <v>CONSORCIO NOVA ETE - PARQUE NOVO MUNDO</v>
          </cell>
          <cell r="BB640">
            <v>45751</v>
          </cell>
          <cell r="BC640">
            <v>1</v>
          </cell>
          <cell r="BG640">
            <v>45749</v>
          </cell>
        </row>
        <row r="641">
          <cell r="A641" t="str">
            <v>1011-A</v>
          </cell>
          <cell r="B641">
            <v>632</v>
          </cell>
          <cell r="C641" t="str">
            <v xml:space="preserve">PLACA PR_PN-09 </v>
          </cell>
          <cell r="D641">
            <v>6</v>
          </cell>
          <cell r="F641">
            <v>24</v>
          </cell>
          <cell r="J641" t="str">
            <v>660/670</v>
          </cell>
          <cell r="M641" t="str">
            <v>SUPER PLASTIFICANTE</v>
          </cell>
          <cell r="N641" t="str">
            <v>ETE - PROJETO SUCURIÚ - CLARIFICADOR PRIMARIO</v>
          </cell>
          <cell r="O641" t="str">
            <v>FORTANKS</v>
          </cell>
          <cell r="P641">
            <v>1</v>
          </cell>
          <cell r="Q641" t="str">
            <v>Gean</v>
          </cell>
          <cell r="R641">
            <v>45749</v>
          </cell>
          <cell r="S641">
            <v>0.375</v>
          </cell>
          <cell r="T641">
            <v>0.36499999999999999</v>
          </cell>
          <cell r="U641" t="str">
            <v>X</v>
          </cell>
          <cell r="V641">
            <v>0.33333333333333331</v>
          </cell>
          <cell r="W641">
            <v>38.19</v>
          </cell>
          <cell r="X641">
            <v>36.49</v>
          </cell>
          <cell r="Y641">
            <v>0.4375</v>
          </cell>
          <cell r="Z641">
            <v>87.87</v>
          </cell>
          <cell r="AA641">
            <v>86.36</v>
          </cell>
          <cell r="AW641">
            <v>4</v>
          </cell>
          <cell r="AX641">
            <v>4</v>
          </cell>
          <cell r="AY641">
            <v>4</v>
          </cell>
          <cell r="AZ641">
            <v>4</v>
          </cell>
          <cell r="BA641" t="str">
            <v>FORTES ENGENHARIA</v>
          </cell>
          <cell r="BB641">
            <v>45751</v>
          </cell>
          <cell r="BC641">
            <v>1</v>
          </cell>
          <cell r="BD641" t="str">
            <v>sex</v>
          </cell>
          <cell r="BG641">
            <v>45749</v>
          </cell>
        </row>
        <row r="642">
          <cell r="A642">
            <v>1012</v>
          </cell>
          <cell r="B642">
            <v>633</v>
          </cell>
          <cell r="C642" t="str">
            <v>PLACAS  PN-57 / PN-50</v>
          </cell>
          <cell r="D642">
            <v>6.5</v>
          </cell>
          <cell r="E642">
            <v>40</v>
          </cell>
          <cell r="F642">
            <v>24</v>
          </cell>
          <cell r="G642">
            <v>40</v>
          </cell>
          <cell r="H642">
            <v>0</v>
          </cell>
          <cell r="I642" t="str">
            <v>-</v>
          </cell>
          <cell r="J642" t="str">
            <v>650/650</v>
          </cell>
          <cell r="K642" t="str">
            <v xml:space="preserve">CPIII 40 RS </v>
          </cell>
          <cell r="L642" t="str">
            <v>CP V</v>
          </cell>
          <cell r="M642" t="str">
            <v>SUPER PLASTIFICANTE</v>
          </cell>
          <cell r="N642" t="str">
            <v>ETE - PARQUE NOVO MUNDO (REATORES NEREDA)</v>
          </cell>
          <cell r="O642" t="str">
            <v>FORTANKS</v>
          </cell>
          <cell r="P642">
            <v>2</v>
          </cell>
          <cell r="Q642" t="str">
            <v>Gean</v>
          </cell>
          <cell r="R642">
            <v>45749</v>
          </cell>
          <cell r="S642">
            <v>0.39583333333333331</v>
          </cell>
          <cell r="T642">
            <v>0.38583333333333331</v>
          </cell>
          <cell r="U642" t="str">
            <v>X</v>
          </cell>
          <cell r="V642">
            <v>0.33333333333333331</v>
          </cell>
          <cell r="W642">
            <v>42.19</v>
          </cell>
          <cell r="X642">
            <v>43.01</v>
          </cell>
          <cell r="Y642">
            <v>0.4375</v>
          </cell>
          <cell r="Z642">
            <v>84.79</v>
          </cell>
          <cell r="AA642">
            <v>84.02</v>
          </cell>
          <cell r="AW642">
            <v>4</v>
          </cell>
          <cell r="AX642">
            <v>4</v>
          </cell>
          <cell r="AY642">
            <v>4</v>
          </cell>
          <cell r="AZ642">
            <v>4</v>
          </cell>
          <cell r="BA642" t="str">
            <v>CONSORCIO NOVA ETE - PARQUE NOVO MUNDO</v>
          </cell>
          <cell r="BB642">
            <v>45751</v>
          </cell>
          <cell r="BC642">
            <v>1</v>
          </cell>
          <cell r="BD642" t="str">
            <v>sex</v>
          </cell>
          <cell r="BG642">
            <v>45749</v>
          </cell>
        </row>
        <row r="643">
          <cell r="A643">
            <v>1013</v>
          </cell>
          <cell r="B643">
            <v>634</v>
          </cell>
          <cell r="C643" t="str">
            <v xml:space="preserve">PLACAS  PN-54  / PN-56 </v>
          </cell>
          <cell r="D643">
            <v>7</v>
          </cell>
          <cell r="E643">
            <v>40</v>
          </cell>
          <cell r="F643">
            <v>24</v>
          </cell>
          <cell r="G643">
            <v>40</v>
          </cell>
          <cell r="H643">
            <v>0</v>
          </cell>
          <cell r="I643" t="str">
            <v>-</v>
          </cell>
          <cell r="J643" t="str">
            <v>650/650</v>
          </cell>
          <cell r="K643" t="str">
            <v xml:space="preserve">CPIII 40 RS </v>
          </cell>
          <cell r="L643" t="str">
            <v>CP V</v>
          </cell>
          <cell r="M643" t="str">
            <v>SUPER PLASTIFICANTE</v>
          </cell>
          <cell r="N643" t="str">
            <v>ETE - PARQUE NOVO MUNDO (REATORES NEREDA)</v>
          </cell>
          <cell r="O643" t="str">
            <v>FORTANKS</v>
          </cell>
          <cell r="P643">
            <v>1</v>
          </cell>
          <cell r="Q643" t="str">
            <v>Gean</v>
          </cell>
          <cell r="R643">
            <v>45749</v>
          </cell>
          <cell r="S643">
            <v>0.42708333333333331</v>
          </cell>
          <cell r="T643">
            <v>0.41708333333333331</v>
          </cell>
          <cell r="U643" t="str">
            <v>X</v>
          </cell>
          <cell r="V643">
            <v>0.33333333333333331</v>
          </cell>
          <cell r="W643">
            <v>38.9</v>
          </cell>
          <cell r="X643">
            <v>37.75</v>
          </cell>
          <cell r="Y643">
            <v>0.4375</v>
          </cell>
          <cell r="Z643">
            <v>84.97</v>
          </cell>
          <cell r="AA643">
            <v>85.15</v>
          </cell>
          <cell r="AW643">
            <v>4</v>
          </cell>
          <cell r="AX643">
            <v>4</v>
          </cell>
          <cell r="AY643">
            <v>4</v>
          </cell>
          <cell r="AZ643">
            <v>4</v>
          </cell>
          <cell r="BA643" t="str">
            <v>CONSORCIO NOVA ETE - PARQUE NOVO MUNDO</v>
          </cell>
          <cell r="BB643">
            <v>45751</v>
          </cell>
          <cell r="BC643">
            <v>1</v>
          </cell>
          <cell r="BD643" t="str">
            <v>sex</v>
          </cell>
          <cell r="BG643">
            <v>45749</v>
          </cell>
        </row>
        <row r="644">
          <cell r="A644">
            <v>1014</v>
          </cell>
          <cell r="B644">
            <v>635</v>
          </cell>
          <cell r="C644" t="str">
            <v xml:space="preserve">PLACAS  PN-52  / PN-53 </v>
          </cell>
          <cell r="D644">
            <v>7</v>
          </cell>
          <cell r="E644">
            <v>40</v>
          </cell>
          <cell r="F644">
            <v>24</v>
          </cell>
          <cell r="G644">
            <v>40</v>
          </cell>
          <cell r="H644">
            <v>0</v>
          </cell>
          <cell r="I644" t="str">
            <v>-</v>
          </cell>
          <cell r="J644" t="str">
            <v>660/6670</v>
          </cell>
          <cell r="K644" t="str">
            <v xml:space="preserve">CPIII 40 RS </v>
          </cell>
          <cell r="L644" t="str">
            <v>CP V</v>
          </cell>
          <cell r="M644" t="str">
            <v>SUPER PLASTIFICANTE</v>
          </cell>
          <cell r="N644" t="str">
            <v>ETE - PARQUE NOVO MUNDO (REATORES NEREDA)</v>
          </cell>
          <cell r="O644" t="str">
            <v>FORTANKS</v>
          </cell>
          <cell r="P644">
            <v>2</v>
          </cell>
          <cell r="Q644" t="str">
            <v>Gean</v>
          </cell>
          <cell r="R644">
            <v>45749</v>
          </cell>
          <cell r="S644">
            <v>0.44444444444444442</v>
          </cell>
          <cell r="T644">
            <v>0.43444444444444441</v>
          </cell>
          <cell r="U644" t="str">
            <v>X</v>
          </cell>
          <cell r="V644">
            <v>0.33333333333333331</v>
          </cell>
          <cell r="W644">
            <v>36.47</v>
          </cell>
          <cell r="X644">
            <v>38.85</v>
          </cell>
          <cell r="Y644">
            <v>0.4375</v>
          </cell>
          <cell r="Z644">
            <v>84.67</v>
          </cell>
          <cell r="AA644">
            <v>84.25</v>
          </cell>
          <cell r="AW644">
            <v>4</v>
          </cell>
          <cell r="AX644">
            <v>4</v>
          </cell>
          <cell r="AY644">
            <v>4</v>
          </cell>
          <cell r="AZ644">
            <v>4</v>
          </cell>
          <cell r="BA644" t="str">
            <v>CONSORCIO NOVA ETE - PARQUE NOVO MUNDO</v>
          </cell>
          <cell r="BB644">
            <v>45751</v>
          </cell>
          <cell r="BC644">
            <v>1</v>
          </cell>
          <cell r="BD644" t="str">
            <v>sex</v>
          </cell>
          <cell r="BG644">
            <v>45749</v>
          </cell>
        </row>
        <row r="645">
          <cell r="A645">
            <v>1015</v>
          </cell>
          <cell r="B645">
            <v>636</v>
          </cell>
          <cell r="C645" t="str">
            <v>PLACA PR_PN-09 (CANALETA)</v>
          </cell>
          <cell r="D645">
            <v>1</v>
          </cell>
          <cell r="F645">
            <v>24</v>
          </cell>
          <cell r="J645" t="str">
            <v>650/650</v>
          </cell>
          <cell r="M645" t="str">
            <v>SUPER PLASTIFICANTE</v>
          </cell>
          <cell r="N645" t="str">
            <v>ETE - PROJETO SUCURIÚ - CLARIFICADOR PRIMARIO</v>
          </cell>
          <cell r="O645" t="str">
            <v>FORTANKS</v>
          </cell>
          <cell r="P645">
            <v>1</v>
          </cell>
          <cell r="Q645" t="str">
            <v>Gean</v>
          </cell>
          <cell r="R645">
            <v>45749</v>
          </cell>
          <cell r="S645">
            <v>0.60416666666666663</v>
          </cell>
          <cell r="T645">
            <v>0.59416666666666662</v>
          </cell>
          <cell r="U645" t="str">
            <v>X</v>
          </cell>
          <cell r="V645">
            <v>0.33333333333333331</v>
          </cell>
          <cell r="W645">
            <v>25.47</v>
          </cell>
          <cell r="X645">
            <v>24.17</v>
          </cell>
          <cell r="Y645">
            <v>0.4201388888888889</v>
          </cell>
          <cell r="Z645">
            <v>83.72</v>
          </cell>
          <cell r="AA645">
            <v>81.83</v>
          </cell>
          <cell r="AW645">
            <v>3</v>
          </cell>
          <cell r="AX645">
            <v>4</v>
          </cell>
          <cell r="AY645">
            <v>3</v>
          </cell>
          <cell r="AZ645">
            <v>4</v>
          </cell>
          <cell r="BA645" t="str">
            <v>FORTES ENGENHARIA</v>
          </cell>
          <cell r="BB645">
            <v>45750</v>
          </cell>
          <cell r="BD645" t="str">
            <v>qui</v>
          </cell>
          <cell r="BG645">
            <v>45749</v>
          </cell>
        </row>
        <row r="646">
          <cell r="A646">
            <v>1016</v>
          </cell>
          <cell r="B646">
            <v>637</v>
          </cell>
          <cell r="C646" t="str">
            <v>PLACA PN-65</v>
          </cell>
          <cell r="D646">
            <v>6</v>
          </cell>
          <cell r="E646">
            <v>40</v>
          </cell>
          <cell r="F646">
            <v>24</v>
          </cell>
          <cell r="G646">
            <v>40</v>
          </cell>
          <cell r="H646">
            <v>0</v>
          </cell>
          <cell r="I646" t="str">
            <v>-</v>
          </cell>
          <cell r="J646" t="str">
            <v>650/650</v>
          </cell>
          <cell r="K646" t="str">
            <v xml:space="preserve">CPIII 40 RS </v>
          </cell>
          <cell r="L646" t="str">
            <v>CP V</v>
          </cell>
          <cell r="M646" t="str">
            <v>SUPER PLASTIFICANTE</v>
          </cell>
          <cell r="N646" t="str">
            <v>ETE - PARQUE NOVO MUNDO (REATORES NEREDA)</v>
          </cell>
          <cell r="O646" t="str">
            <v>FORTANKS</v>
          </cell>
          <cell r="P646">
            <v>1</v>
          </cell>
          <cell r="Q646" t="str">
            <v>Gean</v>
          </cell>
          <cell r="R646">
            <v>45750</v>
          </cell>
          <cell r="S646">
            <v>0.60416666666666663</v>
          </cell>
          <cell r="T646">
            <v>0.59416666666666662</v>
          </cell>
          <cell r="U646" t="str">
            <v>X</v>
          </cell>
          <cell r="V646">
            <v>0.39583333333333331</v>
          </cell>
          <cell r="W646">
            <v>36.32</v>
          </cell>
          <cell r="X646">
            <v>36.26</v>
          </cell>
          <cell r="Y646">
            <v>0.41666666666666669</v>
          </cell>
          <cell r="Z646">
            <v>84.31</v>
          </cell>
          <cell r="AA646">
            <v>84.46</v>
          </cell>
          <cell r="AW646">
            <v>4</v>
          </cell>
          <cell r="AX646">
            <v>4</v>
          </cell>
          <cell r="AY646">
            <v>4</v>
          </cell>
          <cell r="AZ646">
            <v>4</v>
          </cell>
          <cell r="BA646" t="str">
            <v>CONSORCIO NOVA ETE - PARQUE NOVO MUNDO</v>
          </cell>
          <cell r="BB646">
            <v>45751</v>
          </cell>
          <cell r="BD646" t="str">
            <v>sex</v>
          </cell>
          <cell r="BG646">
            <v>45750</v>
          </cell>
        </row>
        <row r="647">
          <cell r="A647" t="str">
            <v>1016-A</v>
          </cell>
          <cell r="B647">
            <v>637</v>
          </cell>
          <cell r="C647" t="str">
            <v>PLACA PR_PN-10</v>
          </cell>
          <cell r="D647">
            <v>6</v>
          </cell>
          <cell r="F647">
            <v>24</v>
          </cell>
          <cell r="J647" t="str">
            <v>650/650</v>
          </cell>
          <cell r="M647" t="str">
            <v>SUPER PLASTIFICANTE</v>
          </cell>
          <cell r="N647" t="str">
            <v>ETE - PROJETO SUCURIÚ - CLARIFICADOR PRIMARIO</v>
          </cell>
          <cell r="O647" t="str">
            <v>FORTANKS</v>
          </cell>
          <cell r="P647">
            <v>1</v>
          </cell>
          <cell r="Q647" t="str">
            <v>Gean</v>
          </cell>
          <cell r="R647">
            <v>45750</v>
          </cell>
          <cell r="S647">
            <v>0.60416666666666663</v>
          </cell>
          <cell r="T647">
            <v>0.59416666666666662</v>
          </cell>
          <cell r="U647" t="str">
            <v>X</v>
          </cell>
          <cell r="V647">
            <v>0.39583333333333331</v>
          </cell>
          <cell r="W647">
            <v>36.32</v>
          </cell>
          <cell r="X647">
            <v>36.26</v>
          </cell>
          <cell r="Y647">
            <v>0.41666666666666669</v>
          </cell>
          <cell r="Z647">
            <v>84.31</v>
          </cell>
          <cell r="AA647">
            <v>84.46</v>
          </cell>
          <cell r="AW647">
            <v>4</v>
          </cell>
          <cell r="AX647">
            <v>4</v>
          </cell>
          <cell r="AY647">
            <v>4</v>
          </cell>
          <cell r="AZ647">
            <v>4</v>
          </cell>
          <cell r="BA647" t="str">
            <v>FORTES ENGENHARIA</v>
          </cell>
          <cell r="BB647">
            <v>45751</v>
          </cell>
          <cell r="BD647" t="str">
            <v>sex</v>
          </cell>
          <cell r="BG647">
            <v>45750</v>
          </cell>
        </row>
        <row r="648">
          <cell r="A648">
            <v>1017</v>
          </cell>
          <cell r="B648">
            <v>638</v>
          </cell>
          <cell r="C648" t="str">
            <v>PLACAS PN-62 / PN-64</v>
          </cell>
          <cell r="D648">
            <v>7</v>
          </cell>
          <cell r="E648">
            <v>40</v>
          </cell>
          <cell r="F648">
            <v>24</v>
          </cell>
          <cell r="G648">
            <v>40</v>
          </cell>
          <cell r="H648">
            <v>0</v>
          </cell>
          <cell r="I648" t="str">
            <v>-</v>
          </cell>
          <cell r="J648" t="str">
            <v>650/660</v>
          </cell>
          <cell r="K648" t="str">
            <v xml:space="preserve">CPIII 40 RS </v>
          </cell>
          <cell r="L648" t="str">
            <v>CP V</v>
          </cell>
          <cell r="M648" t="str">
            <v>SUPER PLASTIFICANTE</v>
          </cell>
          <cell r="N648" t="str">
            <v>ETE - PARQUE NOVO MUNDO (REATORES NEREDA)</v>
          </cell>
          <cell r="O648" t="str">
            <v>FORTANKS</v>
          </cell>
          <cell r="P648">
            <v>2</v>
          </cell>
          <cell r="Q648" t="str">
            <v>Gean</v>
          </cell>
          <cell r="R648">
            <v>45750</v>
          </cell>
          <cell r="S648">
            <v>0.625</v>
          </cell>
          <cell r="T648">
            <v>0.61499999999999999</v>
          </cell>
          <cell r="U648" t="str">
            <v>X</v>
          </cell>
          <cell r="V648">
            <v>0.39583333333333331</v>
          </cell>
          <cell r="W648">
            <v>29.06</v>
          </cell>
          <cell r="X648">
            <v>31.61</v>
          </cell>
          <cell r="Y648">
            <v>0.41666666666666669</v>
          </cell>
          <cell r="Z648">
            <v>84.91</v>
          </cell>
          <cell r="AA648">
            <v>85.09</v>
          </cell>
          <cell r="AW648">
            <v>4</v>
          </cell>
          <cell r="AX648">
            <v>4</v>
          </cell>
          <cell r="AY648">
            <v>4</v>
          </cell>
          <cell r="AZ648">
            <v>4</v>
          </cell>
          <cell r="BA648" t="str">
            <v>CONSORCIO NOVA ETE - PARQUE NOVO MUNDO</v>
          </cell>
          <cell r="BB648">
            <v>45751</v>
          </cell>
          <cell r="BD648" t="str">
            <v>sex</v>
          </cell>
          <cell r="BG648">
            <v>45750</v>
          </cell>
        </row>
        <row r="649">
          <cell r="A649">
            <v>1018</v>
          </cell>
          <cell r="B649">
            <v>639</v>
          </cell>
          <cell r="C649" t="str">
            <v>PLACAS PN-60 / PN-61</v>
          </cell>
          <cell r="D649">
            <v>7</v>
          </cell>
          <cell r="E649">
            <v>40</v>
          </cell>
          <cell r="F649">
            <v>24</v>
          </cell>
          <cell r="G649">
            <v>40</v>
          </cell>
          <cell r="H649">
            <v>0</v>
          </cell>
          <cell r="I649" t="str">
            <v>-</v>
          </cell>
          <cell r="J649" t="str">
            <v>660/660</v>
          </cell>
          <cell r="K649" t="str">
            <v xml:space="preserve">CPIII 40 RS </v>
          </cell>
          <cell r="L649" t="str">
            <v>CP V</v>
          </cell>
          <cell r="M649" t="str">
            <v>SUPER PLASTIFICANTE</v>
          </cell>
          <cell r="N649" t="str">
            <v>ETE - PARQUE NOVO MUNDO (REATORES NEREDA)</v>
          </cell>
          <cell r="O649" t="str">
            <v>FORTANKS</v>
          </cell>
          <cell r="P649">
            <v>3</v>
          </cell>
          <cell r="Q649" t="str">
            <v>Gean</v>
          </cell>
          <cell r="R649">
            <v>45750</v>
          </cell>
          <cell r="S649">
            <v>0.64583333333333337</v>
          </cell>
          <cell r="T649">
            <v>0.63583333333333336</v>
          </cell>
          <cell r="U649" t="str">
            <v>X</v>
          </cell>
          <cell r="V649">
            <v>0.39583333333333331</v>
          </cell>
          <cell r="W649">
            <v>32.22</v>
          </cell>
          <cell r="X649">
            <v>30.87</v>
          </cell>
          <cell r="Y649">
            <v>0.41666666666666669</v>
          </cell>
          <cell r="Z649">
            <v>84.39</v>
          </cell>
          <cell r="AA649">
            <v>85</v>
          </cell>
          <cell r="AW649">
            <v>4</v>
          </cell>
          <cell r="AX649">
            <v>4</v>
          </cell>
          <cell r="AY649">
            <v>3</v>
          </cell>
          <cell r="AZ649">
            <v>4</v>
          </cell>
          <cell r="BA649" t="str">
            <v>CONSORCIO NOVA ETE - PARQUE NOVO MUNDO</v>
          </cell>
          <cell r="BB649">
            <v>45751</v>
          </cell>
          <cell r="BD649" t="str">
            <v>sex</v>
          </cell>
          <cell r="BG649">
            <v>45750</v>
          </cell>
        </row>
        <row r="650">
          <cell r="A650">
            <v>1019</v>
          </cell>
          <cell r="B650">
            <v>640</v>
          </cell>
          <cell r="C650" t="str">
            <v>PLACAS  PN-58 / PN-59</v>
          </cell>
          <cell r="D650">
            <v>7</v>
          </cell>
          <cell r="E650">
            <v>40</v>
          </cell>
          <cell r="F650">
            <v>24</v>
          </cell>
          <cell r="G650">
            <v>40</v>
          </cell>
          <cell r="H650">
            <v>0</v>
          </cell>
          <cell r="I650" t="str">
            <v>-</v>
          </cell>
          <cell r="J650" t="str">
            <v>660/660</v>
          </cell>
          <cell r="K650" t="str">
            <v xml:space="preserve">CPIII 40 RS </v>
          </cell>
          <cell r="L650" t="str">
            <v>CP V</v>
          </cell>
          <cell r="M650" t="str">
            <v>SUPER PLASTIFICANTE</v>
          </cell>
          <cell r="N650" t="str">
            <v>ETE - PARQUE NOVO MUNDO (REATORES NEREDA)</v>
          </cell>
          <cell r="O650" t="str">
            <v>FORTANKS</v>
          </cell>
          <cell r="P650">
            <v>4</v>
          </cell>
          <cell r="Q650" t="str">
            <v>Gean</v>
          </cell>
          <cell r="R650">
            <v>45750</v>
          </cell>
          <cell r="S650">
            <v>0.66666666666666663</v>
          </cell>
          <cell r="T650">
            <v>0.65666666666666662</v>
          </cell>
          <cell r="U650" t="str">
            <v>X</v>
          </cell>
          <cell r="V650">
            <v>0.39583333333333331</v>
          </cell>
          <cell r="W650">
            <v>27.3</v>
          </cell>
          <cell r="X650">
            <v>29.67</v>
          </cell>
          <cell r="Y650">
            <v>0.41666666666666669</v>
          </cell>
          <cell r="Z650">
            <v>84.4</v>
          </cell>
          <cell r="AA650">
            <v>85.36</v>
          </cell>
          <cell r="AW650">
            <v>4</v>
          </cell>
          <cell r="AX650">
            <v>4</v>
          </cell>
          <cell r="AY650">
            <v>4</v>
          </cell>
          <cell r="AZ650">
            <v>4</v>
          </cell>
          <cell r="BA650" t="str">
            <v>CONSORCIO NOVA ETE - PARQUE NOVO MUNDO</v>
          </cell>
          <cell r="BB650">
            <v>45751</v>
          </cell>
          <cell r="BD650" t="str">
            <v>sex</v>
          </cell>
          <cell r="BG650">
            <v>45750</v>
          </cell>
        </row>
        <row r="651">
          <cell r="A651" t="str">
            <v>1019-A</v>
          </cell>
          <cell r="B651">
            <v>640</v>
          </cell>
          <cell r="C651" t="str">
            <v>PLACA PR_PN-10 (CANALETA)</v>
          </cell>
          <cell r="D651">
            <v>6</v>
          </cell>
          <cell r="F651">
            <v>24</v>
          </cell>
          <cell r="J651" t="str">
            <v>660/660</v>
          </cell>
          <cell r="M651" t="str">
            <v>SUPER PLASTIFICANTE</v>
          </cell>
          <cell r="N651" t="str">
            <v>ETE - PROJETO SUCURIÚ - CLARIFICADOR PRIMARIO</v>
          </cell>
          <cell r="O651" t="str">
            <v>FORTANKS</v>
          </cell>
          <cell r="P651">
            <v>4</v>
          </cell>
          <cell r="Q651" t="str">
            <v>Gean</v>
          </cell>
          <cell r="R651">
            <v>45750</v>
          </cell>
          <cell r="S651">
            <v>0.66666666666666663</v>
          </cell>
          <cell r="T651">
            <v>0.65666666666666662</v>
          </cell>
          <cell r="U651" t="str">
            <v>X</v>
          </cell>
          <cell r="V651">
            <v>0.39583333333333331</v>
          </cell>
          <cell r="W651">
            <v>27.3</v>
          </cell>
          <cell r="X651">
            <v>29.67</v>
          </cell>
          <cell r="Y651">
            <v>0.41666666666666669</v>
          </cell>
          <cell r="Z651">
            <v>84.4</v>
          </cell>
          <cell r="AA651">
            <v>85.36</v>
          </cell>
          <cell r="AW651">
            <v>4</v>
          </cell>
          <cell r="AX651">
            <v>4</v>
          </cell>
          <cell r="AY651">
            <v>4</v>
          </cell>
          <cell r="AZ651">
            <v>4</v>
          </cell>
          <cell r="BA651" t="str">
            <v>FORTES ENGENHARIA</v>
          </cell>
          <cell r="BB651">
            <v>45751</v>
          </cell>
          <cell r="BD651" t="str">
            <v>sex</v>
          </cell>
          <cell r="BG651">
            <v>45750</v>
          </cell>
        </row>
        <row r="652">
          <cell r="A652">
            <v>1020</v>
          </cell>
          <cell r="B652">
            <v>641</v>
          </cell>
          <cell r="C652" t="str">
            <v>PLACA PN-75</v>
          </cell>
          <cell r="D652">
            <v>6</v>
          </cell>
          <cell r="E652">
            <v>40</v>
          </cell>
          <cell r="F652">
            <v>24</v>
          </cell>
          <cell r="G652">
            <v>40</v>
          </cell>
          <cell r="H652">
            <v>0</v>
          </cell>
          <cell r="I652" t="str">
            <v>-</v>
          </cell>
          <cell r="J652" t="str">
            <v>660/660</v>
          </cell>
          <cell r="K652" t="str">
            <v xml:space="preserve">CPIII 40 RS </v>
          </cell>
          <cell r="L652" t="str">
            <v>CP V</v>
          </cell>
          <cell r="M652" t="str">
            <v>SUPER PLASTIFICANTE</v>
          </cell>
          <cell r="N652" t="str">
            <v>ETE - PARQUE NOVO MUNDO (REATORES NEREDA)</v>
          </cell>
          <cell r="O652" t="str">
            <v>FORTANKS</v>
          </cell>
          <cell r="P652">
            <v>1</v>
          </cell>
          <cell r="Q652" t="str">
            <v>Gean</v>
          </cell>
          <cell r="R652">
            <v>45752</v>
          </cell>
          <cell r="S652">
            <v>0.56944444444444442</v>
          </cell>
          <cell r="T652">
            <v>0.55944444444444441</v>
          </cell>
          <cell r="U652" t="str">
            <v>X</v>
          </cell>
          <cell r="V652">
            <v>0.43055555555555558</v>
          </cell>
          <cell r="W652">
            <v>35.46</v>
          </cell>
          <cell r="X652">
            <v>37.17</v>
          </cell>
          <cell r="Y652">
            <v>0.41666666666666669</v>
          </cell>
          <cell r="Z652">
            <v>84.25</v>
          </cell>
          <cell r="AA652">
            <v>84.81</v>
          </cell>
          <cell r="AW652">
            <v>4</v>
          </cell>
          <cell r="AX652">
            <v>4</v>
          </cell>
          <cell r="AY652">
            <v>4</v>
          </cell>
          <cell r="AZ652">
            <v>4</v>
          </cell>
          <cell r="BA652" t="str">
            <v>CONSORCIO NOVA ETE - PARQUE NOVO MUNDO</v>
          </cell>
          <cell r="BB652">
            <v>45754</v>
          </cell>
          <cell r="BC652">
            <v>1</v>
          </cell>
          <cell r="BD652" t="str">
            <v>seg</v>
          </cell>
          <cell r="BG652">
            <v>45752</v>
          </cell>
        </row>
        <row r="653">
          <cell r="A653" t="str">
            <v>1020-A</v>
          </cell>
          <cell r="B653">
            <v>641</v>
          </cell>
          <cell r="C653" t="str">
            <v>PLACA PR_PN-11</v>
          </cell>
          <cell r="D653">
            <v>6</v>
          </cell>
          <cell r="F653">
            <v>24</v>
          </cell>
          <cell r="J653" t="str">
            <v>660/660</v>
          </cell>
          <cell r="M653" t="str">
            <v>SUPER PLASTIFICANTE</v>
          </cell>
          <cell r="N653" t="str">
            <v>ETE - PROJETO SUCURIÚ - CLARIFICADOR PRIMARIO</v>
          </cell>
          <cell r="O653" t="str">
            <v>FORTANKS</v>
          </cell>
          <cell r="P653">
            <v>1</v>
          </cell>
          <cell r="Q653" t="str">
            <v>Gean</v>
          </cell>
          <cell r="R653">
            <v>45752</v>
          </cell>
          <cell r="S653">
            <v>0.56944444444444442</v>
          </cell>
          <cell r="T653">
            <v>0.55944444444444441</v>
          </cell>
          <cell r="U653" t="str">
            <v>X</v>
          </cell>
          <cell r="V653">
            <v>0.43055555555555558</v>
          </cell>
          <cell r="W653">
            <v>35.46</v>
          </cell>
          <cell r="X653">
            <v>37.17</v>
          </cell>
          <cell r="Y653">
            <v>0.41666666666666669</v>
          </cell>
          <cell r="Z653">
            <v>84.25</v>
          </cell>
          <cell r="AA653">
            <v>84.81</v>
          </cell>
          <cell r="AW653">
            <v>4</v>
          </cell>
          <cell r="AX653">
            <v>4</v>
          </cell>
          <cell r="AY653">
            <v>4</v>
          </cell>
          <cell r="AZ653">
            <v>4</v>
          </cell>
          <cell r="BA653" t="str">
            <v>FORTES ENGENHARIA</v>
          </cell>
          <cell r="BB653">
            <v>45754</v>
          </cell>
          <cell r="BC653">
            <v>1</v>
          </cell>
          <cell r="BD653" t="str">
            <v>seg</v>
          </cell>
          <cell r="BG653">
            <v>45752</v>
          </cell>
        </row>
        <row r="654">
          <cell r="A654">
            <v>1021</v>
          </cell>
          <cell r="B654">
            <v>642</v>
          </cell>
          <cell r="C654" t="str">
            <v>PLACAS PN-73 / PN-74</v>
          </cell>
          <cell r="D654">
            <v>7</v>
          </cell>
          <cell r="E654">
            <v>40</v>
          </cell>
          <cell r="F654">
            <v>24</v>
          </cell>
          <cell r="G654">
            <v>40</v>
          </cell>
          <cell r="H654">
            <v>0</v>
          </cell>
          <cell r="I654" t="str">
            <v>-</v>
          </cell>
          <cell r="J654" t="str">
            <v>670/660</v>
          </cell>
          <cell r="K654" t="str">
            <v xml:space="preserve">CPIII 40 RS </v>
          </cell>
          <cell r="L654" t="str">
            <v>CP V</v>
          </cell>
          <cell r="M654" t="str">
            <v>SUPER PLASTIFICANTE</v>
          </cell>
          <cell r="N654" t="str">
            <v>ETE - PARQUE NOVO MUNDO (REATORES NEREDA)</v>
          </cell>
          <cell r="O654" t="str">
            <v>FORTANKS</v>
          </cell>
          <cell r="P654">
            <v>2</v>
          </cell>
          <cell r="Q654" t="str">
            <v>Gean</v>
          </cell>
          <cell r="R654">
            <v>45752</v>
          </cell>
          <cell r="S654">
            <v>0.58333333333333337</v>
          </cell>
          <cell r="T654">
            <v>0.57333333333333336</v>
          </cell>
          <cell r="U654" t="str">
            <v>X</v>
          </cell>
          <cell r="V654">
            <v>0.41666666666666669</v>
          </cell>
          <cell r="W654">
            <v>36.44</v>
          </cell>
          <cell r="X654">
            <v>38.15</v>
          </cell>
          <cell r="Y654">
            <v>0.41666666666666669</v>
          </cell>
          <cell r="Z654">
            <v>84.42</v>
          </cell>
          <cell r="AA654">
            <v>84.34</v>
          </cell>
          <cell r="AW654">
            <v>4</v>
          </cell>
          <cell r="AX654">
            <v>4</v>
          </cell>
          <cell r="AY654">
            <v>0</v>
          </cell>
          <cell r="AZ654">
            <v>0</v>
          </cell>
          <cell r="BA654" t="str">
            <v>CONSORCIO NOVA ETE - PARQUE NOVO MUNDO</v>
          </cell>
          <cell r="BB654">
            <v>45754</v>
          </cell>
          <cell r="BC654">
            <v>1</v>
          </cell>
          <cell r="BD654" t="str">
            <v>seg</v>
          </cell>
          <cell r="BG654">
            <v>45752</v>
          </cell>
        </row>
        <row r="655">
          <cell r="A655">
            <v>1022</v>
          </cell>
          <cell r="B655">
            <v>643</v>
          </cell>
          <cell r="C655" t="str">
            <v>PLACAS PN-68 / PN-72</v>
          </cell>
          <cell r="D655">
            <v>7</v>
          </cell>
          <cell r="E655">
            <v>40</v>
          </cell>
          <cell r="F655">
            <v>24</v>
          </cell>
          <cell r="G655">
            <v>40</v>
          </cell>
          <cell r="H655">
            <v>0</v>
          </cell>
          <cell r="I655" t="str">
            <v>-</v>
          </cell>
          <cell r="J655" t="str">
            <v>650/650</v>
          </cell>
          <cell r="K655" t="str">
            <v xml:space="preserve">CPIII 40 RS </v>
          </cell>
          <cell r="L655" t="str">
            <v>CP V</v>
          </cell>
          <cell r="M655" t="str">
            <v>SUPER PLASTIFICANTE</v>
          </cell>
          <cell r="N655" t="str">
            <v>ETE - PARQUE NOVO MUNDO (REATORES NEREDA)</v>
          </cell>
          <cell r="O655" t="str">
            <v>FORTANKS</v>
          </cell>
          <cell r="P655">
            <v>3</v>
          </cell>
          <cell r="Q655" t="str">
            <v>Gean</v>
          </cell>
          <cell r="R655">
            <v>45752</v>
          </cell>
          <cell r="S655">
            <v>0.625</v>
          </cell>
          <cell r="T655">
            <v>0.61499999999999999</v>
          </cell>
          <cell r="U655" t="str">
            <v>X</v>
          </cell>
          <cell r="V655">
            <v>0.41666666666666669</v>
          </cell>
          <cell r="W655">
            <v>33.9</v>
          </cell>
          <cell r="X655">
            <v>34.229999999999997</v>
          </cell>
          <cell r="Y655">
            <v>0.41666666666666669</v>
          </cell>
          <cell r="Z655">
            <v>83.67</v>
          </cell>
          <cell r="AA655">
            <v>82</v>
          </cell>
          <cell r="AW655">
            <v>4</v>
          </cell>
          <cell r="AX655">
            <v>4</v>
          </cell>
          <cell r="AY655">
            <v>4</v>
          </cell>
          <cell r="AZ655">
            <v>3</v>
          </cell>
          <cell r="BA655" t="str">
            <v>CONSORCIO NOVA ETE - PARQUE NOVO MUNDO</v>
          </cell>
          <cell r="BB655">
            <v>45754</v>
          </cell>
          <cell r="BC655">
            <v>1</v>
          </cell>
          <cell r="BD655" t="str">
            <v>seg</v>
          </cell>
          <cell r="BG655">
            <v>45752</v>
          </cell>
        </row>
        <row r="656">
          <cell r="A656">
            <v>1023</v>
          </cell>
          <cell r="B656">
            <v>644</v>
          </cell>
          <cell r="C656" t="str">
            <v>PLACAS PN-66 / PN-67</v>
          </cell>
          <cell r="D656">
            <v>7</v>
          </cell>
          <cell r="E656">
            <v>40</v>
          </cell>
          <cell r="F656">
            <v>24</v>
          </cell>
          <cell r="G656">
            <v>40</v>
          </cell>
          <cell r="H656">
            <v>0</v>
          </cell>
          <cell r="I656" t="str">
            <v>-</v>
          </cell>
          <cell r="J656" t="str">
            <v>660/640</v>
          </cell>
          <cell r="K656" t="str">
            <v xml:space="preserve">CPIII 40 RS </v>
          </cell>
          <cell r="L656" t="str">
            <v>CP V</v>
          </cell>
          <cell r="M656" t="str">
            <v>SUPER PLASTIFICANTE</v>
          </cell>
          <cell r="N656" t="str">
            <v>ETE - PARQUE NOVO MUNDO (REATORES NEREDA)</v>
          </cell>
          <cell r="O656" t="str">
            <v>FORTANKS</v>
          </cell>
          <cell r="P656">
            <v>4</v>
          </cell>
          <cell r="Q656" t="str">
            <v>Gean</v>
          </cell>
          <cell r="R656">
            <v>45752</v>
          </cell>
          <cell r="S656">
            <v>0.66666666666666663</v>
          </cell>
          <cell r="T656">
            <v>0.65666666666666662</v>
          </cell>
          <cell r="U656" t="str">
            <v>X</v>
          </cell>
          <cell r="V656">
            <v>0.41666666666666669</v>
          </cell>
          <cell r="W656">
            <v>35.32</v>
          </cell>
          <cell r="X656">
            <v>38.049999999999997</v>
          </cell>
          <cell r="Y656">
            <v>0.41666666666666669</v>
          </cell>
          <cell r="Z656">
            <v>83.79</v>
          </cell>
          <cell r="AA656">
            <v>82.81</v>
          </cell>
          <cell r="AW656">
            <v>4</v>
          </cell>
          <cell r="AX656">
            <v>4</v>
          </cell>
          <cell r="AY656">
            <v>4</v>
          </cell>
          <cell r="AZ656">
            <v>3</v>
          </cell>
          <cell r="BA656" t="str">
            <v>CONSORCIO NOVA ETE - PARQUE NOVO MUNDO</v>
          </cell>
          <cell r="BB656">
            <v>45754</v>
          </cell>
          <cell r="BC656">
            <v>1</v>
          </cell>
          <cell r="BD656" t="str">
            <v>seg</v>
          </cell>
          <cell r="BG656">
            <v>45752</v>
          </cell>
        </row>
        <row r="657">
          <cell r="A657">
            <v>1024</v>
          </cell>
          <cell r="B657">
            <v>645</v>
          </cell>
          <cell r="C657" t="str">
            <v>PPLACA PR_PN-11 (CANALETA)</v>
          </cell>
          <cell r="D657">
            <v>1</v>
          </cell>
          <cell r="F657">
            <v>15</v>
          </cell>
          <cell r="J657" t="str">
            <v>660/660</v>
          </cell>
          <cell r="M657" t="str">
            <v>SUPER PLASTIFICANTE</v>
          </cell>
          <cell r="N657" t="str">
            <v>ETE - PROJETO SUCURIÚ - CLARIFICADOR PRIMARIO</v>
          </cell>
          <cell r="O657" t="str">
            <v>FORTANKS</v>
          </cell>
          <cell r="P657">
            <v>5</v>
          </cell>
          <cell r="Q657" t="str">
            <v>Gean</v>
          </cell>
          <cell r="R657">
            <v>45752</v>
          </cell>
          <cell r="S657">
            <v>0.70833333333333337</v>
          </cell>
          <cell r="T657">
            <v>0.69833333333333336</v>
          </cell>
          <cell r="U657" t="str">
            <v>X</v>
          </cell>
          <cell r="V657">
            <v>0.41666666666666669</v>
          </cell>
          <cell r="W657">
            <v>19.97</v>
          </cell>
          <cell r="X657">
            <v>20.93</v>
          </cell>
          <cell r="Y657">
            <v>0.41666666666666669</v>
          </cell>
          <cell r="Z657">
            <v>85</v>
          </cell>
          <cell r="AA657">
            <v>84.1</v>
          </cell>
          <cell r="AW657">
            <v>4</v>
          </cell>
          <cell r="AX657">
            <v>4</v>
          </cell>
          <cell r="AY657">
            <v>4</v>
          </cell>
          <cell r="AZ657">
            <v>4</v>
          </cell>
          <cell r="BA657" t="str">
            <v>FORTES ENGENHARIA</v>
          </cell>
          <cell r="BB657">
            <v>45754</v>
          </cell>
          <cell r="BC657">
            <v>1</v>
          </cell>
          <cell r="BD657" t="str">
            <v>seg</v>
          </cell>
          <cell r="BG657">
            <v>45752</v>
          </cell>
        </row>
        <row r="658">
          <cell r="A658">
            <v>1025</v>
          </cell>
          <cell r="B658">
            <v>647</v>
          </cell>
          <cell r="C658" t="str">
            <v>PLACAS PN-81 / PN-82</v>
          </cell>
          <cell r="D658">
            <v>7</v>
          </cell>
          <cell r="E658">
            <v>40</v>
          </cell>
          <cell r="F658">
            <v>24</v>
          </cell>
          <cell r="G658">
            <v>40</v>
          </cell>
          <cell r="H658">
            <v>0</v>
          </cell>
          <cell r="I658" t="str">
            <v>-</v>
          </cell>
          <cell r="J658" t="str">
            <v>660/660</v>
          </cell>
          <cell r="K658" t="str">
            <v xml:space="preserve">CPIII 40 RS </v>
          </cell>
          <cell r="L658" t="str">
            <v>CP V</v>
          </cell>
          <cell r="M658" t="str">
            <v>SUPER PLASTIFICANTE</v>
          </cell>
          <cell r="N658" t="str">
            <v>ETE - PARQUE NOVO MUNDO (REATORES NEREDA)</v>
          </cell>
          <cell r="O658" t="str">
            <v>FORTANKS</v>
          </cell>
          <cell r="P658">
            <v>1</v>
          </cell>
          <cell r="Q658" t="str">
            <v>Gean</v>
          </cell>
          <cell r="R658">
            <v>45754</v>
          </cell>
          <cell r="S658">
            <v>0.4513888888888889</v>
          </cell>
          <cell r="T658">
            <v>0.44138888888888889</v>
          </cell>
          <cell r="U658" t="str">
            <v>X</v>
          </cell>
          <cell r="V658">
            <v>0.34027777777777779</v>
          </cell>
          <cell r="W658">
            <v>27.1</v>
          </cell>
          <cell r="X658">
            <v>27.2</v>
          </cell>
          <cell r="Y658">
            <v>0.41666666666666669</v>
          </cell>
          <cell r="Z658">
            <v>84.73</v>
          </cell>
          <cell r="AA658">
            <v>83.91</v>
          </cell>
          <cell r="AW658">
            <v>4</v>
          </cell>
          <cell r="AX658">
            <v>4</v>
          </cell>
          <cell r="AY658">
            <v>4</v>
          </cell>
          <cell r="AZ658">
            <v>4</v>
          </cell>
          <cell r="BA658" t="str">
            <v>CONSORCIO NOVA ETE - PARQUE NOVO MUNDO</v>
          </cell>
          <cell r="BB658">
            <v>45755</v>
          </cell>
          <cell r="BD658" t="str">
            <v>ter</v>
          </cell>
          <cell r="BG658">
            <v>45754</v>
          </cell>
        </row>
        <row r="659">
          <cell r="A659">
            <v>1026</v>
          </cell>
          <cell r="B659">
            <v>646</v>
          </cell>
          <cell r="C659" t="str">
            <v>PLACA PN-80</v>
          </cell>
          <cell r="D659">
            <v>6</v>
          </cell>
          <cell r="E659">
            <v>40</v>
          </cell>
          <cell r="F659">
            <v>24</v>
          </cell>
          <cell r="G659">
            <v>40</v>
          </cell>
          <cell r="H659">
            <v>0</v>
          </cell>
          <cell r="I659" t="str">
            <v>-</v>
          </cell>
          <cell r="J659" t="str">
            <v>650/650</v>
          </cell>
          <cell r="K659" t="str">
            <v xml:space="preserve">CPIII 40 RS </v>
          </cell>
          <cell r="L659" t="str">
            <v>CP V</v>
          </cell>
          <cell r="M659" t="str">
            <v>SUPER PLASTIFICANTE</v>
          </cell>
          <cell r="N659" t="str">
            <v>ETE - PARQUE NOVO MUNDO (REATORES NEREDA)</v>
          </cell>
          <cell r="O659" t="str">
            <v>FORTANKS</v>
          </cell>
          <cell r="P659">
            <v>2</v>
          </cell>
          <cell r="Q659" t="str">
            <v>Gean</v>
          </cell>
          <cell r="R659">
            <v>45754</v>
          </cell>
          <cell r="S659">
            <v>0.47083333333333333</v>
          </cell>
          <cell r="T659">
            <v>0.46083333333333332</v>
          </cell>
          <cell r="U659" t="str">
            <v>X</v>
          </cell>
          <cell r="V659">
            <v>0.34375</v>
          </cell>
          <cell r="W659">
            <v>33.369999999999997</v>
          </cell>
          <cell r="X659">
            <v>34.47</v>
          </cell>
          <cell r="Y659">
            <v>0.41666666666666669</v>
          </cell>
          <cell r="Z659">
            <v>84.91</v>
          </cell>
          <cell r="AA659">
            <v>85.11</v>
          </cell>
          <cell r="AW659">
            <v>4</v>
          </cell>
          <cell r="AX659">
            <v>4</v>
          </cell>
          <cell r="AY659">
            <v>4</v>
          </cell>
          <cell r="AZ659">
            <v>4</v>
          </cell>
          <cell r="BA659" t="str">
            <v>CONSORCIO NOVA ETE - PARQUE NOVO MUNDO</v>
          </cell>
          <cell r="BB659">
            <v>45755</v>
          </cell>
          <cell r="BD659" t="str">
            <v>ter</v>
          </cell>
          <cell r="BG659">
            <v>45754</v>
          </cell>
        </row>
        <row r="660">
          <cell r="A660" t="str">
            <v>1026-A</v>
          </cell>
          <cell r="B660">
            <v>646</v>
          </cell>
          <cell r="C660" t="str">
            <v>PLACA PR_PN-14</v>
          </cell>
          <cell r="D660">
            <v>6</v>
          </cell>
          <cell r="F660">
            <v>24</v>
          </cell>
          <cell r="J660" t="str">
            <v>650/650</v>
          </cell>
          <cell r="M660" t="str">
            <v>SUPER PLASTIFICANTE</v>
          </cell>
          <cell r="N660" t="str">
            <v>ETE - PROJETO SUCURIÚ - CLARIFICADOR PRIMARIO</v>
          </cell>
          <cell r="O660" t="str">
            <v>FORTANKS</v>
          </cell>
          <cell r="P660">
            <v>2</v>
          </cell>
          <cell r="Q660" t="str">
            <v>Gean</v>
          </cell>
          <cell r="R660">
            <v>45754</v>
          </cell>
          <cell r="S660">
            <v>0.47083333333333333</v>
          </cell>
          <cell r="T660">
            <v>0.46083333333333332</v>
          </cell>
          <cell r="U660" t="str">
            <v>X</v>
          </cell>
          <cell r="V660">
            <v>0.34375</v>
          </cell>
          <cell r="W660">
            <v>33.369999999999997</v>
          </cell>
          <cell r="X660">
            <v>34.47</v>
          </cell>
          <cell r="Y660">
            <v>0.41666666666666669</v>
          </cell>
          <cell r="Z660">
            <v>84.91</v>
          </cell>
          <cell r="AA660">
            <v>85.11</v>
          </cell>
          <cell r="AW660">
            <v>4</v>
          </cell>
          <cell r="AX660">
            <v>4</v>
          </cell>
          <cell r="AY660">
            <v>4</v>
          </cell>
          <cell r="AZ660">
            <v>4</v>
          </cell>
          <cell r="BA660" t="str">
            <v>FORTES ENGENHARIA</v>
          </cell>
          <cell r="BB660">
            <v>45755</v>
          </cell>
          <cell r="BD660" t="str">
            <v>ter</v>
          </cell>
          <cell r="BG660">
            <v>45754</v>
          </cell>
        </row>
        <row r="661">
          <cell r="A661">
            <v>1027</v>
          </cell>
          <cell r="B661">
            <v>648</v>
          </cell>
          <cell r="C661" t="str">
            <v>PLACAS PN-78/ PN-79</v>
          </cell>
          <cell r="D661">
            <v>7</v>
          </cell>
          <cell r="E661">
            <v>40</v>
          </cell>
          <cell r="F661">
            <v>24</v>
          </cell>
          <cell r="G661">
            <v>40</v>
          </cell>
          <cell r="H661">
            <v>0</v>
          </cell>
          <cell r="I661" t="str">
            <v>-</v>
          </cell>
          <cell r="J661" t="str">
            <v>660/670</v>
          </cell>
          <cell r="K661" t="str">
            <v xml:space="preserve">CPIII 40 RS </v>
          </cell>
          <cell r="L661" t="str">
            <v>CP V</v>
          </cell>
          <cell r="M661" t="str">
            <v>SUPER PLASTIFICANTE</v>
          </cell>
          <cell r="N661" t="str">
            <v>ETE - PARQUE NOVO MUNDO (REATORES NEREDA)</v>
          </cell>
          <cell r="O661" t="str">
            <v>FORTANKS</v>
          </cell>
          <cell r="P661">
            <v>3</v>
          </cell>
          <cell r="Q661" t="str">
            <v>Gean</v>
          </cell>
          <cell r="R661">
            <v>45754</v>
          </cell>
          <cell r="S661">
            <v>0.4861111111111111</v>
          </cell>
          <cell r="T661">
            <v>0.4761111111111111</v>
          </cell>
          <cell r="U661" t="str">
            <v>X</v>
          </cell>
          <cell r="V661">
            <v>0.34652777777777777</v>
          </cell>
          <cell r="W661">
            <v>32.01</v>
          </cell>
          <cell r="X661">
            <v>33.24</v>
          </cell>
          <cell r="Y661">
            <v>0.41666666666666669</v>
          </cell>
          <cell r="Z661">
            <v>83.82</v>
          </cell>
          <cell r="AA661">
            <v>81.849999999999994</v>
          </cell>
          <cell r="AW661">
            <v>4</v>
          </cell>
          <cell r="AX661">
            <v>4</v>
          </cell>
          <cell r="AY661">
            <v>4</v>
          </cell>
          <cell r="AZ661">
            <v>4</v>
          </cell>
          <cell r="BA661" t="str">
            <v>CONSORCIO NOVA ETE - PARQUE NOVO MUNDO</v>
          </cell>
          <cell r="BB661">
            <v>45755</v>
          </cell>
          <cell r="BD661" t="str">
            <v>ter</v>
          </cell>
          <cell r="BG661">
            <v>45754</v>
          </cell>
        </row>
        <row r="662">
          <cell r="A662">
            <v>1028</v>
          </cell>
          <cell r="B662">
            <v>649</v>
          </cell>
          <cell r="C662" t="str">
            <v>PLACAS PN-76 / PN-77</v>
          </cell>
          <cell r="D662">
            <v>7</v>
          </cell>
          <cell r="E662">
            <v>40</v>
          </cell>
          <cell r="F662">
            <v>24</v>
          </cell>
          <cell r="G662">
            <v>40</v>
          </cell>
          <cell r="H662">
            <v>0</v>
          </cell>
          <cell r="I662" t="str">
            <v>-</v>
          </cell>
          <cell r="J662" t="str">
            <v>650/660</v>
          </cell>
          <cell r="K662" t="str">
            <v xml:space="preserve">CPIII 40 RS </v>
          </cell>
          <cell r="L662" t="str">
            <v>CP V</v>
          </cell>
          <cell r="M662" t="str">
            <v>SUPER PLASTIFICANTE</v>
          </cell>
          <cell r="N662" t="str">
            <v>ETE - PARQUE NOVO MUNDO (REATORES NEREDA)</v>
          </cell>
          <cell r="O662" t="str">
            <v>FORTANKS</v>
          </cell>
          <cell r="P662">
            <v>4</v>
          </cell>
          <cell r="Q662" t="str">
            <v>Gean</v>
          </cell>
          <cell r="R662">
            <v>45754</v>
          </cell>
          <cell r="S662">
            <v>0.50694444444444442</v>
          </cell>
          <cell r="T662">
            <v>0.49694444444444441</v>
          </cell>
          <cell r="U662" t="str">
            <v>X</v>
          </cell>
          <cell r="V662">
            <v>0.34722222222222221</v>
          </cell>
          <cell r="W662">
            <v>25.475999999999999</v>
          </cell>
          <cell r="X662">
            <v>27.036000000000001</v>
          </cell>
          <cell r="Y662">
            <v>0.41666666666666669</v>
          </cell>
          <cell r="Z662">
            <v>84.75</v>
          </cell>
          <cell r="AA662">
            <v>84.43</v>
          </cell>
          <cell r="AW662">
            <v>4</v>
          </cell>
          <cell r="AX662">
            <v>4</v>
          </cell>
          <cell r="AY662">
            <v>4</v>
          </cell>
          <cell r="AZ662">
            <v>4</v>
          </cell>
          <cell r="BA662" t="str">
            <v>CONSORCIO NOVA ETE - PARQUE NOVO MUNDO</v>
          </cell>
          <cell r="BB662">
            <v>45755</v>
          </cell>
          <cell r="BD662" t="str">
            <v>ter</v>
          </cell>
          <cell r="BG662">
            <v>45754</v>
          </cell>
        </row>
        <row r="663">
          <cell r="A663">
            <v>1029</v>
          </cell>
          <cell r="B663">
            <v>650</v>
          </cell>
          <cell r="C663" t="str">
            <v>PLACA PR_PN-14 (CANALETA)</v>
          </cell>
          <cell r="D663">
            <v>1</v>
          </cell>
          <cell r="F663">
            <v>15</v>
          </cell>
          <cell r="J663" t="str">
            <v>650/650</v>
          </cell>
          <cell r="M663" t="str">
            <v>SUPER PLASTIFICANTE</v>
          </cell>
          <cell r="N663" t="str">
            <v>ETE - PROJETO SUCURIÚ - CLARIFICADOR PRIMARIO</v>
          </cell>
          <cell r="O663" t="str">
            <v>FORTANKS</v>
          </cell>
          <cell r="P663">
            <v>5</v>
          </cell>
          <cell r="Q663" t="str">
            <v>Gean</v>
          </cell>
          <cell r="R663">
            <v>45754</v>
          </cell>
          <cell r="S663">
            <v>0.66666666666666663</v>
          </cell>
          <cell r="T663">
            <v>0.65666666666666662</v>
          </cell>
          <cell r="U663" t="str">
            <v>X</v>
          </cell>
          <cell r="V663">
            <v>0.35069444444444442</v>
          </cell>
          <cell r="W663">
            <v>16.37</v>
          </cell>
          <cell r="X663">
            <v>15.79</v>
          </cell>
          <cell r="Y663">
            <v>0.41666666666666669</v>
          </cell>
          <cell r="Z663">
            <v>85.75</v>
          </cell>
          <cell r="AA663">
            <v>85.1</v>
          </cell>
          <cell r="AW663">
            <v>4</v>
          </cell>
          <cell r="AX663">
            <v>4</v>
          </cell>
          <cell r="AY663">
            <v>4</v>
          </cell>
          <cell r="AZ663">
            <v>4</v>
          </cell>
          <cell r="BA663" t="str">
            <v>FORTES ENGENHARIA</v>
          </cell>
          <cell r="BB663">
            <v>45755</v>
          </cell>
          <cell r="BD663" t="str">
            <v>ter</v>
          </cell>
          <cell r="BG663">
            <v>45754</v>
          </cell>
        </row>
        <row r="664">
          <cell r="A664">
            <v>1030</v>
          </cell>
          <cell r="B664">
            <v>651</v>
          </cell>
          <cell r="C664" t="str">
            <v>PLACA PN-90</v>
          </cell>
          <cell r="D664">
            <v>6</v>
          </cell>
          <cell r="E664">
            <v>40</v>
          </cell>
          <cell r="F664">
            <v>24</v>
          </cell>
          <cell r="G664">
            <v>40</v>
          </cell>
          <cell r="H664">
            <v>0</v>
          </cell>
          <cell r="I664" t="str">
            <v>-</v>
          </cell>
          <cell r="J664" t="str">
            <v>670/670</v>
          </cell>
          <cell r="K664" t="str">
            <v xml:space="preserve">CPIII 40 RS </v>
          </cell>
          <cell r="L664" t="str">
            <v>CP V</v>
          </cell>
          <cell r="M664" t="str">
            <v>SUPER PLASTIFICANTE</v>
          </cell>
          <cell r="N664" t="str">
            <v>ETE - PARQUE NOVO MUNDO (REATORES NEREDA)</v>
          </cell>
          <cell r="O664" t="str">
            <v>FORTANKS</v>
          </cell>
          <cell r="P664">
            <v>1</v>
          </cell>
          <cell r="Q664" t="str">
            <v>Gean</v>
          </cell>
          <cell r="R664">
            <v>45755</v>
          </cell>
          <cell r="S664">
            <v>0.56597222222222221</v>
          </cell>
          <cell r="T664">
            <v>0.5559722222222222</v>
          </cell>
          <cell r="U664" t="str">
            <v>X</v>
          </cell>
          <cell r="V664">
            <v>0.375</v>
          </cell>
          <cell r="W664">
            <v>28.8</v>
          </cell>
          <cell r="X664">
            <v>31.54</v>
          </cell>
          <cell r="Y664">
            <v>0.41666666666666669</v>
          </cell>
          <cell r="Z664">
            <v>84.58</v>
          </cell>
          <cell r="AA664">
            <v>84.46</v>
          </cell>
          <cell r="AW664">
            <v>4</v>
          </cell>
          <cell r="AX664">
            <v>4</v>
          </cell>
          <cell r="AY664">
            <v>4</v>
          </cell>
          <cell r="AZ664">
            <v>4</v>
          </cell>
          <cell r="BA664" t="str">
            <v>CONSORCIO NOVA ETE - PARQUE NOVO MUNDO</v>
          </cell>
          <cell r="BB664">
            <v>45756</v>
          </cell>
          <cell r="BD664" t="str">
            <v>qua</v>
          </cell>
          <cell r="BG664">
            <v>45755</v>
          </cell>
        </row>
        <row r="665">
          <cell r="A665" t="str">
            <v>1030-A</v>
          </cell>
          <cell r="B665">
            <v>651</v>
          </cell>
          <cell r="C665" t="str">
            <v>PLACA PR_PN-15</v>
          </cell>
          <cell r="D665">
            <v>6</v>
          </cell>
          <cell r="F665">
            <v>24</v>
          </cell>
          <cell r="J665" t="str">
            <v>670/670</v>
          </cell>
          <cell r="M665" t="str">
            <v>SUPER PLASTIFICANTE</v>
          </cell>
          <cell r="N665" t="str">
            <v>ETE - PROJETO SUCURIÚ - CLARIFICADOR PRIMARIO</v>
          </cell>
          <cell r="O665" t="str">
            <v>FORTANKS</v>
          </cell>
          <cell r="P665">
            <v>1</v>
          </cell>
          <cell r="Q665" t="str">
            <v>Gean</v>
          </cell>
          <cell r="R665">
            <v>45755</v>
          </cell>
          <cell r="S665">
            <v>0.56597222222222221</v>
          </cell>
          <cell r="T665">
            <v>0.5559722222222222</v>
          </cell>
          <cell r="U665" t="str">
            <v>X</v>
          </cell>
          <cell r="V665">
            <v>0.375</v>
          </cell>
          <cell r="W665">
            <v>28.8</v>
          </cell>
          <cell r="X665">
            <v>31.54</v>
          </cell>
          <cell r="Y665">
            <v>0.41666666666666669</v>
          </cell>
          <cell r="Z665">
            <v>84.58</v>
          </cell>
          <cell r="AA665">
            <v>84.46</v>
          </cell>
          <cell r="AW665">
            <v>4</v>
          </cell>
          <cell r="AX665">
            <v>4</v>
          </cell>
          <cell r="AY665">
            <v>4</v>
          </cell>
          <cell r="AZ665">
            <v>4</v>
          </cell>
          <cell r="BA665" t="str">
            <v>FORTES ENGENHARIA</v>
          </cell>
          <cell r="BB665">
            <v>45756</v>
          </cell>
          <cell r="BD665" t="str">
            <v>qua</v>
          </cell>
          <cell r="BG665">
            <v>45755</v>
          </cell>
        </row>
        <row r="666">
          <cell r="A666">
            <v>1031</v>
          </cell>
          <cell r="B666">
            <v>652</v>
          </cell>
          <cell r="C666" t="str">
            <v>PLACAS PN-88 / PN-89</v>
          </cell>
          <cell r="D666">
            <v>7</v>
          </cell>
          <cell r="E666">
            <v>40</v>
          </cell>
          <cell r="F666">
            <v>24</v>
          </cell>
          <cell r="G666">
            <v>40</v>
          </cell>
          <cell r="H666">
            <v>0</v>
          </cell>
          <cell r="I666" t="str">
            <v>-</v>
          </cell>
          <cell r="J666" t="str">
            <v>660/680</v>
          </cell>
          <cell r="K666" t="str">
            <v xml:space="preserve">CPIII 40 RS </v>
          </cell>
          <cell r="L666" t="str">
            <v>CP V</v>
          </cell>
          <cell r="M666" t="str">
            <v>SUPER PLASTIFICANTE</v>
          </cell>
          <cell r="N666" t="str">
            <v>ETE - PARQUE NOVO MUNDO (REATORES NEREDA)</v>
          </cell>
          <cell r="O666" t="str">
            <v>FORTANKS</v>
          </cell>
          <cell r="P666">
            <v>2</v>
          </cell>
          <cell r="Q666" t="str">
            <v>Gean</v>
          </cell>
          <cell r="R666">
            <v>45755</v>
          </cell>
          <cell r="S666">
            <v>0.59027777777777779</v>
          </cell>
          <cell r="T666">
            <v>0.58027777777777778</v>
          </cell>
          <cell r="U666" t="str">
            <v>X</v>
          </cell>
          <cell r="V666">
            <v>0.38194444444444442</v>
          </cell>
          <cell r="W666">
            <v>27.08</v>
          </cell>
          <cell r="X666">
            <v>26.88</v>
          </cell>
          <cell r="Y666">
            <v>0.41666666666666669</v>
          </cell>
          <cell r="Z666">
            <v>85.17</v>
          </cell>
          <cell r="AA666">
            <v>84.09</v>
          </cell>
          <cell r="AW666">
            <v>4</v>
          </cell>
          <cell r="AX666">
            <v>4</v>
          </cell>
          <cell r="AY666">
            <v>4</v>
          </cell>
          <cell r="AZ666">
            <v>4</v>
          </cell>
          <cell r="BA666" t="str">
            <v>CONSORCIO NOVA ETE - PARQUE NOVO MUNDO</v>
          </cell>
          <cell r="BB666">
            <v>45756</v>
          </cell>
          <cell r="BD666" t="str">
            <v>qua</v>
          </cell>
          <cell r="BG666">
            <v>45755</v>
          </cell>
        </row>
        <row r="667">
          <cell r="A667">
            <v>1032</v>
          </cell>
          <cell r="B667">
            <v>653</v>
          </cell>
          <cell r="C667" t="str">
            <v>PLACAS PN-85 / PN-87</v>
          </cell>
          <cell r="D667">
            <v>7</v>
          </cell>
          <cell r="E667">
            <v>40</v>
          </cell>
          <cell r="F667">
            <v>24</v>
          </cell>
          <cell r="G667">
            <v>40</v>
          </cell>
          <cell r="H667">
            <v>0</v>
          </cell>
          <cell r="I667" t="str">
            <v>-</v>
          </cell>
          <cell r="J667" t="str">
            <v>650/660</v>
          </cell>
          <cell r="K667" t="str">
            <v xml:space="preserve">CPIII 40 RS </v>
          </cell>
          <cell r="L667" t="str">
            <v>CP V</v>
          </cell>
          <cell r="M667" t="str">
            <v>SUPER PLASTIFICANTE</v>
          </cell>
          <cell r="N667" t="str">
            <v>ETE - PARQUE NOVO MUNDO (REATORES NEREDA)</v>
          </cell>
          <cell r="O667" t="str">
            <v>FORTANKS</v>
          </cell>
          <cell r="P667">
            <v>3</v>
          </cell>
          <cell r="Q667" t="str">
            <v>Gean</v>
          </cell>
          <cell r="R667">
            <v>45755</v>
          </cell>
          <cell r="S667">
            <v>0.61805555555555558</v>
          </cell>
          <cell r="T667">
            <v>0.60805555555555557</v>
          </cell>
          <cell r="U667" t="str">
            <v>X</v>
          </cell>
          <cell r="V667">
            <v>0.38541666666666669</v>
          </cell>
          <cell r="W667">
            <v>30.54</v>
          </cell>
          <cell r="X667">
            <v>30.75</v>
          </cell>
          <cell r="Y667">
            <v>0.41666666666666669</v>
          </cell>
          <cell r="Z667">
            <v>84.02</v>
          </cell>
          <cell r="AA667">
            <v>83.24</v>
          </cell>
          <cell r="AW667">
            <v>4</v>
          </cell>
          <cell r="AX667">
            <v>4</v>
          </cell>
          <cell r="AY667">
            <v>4</v>
          </cell>
          <cell r="AZ667">
            <v>4</v>
          </cell>
          <cell r="BA667" t="str">
            <v>CONSORCIO NOVA ETE - PARQUE NOVO MUNDO</v>
          </cell>
          <cell r="BB667">
            <v>45756</v>
          </cell>
          <cell r="BD667" t="str">
            <v>qua</v>
          </cell>
          <cell r="BG667">
            <v>45755</v>
          </cell>
        </row>
        <row r="668">
          <cell r="A668">
            <v>1033</v>
          </cell>
          <cell r="B668">
            <v>654</v>
          </cell>
          <cell r="C668" t="str">
            <v>PLACAS PN-83 / PN-84</v>
          </cell>
          <cell r="D668">
            <v>7</v>
          </cell>
          <cell r="E668">
            <v>40</v>
          </cell>
          <cell r="F668">
            <v>24</v>
          </cell>
          <cell r="G668">
            <v>40</v>
          </cell>
          <cell r="H668">
            <v>0</v>
          </cell>
          <cell r="I668" t="str">
            <v>-</v>
          </cell>
          <cell r="J668" t="str">
            <v>650/650</v>
          </cell>
          <cell r="K668" t="str">
            <v xml:space="preserve">CPIII 40 RS </v>
          </cell>
          <cell r="L668" t="str">
            <v>CP V</v>
          </cell>
          <cell r="M668" t="str">
            <v>SUPER PLASTIFICANTE</v>
          </cell>
          <cell r="N668" t="str">
            <v>ETE - PARQUE NOVO MUNDO (REATORES NEREDA)</v>
          </cell>
          <cell r="O668" t="str">
            <v>FORTANKS</v>
          </cell>
          <cell r="P668">
            <v>4</v>
          </cell>
          <cell r="Q668" t="str">
            <v>Gean</v>
          </cell>
          <cell r="R668">
            <v>45755</v>
          </cell>
          <cell r="S668">
            <v>0.64236111111111116</v>
          </cell>
          <cell r="T668">
            <v>0.63236111111111115</v>
          </cell>
          <cell r="U668" t="str">
            <v>X</v>
          </cell>
          <cell r="V668">
            <v>0.38680555555555557</v>
          </cell>
          <cell r="W668">
            <v>28.78</v>
          </cell>
          <cell r="X668">
            <v>26.83</v>
          </cell>
          <cell r="Y668">
            <v>0.41666666666666669</v>
          </cell>
          <cell r="Z668">
            <v>85.05</v>
          </cell>
          <cell r="AA668">
            <v>85.3</v>
          </cell>
          <cell r="AW668">
            <v>4</v>
          </cell>
          <cell r="AX668">
            <v>4</v>
          </cell>
          <cell r="AY668">
            <v>4</v>
          </cell>
          <cell r="AZ668">
            <v>4</v>
          </cell>
          <cell r="BA668" t="str">
            <v>CONSORCIO NOVA ETE - PARQUE NOVO MUNDO</v>
          </cell>
          <cell r="BB668">
            <v>45756</v>
          </cell>
          <cell r="BD668" t="str">
            <v>qua</v>
          </cell>
          <cell r="BG668">
            <v>45755</v>
          </cell>
        </row>
        <row r="669">
          <cell r="A669" t="str">
            <v>1033-A</v>
          </cell>
          <cell r="B669">
            <v>654</v>
          </cell>
          <cell r="C669" t="str">
            <v>PLACA PR_PN-15 (CANALETA)</v>
          </cell>
          <cell r="D669">
            <v>7</v>
          </cell>
          <cell r="E669">
            <v>40</v>
          </cell>
          <cell r="F669">
            <v>24</v>
          </cell>
          <cell r="G669">
            <v>40</v>
          </cell>
          <cell r="H669">
            <v>0</v>
          </cell>
          <cell r="I669" t="str">
            <v>-</v>
          </cell>
          <cell r="J669" t="str">
            <v>650/651</v>
          </cell>
          <cell r="K669" t="str">
            <v xml:space="preserve">CPIII 40 RS </v>
          </cell>
          <cell r="L669" t="str">
            <v>CP V</v>
          </cell>
          <cell r="M669" t="str">
            <v>SUPER PLASTIFICANTE</v>
          </cell>
          <cell r="N669" t="str">
            <v>ETE - PROJETO SUCURIÚ - CLARIFICADOR PRIMARIO</v>
          </cell>
          <cell r="O669" t="str">
            <v>FORTANKS</v>
          </cell>
          <cell r="P669">
            <v>5</v>
          </cell>
          <cell r="Q669" t="str">
            <v>Gean</v>
          </cell>
          <cell r="R669">
            <v>45755</v>
          </cell>
          <cell r="S669">
            <v>0.68402777777777801</v>
          </cell>
          <cell r="T669">
            <v>0.674027777777778</v>
          </cell>
          <cell r="U669" t="str">
            <v>X</v>
          </cell>
          <cell r="V669">
            <v>0.42847222222222198</v>
          </cell>
          <cell r="W669">
            <v>28.78</v>
          </cell>
          <cell r="X669">
            <v>26.83</v>
          </cell>
          <cell r="Y669">
            <v>0.45833333333333298</v>
          </cell>
          <cell r="Z669">
            <v>85.05</v>
          </cell>
          <cell r="AA669">
            <v>85.3</v>
          </cell>
          <cell r="AW669">
            <v>4</v>
          </cell>
          <cell r="AX669">
            <v>4</v>
          </cell>
          <cell r="AY669">
            <v>4</v>
          </cell>
          <cell r="AZ669">
            <v>4</v>
          </cell>
          <cell r="BA669" t="str">
            <v>FORTES ENGENHARIA</v>
          </cell>
          <cell r="BB669">
            <v>45756</v>
          </cell>
          <cell r="BD669" t="str">
            <v>qua</v>
          </cell>
          <cell r="BG669">
            <v>45755</v>
          </cell>
        </row>
        <row r="670">
          <cell r="A670">
            <v>1034</v>
          </cell>
          <cell r="B670">
            <v>655</v>
          </cell>
          <cell r="C670" t="str">
            <v>PLACA PN-98</v>
          </cell>
          <cell r="D670">
            <v>6</v>
          </cell>
          <cell r="E670">
            <v>40</v>
          </cell>
          <cell r="F670">
            <v>24</v>
          </cell>
          <cell r="G670">
            <v>40</v>
          </cell>
          <cell r="H670">
            <v>0</v>
          </cell>
          <cell r="I670" t="str">
            <v>-</v>
          </cell>
          <cell r="J670" t="str">
            <v>650/660</v>
          </cell>
          <cell r="K670" t="str">
            <v xml:space="preserve">CPIII 40 RS </v>
          </cell>
          <cell r="L670" t="str">
            <v>CP V</v>
          </cell>
          <cell r="M670" t="str">
            <v>SUPER PLASTIFICANTE</v>
          </cell>
          <cell r="N670" t="str">
            <v>ETE - PARQUE NOVO MUNDO (REATORES NEREDA)</v>
          </cell>
          <cell r="O670" t="str">
            <v>FORTANKS</v>
          </cell>
          <cell r="P670">
            <v>1</v>
          </cell>
          <cell r="Q670" t="str">
            <v>Gean</v>
          </cell>
          <cell r="R670">
            <v>45757</v>
          </cell>
          <cell r="S670">
            <v>0.5625</v>
          </cell>
          <cell r="T670">
            <v>0.55249999999999999</v>
          </cell>
          <cell r="U670" t="str">
            <v>X</v>
          </cell>
          <cell r="V670">
            <v>0.39583333333333331</v>
          </cell>
          <cell r="W670">
            <v>32.35</v>
          </cell>
          <cell r="X670">
            <v>34.54</v>
          </cell>
          <cell r="Y670">
            <v>0.41666666666666669</v>
          </cell>
          <cell r="Z670">
            <v>83.77</v>
          </cell>
          <cell r="AA670">
            <v>84.27</v>
          </cell>
          <cell r="AW670">
            <v>4</v>
          </cell>
          <cell r="AX670">
            <v>4</v>
          </cell>
          <cell r="AY670">
            <v>4</v>
          </cell>
          <cell r="AZ670">
            <v>4</v>
          </cell>
          <cell r="BA670" t="str">
            <v>CONSORCIO NOVA ETE - PARQUE NOVO MUNDO</v>
          </cell>
          <cell r="BB670">
            <v>45758</v>
          </cell>
          <cell r="BD670" t="str">
            <v>sex</v>
          </cell>
          <cell r="BG670">
            <v>45757</v>
          </cell>
        </row>
        <row r="671">
          <cell r="A671" t="str">
            <v>1034-A</v>
          </cell>
          <cell r="B671">
            <v>655</v>
          </cell>
          <cell r="C671" t="str">
            <v>PLACA PR_PN-16</v>
          </cell>
          <cell r="D671">
            <v>6</v>
          </cell>
          <cell r="F671">
            <v>24</v>
          </cell>
          <cell r="J671" t="str">
            <v>650/660</v>
          </cell>
          <cell r="M671" t="str">
            <v>SUPER PLASTIFICANTE</v>
          </cell>
          <cell r="N671" t="str">
            <v>ETE - PROJETO SUCURIÚ - CLARIFICADOR PRIMARIO</v>
          </cell>
          <cell r="O671" t="str">
            <v>FORTANKS</v>
          </cell>
          <cell r="P671">
            <v>1</v>
          </cell>
          <cell r="Q671" t="str">
            <v>Gean</v>
          </cell>
          <cell r="R671">
            <v>45757</v>
          </cell>
          <cell r="S671">
            <v>0.5625</v>
          </cell>
          <cell r="T671">
            <v>0.55249999999999999</v>
          </cell>
          <cell r="U671" t="str">
            <v>X</v>
          </cell>
          <cell r="V671">
            <v>0.39583333333333331</v>
          </cell>
          <cell r="W671">
            <v>32.35</v>
          </cell>
          <cell r="X671">
            <v>34.35</v>
          </cell>
          <cell r="Y671">
            <v>0.41666666666666669</v>
          </cell>
          <cell r="Z671">
            <v>83.77</v>
          </cell>
          <cell r="AA671">
            <v>84.25</v>
          </cell>
          <cell r="AW671">
            <v>4</v>
          </cell>
          <cell r="AX671">
            <v>4</v>
          </cell>
          <cell r="AY671">
            <v>4</v>
          </cell>
          <cell r="AZ671">
            <v>4</v>
          </cell>
          <cell r="BA671" t="str">
            <v>FORTES ENGENHARIA</v>
          </cell>
          <cell r="BB671">
            <v>45758</v>
          </cell>
          <cell r="BD671" t="str">
            <v>sex</v>
          </cell>
          <cell r="BG671">
            <v>45757</v>
          </cell>
        </row>
        <row r="672">
          <cell r="A672">
            <v>1035</v>
          </cell>
          <cell r="B672">
            <v>656</v>
          </cell>
          <cell r="C672" t="str">
            <v>PLACAS PN-96/ PN-97</v>
          </cell>
          <cell r="D672">
            <v>7</v>
          </cell>
          <cell r="E672">
            <v>40</v>
          </cell>
          <cell r="F672">
            <v>24</v>
          </cell>
          <cell r="G672">
            <v>40</v>
          </cell>
          <cell r="H672">
            <v>0</v>
          </cell>
          <cell r="I672" t="str">
            <v>-</v>
          </cell>
          <cell r="J672" t="str">
            <v>660/660</v>
          </cell>
          <cell r="K672" t="str">
            <v xml:space="preserve">CPIII 40 RS </v>
          </cell>
          <cell r="L672" t="str">
            <v>CP V</v>
          </cell>
          <cell r="M672" t="str">
            <v>SUPER PLASTIFICANTE</v>
          </cell>
          <cell r="N672" t="str">
            <v>ETE - PARQUE NOVO MUNDO (REATORES NEREDA)</v>
          </cell>
          <cell r="O672" t="str">
            <v>FORTANKS</v>
          </cell>
          <cell r="P672">
            <v>2</v>
          </cell>
          <cell r="Q672" t="str">
            <v>Gean</v>
          </cell>
          <cell r="R672">
            <v>45757</v>
          </cell>
          <cell r="S672">
            <v>0.58680555555555558</v>
          </cell>
          <cell r="T672">
            <v>0.57680555555555557</v>
          </cell>
          <cell r="U672" t="str">
            <v>X</v>
          </cell>
          <cell r="V672">
            <v>0.40277777777777779</v>
          </cell>
          <cell r="W672">
            <v>27.85</v>
          </cell>
          <cell r="X672">
            <v>28.76</v>
          </cell>
          <cell r="Y672">
            <v>0.41666666666666669</v>
          </cell>
          <cell r="Z672">
            <v>85.35</v>
          </cell>
          <cell r="AA672">
            <v>84.7</v>
          </cell>
          <cell r="AW672">
            <v>4</v>
          </cell>
          <cell r="AX672">
            <v>4</v>
          </cell>
          <cell r="AY672">
            <v>4</v>
          </cell>
          <cell r="AZ672">
            <v>4</v>
          </cell>
          <cell r="BA672" t="str">
            <v>CONSORCIO NOVA ETE - PARQUE NOVO MUNDO</v>
          </cell>
          <cell r="BB672">
            <v>45758</v>
          </cell>
          <cell r="BD672" t="str">
            <v>sex</v>
          </cell>
          <cell r="BG672">
            <v>45757</v>
          </cell>
        </row>
        <row r="673">
          <cell r="A673">
            <v>1036</v>
          </cell>
          <cell r="B673">
            <v>657</v>
          </cell>
          <cell r="C673" t="str">
            <v>PLACAS PN-93 / PN-95</v>
          </cell>
          <cell r="D673">
            <v>7</v>
          </cell>
          <cell r="E673">
            <v>40</v>
          </cell>
          <cell r="F673">
            <v>24</v>
          </cell>
          <cell r="G673">
            <v>40</v>
          </cell>
          <cell r="H673">
            <v>0</v>
          </cell>
          <cell r="I673" t="str">
            <v>-</v>
          </cell>
          <cell r="J673" t="str">
            <v>650/670</v>
          </cell>
          <cell r="K673" t="str">
            <v xml:space="preserve">CPIII 40 RS </v>
          </cell>
          <cell r="L673" t="str">
            <v>CP V</v>
          </cell>
          <cell r="M673" t="str">
            <v>SUPER PLASTIFICANTE</v>
          </cell>
          <cell r="N673" t="str">
            <v>ETE - PARQUE NOVO MUNDO (REATORES NEREDA)</v>
          </cell>
          <cell r="O673" t="str">
            <v>FORTANKS</v>
          </cell>
          <cell r="P673">
            <v>3</v>
          </cell>
          <cell r="Q673" t="str">
            <v>Gean</v>
          </cell>
          <cell r="R673">
            <v>45757</v>
          </cell>
          <cell r="S673">
            <v>0.625</v>
          </cell>
          <cell r="T673">
            <v>0.61499999999999999</v>
          </cell>
          <cell r="U673" t="str">
            <v>X</v>
          </cell>
          <cell r="V673">
            <v>0.40625</v>
          </cell>
          <cell r="W673">
            <v>30.56</v>
          </cell>
          <cell r="X673">
            <v>30.38</v>
          </cell>
          <cell r="Y673">
            <v>0.41666666666666669</v>
          </cell>
          <cell r="Z673">
            <v>85.12</v>
          </cell>
          <cell r="AA673">
            <v>85.47</v>
          </cell>
          <cell r="AW673">
            <v>4</v>
          </cell>
          <cell r="AX673">
            <v>4</v>
          </cell>
          <cell r="AY673">
            <v>4</v>
          </cell>
          <cell r="AZ673">
            <v>4</v>
          </cell>
          <cell r="BA673" t="str">
            <v>CONSORCIO NOVA ETE - PARQUE NOVO MUNDO</v>
          </cell>
          <cell r="BB673">
            <v>45758</v>
          </cell>
          <cell r="BD673" t="str">
            <v>sex</v>
          </cell>
          <cell r="BG673">
            <v>45757</v>
          </cell>
        </row>
        <row r="674">
          <cell r="A674">
            <v>1037</v>
          </cell>
          <cell r="B674">
            <v>658</v>
          </cell>
          <cell r="C674" t="str">
            <v>PLACAS PN-91 / PN-92</v>
          </cell>
          <cell r="D674">
            <v>7</v>
          </cell>
          <cell r="E674">
            <v>40</v>
          </cell>
          <cell r="F674">
            <v>24</v>
          </cell>
          <cell r="G674">
            <v>40</v>
          </cell>
          <cell r="H674">
            <v>0</v>
          </cell>
          <cell r="I674" t="str">
            <v>-</v>
          </cell>
          <cell r="J674" t="str">
            <v>650/660</v>
          </cell>
          <cell r="K674" t="str">
            <v xml:space="preserve">CPIII 40 RS </v>
          </cell>
          <cell r="L674" t="str">
            <v>CP V</v>
          </cell>
          <cell r="M674" t="str">
            <v>SUPER PLASTIFICANTE</v>
          </cell>
          <cell r="N674" t="str">
            <v>ETE - PARQUE NOVO MUNDO (REATORES NEREDA)</v>
          </cell>
          <cell r="O674" t="str">
            <v>FORTANKS</v>
          </cell>
          <cell r="P674">
            <v>4</v>
          </cell>
          <cell r="Q674" t="str">
            <v>Gean</v>
          </cell>
          <cell r="R674">
            <v>45757</v>
          </cell>
          <cell r="S674">
            <v>0.63888888888888884</v>
          </cell>
          <cell r="T674">
            <v>0.62888888888888883</v>
          </cell>
          <cell r="U674" t="str">
            <v>X</v>
          </cell>
          <cell r="V674">
            <v>0.41249999999999998</v>
          </cell>
          <cell r="W674">
            <v>30.2</v>
          </cell>
          <cell r="X674">
            <v>28.36</v>
          </cell>
          <cell r="Y674">
            <v>0.41666666666666669</v>
          </cell>
          <cell r="Z674">
            <v>84.78</v>
          </cell>
          <cell r="AA674">
            <v>84.25</v>
          </cell>
          <cell r="AW674">
            <v>4</v>
          </cell>
          <cell r="AX674">
            <v>4</v>
          </cell>
          <cell r="AY674">
            <v>4</v>
          </cell>
          <cell r="AZ674">
            <v>4</v>
          </cell>
          <cell r="BA674" t="str">
            <v>CONSORCIO NOVA ETE - PARQUE NOVO MUNDO</v>
          </cell>
          <cell r="BB674">
            <v>45758</v>
          </cell>
          <cell r="BD674" t="str">
            <v>sex</v>
          </cell>
          <cell r="BG674">
            <v>45757</v>
          </cell>
        </row>
        <row r="675">
          <cell r="A675">
            <v>1038</v>
          </cell>
          <cell r="B675">
            <v>659</v>
          </cell>
          <cell r="C675" t="str">
            <v>PLACA PR_PN-16 (CANALETA)</v>
          </cell>
          <cell r="D675">
            <v>1</v>
          </cell>
          <cell r="F675">
            <v>15</v>
          </cell>
          <cell r="J675" t="str">
            <v>650/650</v>
          </cell>
          <cell r="M675" t="str">
            <v>SUPER PLASTIFICANTE</v>
          </cell>
          <cell r="N675" t="str">
            <v>ETE - PROJETO SUCURIÚ - CLARIFICADOR PRIMARIO</v>
          </cell>
          <cell r="O675" t="str">
            <v>FORTANKS</v>
          </cell>
          <cell r="P675">
            <v>5</v>
          </cell>
          <cell r="Q675" t="str">
            <v>Gean</v>
          </cell>
          <cell r="R675">
            <v>45757</v>
          </cell>
          <cell r="S675">
            <v>0.70833333333333337</v>
          </cell>
          <cell r="T675">
            <v>0.69833333333333336</v>
          </cell>
          <cell r="U675" t="str">
            <v>X</v>
          </cell>
          <cell r="V675">
            <v>0.41666666666666669</v>
          </cell>
          <cell r="W675">
            <v>20.48</v>
          </cell>
          <cell r="X675">
            <v>19.38</v>
          </cell>
          <cell r="Y675">
            <v>0.41666666666666669</v>
          </cell>
          <cell r="Z675">
            <v>85.45</v>
          </cell>
          <cell r="AA675">
            <v>85.12</v>
          </cell>
          <cell r="AW675">
            <v>4</v>
          </cell>
          <cell r="AX675">
            <v>4</v>
          </cell>
          <cell r="AY675">
            <v>4</v>
          </cell>
          <cell r="AZ675">
            <v>4</v>
          </cell>
          <cell r="BA675" t="str">
            <v>FORTES ENGENHARIA</v>
          </cell>
          <cell r="BB675">
            <v>45758</v>
          </cell>
          <cell r="BD675" t="str">
            <v>sex</v>
          </cell>
          <cell r="BG675">
            <v>45757</v>
          </cell>
        </row>
        <row r="676">
          <cell r="A676" t="str">
            <v>1039-A</v>
          </cell>
          <cell r="B676">
            <v>660</v>
          </cell>
          <cell r="C676" t="str">
            <v>PLACA PR_PN-17</v>
          </cell>
          <cell r="D676">
            <v>6</v>
          </cell>
          <cell r="F676">
            <v>24</v>
          </cell>
          <cell r="J676" t="str">
            <v>660/660</v>
          </cell>
          <cell r="M676" t="str">
            <v>SUPER PLASTIFICANTE</v>
          </cell>
          <cell r="N676" t="str">
            <v>ETE - PROJETO SUCURIÚ - CLARIFICADOR PRIMARIO</v>
          </cell>
          <cell r="O676" t="str">
            <v>FORTANKS</v>
          </cell>
          <cell r="P676">
            <v>1</v>
          </cell>
          <cell r="Q676" t="str">
            <v>Gean</v>
          </cell>
          <cell r="R676">
            <v>45758</v>
          </cell>
          <cell r="S676">
            <v>0.56944444444444442</v>
          </cell>
          <cell r="T676">
            <v>0.55944444444444441</v>
          </cell>
          <cell r="U676" t="str">
            <v>X</v>
          </cell>
          <cell r="V676">
            <v>0.36458333333333331</v>
          </cell>
          <cell r="W676">
            <v>28.67</v>
          </cell>
          <cell r="X676">
            <v>29.84</v>
          </cell>
          <cell r="Y676">
            <v>0.41666666666666669</v>
          </cell>
          <cell r="Z676">
            <v>86.31</v>
          </cell>
          <cell r="AA676">
            <v>85.54</v>
          </cell>
          <cell r="AW676">
            <v>4</v>
          </cell>
          <cell r="AX676">
            <v>4</v>
          </cell>
          <cell r="AY676">
            <v>4</v>
          </cell>
          <cell r="AZ676">
            <v>4</v>
          </cell>
          <cell r="BA676" t="str">
            <v>FORTES ENGENHARIA</v>
          </cell>
          <cell r="BB676">
            <v>45759</v>
          </cell>
          <cell r="BD676" t="str">
            <v>sáb</v>
          </cell>
          <cell r="BG676">
            <v>45758</v>
          </cell>
        </row>
        <row r="677">
          <cell r="A677">
            <v>1039</v>
          </cell>
          <cell r="B677">
            <v>660</v>
          </cell>
          <cell r="C677" t="str">
            <v>PLACA PN-106</v>
          </cell>
          <cell r="D677">
            <v>6</v>
          </cell>
          <cell r="E677">
            <v>40</v>
          </cell>
          <cell r="F677">
            <v>24</v>
          </cell>
          <cell r="G677">
            <v>40</v>
          </cell>
          <cell r="H677">
            <v>0</v>
          </cell>
          <cell r="I677" t="str">
            <v>-</v>
          </cell>
          <cell r="J677" t="str">
            <v>660/660</v>
          </cell>
          <cell r="K677" t="str">
            <v xml:space="preserve">CPIII 40 RS </v>
          </cell>
          <cell r="L677" t="str">
            <v>CP V</v>
          </cell>
          <cell r="M677" t="str">
            <v>SUPER PLASTIFICANTE</v>
          </cell>
          <cell r="N677" t="str">
            <v>ETE - PARQUE NOVO MUNDO (REATORES NEREDA)</v>
          </cell>
          <cell r="O677" t="str">
            <v>FORTANKS</v>
          </cell>
          <cell r="P677">
            <v>1</v>
          </cell>
          <cell r="Q677" t="str">
            <v>Gean</v>
          </cell>
          <cell r="R677">
            <v>45758</v>
          </cell>
          <cell r="S677">
            <v>0.56944444444444442</v>
          </cell>
          <cell r="T677">
            <v>0.55944444444444441</v>
          </cell>
          <cell r="U677" t="str">
            <v>X</v>
          </cell>
          <cell r="V677">
            <v>0.36458333333333331</v>
          </cell>
          <cell r="W677">
            <v>28.67</v>
          </cell>
          <cell r="X677">
            <v>29.84</v>
          </cell>
          <cell r="Y677">
            <v>0.41666666666666669</v>
          </cell>
          <cell r="Z677">
            <v>86.31</v>
          </cell>
          <cell r="AA677">
            <v>85.54</v>
          </cell>
          <cell r="AW677">
            <v>4</v>
          </cell>
          <cell r="AX677">
            <v>4</v>
          </cell>
          <cell r="AY677">
            <v>4</v>
          </cell>
          <cell r="AZ677">
            <v>4</v>
          </cell>
          <cell r="BA677" t="str">
            <v>CONSORCIO NOVA ETE - PARQUE NOVO MUNDO</v>
          </cell>
          <cell r="BB677">
            <v>45759</v>
          </cell>
          <cell r="BD677" t="str">
            <v>sáb</v>
          </cell>
          <cell r="BG677">
            <v>45758</v>
          </cell>
        </row>
        <row r="678">
          <cell r="A678">
            <v>1040</v>
          </cell>
          <cell r="B678">
            <v>661</v>
          </cell>
          <cell r="C678" t="str">
            <v>PLACAS PN-104 / PN-105</v>
          </cell>
          <cell r="D678">
            <v>7</v>
          </cell>
          <cell r="E678">
            <v>40</v>
          </cell>
          <cell r="F678">
            <v>24</v>
          </cell>
          <cell r="G678">
            <v>40</v>
          </cell>
          <cell r="H678">
            <v>0</v>
          </cell>
          <cell r="I678" t="str">
            <v>-</v>
          </cell>
          <cell r="J678" t="str">
            <v>650/650</v>
          </cell>
          <cell r="K678" t="str">
            <v xml:space="preserve">CPIII 40 RS </v>
          </cell>
          <cell r="L678" t="str">
            <v>CP V</v>
          </cell>
          <cell r="M678" t="str">
            <v>SUPER PLASTIFICANTE</v>
          </cell>
          <cell r="N678" t="str">
            <v>ETE - PARQUE NOVO MUNDO (REATORES NEREDA)</v>
          </cell>
          <cell r="O678" t="str">
            <v>FORTANKS</v>
          </cell>
          <cell r="P678">
            <v>2</v>
          </cell>
          <cell r="Q678" t="str">
            <v>Gean</v>
          </cell>
          <cell r="R678">
            <v>45758</v>
          </cell>
          <cell r="S678">
            <v>0.58888888888888891</v>
          </cell>
          <cell r="T678">
            <v>0.5788888888888889</v>
          </cell>
          <cell r="U678" t="str">
            <v>X</v>
          </cell>
          <cell r="V678">
            <v>0.3611111111111111</v>
          </cell>
          <cell r="W678">
            <v>28.37</v>
          </cell>
          <cell r="X678">
            <v>30.02</v>
          </cell>
          <cell r="Y678">
            <v>0.41666666666666669</v>
          </cell>
          <cell r="Z678">
            <v>84.8</v>
          </cell>
          <cell r="AA678">
            <v>84.58</v>
          </cell>
          <cell r="AW678">
            <v>4</v>
          </cell>
          <cell r="AX678">
            <v>4</v>
          </cell>
          <cell r="AY678">
            <v>4</v>
          </cell>
          <cell r="AZ678">
            <v>4</v>
          </cell>
          <cell r="BA678" t="str">
            <v>CONSORCIO NOVA ETE - PARQUE NOVO MUNDO</v>
          </cell>
          <cell r="BB678">
            <v>45759</v>
          </cell>
          <cell r="BD678" t="str">
            <v>sáb</v>
          </cell>
          <cell r="BG678">
            <v>45758</v>
          </cell>
        </row>
        <row r="679">
          <cell r="A679">
            <v>1041</v>
          </cell>
          <cell r="B679">
            <v>662</v>
          </cell>
          <cell r="C679" t="str">
            <v>PLACAS PN-102 / PN-103</v>
          </cell>
          <cell r="D679">
            <v>7</v>
          </cell>
          <cell r="E679">
            <v>40</v>
          </cell>
          <cell r="F679">
            <v>24</v>
          </cell>
          <cell r="G679">
            <v>40</v>
          </cell>
          <cell r="H679">
            <v>0</v>
          </cell>
          <cell r="I679" t="str">
            <v>-</v>
          </cell>
          <cell r="J679" t="str">
            <v>660/660</v>
          </cell>
          <cell r="K679" t="str">
            <v xml:space="preserve">CPIII 40 RS </v>
          </cell>
          <cell r="L679" t="str">
            <v>CP V</v>
          </cell>
          <cell r="M679" t="str">
            <v>SUPER PLASTIFICANTE</v>
          </cell>
          <cell r="N679" t="str">
            <v>ETE - PARQUE NOVO MUNDO (REATORES NEREDA)</v>
          </cell>
          <cell r="O679" t="str">
            <v>FORTANKS</v>
          </cell>
          <cell r="P679">
            <v>3</v>
          </cell>
          <cell r="Q679" t="str">
            <v>Gean</v>
          </cell>
          <cell r="R679">
            <v>45758</v>
          </cell>
          <cell r="S679">
            <v>0.61111111111111116</v>
          </cell>
          <cell r="T679">
            <v>0.60111111111111115</v>
          </cell>
          <cell r="U679" t="str">
            <v>X</v>
          </cell>
          <cell r="V679">
            <v>0.3576388888888889</v>
          </cell>
          <cell r="W679">
            <v>27.69</v>
          </cell>
          <cell r="X679">
            <v>28.13</v>
          </cell>
          <cell r="Y679">
            <v>0.41666666666666669</v>
          </cell>
          <cell r="Z679">
            <v>86.61</v>
          </cell>
          <cell r="AA679">
            <v>86.41</v>
          </cell>
          <cell r="AW679">
            <v>4</v>
          </cell>
          <cell r="AX679">
            <v>4</v>
          </cell>
          <cell r="AY679">
            <v>4</v>
          </cell>
          <cell r="AZ679">
            <v>4</v>
          </cell>
          <cell r="BA679" t="str">
            <v>CONSORCIO NOVA ETE - PARQUE NOVO MUNDO</v>
          </cell>
          <cell r="BB679">
            <v>45759</v>
          </cell>
          <cell r="BD679" t="str">
            <v>sáb</v>
          </cell>
          <cell r="BG679">
            <v>45758</v>
          </cell>
        </row>
        <row r="680">
          <cell r="A680">
            <v>1042</v>
          </cell>
          <cell r="B680">
            <v>663</v>
          </cell>
          <cell r="C680" t="str">
            <v>PLACAS PN-99 / PN-100</v>
          </cell>
          <cell r="D680">
            <v>7</v>
          </cell>
          <cell r="E680">
            <v>40</v>
          </cell>
          <cell r="F680">
            <v>24</v>
          </cell>
          <cell r="G680">
            <v>40</v>
          </cell>
          <cell r="H680">
            <v>0</v>
          </cell>
          <cell r="I680" t="str">
            <v>-</v>
          </cell>
          <cell r="J680" t="str">
            <v>670/660</v>
          </cell>
          <cell r="K680" t="str">
            <v xml:space="preserve">CPIII 40 RS </v>
          </cell>
          <cell r="L680" t="str">
            <v>CP V</v>
          </cell>
          <cell r="M680" t="str">
            <v>SUPER PLASTIFICANTE</v>
          </cell>
          <cell r="N680" t="str">
            <v>ETE - PARQUE NOVO MUNDO (REATORES NEREDA)</v>
          </cell>
          <cell r="O680" t="str">
            <v>FORTANKS</v>
          </cell>
          <cell r="P680">
            <v>4</v>
          </cell>
          <cell r="Q680" t="str">
            <v>Gean</v>
          </cell>
          <cell r="R680">
            <v>45758</v>
          </cell>
          <cell r="S680">
            <v>0.62152777777777779</v>
          </cell>
          <cell r="T680">
            <v>0.61152777777777778</v>
          </cell>
          <cell r="U680" t="str">
            <v>X</v>
          </cell>
          <cell r="V680">
            <v>0.35416666666666669</v>
          </cell>
          <cell r="W680">
            <v>27.65</v>
          </cell>
          <cell r="X680">
            <v>28.32</v>
          </cell>
          <cell r="Y680">
            <v>0.4375</v>
          </cell>
          <cell r="Z680">
            <v>86.16</v>
          </cell>
          <cell r="AA680">
            <v>85.22</v>
          </cell>
          <cell r="AW680">
            <v>4</v>
          </cell>
          <cell r="AX680">
            <v>4</v>
          </cell>
          <cell r="AY680">
            <v>4</v>
          </cell>
          <cell r="AZ680">
            <v>4</v>
          </cell>
          <cell r="BA680" t="str">
            <v>CONSORCIO NOVA ETE - PARQUE NOVO MUNDO</v>
          </cell>
          <cell r="BB680">
            <v>45759</v>
          </cell>
          <cell r="BD680" t="str">
            <v>sáb</v>
          </cell>
          <cell r="BG680">
            <v>45758</v>
          </cell>
        </row>
        <row r="681">
          <cell r="A681">
            <v>1043</v>
          </cell>
          <cell r="B681">
            <v>664</v>
          </cell>
          <cell r="C681" t="str">
            <v>PLACA PR_PN-17 (CANALETA)</v>
          </cell>
          <cell r="D681">
            <v>1</v>
          </cell>
          <cell r="F681">
            <v>24</v>
          </cell>
          <cell r="J681" t="str">
            <v>660/660</v>
          </cell>
          <cell r="M681" t="str">
            <v>SUPER PLASTIFICANTE</v>
          </cell>
          <cell r="N681" t="str">
            <v>ETE - PROJETO SUCURIÚ - CLARIFICADOR PRIMARIO</v>
          </cell>
          <cell r="O681" t="str">
            <v>FORTANKS</v>
          </cell>
          <cell r="P681">
            <v>5</v>
          </cell>
          <cell r="Q681" t="str">
            <v>Gean</v>
          </cell>
          <cell r="R681">
            <v>45758</v>
          </cell>
          <cell r="S681">
            <v>0.70833333333333337</v>
          </cell>
          <cell r="T681">
            <v>0.69833333333333336</v>
          </cell>
          <cell r="U681" t="str">
            <v>X</v>
          </cell>
          <cell r="V681">
            <v>0.36805555555555558</v>
          </cell>
          <cell r="W681">
            <v>15.23</v>
          </cell>
          <cell r="X681">
            <v>16.25</v>
          </cell>
          <cell r="Y681">
            <v>0.41666666666666669</v>
          </cell>
          <cell r="Z681">
            <v>85.46</v>
          </cell>
          <cell r="AA681">
            <v>85.14</v>
          </cell>
          <cell r="AW681">
            <v>4</v>
          </cell>
          <cell r="AX681">
            <v>4</v>
          </cell>
          <cell r="AY681">
            <v>4</v>
          </cell>
          <cell r="AZ681">
            <v>4</v>
          </cell>
          <cell r="BA681" t="str">
            <v>FORTES ENGENHARIA</v>
          </cell>
          <cell r="BB681">
            <v>45759</v>
          </cell>
          <cell r="BD681" t="str">
            <v>sáb</v>
          </cell>
          <cell r="BG681">
            <v>45758</v>
          </cell>
        </row>
        <row r="682">
          <cell r="A682" t="str">
            <v>1044-A</v>
          </cell>
          <cell r="B682" t="str">
            <v>665-A</v>
          </cell>
          <cell r="C682" t="str">
            <v>PLACA PR_PN-18</v>
          </cell>
          <cell r="D682">
            <v>6</v>
          </cell>
          <cell r="E682">
            <v>40</v>
          </cell>
          <cell r="F682">
            <v>24</v>
          </cell>
          <cell r="G682">
            <v>40</v>
          </cell>
          <cell r="H682">
            <v>0</v>
          </cell>
          <cell r="I682" t="str">
            <v>-</v>
          </cell>
          <cell r="J682" t="str">
            <v>660/660</v>
          </cell>
          <cell r="K682" t="str">
            <v xml:space="preserve">CPIII 40 RS </v>
          </cell>
          <cell r="L682" t="str">
            <v>CP V</v>
          </cell>
          <cell r="M682" t="str">
            <v>SUPER PLASTIFICANTE</v>
          </cell>
          <cell r="N682" t="str">
            <v>ETE - PROJETO SUCURIÚ - CLARIFICADOR PRIMARIO</v>
          </cell>
          <cell r="O682" t="str">
            <v>FORTANKS</v>
          </cell>
          <cell r="P682">
            <v>1</v>
          </cell>
          <cell r="Q682" t="str">
            <v>Gean</v>
          </cell>
          <cell r="R682">
            <v>45761</v>
          </cell>
          <cell r="S682">
            <v>0.59027777777777779</v>
          </cell>
          <cell r="T682">
            <v>0.58027777777777778</v>
          </cell>
          <cell r="U682" t="str">
            <v>X</v>
          </cell>
          <cell r="V682">
            <v>0.63194444444444442</v>
          </cell>
          <cell r="W682">
            <v>35.1</v>
          </cell>
          <cell r="X682">
            <v>36.659999999999997</v>
          </cell>
          <cell r="Y682">
            <v>0.41666666666666669</v>
          </cell>
          <cell r="Z682">
            <v>86.23</v>
          </cell>
          <cell r="AA682">
            <v>85.64</v>
          </cell>
          <cell r="AW682">
            <v>4</v>
          </cell>
          <cell r="AX682">
            <v>4</v>
          </cell>
          <cell r="AY682">
            <v>4</v>
          </cell>
          <cell r="AZ682">
            <v>4</v>
          </cell>
          <cell r="BA682" t="str">
            <v>FORTES ENGENHARIA</v>
          </cell>
          <cell r="BB682">
            <v>45762</v>
          </cell>
          <cell r="BD682" t="str">
            <v>ter</v>
          </cell>
          <cell r="BG682">
            <v>45761</v>
          </cell>
        </row>
        <row r="683">
          <cell r="A683">
            <v>1044</v>
          </cell>
          <cell r="B683">
            <v>665</v>
          </cell>
          <cell r="C683" t="str">
            <v>PLACA PN-113</v>
          </cell>
          <cell r="D683">
            <v>6</v>
          </cell>
          <cell r="E683">
            <v>40</v>
          </cell>
          <cell r="F683">
            <v>24</v>
          </cell>
          <cell r="G683">
            <v>40</v>
          </cell>
          <cell r="H683">
            <v>0</v>
          </cell>
          <cell r="I683" t="str">
            <v>-</v>
          </cell>
          <cell r="J683" t="str">
            <v>660/660</v>
          </cell>
          <cell r="K683" t="str">
            <v xml:space="preserve">CPIII 40 RS </v>
          </cell>
          <cell r="L683" t="str">
            <v>CP V</v>
          </cell>
          <cell r="M683" t="str">
            <v>SUPER PLASTIFICANTE</v>
          </cell>
          <cell r="N683" t="str">
            <v>ETE - PARQUE NOVO MUNDO (REATORES NEREDA)</v>
          </cell>
          <cell r="O683" t="str">
            <v>FORTANKS</v>
          </cell>
          <cell r="P683">
            <v>1</v>
          </cell>
          <cell r="Q683" t="str">
            <v>Gean</v>
          </cell>
          <cell r="R683">
            <v>45761</v>
          </cell>
          <cell r="S683">
            <v>0.59027777777777779</v>
          </cell>
          <cell r="T683">
            <v>0.58027777777777778</v>
          </cell>
          <cell r="U683" t="str">
            <v>X</v>
          </cell>
          <cell r="V683">
            <v>0.63194444444444442</v>
          </cell>
          <cell r="W683">
            <v>35.1</v>
          </cell>
          <cell r="X683">
            <v>36.659999999999997</v>
          </cell>
          <cell r="Y683">
            <v>0.41666666666666669</v>
          </cell>
          <cell r="Z683">
            <v>86.23</v>
          </cell>
          <cell r="AA683">
            <v>85.64</v>
          </cell>
          <cell r="AW683">
            <v>4</v>
          </cell>
          <cell r="AX683">
            <v>4</v>
          </cell>
          <cell r="AY683">
            <v>4</v>
          </cell>
          <cell r="AZ683">
            <v>4</v>
          </cell>
          <cell r="BA683" t="str">
            <v>CONSORCIO NOVA ETE - PARQUE NOVO MUNDO</v>
          </cell>
          <cell r="BB683">
            <v>45762</v>
          </cell>
          <cell r="BD683" t="str">
            <v>ter</v>
          </cell>
          <cell r="BG683">
            <v>45761</v>
          </cell>
        </row>
        <row r="684">
          <cell r="A684">
            <v>1045</v>
          </cell>
          <cell r="B684">
            <v>666</v>
          </cell>
          <cell r="C684" t="str">
            <v>PLACAS PN-111 / PN-112</v>
          </cell>
          <cell r="D684">
            <v>7</v>
          </cell>
          <cell r="E684">
            <v>40</v>
          </cell>
          <cell r="F684">
            <v>24</v>
          </cell>
          <cell r="G684">
            <v>40</v>
          </cell>
          <cell r="H684">
            <v>0</v>
          </cell>
          <cell r="I684" t="str">
            <v>-</v>
          </cell>
          <cell r="J684" t="str">
            <v>660/670</v>
          </cell>
          <cell r="K684" t="str">
            <v xml:space="preserve">CPIII 40 RS </v>
          </cell>
          <cell r="L684" t="str">
            <v>CP V</v>
          </cell>
          <cell r="M684" t="str">
            <v>SUPER PLASTIFICANTE</v>
          </cell>
          <cell r="N684" t="str">
            <v>ETE - PARQUE NOVO MUNDO (REATORES NEREDA)</v>
          </cell>
          <cell r="O684" t="str">
            <v>FORTANKS</v>
          </cell>
          <cell r="P684">
            <v>2</v>
          </cell>
          <cell r="Q684" t="str">
            <v>Gean</v>
          </cell>
          <cell r="R684">
            <v>45761</v>
          </cell>
          <cell r="S684">
            <v>0.63194444444444442</v>
          </cell>
          <cell r="T684">
            <v>0.62194444444444441</v>
          </cell>
          <cell r="U684" t="str">
            <v>X</v>
          </cell>
          <cell r="V684">
            <v>0.63194444444444442</v>
          </cell>
          <cell r="W684">
            <v>38.950000000000003</v>
          </cell>
          <cell r="X684">
            <v>35.76</v>
          </cell>
          <cell r="Y684">
            <v>0.41666666666666669</v>
          </cell>
          <cell r="Z684">
            <v>87.22</v>
          </cell>
          <cell r="AA684">
            <v>86.35</v>
          </cell>
          <cell r="AW684">
            <v>4</v>
          </cell>
          <cell r="AX684">
            <v>4</v>
          </cell>
          <cell r="AY684">
            <v>4</v>
          </cell>
          <cell r="AZ684">
            <v>4</v>
          </cell>
          <cell r="BA684" t="str">
            <v>CONSORCIO NOVA ETE - PARQUE NOVO MUNDO</v>
          </cell>
          <cell r="BB684">
            <v>45762</v>
          </cell>
          <cell r="BD684" t="str">
            <v>ter</v>
          </cell>
          <cell r="BG684">
            <v>45761</v>
          </cell>
        </row>
        <row r="685">
          <cell r="A685">
            <v>1046</v>
          </cell>
          <cell r="B685">
            <v>667</v>
          </cell>
          <cell r="C685" t="str">
            <v>PLACAS PN-109 / PN-110</v>
          </cell>
          <cell r="D685">
            <v>7</v>
          </cell>
          <cell r="E685">
            <v>40</v>
          </cell>
          <cell r="F685">
            <v>24</v>
          </cell>
          <cell r="G685">
            <v>40</v>
          </cell>
          <cell r="H685">
            <v>0</v>
          </cell>
          <cell r="I685" t="str">
            <v>-</v>
          </cell>
          <cell r="J685" t="str">
            <v>650/650</v>
          </cell>
          <cell r="K685" t="str">
            <v xml:space="preserve">CPIII 40 RS </v>
          </cell>
          <cell r="L685" t="str">
            <v>CP V</v>
          </cell>
          <cell r="M685" t="str">
            <v>SUPER PLASTIFICANTE</v>
          </cell>
          <cell r="N685" t="str">
            <v>ETE - PARQUE NOVO MUNDO (REATORES NEREDA)</v>
          </cell>
          <cell r="O685" t="str">
            <v>FORTANKS</v>
          </cell>
          <cell r="P685">
            <v>3</v>
          </cell>
          <cell r="Q685" t="str">
            <v>Gean</v>
          </cell>
          <cell r="R685">
            <v>45761</v>
          </cell>
          <cell r="S685">
            <v>0.66666666666666663</v>
          </cell>
          <cell r="T685">
            <v>0.65666666666666662</v>
          </cell>
          <cell r="U685" t="str">
            <v>X</v>
          </cell>
          <cell r="V685">
            <v>0.63194444444444442</v>
          </cell>
          <cell r="W685">
            <v>38.47</v>
          </cell>
          <cell r="X685">
            <v>38.479999999999997</v>
          </cell>
          <cell r="Y685">
            <v>0.41666666666666669</v>
          </cell>
          <cell r="Z685">
            <v>88.22</v>
          </cell>
          <cell r="AA685">
            <v>87.58</v>
          </cell>
          <cell r="AW685">
            <v>4</v>
          </cell>
          <cell r="AX685">
            <v>4</v>
          </cell>
          <cell r="AY685">
            <v>4</v>
          </cell>
          <cell r="AZ685">
            <v>4</v>
          </cell>
          <cell r="BA685" t="str">
            <v>CONSORCIO NOVA ETE - PARQUE NOVO MUNDO</v>
          </cell>
          <cell r="BB685">
            <v>45762</v>
          </cell>
          <cell r="BD685" t="str">
            <v>ter</v>
          </cell>
          <cell r="BG685">
            <v>45761</v>
          </cell>
        </row>
        <row r="686">
          <cell r="A686">
            <v>1047</v>
          </cell>
          <cell r="B686">
            <v>668</v>
          </cell>
          <cell r="C686" t="str">
            <v>PLACA PN-108</v>
          </cell>
          <cell r="D686">
            <v>4.5</v>
          </cell>
          <cell r="E686">
            <v>40</v>
          </cell>
          <cell r="F686">
            <v>24</v>
          </cell>
          <cell r="G686">
            <v>40</v>
          </cell>
          <cell r="H686">
            <v>0</v>
          </cell>
          <cell r="I686" t="str">
            <v>-</v>
          </cell>
          <cell r="J686" t="str">
            <v>680/680</v>
          </cell>
          <cell r="K686" t="str">
            <v xml:space="preserve">CPIII 40 RS </v>
          </cell>
          <cell r="L686" t="str">
            <v>CP V</v>
          </cell>
          <cell r="M686" t="str">
            <v>SUPER PLASTIFICANTE</v>
          </cell>
          <cell r="N686" t="str">
            <v>ETE - PARQUE NOVO MUNDO (REATORES NEREDA)</v>
          </cell>
          <cell r="O686" t="str">
            <v>FORTANKS</v>
          </cell>
          <cell r="P686">
            <v>4</v>
          </cell>
          <cell r="Q686" t="str">
            <v>Gean</v>
          </cell>
          <cell r="R686">
            <v>45761</v>
          </cell>
          <cell r="S686">
            <v>0.70486111111111116</v>
          </cell>
          <cell r="T686">
            <v>0.69486111111111115</v>
          </cell>
          <cell r="U686" t="str">
            <v>X</v>
          </cell>
          <cell r="V686">
            <v>0.625</v>
          </cell>
          <cell r="W686">
            <v>25.28</v>
          </cell>
          <cell r="X686">
            <v>28.57</v>
          </cell>
          <cell r="Y686">
            <v>0.41666666666666669</v>
          </cell>
          <cell r="Z686">
            <v>85.33</v>
          </cell>
          <cell r="AA686">
            <v>85.12</v>
          </cell>
          <cell r="AW686">
            <v>4</v>
          </cell>
          <cell r="AX686">
            <v>4</v>
          </cell>
          <cell r="AY686">
            <v>4</v>
          </cell>
          <cell r="AZ686">
            <v>4</v>
          </cell>
          <cell r="BA686" t="str">
            <v>CONSORCIO NOVA ETE - PARQUE NOVO MUNDO</v>
          </cell>
          <cell r="BB686">
            <v>45762</v>
          </cell>
          <cell r="BD686" t="str">
            <v>ter</v>
          </cell>
          <cell r="BG686">
            <v>45761</v>
          </cell>
        </row>
        <row r="687">
          <cell r="A687" t="str">
            <v>1047-A</v>
          </cell>
          <cell r="B687">
            <v>668</v>
          </cell>
          <cell r="C687" t="str">
            <v>PLACA PR_PN-18 - (CANALETA)</v>
          </cell>
          <cell r="D687">
            <v>4.5</v>
          </cell>
          <cell r="E687">
            <v>40</v>
          </cell>
          <cell r="F687">
            <v>24</v>
          </cell>
          <cell r="G687">
            <v>40</v>
          </cell>
          <cell r="H687">
            <v>0</v>
          </cell>
          <cell r="I687" t="str">
            <v>-</v>
          </cell>
          <cell r="J687" t="str">
            <v>680/680</v>
          </cell>
          <cell r="K687" t="str">
            <v xml:space="preserve">CPIII 40 RS </v>
          </cell>
          <cell r="L687" t="str">
            <v>CP V</v>
          </cell>
          <cell r="M687" t="str">
            <v>SUPER PLASTIFICANTE</v>
          </cell>
          <cell r="N687" t="str">
            <v>ETE - PROJETO SUCURIÚ - CLARIFICADOR PRIMARIO</v>
          </cell>
          <cell r="O687" t="str">
            <v>FORTANKS</v>
          </cell>
          <cell r="P687">
            <v>4</v>
          </cell>
          <cell r="Q687" t="str">
            <v>Gean</v>
          </cell>
          <cell r="R687">
            <v>45761</v>
          </cell>
          <cell r="S687">
            <v>0.70486111111111116</v>
          </cell>
          <cell r="T687">
            <v>0.69486111111111115</v>
          </cell>
          <cell r="U687" t="str">
            <v>X</v>
          </cell>
          <cell r="V687">
            <v>0.625</v>
          </cell>
          <cell r="W687">
            <v>25.28</v>
          </cell>
          <cell r="X687">
            <v>28.57</v>
          </cell>
          <cell r="Y687">
            <v>0.41666666666666669</v>
          </cell>
          <cell r="Z687">
            <v>85.33</v>
          </cell>
          <cell r="AA687">
            <v>85.12</v>
          </cell>
          <cell r="AW687">
            <v>4</v>
          </cell>
          <cell r="AX687">
            <v>4</v>
          </cell>
          <cell r="AY687">
            <v>4</v>
          </cell>
          <cell r="AZ687">
            <v>4</v>
          </cell>
          <cell r="BA687" t="str">
            <v>FORTES ENGENHARIA</v>
          </cell>
          <cell r="BB687">
            <v>45762</v>
          </cell>
          <cell r="BD687" t="str">
            <v>ter</v>
          </cell>
          <cell r="BG687">
            <v>45761</v>
          </cell>
        </row>
        <row r="688">
          <cell r="A688">
            <v>1048</v>
          </cell>
          <cell r="B688">
            <v>669</v>
          </cell>
          <cell r="C688" t="str">
            <v>PLACA PN-120</v>
          </cell>
          <cell r="D688">
            <v>6</v>
          </cell>
          <cell r="E688">
            <v>40</v>
          </cell>
          <cell r="F688">
            <v>24</v>
          </cell>
          <cell r="G688">
            <v>40</v>
          </cell>
          <cell r="H688">
            <v>0</v>
          </cell>
          <cell r="I688" t="str">
            <v>-</v>
          </cell>
          <cell r="J688" t="str">
            <v>650/650</v>
          </cell>
          <cell r="K688" t="str">
            <v xml:space="preserve">CPIII 40 RS </v>
          </cell>
          <cell r="L688" t="str">
            <v>CP V</v>
          </cell>
          <cell r="M688" t="str">
            <v>SUPER PLASTIFICANTE</v>
          </cell>
          <cell r="N688" t="str">
            <v>ETE - PARQUE NOVO MUNDO (REATORES NEREDA)</v>
          </cell>
          <cell r="O688" t="str">
            <v>FORTANKS</v>
          </cell>
          <cell r="P688">
            <v>1</v>
          </cell>
          <cell r="Q688" t="str">
            <v>Gean</v>
          </cell>
          <cell r="R688">
            <v>45762</v>
          </cell>
          <cell r="S688">
            <v>0.55902777777777779</v>
          </cell>
          <cell r="T688">
            <v>0.54902777777777778</v>
          </cell>
          <cell r="U688" t="str">
            <v>X</v>
          </cell>
          <cell r="V688">
            <v>0.55208333333333337</v>
          </cell>
          <cell r="W688">
            <v>41.16</v>
          </cell>
          <cell r="X688">
            <v>41.2</v>
          </cell>
          <cell r="Y688">
            <v>0.41666666666666669</v>
          </cell>
          <cell r="Z688">
            <v>86.3</v>
          </cell>
          <cell r="AA688">
            <v>85.83</v>
          </cell>
          <cell r="AW688">
            <v>4</v>
          </cell>
          <cell r="AX688">
            <v>4</v>
          </cell>
          <cell r="AY688">
            <v>4</v>
          </cell>
          <cell r="AZ688">
            <v>4</v>
          </cell>
          <cell r="BA688" t="str">
            <v>CONSORCIO NOVA ETE - PARQUE NOVO MUNDO</v>
          </cell>
          <cell r="BB688">
            <v>45763</v>
          </cell>
          <cell r="BD688" t="str">
            <v>qua</v>
          </cell>
          <cell r="BG688">
            <v>45762</v>
          </cell>
        </row>
        <row r="689">
          <cell r="A689" t="str">
            <v>1048-A</v>
          </cell>
          <cell r="B689">
            <v>669</v>
          </cell>
          <cell r="C689" t="str">
            <v>PLACA PR_PN-20</v>
          </cell>
          <cell r="D689">
            <v>6</v>
          </cell>
          <cell r="F689">
            <v>24</v>
          </cell>
          <cell r="J689" t="str">
            <v>650/650</v>
          </cell>
          <cell r="M689" t="str">
            <v>SUPER PLASTIFICANTE</v>
          </cell>
          <cell r="N689" t="str">
            <v>ETE - PROJETO SUCURIÚ - CLARIFICADOR PRIMARIO</v>
          </cell>
          <cell r="O689" t="str">
            <v>FORTANKS</v>
          </cell>
          <cell r="P689">
            <v>1</v>
          </cell>
          <cell r="Q689" t="str">
            <v>Gean</v>
          </cell>
          <cell r="R689">
            <v>45762</v>
          </cell>
          <cell r="S689">
            <v>0.55902777777777779</v>
          </cell>
          <cell r="T689">
            <v>0.54902777777777778</v>
          </cell>
          <cell r="U689" t="str">
            <v>X</v>
          </cell>
          <cell r="V689">
            <v>0.55208333333333337</v>
          </cell>
          <cell r="W689">
            <v>41.16</v>
          </cell>
          <cell r="X689">
            <v>41.2</v>
          </cell>
          <cell r="Y689">
            <v>0.41666666666666669</v>
          </cell>
          <cell r="Z689">
            <v>86.3</v>
          </cell>
          <cell r="AA689">
            <v>85.83</v>
          </cell>
          <cell r="AW689">
            <v>4</v>
          </cell>
          <cell r="AX689">
            <v>4</v>
          </cell>
          <cell r="AY689">
            <v>4</v>
          </cell>
          <cell r="AZ689">
            <v>4</v>
          </cell>
          <cell r="BA689" t="str">
            <v>FORTES ENGENHARIA</v>
          </cell>
          <cell r="BB689">
            <v>45763</v>
          </cell>
          <cell r="BD689" t="str">
            <v>qua</v>
          </cell>
          <cell r="BG689">
            <v>45762</v>
          </cell>
        </row>
        <row r="690">
          <cell r="A690">
            <v>1049</v>
          </cell>
          <cell r="B690">
            <v>670</v>
          </cell>
          <cell r="C690" t="str">
            <v>PLACAS PN-118 / PN-119</v>
          </cell>
          <cell r="D690">
            <v>7</v>
          </cell>
          <cell r="E690">
            <v>40</v>
          </cell>
          <cell r="F690">
            <v>24</v>
          </cell>
          <cell r="G690">
            <v>40</v>
          </cell>
          <cell r="H690">
            <v>0</v>
          </cell>
          <cell r="I690" t="str">
            <v>-</v>
          </cell>
          <cell r="J690" t="str">
            <v>660/660</v>
          </cell>
          <cell r="K690" t="str">
            <v xml:space="preserve">CPIII 40 RS </v>
          </cell>
          <cell r="L690" t="str">
            <v>CP V</v>
          </cell>
          <cell r="M690" t="str">
            <v>SUPER PLASTIFICANTE</v>
          </cell>
          <cell r="N690" t="str">
            <v>ETE - PARQUE NOVO MUNDO (REATORES NEREDA)</v>
          </cell>
          <cell r="O690" t="str">
            <v>FORTANKS</v>
          </cell>
          <cell r="P690">
            <v>2</v>
          </cell>
          <cell r="Q690" t="str">
            <v>Gean</v>
          </cell>
          <cell r="R690">
            <v>45762</v>
          </cell>
          <cell r="S690">
            <v>0.56597222222222221</v>
          </cell>
          <cell r="T690">
            <v>0.5559722222222222</v>
          </cell>
          <cell r="U690" t="str">
            <v>X</v>
          </cell>
          <cell r="V690">
            <v>0.54861111111111116</v>
          </cell>
          <cell r="W690">
            <v>29.03</v>
          </cell>
          <cell r="X690">
            <v>28.45</v>
          </cell>
          <cell r="Y690">
            <v>0.41666666666666669</v>
          </cell>
          <cell r="Z690">
            <v>83.13</v>
          </cell>
          <cell r="AA690">
            <v>84.25</v>
          </cell>
          <cell r="AW690">
            <v>4</v>
          </cell>
          <cell r="AX690">
            <v>4</v>
          </cell>
          <cell r="AY690">
            <v>4</v>
          </cell>
          <cell r="AZ690">
            <v>4</v>
          </cell>
          <cell r="BA690" t="str">
            <v>CONSORCIO NOVA ETE - PARQUE NOVO MUNDO</v>
          </cell>
          <cell r="BB690">
            <v>45763</v>
          </cell>
          <cell r="BD690" t="str">
            <v>qua</v>
          </cell>
          <cell r="BG690">
            <v>45762</v>
          </cell>
        </row>
        <row r="691">
          <cell r="A691">
            <v>1050</v>
          </cell>
          <cell r="B691">
            <v>671</v>
          </cell>
          <cell r="C691" t="str">
            <v>PLACAS PN-115 / PN-116</v>
          </cell>
          <cell r="D691">
            <v>7</v>
          </cell>
          <cell r="E691">
            <v>40</v>
          </cell>
          <cell r="F691">
            <v>24</v>
          </cell>
          <cell r="G691">
            <v>40</v>
          </cell>
          <cell r="H691">
            <v>0</v>
          </cell>
          <cell r="I691" t="str">
            <v>-</v>
          </cell>
          <cell r="J691" t="str">
            <v>650/660</v>
          </cell>
          <cell r="K691" t="str">
            <v xml:space="preserve">CPIII 40 RS </v>
          </cell>
          <cell r="L691" t="str">
            <v>CP V</v>
          </cell>
          <cell r="M691" t="str">
            <v>SUPER PLASTIFICANTE</v>
          </cell>
          <cell r="N691" t="str">
            <v>ETE - PARQUE NOVO MUNDO (REATORES NEREDA)</v>
          </cell>
          <cell r="O691" t="str">
            <v>FORTANKS</v>
          </cell>
          <cell r="P691">
            <v>3</v>
          </cell>
          <cell r="Q691" t="str">
            <v>Gean</v>
          </cell>
          <cell r="R691">
            <v>45762</v>
          </cell>
          <cell r="S691">
            <v>0.60416666666666663</v>
          </cell>
          <cell r="T691">
            <v>0.59416666666666662</v>
          </cell>
          <cell r="U691" t="str">
            <v>X</v>
          </cell>
          <cell r="V691">
            <v>0.54166666666666663</v>
          </cell>
          <cell r="W691">
            <v>41.97</v>
          </cell>
          <cell r="X691">
            <v>40.24</v>
          </cell>
          <cell r="Y691">
            <v>0.41666666666666669</v>
          </cell>
          <cell r="Z691">
            <v>85.12</v>
          </cell>
          <cell r="AA691">
            <v>84.42</v>
          </cell>
          <cell r="AW691">
            <v>4</v>
          </cell>
          <cell r="AX691">
            <v>4</v>
          </cell>
          <cell r="AY691">
            <v>4</v>
          </cell>
          <cell r="AZ691">
            <v>4</v>
          </cell>
          <cell r="BA691" t="str">
            <v>CONSORCIO NOVA ETE - PARQUE NOVO MUNDO</v>
          </cell>
          <cell r="BB691">
            <v>45763</v>
          </cell>
          <cell r="BD691" t="str">
            <v>qua</v>
          </cell>
          <cell r="BG691">
            <v>45762</v>
          </cell>
        </row>
        <row r="692">
          <cell r="A692">
            <v>1051</v>
          </cell>
          <cell r="B692">
            <v>672</v>
          </cell>
          <cell r="C692" t="str">
            <v>PLACAS PN-107 / PN-114</v>
          </cell>
          <cell r="D692">
            <v>7</v>
          </cell>
          <cell r="E692">
            <v>40</v>
          </cell>
          <cell r="F692">
            <v>24</v>
          </cell>
          <cell r="G692">
            <v>40</v>
          </cell>
          <cell r="H692">
            <v>0</v>
          </cell>
          <cell r="I692" t="str">
            <v>-</v>
          </cell>
          <cell r="J692" t="str">
            <v>660/650</v>
          </cell>
          <cell r="K692" t="str">
            <v xml:space="preserve">CPIII 40 RS </v>
          </cell>
          <cell r="L692" t="str">
            <v>CP V</v>
          </cell>
          <cell r="M692" t="str">
            <v>SUPER PLASTIFICANTE</v>
          </cell>
          <cell r="N692" t="str">
            <v>ETE - PARQUE NOVO MUNDO (REATORES NEREDA)</v>
          </cell>
          <cell r="O692" t="str">
            <v>FORTANKS</v>
          </cell>
          <cell r="P692">
            <v>4</v>
          </cell>
          <cell r="Q692" t="str">
            <v>Gean</v>
          </cell>
          <cell r="R692">
            <v>45762</v>
          </cell>
          <cell r="S692">
            <v>0.61805555555555558</v>
          </cell>
          <cell r="T692">
            <v>0.60805555555555557</v>
          </cell>
          <cell r="U692" t="str">
            <v>X</v>
          </cell>
          <cell r="V692">
            <v>0.54166666666666663</v>
          </cell>
          <cell r="W692">
            <v>27.11</v>
          </cell>
          <cell r="X692">
            <v>26.24</v>
          </cell>
          <cell r="Y692">
            <v>0.41666666666666669</v>
          </cell>
          <cell r="Z692">
            <v>73.63</v>
          </cell>
          <cell r="AA692">
            <v>72</v>
          </cell>
          <cell r="AW692">
            <v>4</v>
          </cell>
          <cell r="AX692">
            <v>4</v>
          </cell>
          <cell r="AY692">
            <v>4</v>
          </cell>
          <cell r="AZ692">
            <v>4</v>
          </cell>
          <cell r="BA692" t="str">
            <v>CONSORCIO NOVA ETE - PARQUE NOVO MUNDO</v>
          </cell>
          <cell r="BB692">
            <v>45763</v>
          </cell>
          <cell r="BD692" t="str">
            <v>qua</v>
          </cell>
          <cell r="BG692">
            <v>45762</v>
          </cell>
        </row>
        <row r="693">
          <cell r="A693" t="str">
            <v>1051-A</v>
          </cell>
          <cell r="B693">
            <v>672</v>
          </cell>
          <cell r="C693" t="str">
            <v>PLACA PR_PN-20 (CANALETA)</v>
          </cell>
          <cell r="D693">
            <v>7</v>
          </cell>
          <cell r="E693">
            <v>40</v>
          </cell>
          <cell r="F693">
            <v>24</v>
          </cell>
          <cell r="G693">
            <v>40</v>
          </cell>
          <cell r="H693">
            <v>0</v>
          </cell>
          <cell r="I693" t="str">
            <v>-</v>
          </cell>
          <cell r="J693" t="str">
            <v>660/650</v>
          </cell>
          <cell r="K693" t="str">
            <v xml:space="preserve">CPIII 40 RS </v>
          </cell>
          <cell r="L693" t="str">
            <v>CP V</v>
          </cell>
          <cell r="M693" t="str">
            <v>SUPER PLASTIFICANTE</v>
          </cell>
          <cell r="N693" t="str">
            <v>ETE - PROJETO SUCURIÚ - CLARIFICADOR PRIMARIO</v>
          </cell>
          <cell r="O693" t="str">
            <v>FORTANKS</v>
          </cell>
          <cell r="P693">
            <v>4</v>
          </cell>
          <cell r="Q693" t="str">
            <v>Gean</v>
          </cell>
          <cell r="R693">
            <v>45762</v>
          </cell>
          <cell r="S693">
            <v>0.61805555555555558</v>
          </cell>
          <cell r="T693">
            <v>0.60805555555555557</v>
          </cell>
          <cell r="U693" t="str">
            <v>X</v>
          </cell>
          <cell r="V693">
            <v>0.54166666666666663</v>
          </cell>
          <cell r="W693">
            <v>27.11</v>
          </cell>
          <cell r="X693">
            <v>26.24</v>
          </cell>
          <cell r="Y693">
            <v>0.41666666666666669</v>
          </cell>
          <cell r="Z693">
            <v>73.63</v>
          </cell>
          <cell r="AA693">
            <v>72</v>
          </cell>
          <cell r="AW693">
            <v>4</v>
          </cell>
          <cell r="AX693">
            <v>4</v>
          </cell>
          <cell r="AY693">
            <v>4</v>
          </cell>
          <cell r="AZ693">
            <v>4</v>
          </cell>
          <cell r="BA693" t="str">
            <v>FORTES ENGENHARIA</v>
          </cell>
          <cell r="BB693">
            <v>45763</v>
          </cell>
          <cell r="BD693" t="str">
            <v>qua</v>
          </cell>
          <cell r="BG693">
            <v>45762</v>
          </cell>
        </row>
        <row r="694">
          <cell r="A694">
            <v>1052</v>
          </cell>
          <cell r="B694">
            <v>673</v>
          </cell>
          <cell r="C694" t="str">
            <v>PLACA PN-128</v>
          </cell>
          <cell r="D694">
            <v>6</v>
          </cell>
          <cell r="E694">
            <v>40</v>
          </cell>
          <cell r="F694">
            <v>24</v>
          </cell>
          <cell r="G694">
            <v>40</v>
          </cell>
          <cell r="H694">
            <v>0</v>
          </cell>
          <cell r="I694" t="str">
            <v>-</v>
          </cell>
          <cell r="J694" t="str">
            <v>670/660</v>
          </cell>
          <cell r="K694" t="str">
            <v xml:space="preserve">CPIII 40 RS </v>
          </cell>
          <cell r="L694" t="str">
            <v>CP V</v>
          </cell>
          <cell r="M694" t="str">
            <v>SUPER PLASTIFICANTE</v>
          </cell>
          <cell r="N694" t="str">
            <v>ETE - PARQUE NOVO MUNDO (REATORES NEREDA)</v>
          </cell>
          <cell r="O694" t="str">
            <v>FORTANKS</v>
          </cell>
          <cell r="P694">
            <v>1</v>
          </cell>
          <cell r="Q694" t="str">
            <v>Gean</v>
          </cell>
          <cell r="R694">
            <v>45764</v>
          </cell>
          <cell r="S694">
            <v>0.37430555555555556</v>
          </cell>
          <cell r="T694">
            <v>0.36430555555555555</v>
          </cell>
          <cell r="U694" t="str">
            <v>X</v>
          </cell>
          <cell r="V694">
            <v>0.3125</v>
          </cell>
          <cell r="W694">
            <v>68.02</v>
          </cell>
          <cell r="X694">
            <v>69.97</v>
          </cell>
          <cell r="Y694">
            <v>0.4375</v>
          </cell>
          <cell r="Z694">
            <v>85.02</v>
          </cell>
          <cell r="AA694">
            <v>83.22</v>
          </cell>
          <cell r="AW694">
            <v>4</v>
          </cell>
          <cell r="AX694">
            <v>4</v>
          </cell>
          <cell r="AY694">
            <v>4</v>
          </cell>
          <cell r="AZ694">
            <v>4</v>
          </cell>
          <cell r="BA694" t="str">
            <v>CONSORCIO NOVA ETE - PARQUE NOVO MUNDO</v>
          </cell>
          <cell r="BB694">
            <v>45769</v>
          </cell>
          <cell r="BC694">
            <v>4</v>
          </cell>
          <cell r="BD694" t="str">
            <v>ter</v>
          </cell>
          <cell r="BG694">
            <v>45764</v>
          </cell>
        </row>
        <row r="695">
          <cell r="A695" t="str">
            <v>1052-A</v>
          </cell>
          <cell r="B695">
            <v>673</v>
          </cell>
          <cell r="C695" t="str">
            <v>PLACA PR_PN-22</v>
          </cell>
          <cell r="D695">
            <v>6</v>
          </cell>
          <cell r="E695">
            <v>40</v>
          </cell>
          <cell r="F695">
            <v>24</v>
          </cell>
          <cell r="G695">
            <v>40</v>
          </cell>
          <cell r="H695">
            <v>0</v>
          </cell>
          <cell r="I695" t="str">
            <v>-</v>
          </cell>
          <cell r="J695" t="str">
            <v>670/660</v>
          </cell>
          <cell r="K695" t="str">
            <v xml:space="preserve">CPIII 40 RS </v>
          </cell>
          <cell r="L695" t="str">
            <v>CP V</v>
          </cell>
          <cell r="M695" t="str">
            <v>SUPER PLASTIFICANTE</v>
          </cell>
          <cell r="N695" t="str">
            <v>ETE - PROJETO SUCURIÚ - CLARIFICADOR PRIMARIO</v>
          </cell>
          <cell r="O695" t="str">
            <v>FORTANKS</v>
          </cell>
          <cell r="P695">
            <v>1</v>
          </cell>
          <cell r="Q695" t="str">
            <v>Gean</v>
          </cell>
          <cell r="R695">
            <v>45764</v>
          </cell>
          <cell r="S695">
            <v>0.37430555555555556</v>
          </cell>
          <cell r="T695">
            <v>0.36430555555555555</v>
          </cell>
          <cell r="U695" t="str">
            <v>X</v>
          </cell>
          <cell r="V695">
            <v>0.3125</v>
          </cell>
          <cell r="W695">
            <v>68.02</v>
          </cell>
          <cell r="X695">
            <v>69.97</v>
          </cell>
          <cell r="Y695">
            <v>0.4375</v>
          </cell>
          <cell r="Z695">
            <v>85.02</v>
          </cell>
          <cell r="AA695">
            <v>83.22</v>
          </cell>
          <cell r="AW695">
            <v>4</v>
          </cell>
          <cell r="AX695">
            <v>4</v>
          </cell>
          <cell r="AY695">
            <v>4</v>
          </cell>
          <cell r="AZ695">
            <v>4</v>
          </cell>
          <cell r="BA695" t="str">
            <v>FORTES ENGENHARIA</v>
          </cell>
          <cell r="BB695">
            <v>45769</v>
          </cell>
          <cell r="BC695">
            <v>4</v>
          </cell>
          <cell r="BD695" t="str">
            <v>ter</v>
          </cell>
          <cell r="BG695">
            <v>45764</v>
          </cell>
        </row>
        <row r="696">
          <cell r="A696">
            <v>1053</v>
          </cell>
          <cell r="B696">
            <v>674</v>
          </cell>
          <cell r="C696" t="str">
            <v>PLACAS PN-126 / PN-127</v>
          </cell>
          <cell r="D696">
            <v>7</v>
          </cell>
          <cell r="E696">
            <v>40</v>
          </cell>
          <cell r="F696">
            <v>24</v>
          </cell>
          <cell r="G696">
            <v>40</v>
          </cell>
          <cell r="H696">
            <v>0</v>
          </cell>
          <cell r="I696" t="str">
            <v>-</v>
          </cell>
          <cell r="J696" t="str">
            <v>650/650</v>
          </cell>
          <cell r="K696" t="str">
            <v xml:space="preserve">CPIII 40 RS </v>
          </cell>
          <cell r="L696" t="str">
            <v>CP V</v>
          </cell>
          <cell r="M696" t="str">
            <v>SUPER PLASTIFICANTE</v>
          </cell>
          <cell r="N696" t="str">
            <v>ETE - PARQUE NOVO MUNDO (REATORES NEREDA)</v>
          </cell>
          <cell r="O696" t="str">
            <v>FORTANKS</v>
          </cell>
          <cell r="P696">
            <v>2</v>
          </cell>
          <cell r="Q696" t="str">
            <v>Gean</v>
          </cell>
          <cell r="R696">
            <v>45764</v>
          </cell>
          <cell r="S696">
            <v>0.39583333333333331</v>
          </cell>
          <cell r="T696">
            <v>0.38583333333333331</v>
          </cell>
          <cell r="U696" t="str">
            <v>X</v>
          </cell>
          <cell r="V696">
            <v>0.31597222222222221</v>
          </cell>
          <cell r="W696">
            <v>65.489999999999995</v>
          </cell>
          <cell r="X696">
            <v>65.19</v>
          </cell>
          <cell r="Y696">
            <v>0.41666666666666669</v>
          </cell>
          <cell r="Z696">
            <v>83.23</v>
          </cell>
          <cell r="AA696">
            <v>81.61</v>
          </cell>
          <cell r="AW696">
            <v>4</v>
          </cell>
          <cell r="AX696">
            <v>4</v>
          </cell>
          <cell r="AY696">
            <v>4</v>
          </cell>
          <cell r="AZ696">
            <v>4</v>
          </cell>
          <cell r="BA696" t="str">
            <v>CONSORCIO NOVA ETE - PARQUE NOVO MUNDO</v>
          </cell>
          <cell r="BB696">
            <v>45769</v>
          </cell>
          <cell r="BC696">
            <v>4</v>
          </cell>
          <cell r="BD696" t="str">
            <v>ter</v>
          </cell>
          <cell r="BG696">
            <v>45764</v>
          </cell>
        </row>
        <row r="697">
          <cell r="A697">
            <v>1054</v>
          </cell>
          <cell r="B697">
            <v>675</v>
          </cell>
          <cell r="C697" t="str">
            <v>PLACAS PN-123 / PN-124</v>
          </cell>
          <cell r="D697">
            <v>7</v>
          </cell>
          <cell r="E697">
            <v>40</v>
          </cell>
          <cell r="F697">
            <v>24</v>
          </cell>
          <cell r="G697">
            <v>40</v>
          </cell>
          <cell r="H697">
            <v>0</v>
          </cell>
          <cell r="I697" t="str">
            <v>-</v>
          </cell>
          <cell r="J697" t="str">
            <v>650/650</v>
          </cell>
          <cell r="K697" t="str">
            <v xml:space="preserve">CPIII 40 RS </v>
          </cell>
          <cell r="L697" t="str">
            <v>CP V</v>
          </cell>
          <cell r="M697" t="str">
            <v>SUPER PLASTIFICANTE</v>
          </cell>
          <cell r="N697" t="str">
            <v>ETE - PARQUE NOVO MUNDO (REATORES NEREDA)</v>
          </cell>
          <cell r="O697" t="str">
            <v>FORTANKS</v>
          </cell>
          <cell r="P697">
            <v>3</v>
          </cell>
          <cell r="Q697" t="str">
            <v>Gean</v>
          </cell>
          <cell r="R697">
            <v>45764</v>
          </cell>
          <cell r="S697">
            <v>0.43055555555555558</v>
          </cell>
          <cell r="T697">
            <v>0.42055555555555557</v>
          </cell>
          <cell r="U697" t="str">
            <v>X</v>
          </cell>
          <cell r="V697">
            <v>0.31944444444444442</v>
          </cell>
          <cell r="W697">
            <v>60.7</v>
          </cell>
          <cell r="X697">
            <v>57.66</v>
          </cell>
          <cell r="Y697">
            <v>0.43055555555555558</v>
          </cell>
          <cell r="Z697">
            <v>80.819999999999993</v>
          </cell>
          <cell r="AA697">
            <v>82.02</v>
          </cell>
          <cell r="AW697">
            <v>4</v>
          </cell>
          <cell r="AX697">
            <v>4</v>
          </cell>
          <cell r="AY697">
            <v>4</v>
          </cell>
          <cell r="AZ697">
            <v>4</v>
          </cell>
          <cell r="BA697" t="str">
            <v>CONSORCIO NOVA ETE - PARQUE NOVO MUNDO</v>
          </cell>
          <cell r="BB697">
            <v>45769</v>
          </cell>
          <cell r="BC697">
            <v>4</v>
          </cell>
          <cell r="BD697" t="str">
            <v>ter</v>
          </cell>
          <cell r="BG697">
            <v>45764</v>
          </cell>
        </row>
        <row r="698">
          <cell r="A698">
            <v>1055</v>
          </cell>
          <cell r="B698">
            <v>676</v>
          </cell>
          <cell r="C698" t="str">
            <v>PLACAS PN-121 / PN-122</v>
          </cell>
          <cell r="D698">
            <v>7</v>
          </cell>
          <cell r="E698">
            <v>40</v>
          </cell>
          <cell r="F698">
            <v>24</v>
          </cell>
          <cell r="G698">
            <v>40</v>
          </cell>
          <cell r="H698">
            <v>0</v>
          </cell>
          <cell r="I698" t="str">
            <v>-</v>
          </cell>
          <cell r="J698" t="str">
            <v>660/670</v>
          </cell>
          <cell r="K698" t="str">
            <v xml:space="preserve">CPIII 40 RS </v>
          </cell>
          <cell r="L698" t="str">
            <v>CP V</v>
          </cell>
          <cell r="M698" t="str">
            <v>SUPER PLASTIFICANTE</v>
          </cell>
          <cell r="N698" t="str">
            <v>ETE - PARQUE NOVO MUNDO (REATORES NEREDA)</v>
          </cell>
          <cell r="O698" t="str">
            <v>FORTANKS</v>
          </cell>
          <cell r="P698">
            <v>4</v>
          </cell>
          <cell r="Q698" t="str">
            <v>Gean</v>
          </cell>
          <cell r="R698">
            <v>45764</v>
          </cell>
          <cell r="S698">
            <v>0.4513888888888889</v>
          </cell>
          <cell r="T698">
            <v>0.44138888888888889</v>
          </cell>
          <cell r="U698" t="str">
            <v>X</v>
          </cell>
          <cell r="V698">
            <v>0.3263888888888889</v>
          </cell>
          <cell r="W698">
            <v>64.81</v>
          </cell>
          <cell r="X698">
            <v>65.62</v>
          </cell>
          <cell r="Y698">
            <v>0.4236111111111111</v>
          </cell>
          <cell r="Z698">
            <v>84.09</v>
          </cell>
          <cell r="AA698">
            <v>85.45</v>
          </cell>
          <cell r="AW698">
            <v>4</v>
          </cell>
          <cell r="AX698">
            <v>4</v>
          </cell>
          <cell r="AY698">
            <v>4</v>
          </cell>
          <cell r="AZ698">
            <v>4</v>
          </cell>
          <cell r="BA698" t="str">
            <v>CONSORCIO NOVA ETE - PARQUE NOVO MUNDO</v>
          </cell>
          <cell r="BB698">
            <v>45769</v>
          </cell>
          <cell r="BC698">
            <v>4</v>
          </cell>
          <cell r="BD698" t="str">
            <v>ter</v>
          </cell>
          <cell r="BG698">
            <v>45764</v>
          </cell>
        </row>
        <row r="699">
          <cell r="A699" t="str">
            <v>1055-A</v>
          </cell>
          <cell r="B699">
            <v>676</v>
          </cell>
          <cell r="C699" t="str">
            <v>PLACA PR_PN-22 (CANALETA)</v>
          </cell>
          <cell r="D699">
            <v>7</v>
          </cell>
          <cell r="E699">
            <v>40</v>
          </cell>
          <cell r="F699">
            <v>24</v>
          </cell>
          <cell r="G699">
            <v>40</v>
          </cell>
          <cell r="H699">
            <v>0</v>
          </cell>
          <cell r="I699" t="str">
            <v>-</v>
          </cell>
          <cell r="J699" t="str">
            <v>660/670</v>
          </cell>
          <cell r="K699" t="str">
            <v xml:space="preserve">CPIII 40 RS </v>
          </cell>
          <cell r="L699" t="str">
            <v>CP V</v>
          </cell>
          <cell r="M699" t="str">
            <v>SUPER PLASTIFICANTE</v>
          </cell>
          <cell r="N699" t="str">
            <v>ETE - PROJETO SUCURIÚ - CLARIFICADOR PRIMARIO</v>
          </cell>
          <cell r="O699" t="str">
            <v>FORTANKS</v>
          </cell>
          <cell r="P699">
            <v>4</v>
          </cell>
          <cell r="Q699" t="str">
            <v>Gean</v>
          </cell>
          <cell r="R699">
            <v>45764</v>
          </cell>
          <cell r="S699">
            <v>0.4513888888888889</v>
          </cell>
          <cell r="T699">
            <v>0.44138888888888889</v>
          </cell>
          <cell r="U699" t="str">
            <v>X</v>
          </cell>
          <cell r="V699">
            <v>0.3263888888888889</v>
          </cell>
          <cell r="W699">
            <v>64.81</v>
          </cell>
          <cell r="X699">
            <v>65.62</v>
          </cell>
          <cell r="Y699">
            <v>0.4236111111111111</v>
          </cell>
          <cell r="Z699">
            <v>84.09</v>
          </cell>
          <cell r="AA699">
            <v>85.45</v>
          </cell>
          <cell r="AW699">
            <v>4</v>
          </cell>
          <cell r="AX699">
            <v>4</v>
          </cell>
          <cell r="AY699">
            <v>4</v>
          </cell>
          <cell r="AZ699">
            <v>4</v>
          </cell>
          <cell r="BA699" t="str">
            <v>FORTES ENGENHARIA</v>
          </cell>
          <cell r="BB699">
            <v>45769</v>
          </cell>
          <cell r="BC699">
            <v>4</v>
          </cell>
          <cell r="BD699" t="str">
            <v>ter</v>
          </cell>
          <cell r="BG699">
            <v>45764</v>
          </cell>
        </row>
        <row r="700">
          <cell r="A700">
            <v>1056</v>
          </cell>
          <cell r="B700">
            <v>677</v>
          </cell>
          <cell r="C700" t="str">
            <v>PLACA PN-136</v>
          </cell>
          <cell r="D700">
            <v>6</v>
          </cell>
          <cell r="E700">
            <v>40</v>
          </cell>
          <cell r="F700">
            <v>24</v>
          </cell>
          <cell r="G700">
            <v>40</v>
          </cell>
          <cell r="H700">
            <v>0</v>
          </cell>
          <cell r="I700" t="str">
            <v>-</v>
          </cell>
          <cell r="J700" t="str">
            <v>660/660</v>
          </cell>
          <cell r="K700" t="str">
            <v xml:space="preserve">CPIII 40 RS </v>
          </cell>
          <cell r="L700" t="str">
            <v>CP V</v>
          </cell>
          <cell r="M700" t="str">
            <v>SUPER PLASTIFICANTE</v>
          </cell>
          <cell r="N700" t="str">
            <v>ETE - PARQUE NOVO MUNDO (REATORES NEREDA)</v>
          </cell>
          <cell r="O700" t="str">
            <v>FORTANKS</v>
          </cell>
          <cell r="P700">
            <v>1</v>
          </cell>
          <cell r="Q700" t="str">
            <v>Gean</v>
          </cell>
          <cell r="R700">
            <v>45764</v>
          </cell>
          <cell r="S700">
            <v>0.59027777777777779</v>
          </cell>
          <cell r="T700">
            <v>0.58027777777777778</v>
          </cell>
          <cell r="U700" t="str">
            <v>X</v>
          </cell>
          <cell r="V700">
            <v>0.33333333333333331</v>
          </cell>
          <cell r="W700">
            <v>68.849999999999994</v>
          </cell>
          <cell r="X700">
            <v>67.08</v>
          </cell>
          <cell r="Y700">
            <v>0.4201388888888889</v>
          </cell>
          <cell r="Z700">
            <v>83.73</v>
          </cell>
          <cell r="AA700">
            <v>83.74</v>
          </cell>
          <cell r="AW700">
            <v>4</v>
          </cell>
          <cell r="AX700">
            <v>4</v>
          </cell>
          <cell r="AY700">
            <v>4</v>
          </cell>
          <cell r="AZ700">
            <v>4</v>
          </cell>
          <cell r="BA700" t="str">
            <v>CONSORCIO NOVA ETE - PARQUE NOVO MUNDO</v>
          </cell>
          <cell r="BB700">
            <v>45769</v>
          </cell>
          <cell r="BC700">
            <v>4</v>
          </cell>
          <cell r="BD700" t="str">
            <v>ter</v>
          </cell>
          <cell r="BG700">
            <v>45764</v>
          </cell>
        </row>
        <row r="701">
          <cell r="A701" t="str">
            <v>1056-A</v>
          </cell>
          <cell r="B701">
            <v>677</v>
          </cell>
          <cell r="C701" t="str">
            <v>PLACA PR_PN-26</v>
          </cell>
          <cell r="D701">
            <v>6</v>
          </cell>
          <cell r="E701">
            <v>40</v>
          </cell>
          <cell r="F701">
            <v>24</v>
          </cell>
          <cell r="G701">
            <v>40</v>
          </cell>
          <cell r="H701">
            <v>0</v>
          </cell>
          <cell r="I701" t="str">
            <v>-</v>
          </cell>
          <cell r="J701" t="str">
            <v>660/660</v>
          </cell>
          <cell r="K701" t="str">
            <v xml:space="preserve">CPIII 40 RS </v>
          </cell>
          <cell r="L701" t="str">
            <v>CP V</v>
          </cell>
          <cell r="M701" t="str">
            <v>SUPER PLASTIFICANTE</v>
          </cell>
          <cell r="N701" t="str">
            <v>ETE - PROJETO SUCURIÚ - CLARIFICADOR PRIMARIO</v>
          </cell>
          <cell r="O701" t="str">
            <v>FORTANKS</v>
          </cell>
          <cell r="P701">
            <v>1</v>
          </cell>
          <cell r="Q701" t="str">
            <v>Gean</v>
          </cell>
          <cell r="R701">
            <v>45764</v>
          </cell>
          <cell r="S701">
            <v>0.59027777777777779</v>
          </cell>
          <cell r="T701">
            <v>0.58027777777777778</v>
          </cell>
          <cell r="U701" t="str">
            <v>X</v>
          </cell>
          <cell r="V701">
            <v>0.33333333333333331</v>
          </cell>
          <cell r="W701">
            <v>68.849999999999994</v>
          </cell>
          <cell r="X701">
            <v>67.08</v>
          </cell>
          <cell r="Y701">
            <v>0.4201388888888889</v>
          </cell>
          <cell r="Z701">
            <v>83.73</v>
          </cell>
          <cell r="AA701">
            <v>83.74</v>
          </cell>
          <cell r="AW701">
            <v>4</v>
          </cell>
          <cell r="AX701">
            <v>4</v>
          </cell>
          <cell r="AY701">
            <v>4</v>
          </cell>
          <cell r="AZ701">
            <v>4</v>
          </cell>
          <cell r="BA701" t="str">
            <v>FORTES ENGENHARIA</v>
          </cell>
          <cell r="BB701">
            <v>45769</v>
          </cell>
          <cell r="BC701">
            <v>4</v>
          </cell>
          <cell r="BD701" t="str">
            <v>ter</v>
          </cell>
          <cell r="BG701">
            <v>45764</v>
          </cell>
        </row>
        <row r="702">
          <cell r="A702">
            <v>1057</v>
          </cell>
          <cell r="B702">
            <v>678</v>
          </cell>
          <cell r="C702" t="str">
            <v>PLACAS PN-134 / PN-135</v>
          </cell>
          <cell r="D702">
            <v>7</v>
          </cell>
          <cell r="E702">
            <v>40</v>
          </cell>
          <cell r="F702">
            <v>24</v>
          </cell>
          <cell r="G702">
            <v>40</v>
          </cell>
          <cell r="H702">
            <v>0</v>
          </cell>
          <cell r="I702" t="str">
            <v>-</v>
          </cell>
          <cell r="J702" t="str">
            <v>650/650</v>
          </cell>
          <cell r="K702" t="str">
            <v xml:space="preserve">CPIII 40 RS </v>
          </cell>
          <cell r="L702" t="str">
            <v>CP V</v>
          </cell>
          <cell r="M702" t="str">
            <v>SUPER PLASTIFICANTE</v>
          </cell>
          <cell r="N702" t="str">
            <v>ETE - PARQUE NOVO MUNDO (REATORES NEREDA)</v>
          </cell>
          <cell r="O702" t="str">
            <v>FORTANKS</v>
          </cell>
          <cell r="P702">
            <v>2</v>
          </cell>
          <cell r="Q702" t="str">
            <v>Gean</v>
          </cell>
          <cell r="R702">
            <v>45764</v>
          </cell>
          <cell r="S702">
            <v>0.61111111111111116</v>
          </cell>
          <cell r="T702">
            <v>0.60111111111111115</v>
          </cell>
          <cell r="U702" t="str">
            <v>X</v>
          </cell>
          <cell r="V702">
            <v>0.33680555555555558</v>
          </cell>
          <cell r="W702">
            <v>70.8</v>
          </cell>
          <cell r="X702">
            <v>69.72</v>
          </cell>
          <cell r="Y702">
            <v>0.42708333333333331</v>
          </cell>
          <cell r="Z702">
            <v>85.5</v>
          </cell>
          <cell r="AA702">
            <v>84.06</v>
          </cell>
          <cell r="AW702">
            <v>4</v>
          </cell>
          <cell r="AX702">
            <v>4</v>
          </cell>
          <cell r="AY702">
            <v>4</v>
          </cell>
          <cell r="AZ702">
            <v>4</v>
          </cell>
          <cell r="BA702" t="str">
            <v>CONSORCIO NOVA ETE - PARQUE NOVO MUNDO</v>
          </cell>
          <cell r="BB702">
            <v>45769</v>
          </cell>
          <cell r="BC702">
            <v>4</v>
          </cell>
          <cell r="BD702" t="str">
            <v>ter</v>
          </cell>
          <cell r="BG702">
            <v>45764</v>
          </cell>
        </row>
        <row r="703">
          <cell r="A703">
            <v>1058</v>
          </cell>
          <cell r="B703">
            <v>679</v>
          </cell>
          <cell r="C703" t="str">
            <v>PLACAS PN-131 / PN-132</v>
          </cell>
          <cell r="D703">
            <v>7</v>
          </cell>
          <cell r="E703">
            <v>40</v>
          </cell>
          <cell r="F703">
            <v>24</v>
          </cell>
          <cell r="G703">
            <v>40</v>
          </cell>
          <cell r="H703">
            <v>0</v>
          </cell>
          <cell r="I703" t="str">
            <v>-</v>
          </cell>
          <cell r="J703" t="str">
            <v>650/660</v>
          </cell>
          <cell r="K703" t="str">
            <v xml:space="preserve">CPIII 40 RS </v>
          </cell>
          <cell r="L703" t="str">
            <v>CP V</v>
          </cell>
          <cell r="M703" t="str">
            <v>SUPER PLASTIFICANTE</v>
          </cell>
          <cell r="N703" t="str">
            <v>ETE - PARQUE NOVO MUNDO (REATORES NEREDA)</v>
          </cell>
          <cell r="O703" t="str">
            <v>FORTANKS</v>
          </cell>
          <cell r="P703">
            <v>3</v>
          </cell>
          <cell r="Q703" t="str">
            <v>Gean</v>
          </cell>
          <cell r="R703">
            <v>45764</v>
          </cell>
          <cell r="S703">
            <v>0.63888888888888884</v>
          </cell>
          <cell r="T703">
            <v>0.62888888888888883</v>
          </cell>
          <cell r="U703" t="str">
            <v>X</v>
          </cell>
          <cell r="V703">
            <v>0.34375</v>
          </cell>
          <cell r="W703">
            <v>62.77</v>
          </cell>
          <cell r="X703">
            <v>61.98</v>
          </cell>
          <cell r="Y703">
            <v>0.43402777777777779</v>
          </cell>
          <cell r="Z703">
            <v>77.11</v>
          </cell>
          <cell r="AA703">
            <v>78.45</v>
          </cell>
          <cell r="AW703">
            <v>4</v>
          </cell>
          <cell r="AX703">
            <v>4</v>
          </cell>
          <cell r="AY703">
            <v>4</v>
          </cell>
          <cell r="AZ703">
            <v>4</v>
          </cell>
          <cell r="BA703" t="str">
            <v>CONSORCIO NOVA ETE - PARQUE NOVO MUNDO</v>
          </cell>
          <cell r="BB703">
            <v>45769</v>
          </cell>
          <cell r="BC703">
            <v>4</v>
          </cell>
          <cell r="BD703" t="str">
            <v>ter</v>
          </cell>
          <cell r="BG703">
            <v>45764</v>
          </cell>
        </row>
        <row r="704">
          <cell r="A704">
            <v>1059</v>
          </cell>
          <cell r="B704">
            <v>680</v>
          </cell>
          <cell r="C704" t="str">
            <v>PLACAS PN-129 / PN-130</v>
          </cell>
          <cell r="D704">
            <v>7</v>
          </cell>
          <cell r="E704">
            <v>40</v>
          </cell>
          <cell r="F704">
            <v>24</v>
          </cell>
          <cell r="G704">
            <v>40</v>
          </cell>
          <cell r="H704">
            <v>0</v>
          </cell>
          <cell r="I704" t="str">
            <v>-</v>
          </cell>
          <cell r="J704" t="str">
            <v>660/660</v>
          </cell>
          <cell r="K704" t="str">
            <v xml:space="preserve">CPIII 40 RS </v>
          </cell>
          <cell r="L704" t="str">
            <v>CP V</v>
          </cell>
          <cell r="M704" t="str">
            <v>SUPER PLASTIFICANTE</v>
          </cell>
          <cell r="N704" t="str">
            <v>ETE - PARQUE NOVO MUNDO (REATORES NEREDA)</v>
          </cell>
          <cell r="O704" t="str">
            <v>FORTANKS</v>
          </cell>
          <cell r="P704">
            <v>4</v>
          </cell>
          <cell r="Q704" t="str">
            <v>Gean</v>
          </cell>
          <cell r="R704">
            <v>45764</v>
          </cell>
          <cell r="S704">
            <v>0.67708333333333337</v>
          </cell>
          <cell r="T704">
            <v>0.66708333333333336</v>
          </cell>
          <cell r="U704" t="str">
            <v>X</v>
          </cell>
          <cell r="V704">
            <v>0.34513888888888888</v>
          </cell>
          <cell r="W704">
            <v>59.7</v>
          </cell>
          <cell r="X704">
            <v>60.91</v>
          </cell>
          <cell r="Y704">
            <v>0.4375</v>
          </cell>
          <cell r="Z704">
            <v>78.2</v>
          </cell>
          <cell r="AA704">
            <v>79.099999999999994</v>
          </cell>
          <cell r="AW704">
            <v>4</v>
          </cell>
          <cell r="AX704">
            <v>4</v>
          </cell>
          <cell r="AY704">
            <v>4</v>
          </cell>
          <cell r="AZ704">
            <v>4</v>
          </cell>
          <cell r="BA704" t="str">
            <v>CONSORCIO NOVA ETE - PARQUE NOVO MUNDO</v>
          </cell>
          <cell r="BB704">
            <v>45769</v>
          </cell>
          <cell r="BC704">
            <v>4</v>
          </cell>
          <cell r="BD704" t="str">
            <v>ter</v>
          </cell>
          <cell r="BG704">
            <v>45764</v>
          </cell>
        </row>
        <row r="705">
          <cell r="A705" t="str">
            <v>1059-A</v>
          </cell>
          <cell r="B705">
            <v>680</v>
          </cell>
          <cell r="C705" t="str">
            <v>PLACA PR_PN-26</v>
          </cell>
          <cell r="D705">
            <v>7</v>
          </cell>
          <cell r="E705">
            <v>40</v>
          </cell>
          <cell r="F705">
            <v>24</v>
          </cell>
          <cell r="G705">
            <v>40</v>
          </cell>
          <cell r="H705">
            <v>0</v>
          </cell>
          <cell r="I705" t="str">
            <v>-</v>
          </cell>
          <cell r="J705" t="str">
            <v>660/660</v>
          </cell>
          <cell r="K705" t="str">
            <v xml:space="preserve">CPIII 40 RS </v>
          </cell>
          <cell r="L705" t="str">
            <v>CP V</v>
          </cell>
          <cell r="M705" t="str">
            <v>SUPER PLASTIFICANTE</v>
          </cell>
          <cell r="N705" t="str">
            <v>ETE - PROJETO SUCURIÚ - CLARIFICADOR PRIMARIO</v>
          </cell>
          <cell r="O705" t="str">
            <v>FORTANKS</v>
          </cell>
          <cell r="P705">
            <v>4</v>
          </cell>
          <cell r="Q705" t="str">
            <v>Gean</v>
          </cell>
          <cell r="R705">
            <v>45764</v>
          </cell>
          <cell r="S705">
            <v>0.67708333333333337</v>
          </cell>
          <cell r="T705">
            <v>0.66708333333333336</v>
          </cell>
          <cell r="U705" t="str">
            <v>X</v>
          </cell>
          <cell r="V705">
            <v>0.34513888888888888</v>
          </cell>
          <cell r="W705">
            <v>59.7</v>
          </cell>
          <cell r="X705">
            <v>60.91</v>
          </cell>
          <cell r="Y705">
            <v>0.4375</v>
          </cell>
          <cell r="Z705">
            <v>78.2</v>
          </cell>
          <cell r="AA705">
            <v>79.2</v>
          </cell>
          <cell r="AW705">
            <v>4</v>
          </cell>
          <cell r="AX705">
            <v>4</v>
          </cell>
          <cell r="AY705">
            <v>4</v>
          </cell>
          <cell r="AZ705">
            <v>4</v>
          </cell>
          <cell r="BA705" t="str">
            <v>FORTES ENGENHARIA</v>
          </cell>
          <cell r="BB705">
            <v>45769</v>
          </cell>
          <cell r="BC705">
            <v>4</v>
          </cell>
          <cell r="BD705" t="str">
            <v>ter</v>
          </cell>
          <cell r="BG705">
            <v>45764</v>
          </cell>
        </row>
        <row r="706">
          <cell r="A706">
            <v>1060</v>
          </cell>
          <cell r="B706">
            <v>681</v>
          </cell>
          <cell r="C706" t="str">
            <v>PLACAS PN-143</v>
          </cell>
          <cell r="D706">
            <v>6</v>
          </cell>
          <cell r="E706">
            <v>40</v>
          </cell>
          <cell r="F706">
            <v>24</v>
          </cell>
          <cell r="G706">
            <v>40</v>
          </cell>
          <cell r="H706">
            <v>0</v>
          </cell>
          <cell r="I706" t="str">
            <v>-</v>
          </cell>
          <cell r="J706" t="str">
            <v>660/660</v>
          </cell>
          <cell r="K706" t="str">
            <v xml:space="preserve">CPIII 40 RS </v>
          </cell>
          <cell r="L706" t="str">
            <v>CP V</v>
          </cell>
          <cell r="M706" t="str">
            <v>SUPER PLASTIFICANTE</v>
          </cell>
          <cell r="N706" t="str">
            <v>ETE - PARQUE NOVO MUNDO (REATORES NEREDA)</v>
          </cell>
          <cell r="O706" t="str">
            <v>FORTANKS</v>
          </cell>
          <cell r="P706">
            <v>1</v>
          </cell>
          <cell r="Q706" t="str">
            <v>Gean</v>
          </cell>
          <cell r="R706">
            <v>45770</v>
          </cell>
          <cell r="S706">
            <v>0.55347222222222225</v>
          </cell>
          <cell r="T706">
            <v>0.54347222222222225</v>
          </cell>
          <cell r="U706" t="str">
            <v>X</v>
          </cell>
          <cell r="V706">
            <v>0.375</v>
          </cell>
          <cell r="W706">
            <v>26.97</v>
          </cell>
          <cell r="X706">
            <v>25.97</v>
          </cell>
          <cell r="Y706">
            <v>0.4201388888888889</v>
          </cell>
          <cell r="Z706">
            <v>58.83</v>
          </cell>
          <cell r="AA706">
            <v>58.77</v>
          </cell>
          <cell r="AW706">
            <v>4</v>
          </cell>
          <cell r="AX706">
            <v>4</v>
          </cell>
          <cell r="AY706">
            <v>4</v>
          </cell>
          <cell r="AZ706">
            <v>4</v>
          </cell>
          <cell r="BA706" t="str">
            <v>CONSORCIO NOVA ETE - PARQUE NOVO MUNDO</v>
          </cell>
          <cell r="BB706">
            <v>45771</v>
          </cell>
          <cell r="BD706" t="str">
            <v>qui</v>
          </cell>
          <cell r="BG706">
            <v>45770</v>
          </cell>
        </row>
        <row r="707">
          <cell r="A707" t="str">
            <v>1060-A</v>
          </cell>
          <cell r="B707">
            <v>681</v>
          </cell>
          <cell r="C707" t="str">
            <v>PLACA PR_PN-27</v>
          </cell>
          <cell r="D707">
            <v>6</v>
          </cell>
          <cell r="E707">
            <v>40</v>
          </cell>
          <cell r="F707">
            <v>24</v>
          </cell>
          <cell r="G707">
            <v>40</v>
          </cell>
          <cell r="H707">
            <v>0</v>
          </cell>
          <cell r="I707" t="str">
            <v>-</v>
          </cell>
          <cell r="J707" t="str">
            <v>660/660</v>
          </cell>
          <cell r="K707" t="str">
            <v xml:space="preserve">CPIII 40 RS </v>
          </cell>
          <cell r="L707" t="str">
            <v>CP V</v>
          </cell>
          <cell r="M707" t="str">
            <v>SUPER PLASTIFICANTE</v>
          </cell>
          <cell r="N707" t="str">
            <v>ETE - PROJETO SUCURIÚ - CLARIFICADOR PRIMARIO</v>
          </cell>
          <cell r="O707" t="str">
            <v>FORTANKS</v>
          </cell>
          <cell r="P707">
            <v>1</v>
          </cell>
          <cell r="Q707" t="str">
            <v>Gean</v>
          </cell>
          <cell r="R707">
            <v>45770</v>
          </cell>
          <cell r="S707">
            <v>0.55347222222222225</v>
          </cell>
          <cell r="T707">
            <v>0.54347222222222225</v>
          </cell>
          <cell r="U707" t="str">
            <v>X</v>
          </cell>
          <cell r="V707">
            <v>0.375</v>
          </cell>
          <cell r="W707">
            <v>26.97</v>
          </cell>
          <cell r="X707">
            <v>25.97</v>
          </cell>
          <cell r="Y707">
            <v>0.4201388888888889</v>
          </cell>
          <cell r="Z707">
            <v>58.83</v>
          </cell>
          <cell r="AA707">
            <v>58.77</v>
          </cell>
          <cell r="AW707">
            <v>4</v>
          </cell>
          <cell r="AX707">
            <v>4</v>
          </cell>
          <cell r="AY707">
            <v>4</v>
          </cell>
          <cell r="AZ707">
            <v>4</v>
          </cell>
          <cell r="BA707" t="str">
            <v>FORTES ENGENHARIA</v>
          </cell>
          <cell r="BB707">
            <v>45771</v>
          </cell>
          <cell r="BD707" t="str">
            <v>qui</v>
          </cell>
          <cell r="BG707">
            <v>45770</v>
          </cell>
        </row>
        <row r="708">
          <cell r="A708">
            <v>1061</v>
          </cell>
          <cell r="B708">
            <v>682</v>
          </cell>
          <cell r="C708" t="str">
            <v>PLACAS PN-141 / PN-142</v>
          </cell>
          <cell r="D708">
            <v>7</v>
          </cell>
          <cell r="E708">
            <v>40</v>
          </cell>
          <cell r="F708">
            <v>24</v>
          </cell>
          <cell r="G708">
            <v>40</v>
          </cell>
          <cell r="H708">
            <v>0</v>
          </cell>
          <cell r="I708" t="str">
            <v>-</v>
          </cell>
          <cell r="J708" t="str">
            <v>650/650</v>
          </cell>
          <cell r="K708" t="str">
            <v xml:space="preserve">CPIII 40 RS </v>
          </cell>
          <cell r="L708" t="str">
            <v>CP V</v>
          </cell>
          <cell r="M708" t="str">
            <v>SUPER PLASTIFICANTE</v>
          </cell>
          <cell r="N708" t="str">
            <v>ETE - PARQUE NOVO MUNDO (REATORES NEREDA)</v>
          </cell>
          <cell r="O708" t="str">
            <v>FORTANKS</v>
          </cell>
          <cell r="P708">
            <v>2</v>
          </cell>
          <cell r="Q708" t="str">
            <v>Gean</v>
          </cell>
          <cell r="R708">
            <v>45770</v>
          </cell>
          <cell r="S708">
            <v>0.59375</v>
          </cell>
          <cell r="T708">
            <v>0.58374999999999999</v>
          </cell>
          <cell r="U708" t="str">
            <v>X</v>
          </cell>
          <cell r="V708">
            <v>0.375</v>
          </cell>
          <cell r="W708">
            <v>26.88</v>
          </cell>
          <cell r="X708">
            <v>24.16</v>
          </cell>
          <cell r="Y708">
            <v>0.4236111111111111</v>
          </cell>
          <cell r="Z708">
            <v>60.78</v>
          </cell>
          <cell r="AA708">
            <v>62.72</v>
          </cell>
          <cell r="AW708">
            <v>4</v>
          </cell>
          <cell r="AX708">
            <v>4</v>
          </cell>
          <cell r="AY708">
            <v>1</v>
          </cell>
          <cell r="AZ708">
            <v>3</v>
          </cell>
          <cell r="BA708" t="str">
            <v>CONSORCIO NOVA ETE - PARQUE NOVO MUNDO</v>
          </cell>
          <cell r="BB708">
            <v>45771</v>
          </cell>
          <cell r="BD708" t="str">
            <v>qui</v>
          </cell>
          <cell r="BG708">
            <v>45770</v>
          </cell>
        </row>
        <row r="709">
          <cell r="A709">
            <v>1062</v>
          </cell>
          <cell r="B709">
            <v>683</v>
          </cell>
          <cell r="C709" t="str">
            <v>PLACAS PN-139 / PN-140</v>
          </cell>
          <cell r="D709">
            <v>7</v>
          </cell>
          <cell r="E709">
            <v>40</v>
          </cell>
          <cell r="F709">
            <v>24</v>
          </cell>
          <cell r="G709">
            <v>40</v>
          </cell>
          <cell r="H709">
            <v>0</v>
          </cell>
          <cell r="I709" t="str">
            <v>-</v>
          </cell>
          <cell r="J709" t="str">
            <v>650/650</v>
          </cell>
          <cell r="K709" t="str">
            <v xml:space="preserve">CPIII 40 RS </v>
          </cell>
          <cell r="L709" t="str">
            <v>CP V</v>
          </cell>
          <cell r="M709" t="str">
            <v>SUPER PLASTIFICANTE</v>
          </cell>
          <cell r="N709" t="str">
            <v>ETE - PARQUE NOVO MUNDO (REATORES NEREDA)</v>
          </cell>
          <cell r="O709" t="str">
            <v>FORTANKS</v>
          </cell>
          <cell r="P709">
            <v>3</v>
          </cell>
          <cell r="Q709" t="str">
            <v>Gean</v>
          </cell>
          <cell r="R709">
            <v>45405</v>
          </cell>
          <cell r="S709">
            <v>0.61111111111111116</v>
          </cell>
          <cell r="T709">
            <v>0.60111111111111115</v>
          </cell>
          <cell r="U709" t="str">
            <v>X</v>
          </cell>
          <cell r="V709">
            <v>0.375</v>
          </cell>
          <cell r="W709">
            <v>33.369999999999997</v>
          </cell>
          <cell r="X709">
            <v>29.14</v>
          </cell>
          <cell r="Y709">
            <v>0.42708333333333331</v>
          </cell>
          <cell r="Z709">
            <v>66.099999999999994</v>
          </cell>
          <cell r="AA709">
            <v>66.14</v>
          </cell>
          <cell r="AW709">
            <v>4</v>
          </cell>
          <cell r="AX709">
            <v>4</v>
          </cell>
          <cell r="AY709">
            <v>3</v>
          </cell>
          <cell r="AZ709">
            <v>3</v>
          </cell>
          <cell r="BA709" t="str">
            <v>CONSORCIO NOVA ETE - PARQUE NOVO MUNDO</v>
          </cell>
          <cell r="BB709">
            <v>45406</v>
          </cell>
          <cell r="BD709" t="str">
            <v>qua</v>
          </cell>
          <cell r="BG709">
            <v>45405</v>
          </cell>
        </row>
        <row r="710">
          <cell r="A710">
            <v>1063</v>
          </cell>
          <cell r="B710">
            <v>684</v>
          </cell>
          <cell r="C710" t="str">
            <v>PLACAS - PN-137 / PN-138</v>
          </cell>
          <cell r="D710">
            <v>6.5</v>
          </cell>
          <cell r="E710">
            <v>40</v>
          </cell>
          <cell r="F710">
            <v>24</v>
          </cell>
          <cell r="G710">
            <v>40</v>
          </cell>
          <cell r="H710">
            <v>0</v>
          </cell>
          <cell r="I710" t="str">
            <v>-</v>
          </cell>
          <cell r="J710" t="str">
            <v>650/650</v>
          </cell>
          <cell r="K710" t="str">
            <v xml:space="preserve">CPIII 40 RS </v>
          </cell>
          <cell r="L710" t="str">
            <v>CP V</v>
          </cell>
          <cell r="M710" t="str">
            <v>SUPER PLASTIFICANTE</v>
          </cell>
          <cell r="N710" t="str">
            <v>ETE - PARQUE NOVO MUNDO (REATORES NEREDA)</v>
          </cell>
          <cell r="O710" t="str">
            <v>FORTANKS</v>
          </cell>
          <cell r="P710">
            <v>4</v>
          </cell>
          <cell r="Q710" t="str">
            <v>Gean</v>
          </cell>
          <cell r="R710">
            <v>45770</v>
          </cell>
          <cell r="S710">
            <v>0.63194444444444442</v>
          </cell>
          <cell r="T710">
            <v>0.62194444444444441</v>
          </cell>
          <cell r="U710" t="str">
            <v>X</v>
          </cell>
          <cell r="V710">
            <v>0.37847222222222221</v>
          </cell>
          <cell r="W710">
            <v>32.58</v>
          </cell>
          <cell r="X710">
            <v>32.24</v>
          </cell>
          <cell r="Y710">
            <v>0.43055555555555558</v>
          </cell>
          <cell r="Z710">
            <v>65.36</v>
          </cell>
          <cell r="AA710">
            <v>69.37</v>
          </cell>
          <cell r="AW710">
            <v>4</v>
          </cell>
          <cell r="AX710">
            <v>4</v>
          </cell>
          <cell r="AY710">
            <v>3</v>
          </cell>
          <cell r="AZ710">
            <v>4</v>
          </cell>
          <cell r="BA710" t="str">
            <v>CONSORCIO NOVA ETE - PARQUE NOVO MUNDO</v>
          </cell>
          <cell r="BB710">
            <v>45771</v>
          </cell>
          <cell r="BD710" t="str">
            <v>qui</v>
          </cell>
          <cell r="BG710">
            <v>45770</v>
          </cell>
        </row>
        <row r="711">
          <cell r="A711" t="str">
            <v>1063-A</v>
          </cell>
          <cell r="B711">
            <v>684</v>
          </cell>
          <cell r="C711" t="str">
            <v>PLACA PR_PN-27 (CANALETA)</v>
          </cell>
          <cell r="D711">
            <v>6.5</v>
          </cell>
          <cell r="E711">
            <v>40</v>
          </cell>
          <cell r="F711">
            <v>24</v>
          </cell>
          <cell r="G711">
            <v>40</v>
          </cell>
          <cell r="H711">
            <v>0</v>
          </cell>
          <cell r="I711" t="str">
            <v>-</v>
          </cell>
          <cell r="J711" t="str">
            <v>650/650</v>
          </cell>
          <cell r="K711" t="str">
            <v xml:space="preserve">CPIII 40 RS </v>
          </cell>
          <cell r="L711" t="str">
            <v>CP V</v>
          </cell>
          <cell r="M711" t="str">
            <v>SUPER PLASTIFICANTE</v>
          </cell>
          <cell r="N711" t="str">
            <v>ETE - PROJETO SUCURIÚ - CLARIFICADOR PRIMARIO</v>
          </cell>
          <cell r="O711" t="str">
            <v>FORTANKS</v>
          </cell>
          <cell r="P711">
            <v>4</v>
          </cell>
          <cell r="Q711" t="str">
            <v>Gean</v>
          </cell>
          <cell r="R711">
            <v>45770</v>
          </cell>
          <cell r="S711">
            <v>0.63194444444444442</v>
          </cell>
          <cell r="T711">
            <v>0.62194444444444441</v>
          </cell>
          <cell r="U711" t="str">
            <v>X</v>
          </cell>
          <cell r="V711">
            <v>0.37847222222222221</v>
          </cell>
          <cell r="W711">
            <v>32.58</v>
          </cell>
          <cell r="X711">
            <v>32.24</v>
          </cell>
          <cell r="Y711">
            <v>0.43055555555555558</v>
          </cell>
          <cell r="Z711">
            <v>65.36</v>
          </cell>
          <cell r="AA711">
            <v>69.37</v>
          </cell>
          <cell r="AW711">
            <v>4</v>
          </cell>
          <cell r="AX711">
            <v>4</v>
          </cell>
          <cell r="AY711">
            <v>3</v>
          </cell>
          <cell r="AZ711">
            <v>4</v>
          </cell>
          <cell r="BA711" t="str">
            <v>FORTES ENGENHARIA</v>
          </cell>
          <cell r="BB711">
            <v>45771</v>
          </cell>
          <cell r="BD711" t="str">
            <v>qui</v>
          </cell>
          <cell r="BG711">
            <v>45770</v>
          </cell>
        </row>
        <row r="712">
          <cell r="A712">
            <v>1064</v>
          </cell>
          <cell r="B712">
            <v>685</v>
          </cell>
          <cell r="C712" t="str">
            <v>PLACA PN-153</v>
          </cell>
          <cell r="D712">
            <v>6</v>
          </cell>
          <cell r="E712">
            <v>40</v>
          </cell>
          <cell r="F712">
            <v>24</v>
          </cell>
          <cell r="G712">
            <v>40</v>
          </cell>
          <cell r="H712">
            <v>0</v>
          </cell>
          <cell r="I712" t="str">
            <v>-</v>
          </cell>
          <cell r="J712" t="str">
            <v>650/650</v>
          </cell>
          <cell r="K712" t="str">
            <v xml:space="preserve">CPIII 40 RS </v>
          </cell>
          <cell r="L712" t="str">
            <v>CP V</v>
          </cell>
          <cell r="M712" t="str">
            <v>SUPER PLASTIFICANTE</v>
          </cell>
          <cell r="N712" t="str">
            <v>ETE - PARQUE NOVO MUNDO (REATORES NEREDA)</v>
          </cell>
          <cell r="O712" t="str">
            <v>FORTANKS</v>
          </cell>
          <cell r="P712">
            <v>1</v>
          </cell>
          <cell r="Q712" t="str">
            <v>Gean</v>
          </cell>
          <cell r="R712">
            <v>45771</v>
          </cell>
          <cell r="S712">
            <v>0.43055555555555558</v>
          </cell>
          <cell r="T712">
            <v>0.42055555555555557</v>
          </cell>
          <cell r="U712" t="str">
            <v>X</v>
          </cell>
          <cell r="V712">
            <v>0.54166666666666663</v>
          </cell>
          <cell r="W712">
            <v>25</v>
          </cell>
          <cell r="X712">
            <v>25.87</v>
          </cell>
          <cell r="Y712">
            <v>0.42708333333333331</v>
          </cell>
          <cell r="Z712">
            <v>79.78</v>
          </cell>
          <cell r="AA712">
            <v>80.55</v>
          </cell>
          <cell r="AW712">
            <v>4</v>
          </cell>
          <cell r="AX712">
            <v>4</v>
          </cell>
          <cell r="AY712">
            <v>4</v>
          </cell>
          <cell r="AZ712">
            <v>4</v>
          </cell>
          <cell r="BA712" t="str">
            <v>CONSORCIO NOVA ETE - PARQUE NOVO MUNDO</v>
          </cell>
          <cell r="BB712">
            <v>45772</v>
          </cell>
          <cell r="BD712" t="str">
            <v>sex</v>
          </cell>
          <cell r="BG712">
            <v>45771</v>
          </cell>
        </row>
        <row r="713">
          <cell r="A713" t="str">
            <v>1064-A</v>
          </cell>
          <cell r="B713">
            <v>685</v>
          </cell>
          <cell r="C713" t="str">
            <v>PLACA PR_PN-28</v>
          </cell>
          <cell r="D713">
            <v>6</v>
          </cell>
          <cell r="E713">
            <v>40</v>
          </cell>
          <cell r="F713">
            <v>24</v>
          </cell>
          <cell r="G713">
            <v>40</v>
          </cell>
          <cell r="H713">
            <v>0</v>
          </cell>
          <cell r="I713" t="str">
            <v>-</v>
          </cell>
          <cell r="J713" t="str">
            <v>650/650</v>
          </cell>
          <cell r="K713" t="str">
            <v xml:space="preserve">CPIII 40 RS </v>
          </cell>
          <cell r="L713" t="str">
            <v>CP V</v>
          </cell>
          <cell r="M713" t="str">
            <v>SUPER PLASTIFICANTE</v>
          </cell>
          <cell r="N713" t="str">
            <v>ETE - PROJETO SUCURIÚ - CLARIFICADOR PRIMARIO</v>
          </cell>
          <cell r="O713" t="str">
            <v>FORTANKS</v>
          </cell>
          <cell r="P713">
            <v>1</v>
          </cell>
          <cell r="Q713" t="str">
            <v>Gean</v>
          </cell>
          <cell r="R713">
            <v>45771</v>
          </cell>
          <cell r="S713">
            <v>0.43055555555555558</v>
          </cell>
          <cell r="T713">
            <v>0.42055555555555557</v>
          </cell>
          <cell r="U713" t="str">
            <v>X</v>
          </cell>
          <cell r="V713">
            <v>0.54166666666666663</v>
          </cell>
          <cell r="W713">
            <v>25</v>
          </cell>
          <cell r="X713">
            <v>25.87</v>
          </cell>
          <cell r="Y713">
            <v>0.42708333333333331</v>
          </cell>
          <cell r="Z713">
            <v>79.78</v>
          </cell>
          <cell r="AA713">
            <v>80.55</v>
          </cell>
          <cell r="AW713">
            <v>4</v>
          </cell>
          <cell r="AX713">
            <v>4</v>
          </cell>
          <cell r="AY713">
            <v>4</v>
          </cell>
          <cell r="AZ713">
            <v>4</v>
          </cell>
          <cell r="BA713" t="str">
            <v>FORTES ENGENHARIA</v>
          </cell>
          <cell r="BB713">
            <v>45772</v>
          </cell>
          <cell r="BD713" t="str">
            <v>sex</v>
          </cell>
          <cell r="BG713">
            <v>45771</v>
          </cell>
        </row>
        <row r="714">
          <cell r="A714">
            <v>1065</v>
          </cell>
          <cell r="B714">
            <v>686</v>
          </cell>
          <cell r="C714" t="str">
            <v>PLACA PN-151 / PN-152</v>
          </cell>
          <cell r="D714">
            <v>7</v>
          </cell>
          <cell r="E714">
            <v>40</v>
          </cell>
          <cell r="F714">
            <v>24</v>
          </cell>
          <cell r="G714">
            <v>40</v>
          </cell>
          <cell r="H714">
            <v>0</v>
          </cell>
          <cell r="I714" t="str">
            <v>-</v>
          </cell>
          <cell r="J714" t="str">
            <v>650/650</v>
          </cell>
          <cell r="K714" t="str">
            <v xml:space="preserve">CPIII 40 RS </v>
          </cell>
          <cell r="L714" t="str">
            <v>CP V</v>
          </cell>
          <cell r="M714" t="str">
            <v>SUPER PLASTIFICANTE</v>
          </cell>
          <cell r="N714" t="str">
            <v>ETE - PARQUE NOVO MUNDO (REATORES NEREDA)</v>
          </cell>
          <cell r="O714" t="str">
            <v>FORTANKS</v>
          </cell>
          <cell r="P714">
            <v>2</v>
          </cell>
          <cell r="Q714" t="str">
            <v>Gean</v>
          </cell>
          <cell r="R714">
            <v>45771</v>
          </cell>
          <cell r="S714">
            <v>0.4375</v>
          </cell>
          <cell r="T714">
            <v>0.42749999999999999</v>
          </cell>
          <cell r="U714" t="str">
            <v>X</v>
          </cell>
          <cell r="V714">
            <v>0.54166666666666663</v>
          </cell>
          <cell r="W714">
            <v>28.4</v>
          </cell>
          <cell r="X714">
            <v>27.68</v>
          </cell>
          <cell r="Y714">
            <v>0.41666666666666669</v>
          </cell>
          <cell r="Z714">
            <v>77.05</v>
          </cell>
          <cell r="AA714">
            <v>78.010000000000005</v>
          </cell>
          <cell r="AW714">
            <v>4</v>
          </cell>
          <cell r="AX714">
            <v>4</v>
          </cell>
          <cell r="AY714">
            <v>4</v>
          </cell>
          <cell r="AZ714">
            <v>4</v>
          </cell>
          <cell r="BA714" t="str">
            <v>CONSORCIO NOVA ETE - PARQUE NOVO MUNDO</v>
          </cell>
          <cell r="BB714">
            <v>45772</v>
          </cell>
          <cell r="BD714" t="str">
            <v>sex</v>
          </cell>
          <cell r="BG714">
            <v>45771</v>
          </cell>
        </row>
        <row r="715">
          <cell r="A715">
            <v>1066</v>
          </cell>
          <cell r="B715">
            <v>687</v>
          </cell>
          <cell r="C715" t="str">
            <v>PLACAS PN-146 / PN-147</v>
          </cell>
          <cell r="D715">
            <v>7</v>
          </cell>
          <cell r="E715">
            <v>40</v>
          </cell>
          <cell r="F715">
            <v>24</v>
          </cell>
          <cell r="G715">
            <v>40</v>
          </cell>
          <cell r="H715">
            <v>0</v>
          </cell>
          <cell r="I715" t="str">
            <v>-</v>
          </cell>
          <cell r="J715" t="str">
            <v>660/650</v>
          </cell>
          <cell r="K715" t="str">
            <v xml:space="preserve">CPIII 40 RS </v>
          </cell>
          <cell r="L715" t="str">
            <v>CP V</v>
          </cell>
          <cell r="M715" t="str">
            <v>SUPER PLASTIFICANTE</v>
          </cell>
          <cell r="N715" t="str">
            <v>ETE - PARQUE NOVO MUNDO (REATORES NEREDA)</v>
          </cell>
          <cell r="O715" t="str">
            <v>FORTANKS</v>
          </cell>
          <cell r="P715">
            <v>3</v>
          </cell>
          <cell r="Q715" t="str">
            <v>Gean</v>
          </cell>
          <cell r="R715">
            <v>45771</v>
          </cell>
          <cell r="S715">
            <v>0.4513888888888889</v>
          </cell>
          <cell r="T715">
            <v>0.44138888888888889</v>
          </cell>
          <cell r="U715" t="str">
            <v>X</v>
          </cell>
          <cell r="V715">
            <v>0.54513888888888884</v>
          </cell>
          <cell r="W715">
            <v>26.9</v>
          </cell>
          <cell r="X715">
            <v>24.9</v>
          </cell>
          <cell r="Y715">
            <v>0.4236111111111111</v>
          </cell>
          <cell r="Z715">
            <v>80.010000000000005</v>
          </cell>
          <cell r="AA715">
            <v>78.44</v>
          </cell>
          <cell r="AW715">
            <v>4</v>
          </cell>
          <cell r="AX715">
            <v>4</v>
          </cell>
          <cell r="AY715">
            <v>4</v>
          </cell>
          <cell r="AZ715">
            <v>4</v>
          </cell>
          <cell r="BA715" t="str">
            <v>CONSORCIO NOVA ETE - PARQUE NOVO MUNDO</v>
          </cell>
          <cell r="BB715">
            <v>45772</v>
          </cell>
          <cell r="BD715" t="str">
            <v>sex</v>
          </cell>
          <cell r="BG715">
            <v>45771</v>
          </cell>
        </row>
        <row r="716">
          <cell r="A716">
            <v>1067</v>
          </cell>
          <cell r="B716">
            <v>688</v>
          </cell>
          <cell r="C716" t="str">
            <v>PLACAS PN-144 / PN-145</v>
          </cell>
          <cell r="D716">
            <v>7</v>
          </cell>
          <cell r="E716">
            <v>40</v>
          </cell>
          <cell r="F716">
            <v>24</v>
          </cell>
          <cell r="G716">
            <v>40</v>
          </cell>
          <cell r="H716">
            <v>0</v>
          </cell>
          <cell r="I716" t="str">
            <v>-</v>
          </cell>
          <cell r="J716" t="str">
            <v>660/650</v>
          </cell>
          <cell r="K716" t="str">
            <v xml:space="preserve">CPIII 40 RS </v>
          </cell>
          <cell r="L716" t="str">
            <v>CP V</v>
          </cell>
          <cell r="M716" t="str">
            <v>SUPER PLASTIFICANTE</v>
          </cell>
          <cell r="N716" t="str">
            <v>ETE - PARQUE NOVO MUNDO (REATORES NEREDA)</v>
          </cell>
          <cell r="O716" t="str">
            <v>FORTANKS</v>
          </cell>
          <cell r="P716">
            <v>4</v>
          </cell>
          <cell r="Q716" t="str">
            <v>Gean</v>
          </cell>
          <cell r="R716">
            <v>45771</v>
          </cell>
          <cell r="S716">
            <v>0.45833333333333331</v>
          </cell>
          <cell r="T716">
            <v>0.44833333333333331</v>
          </cell>
          <cell r="U716" t="str">
            <v>X</v>
          </cell>
          <cell r="V716">
            <v>0.54861111111111116</v>
          </cell>
          <cell r="W716">
            <v>24.46</v>
          </cell>
          <cell r="X716">
            <v>24.14</v>
          </cell>
          <cell r="Y716">
            <v>0.43055555555555558</v>
          </cell>
          <cell r="Z716">
            <v>71.819999999999993</v>
          </cell>
          <cell r="AA716">
            <v>74.040000000000006</v>
          </cell>
          <cell r="AW716">
            <v>4</v>
          </cell>
          <cell r="AX716">
            <v>4</v>
          </cell>
          <cell r="AY716">
            <v>4</v>
          </cell>
          <cell r="AZ716">
            <v>4</v>
          </cell>
          <cell r="BA716" t="str">
            <v>CONSORCIO NOVA ETE - PARQUE NOVO MUNDO</v>
          </cell>
          <cell r="BB716">
            <v>45772</v>
          </cell>
          <cell r="BD716" t="str">
            <v>sex</v>
          </cell>
          <cell r="BG716">
            <v>45771</v>
          </cell>
        </row>
        <row r="717">
          <cell r="A717">
            <v>1068</v>
          </cell>
          <cell r="B717">
            <v>689</v>
          </cell>
          <cell r="C717" t="str">
            <v>PLACA PR_PN-28 (CANALETA)</v>
          </cell>
          <cell r="D717">
            <v>1</v>
          </cell>
          <cell r="E717">
            <v>40</v>
          </cell>
          <cell r="F717">
            <v>15</v>
          </cell>
          <cell r="G717">
            <v>40</v>
          </cell>
          <cell r="H717">
            <v>0</v>
          </cell>
          <cell r="I717" t="str">
            <v>-</v>
          </cell>
          <cell r="J717" t="str">
            <v>650/650</v>
          </cell>
          <cell r="K717" t="str">
            <v xml:space="preserve">CPIII 40 RS </v>
          </cell>
          <cell r="L717" t="str">
            <v>CP V</v>
          </cell>
          <cell r="M717" t="str">
            <v>SUPER PLASTIFICANTE</v>
          </cell>
          <cell r="N717" t="str">
            <v>ETE - PROJETO SUCURIÚ - CLARIFICADOR PRIMARIO</v>
          </cell>
          <cell r="O717" t="str">
            <v>FORTANKS</v>
          </cell>
          <cell r="P717">
            <v>5</v>
          </cell>
          <cell r="Q717" t="str">
            <v>Gean</v>
          </cell>
          <cell r="R717">
            <v>45771</v>
          </cell>
          <cell r="S717">
            <v>0.47916666666666669</v>
          </cell>
          <cell r="T717">
            <v>0.46916666666666668</v>
          </cell>
          <cell r="U717" t="str">
            <v>X</v>
          </cell>
          <cell r="V717">
            <v>0.54166666666666663</v>
          </cell>
          <cell r="W717">
            <v>19.04</v>
          </cell>
          <cell r="X717">
            <v>19.21</v>
          </cell>
          <cell r="Y717">
            <v>0.42708333333333331</v>
          </cell>
          <cell r="Z717">
            <v>72.14</v>
          </cell>
          <cell r="AA717">
            <v>72.42</v>
          </cell>
          <cell r="AW717">
            <v>4</v>
          </cell>
          <cell r="AX717">
            <v>3</v>
          </cell>
          <cell r="AY717">
            <v>4</v>
          </cell>
          <cell r="AZ717">
            <v>4</v>
          </cell>
          <cell r="BA717" t="str">
            <v>FORTES ENGENHARIA</v>
          </cell>
          <cell r="BB717">
            <v>45772</v>
          </cell>
          <cell r="BD717" t="str">
            <v>sex</v>
          </cell>
          <cell r="BG717">
            <v>45771</v>
          </cell>
        </row>
        <row r="718">
          <cell r="A718">
            <v>1069</v>
          </cell>
          <cell r="B718">
            <v>690</v>
          </cell>
          <cell r="C718" t="str">
            <v>PLACA PN-154</v>
          </cell>
          <cell r="D718">
            <v>6</v>
          </cell>
          <cell r="E718">
            <v>40</v>
          </cell>
          <cell r="F718">
            <v>24</v>
          </cell>
          <cell r="G718">
            <v>40</v>
          </cell>
          <cell r="H718">
            <v>0</v>
          </cell>
          <cell r="I718" t="str">
            <v>-</v>
          </cell>
          <cell r="J718" t="str">
            <v>660/660</v>
          </cell>
          <cell r="K718" t="str">
            <v xml:space="preserve">CPIII 40 RS </v>
          </cell>
          <cell r="L718" t="str">
            <v>CP V</v>
          </cell>
          <cell r="M718" t="str">
            <v>SUPER PLASTIFICANTE</v>
          </cell>
          <cell r="N718" t="str">
            <v>ETE - PARQUE NOVO MUNDO (REATORES NEREDA)</v>
          </cell>
          <cell r="O718" t="str">
            <v>FORTANKS</v>
          </cell>
          <cell r="P718">
            <v>1</v>
          </cell>
          <cell r="Q718" t="str">
            <v>Gean</v>
          </cell>
          <cell r="R718">
            <v>45773</v>
          </cell>
          <cell r="S718">
            <v>0.56944444444444442</v>
          </cell>
          <cell r="T718">
            <v>0.55944444444444441</v>
          </cell>
          <cell r="U718" t="str">
            <v>X</v>
          </cell>
          <cell r="V718">
            <v>0.3125</v>
          </cell>
          <cell r="W718">
            <v>56.58</v>
          </cell>
          <cell r="X718">
            <v>59.67</v>
          </cell>
          <cell r="Y718">
            <v>0.41666666666666669</v>
          </cell>
          <cell r="Z718">
            <v>83.891999999999996</v>
          </cell>
          <cell r="AA718">
            <v>84.3</v>
          </cell>
          <cell r="AW718">
            <v>4</v>
          </cell>
          <cell r="AX718">
            <v>4</v>
          </cell>
          <cell r="AY718">
            <v>4</v>
          </cell>
          <cell r="AZ718">
            <v>4</v>
          </cell>
          <cell r="BA718" t="str">
            <v>CONSORCIO NOVA ETE - PARQUE NOVO MUNDO</v>
          </cell>
          <cell r="BB718">
            <v>45776</v>
          </cell>
          <cell r="BC718">
            <v>2</v>
          </cell>
          <cell r="BD718" t="str">
            <v>ter</v>
          </cell>
          <cell r="BG718">
            <v>45773</v>
          </cell>
        </row>
        <row r="719">
          <cell r="A719" t="str">
            <v>1069-A</v>
          </cell>
          <cell r="B719">
            <v>690</v>
          </cell>
          <cell r="C719" t="str">
            <v>PLACA PR_PN-29</v>
          </cell>
          <cell r="D719">
            <v>6</v>
          </cell>
          <cell r="E719">
            <v>40</v>
          </cell>
          <cell r="F719">
            <v>24</v>
          </cell>
          <cell r="G719">
            <v>40</v>
          </cell>
          <cell r="H719">
            <v>0</v>
          </cell>
          <cell r="I719" t="str">
            <v>-</v>
          </cell>
          <cell r="J719" t="str">
            <v>66/660</v>
          </cell>
          <cell r="K719" t="str">
            <v xml:space="preserve">CPIII 40 RS </v>
          </cell>
          <cell r="L719" t="str">
            <v>CP V</v>
          </cell>
          <cell r="M719" t="str">
            <v>SUPER PLASTIFICANTE</v>
          </cell>
          <cell r="N719" t="str">
            <v>ETE - PROJETO SUCURIÚ - CLARIFICADOR PRIMARIO</v>
          </cell>
          <cell r="O719" t="str">
            <v>FORTANKS</v>
          </cell>
          <cell r="P719">
            <v>1</v>
          </cell>
          <cell r="Q719" t="str">
            <v>Gean</v>
          </cell>
          <cell r="R719">
            <v>45773</v>
          </cell>
          <cell r="S719">
            <v>0.56944444444444442</v>
          </cell>
          <cell r="T719">
            <v>0.55944444444444441</v>
          </cell>
          <cell r="U719" t="str">
            <v>X</v>
          </cell>
          <cell r="V719">
            <v>0.3125</v>
          </cell>
          <cell r="W719">
            <v>56.58</v>
          </cell>
          <cell r="X719">
            <v>59.57</v>
          </cell>
          <cell r="Y719">
            <v>0.41666666666666669</v>
          </cell>
          <cell r="Z719">
            <v>83.89</v>
          </cell>
          <cell r="AA719">
            <v>84.3</v>
          </cell>
          <cell r="AW719">
            <v>5</v>
          </cell>
          <cell r="AX719">
            <v>4</v>
          </cell>
          <cell r="AY719">
            <v>4</v>
          </cell>
          <cell r="AZ719">
            <v>4</v>
          </cell>
          <cell r="BA719" t="str">
            <v>FORTES ENGENHARIA</v>
          </cell>
          <cell r="BB719">
            <v>45776</v>
          </cell>
          <cell r="BC719">
            <v>2</v>
          </cell>
          <cell r="BD719" t="str">
            <v>ter</v>
          </cell>
          <cell r="BG719">
            <v>45773</v>
          </cell>
        </row>
        <row r="720">
          <cell r="A720">
            <v>1070</v>
          </cell>
          <cell r="B720">
            <v>691</v>
          </cell>
          <cell r="C720" t="str">
            <v>PLACAS PN-155 / PN-157</v>
          </cell>
          <cell r="D720">
            <v>6.5</v>
          </cell>
          <cell r="E720">
            <v>40</v>
          </cell>
          <cell r="F720">
            <v>24</v>
          </cell>
          <cell r="G720">
            <v>40</v>
          </cell>
          <cell r="H720">
            <v>0</v>
          </cell>
          <cell r="I720" t="str">
            <v>-</v>
          </cell>
          <cell r="J720" t="str">
            <v>660/660</v>
          </cell>
          <cell r="K720" t="str">
            <v xml:space="preserve">CPIII 40 RS </v>
          </cell>
          <cell r="L720" t="str">
            <v>CP V</v>
          </cell>
          <cell r="M720" t="str">
            <v>SUPER PLASTIFICANTE</v>
          </cell>
          <cell r="N720" t="str">
            <v>ETE - PARQUE NOVO MUNDO (REATORES NEREDA)</v>
          </cell>
          <cell r="O720" t="str">
            <v>FORTANKS</v>
          </cell>
          <cell r="P720">
            <v>2</v>
          </cell>
          <cell r="Q720" t="str">
            <v>Gean</v>
          </cell>
          <cell r="R720">
            <v>45773</v>
          </cell>
          <cell r="S720">
            <v>0.57638888888888884</v>
          </cell>
          <cell r="T720">
            <v>0.56638888888888883</v>
          </cell>
          <cell r="U720" t="str">
            <v>X</v>
          </cell>
          <cell r="V720">
            <v>0.31597222222222221</v>
          </cell>
          <cell r="W720">
            <v>63.07</v>
          </cell>
          <cell r="X720">
            <v>60.45</v>
          </cell>
          <cell r="Y720">
            <v>0.4201388888888889</v>
          </cell>
          <cell r="Z720">
            <v>82.787999999999997</v>
          </cell>
          <cell r="AA720">
            <v>83.231999999999999</v>
          </cell>
          <cell r="AW720">
            <v>4</v>
          </cell>
          <cell r="AX720">
            <v>3</v>
          </cell>
          <cell r="AY720">
            <v>3</v>
          </cell>
          <cell r="AZ720">
            <v>4</v>
          </cell>
          <cell r="BA720" t="str">
            <v>CONSORCIO NOVA ETE - PARQUE NOVO MUNDO</v>
          </cell>
          <cell r="BB720">
            <v>45776</v>
          </cell>
          <cell r="BC720">
            <v>2</v>
          </cell>
          <cell r="BD720" t="str">
            <v>ter</v>
          </cell>
          <cell r="BG720">
            <v>45773</v>
          </cell>
        </row>
        <row r="721">
          <cell r="A721">
            <v>1071</v>
          </cell>
          <cell r="B721">
            <v>692</v>
          </cell>
          <cell r="C721" t="str">
            <v>PLACAS PN-158 / PN-159</v>
          </cell>
          <cell r="D721">
            <v>7</v>
          </cell>
          <cell r="E721">
            <v>40</v>
          </cell>
          <cell r="F721">
            <v>24</v>
          </cell>
          <cell r="G721">
            <v>40</v>
          </cell>
          <cell r="H721">
            <v>0</v>
          </cell>
          <cell r="I721" t="str">
            <v>-</v>
          </cell>
          <cell r="J721" t="str">
            <v>670/670</v>
          </cell>
          <cell r="K721" t="str">
            <v xml:space="preserve">CPIII 40 RS </v>
          </cell>
          <cell r="L721" t="str">
            <v>CP V</v>
          </cell>
          <cell r="M721" t="str">
            <v>SUPER PLASTIFICANTE</v>
          </cell>
          <cell r="N721" t="str">
            <v>ETE - PARQUE NOVO MUNDO (REATORES NEREDA)</v>
          </cell>
          <cell r="O721" t="str">
            <v>FORTANKS</v>
          </cell>
          <cell r="P721">
            <v>3</v>
          </cell>
          <cell r="Q721" t="str">
            <v>Gean</v>
          </cell>
          <cell r="R721">
            <v>45773</v>
          </cell>
          <cell r="S721">
            <v>0.58472222222222225</v>
          </cell>
          <cell r="T721">
            <v>0.57472222222222225</v>
          </cell>
          <cell r="U721" t="str">
            <v>X</v>
          </cell>
          <cell r="V721">
            <v>0.31944444444444442</v>
          </cell>
          <cell r="W721">
            <v>58.6</v>
          </cell>
          <cell r="X721">
            <v>58.33</v>
          </cell>
          <cell r="Y721">
            <v>0.43055555555555558</v>
          </cell>
          <cell r="Z721">
            <v>82.93</v>
          </cell>
          <cell r="AA721">
            <v>84.01</v>
          </cell>
          <cell r="AW721">
            <v>3</v>
          </cell>
          <cell r="AX721">
            <v>4</v>
          </cell>
          <cell r="AY721">
            <v>4</v>
          </cell>
          <cell r="AZ721">
            <v>4</v>
          </cell>
          <cell r="BA721" t="str">
            <v>CONSORCIO NOVA ETE - PARQUE NOVO MUNDO</v>
          </cell>
          <cell r="BB721">
            <v>45776</v>
          </cell>
          <cell r="BC721">
            <v>2</v>
          </cell>
          <cell r="BD721" t="str">
            <v>ter</v>
          </cell>
          <cell r="BG721">
            <v>45773</v>
          </cell>
        </row>
        <row r="722">
          <cell r="A722">
            <v>1072</v>
          </cell>
          <cell r="B722">
            <v>693</v>
          </cell>
          <cell r="C722" t="str">
            <v>PLACAS PN-160 / PN-161</v>
          </cell>
          <cell r="D722">
            <v>6.5</v>
          </cell>
          <cell r="E722">
            <v>40</v>
          </cell>
          <cell r="F722">
            <v>24</v>
          </cell>
          <cell r="G722">
            <v>40</v>
          </cell>
          <cell r="H722">
            <v>0</v>
          </cell>
          <cell r="I722" t="str">
            <v>-</v>
          </cell>
          <cell r="J722" t="str">
            <v>650/650</v>
          </cell>
          <cell r="K722" t="str">
            <v xml:space="preserve">CPIII 40 RS </v>
          </cell>
          <cell r="L722" t="str">
            <v>CP V</v>
          </cell>
          <cell r="M722" t="str">
            <v>SUPER PLASTIFICANTE</v>
          </cell>
          <cell r="N722" t="str">
            <v>ETE - PARQUE NOVO MUNDO (REATORES NEREDA)</v>
          </cell>
          <cell r="O722" t="str">
            <v>FORTANKS</v>
          </cell>
          <cell r="P722">
            <v>4</v>
          </cell>
          <cell r="Q722" t="str">
            <v>Gean</v>
          </cell>
          <cell r="R722">
            <v>45773</v>
          </cell>
          <cell r="S722">
            <v>0.62152777777777779</v>
          </cell>
          <cell r="T722">
            <v>0.61152777777777778</v>
          </cell>
          <cell r="U722" t="str">
            <v>X</v>
          </cell>
          <cell r="V722">
            <v>0.32291666666666669</v>
          </cell>
          <cell r="W722">
            <v>56.8</v>
          </cell>
          <cell r="X722">
            <v>56.44</v>
          </cell>
          <cell r="Y722">
            <v>0.4236111111111111</v>
          </cell>
          <cell r="Z722">
            <v>82.32</v>
          </cell>
          <cell r="AA722">
            <v>82.944000000000003</v>
          </cell>
          <cell r="AW722">
            <v>4</v>
          </cell>
          <cell r="AX722">
            <v>4</v>
          </cell>
          <cell r="AY722">
            <v>4</v>
          </cell>
          <cell r="AZ722">
            <v>4</v>
          </cell>
          <cell r="BA722" t="str">
            <v>CONSORCIO NOVA ETE - PARQUE NOVO MUNDO</v>
          </cell>
          <cell r="BB722">
            <v>45776</v>
          </cell>
          <cell r="BC722">
            <v>2</v>
          </cell>
          <cell r="BD722" t="str">
            <v>ter</v>
          </cell>
          <cell r="BG722">
            <v>45773</v>
          </cell>
        </row>
        <row r="723">
          <cell r="A723">
            <v>1073</v>
          </cell>
          <cell r="B723">
            <v>694</v>
          </cell>
          <cell r="C723" t="str">
            <v>PLACA PR_PN-29 (CANALETA)</v>
          </cell>
          <cell r="D723">
            <v>1</v>
          </cell>
          <cell r="E723">
            <v>40</v>
          </cell>
          <cell r="F723">
            <v>15</v>
          </cell>
          <cell r="G723">
            <v>40</v>
          </cell>
          <cell r="H723">
            <v>0</v>
          </cell>
          <cell r="I723" t="str">
            <v>-</v>
          </cell>
          <cell r="J723" t="str">
            <v>660/650</v>
          </cell>
          <cell r="K723" t="str">
            <v xml:space="preserve">CPIII 40 RS </v>
          </cell>
          <cell r="L723" t="str">
            <v>CP V</v>
          </cell>
          <cell r="M723" t="str">
            <v>SUPER PLASTIFICANTE</v>
          </cell>
          <cell r="N723" t="str">
            <v>ETE - PROJETO SUCURIÚ - CLARIFICADOR PRIMARIO</v>
          </cell>
          <cell r="O723" t="str">
            <v>FORTANKS</v>
          </cell>
          <cell r="P723">
            <v>5</v>
          </cell>
          <cell r="Q723" t="str">
            <v>Gean</v>
          </cell>
          <cell r="R723">
            <v>45773</v>
          </cell>
          <cell r="S723">
            <v>0.65277777777777779</v>
          </cell>
          <cell r="T723">
            <v>0.64277777777777778</v>
          </cell>
          <cell r="U723" t="str">
            <v>X</v>
          </cell>
          <cell r="V723">
            <v>0.3125</v>
          </cell>
          <cell r="W723">
            <v>55.87</v>
          </cell>
          <cell r="X723">
            <v>54.45</v>
          </cell>
          <cell r="Y723">
            <v>0.41666666666666669</v>
          </cell>
          <cell r="Z723">
            <v>82.36</v>
          </cell>
          <cell r="AA723">
            <v>83.36</v>
          </cell>
          <cell r="AW723">
            <v>4</v>
          </cell>
          <cell r="AX723">
            <v>4</v>
          </cell>
          <cell r="AY723">
            <v>4</v>
          </cell>
          <cell r="AZ723">
            <v>4</v>
          </cell>
          <cell r="BA723" t="str">
            <v>FORTES ENGENHARIA</v>
          </cell>
          <cell r="BB723">
            <v>45776</v>
          </cell>
          <cell r="BC723">
            <v>2</v>
          </cell>
          <cell r="BD723" t="str">
            <v>ter</v>
          </cell>
          <cell r="BG723">
            <v>45773</v>
          </cell>
        </row>
        <row r="724">
          <cell r="A724">
            <v>1074</v>
          </cell>
          <cell r="B724">
            <v>695</v>
          </cell>
          <cell r="C724" t="str">
            <v>PLACA PN-169</v>
          </cell>
          <cell r="D724">
            <v>6</v>
          </cell>
          <cell r="E724">
            <v>40</v>
          </cell>
          <cell r="F724">
            <v>24</v>
          </cell>
          <cell r="G724">
            <v>40</v>
          </cell>
          <cell r="H724">
            <v>0</v>
          </cell>
          <cell r="I724" t="str">
            <v>-</v>
          </cell>
          <cell r="J724" t="str">
            <v>650/650</v>
          </cell>
          <cell r="K724" t="str">
            <v xml:space="preserve">CPIII 40 RS </v>
          </cell>
          <cell r="L724" t="str">
            <v>CP V</v>
          </cell>
          <cell r="M724" t="str">
            <v>SUPER PLASTIFICANTE</v>
          </cell>
          <cell r="N724" t="str">
            <v>ETE - PARQUE NOVO MUNDO (REATORES NEREDA)</v>
          </cell>
          <cell r="O724" t="str">
            <v>FORTANKS</v>
          </cell>
          <cell r="P724">
            <v>1</v>
          </cell>
          <cell r="Q724" t="str">
            <v>Gean</v>
          </cell>
          <cell r="R724">
            <v>45776</v>
          </cell>
          <cell r="S724">
            <v>0.57638888888888884</v>
          </cell>
          <cell r="T724">
            <v>0.56638888888888883</v>
          </cell>
          <cell r="U724" t="str">
            <v>X</v>
          </cell>
          <cell r="V724">
            <v>0.3125</v>
          </cell>
          <cell r="W724">
            <v>56.82</v>
          </cell>
          <cell r="X724">
            <v>56.42</v>
          </cell>
          <cell r="Y724">
            <v>0.42708333333333331</v>
          </cell>
          <cell r="Z724">
            <v>81.92</v>
          </cell>
          <cell r="AA724">
            <v>82.82</v>
          </cell>
          <cell r="AW724">
            <v>4</v>
          </cell>
          <cell r="AX724">
            <v>4</v>
          </cell>
          <cell r="AY724">
            <v>4</v>
          </cell>
          <cell r="AZ724">
            <v>4</v>
          </cell>
          <cell r="BA724" t="str">
            <v>CONSORCIO NOVA ETE - PARQUE NOVO MUNDO</v>
          </cell>
          <cell r="BB724">
            <v>45779</v>
          </cell>
          <cell r="BC724">
            <v>2</v>
          </cell>
          <cell r="BD724" t="str">
            <v>sex</v>
          </cell>
          <cell r="BG724">
            <v>45776</v>
          </cell>
        </row>
        <row r="725">
          <cell r="A725" t="str">
            <v>1074-A</v>
          </cell>
          <cell r="B725">
            <v>695</v>
          </cell>
          <cell r="C725" t="str">
            <v>PLACA PR_PN-30</v>
          </cell>
          <cell r="D725">
            <v>6</v>
          </cell>
          <cell r="E725">
            <v>40</v>
          </cell>
          <cell r="F725">
            <v>24</v>
          </cell>
          <cell r="G725">
            <v>40</v>
          </cell>
          <cell r="H725">
            <v>0</v>
          </cell>
          <cell r="I725" t="str">
            <v>-</v>
          </cell>
          <cell r="J725" t="str">
            <v>650/650</v>
          </cell>
          <cell r="K725" t="str">
            <v xml:space="preserve">CPIII 40 RS </v>
          </cell>
          <cell r="L725" t="str">
            <v>CP V</v>
          </cell>
          <cell r="M725" t="str">
            <v>SUPER PLASTIFICANTE</v>
          </cell>
          <cell r="N725" t="str">
            <v>ETE - PROJETO SUCURIÚ - CLARIFICADOR PRIMARIO</v>
          </cell>
          <cell r="O725" t="str">
            <v>FORTANKS</v>
          </cell>
          <cell r="P725">
            <v>1</v>
          </cell>
          <cell r="Q725" t="str">
            <v>Gean</v>
          </cell>
          <cell r="R725">
            <v>45776</v>
          </cell>
          <cell r="S725">
            <v>0.57638888888888884</v>
          </cell>
          <cell r="T725">
            <v>0.56638888888888883</v>
          </cell>
          <cell r="U725" t="str">
            <v>X</v>
          </cell>
          <cell r="V725">
            <v>0.3125</v>
          </cell>
          <cell r="W725">
            <v>56.82</v>
          </cell>
          <cell r="X725">
            <v>56.42</v>
          </cell>
          <cell r="Y725">
            <v>0.42708333333333331</v>
          </cell>
          <cell r="Z725">
            <v>81.92</v>
          </cell>
          <cell r="AA725">
            <v>82.82</v>
          </cell>
          <cell r="AW725">
            <v>4</v>
          </cell>
          <cell r="AX725">
            <v>4</v>
          </cell>
          <cell r="AY725">
            <v>4</v>
          </cell>
          <cell r="AZ725">
            <v>4</v>
          </cell>
          <cell r="BA725" t="str">
            <v>FORTES ENGENHARIA</v>
          </cell>
          <cell r="BB725">
            <v>45779</v>
          </cell>
          <cell r="BC725">
            <v>2</v>
          </cell>
          <cell r="BD725" t="str">
            <v>sex</v>
          </cell>
          <cell r="BG725">
            <v>45776</v>
          </cell>
        </row>
        <row r="726">
          <cell r="A726">
            <v>1075</v>
          </cell>
          <cell r="B726">
            <v>696</v>
          </cell>
          <cell r="C726" t="str">
            <v>PLACAS PN-167 / PN-168</v>
          </cell>
          <cell r="D726">
            <v>7</v>
          </cell>
          <cell r="E726">
            <v>40</v>
          </cell>
          <cell r="F726">
            <v>24</v>
          </cell>
          <cell r="G726">
            <v>40</v>
          </cell>
          <cell r="H726">
            <v>0</v>
          </cell>
          <cell r="I726" t="str">
            <v>-</v>
          </cell>
          <cell r="J726" t="str">
            <v>660/660</v>
          </cell>
          <cell r="K726" t="str">
            <v xml:space="preserve">CPIII 40 RS </v>
          </cell>
          <cell r="L726" t="str">
            <v>CP V</v>
          </cell>
          <cell r="M726" t="str">
            <v>SUPER PLASTIFICANTE</v>
          </cell>
          <cell r="N726" t="str">
            <v>ETE - PARQUE NOVO MUNDO (REATORES NEREDA)</v>
          </cell>
          <cell r="O726" t="str">
            <v>FORTANKS</v>
          </cell>
          <cell r="P726">
            <v>2</v>
          </cell>
          <cell r="Q726" t="str">
            <v>Gean</v>
          </cell>
          <cell r="R726">
            <v>45776</v>
          </cell>
          <cell r="S726">
            <v>0.59722222222222221</v>
          </cell>
          <cell r="T726">
            <v>0.5872222222222222</v>
          </cell>
          <cell r="U726" t="str">
            <v>X</v>
          </cell>
          <cell r="V726">
            <v>0.31944444444444442</v>
          </cell>
          <cell r="W726">
            <v>48.26</v>
          </cell>
          <cell r="X726">
            <v>45.81</v>
          </cell>
          <cell r="Y726">
            <v>0.41666666666666669</v>
          </cell>
          <cell r="Z726">
            <v>82.36</v>
          </cell>
          <cell r="AA726">
            <v>81.36</v>
          </cell>
          <cell r="AW726">
            <v>4</v>
          </cell>
          <cell r="AX726">
            <v>3</v>
          </cell>
          <cell r="AY726">
            <v>3</v>
          </cell>
          <cell r="AZ726">
            <v>4</v>
          </cell>
          <cell r="BA726" t="str">
            <v>CONSORCIO NOVA ETE - PARQUE NOVO MUNDO</v>
          </cell>
          <cell r="BB726">
            <v>45779</v>
          </cell>
          <cell r="BC726">
            <v>2</v>
          </cell>
          <cell r="BD726" t="str">
            <v>sex</v>
          </cell>
          <cell r="BG726">
            <v>45776</v>
          </cell>
        </row>
        <row r="727">
          <cell r="A727">
            <v>1076</v>
          </cell>
          <cell r="B727">
            <v>697</v>
          </cell>
          <cell r="C727" t="str">
            <v>PLACAS PN-165 / PN-166</v>
          </cell>
          <cell r="D727">
            <v>7</v>
          </cell>
          <cell r="E727">
            <v>40</v>
          </cell>
          <cell r="F727">
            <v>24</v>
          </cell>
          <cell r="G727">
            <v>40</v>
          </cell>
          <cell r="H727">
            <v>0</v>
          </cell>
          <cell r="I727" t="str">
            <v>-</v>
          </cell>
          <cell r="J727" t="str">
            <v>660/660</v>
          </cell>
          <cell r="K727" t="str">
            <v xml:space="preserve">CPIII 40 RS </v>
          </cell>
          <cell r="L727" t="str">
            <v>CP V</v>
          </cell>
          <cell r="M727" t="str">
            <v>SUPER PLASTIFICANTE</v>
          </cell>
          <cell r="N727" t="str">
            <v>ETE - PARQUE NOVO MUNDO (REATORES NEREDA)</v>
          </cell>
          <cell r="O727" t="str">
            <v>FORTANKS</v>
          </cell>
          <cell r="P727">
            <v>3</v>
          </cell>
          <cell r="Q727" t="str">
            <v>Gean</v>
          </cell>
          <cell r="R727">
            <v>45776</v>
          </cell>
          <cell r="S727">
            <v>0.61805555555555558</v>
          </cell>
          <cell r="T727">
            <v>0.60805555555555557</v>
          </cell>
          <cell r="U727" t="str">
            <v>X</v>
          </cell>
          <cell r="V727">
            <v>0.31944444444444442</v>
          </cell>
          <cell r="W727">
            <v>49.15</v>
          </cell>
          <cell r="X727">
            <v>46.24</v>
          </cell>
          <cell r="Y727">
            <v>0.41666666666666669</v>
          </cell>
          <cell r="Z727">
            <v>84.275999999999996</v>
          </cell>
          <cell r="AA727">
            <v>83.231999999999999</v>
          </cell>
          <cell r="AW727">
            <v>4</v>
          </cell>
          <cell r="AX727">
            <v>3</v>
          </cell>
          <cell r="AY727">
            <v>3</v>
          </cell>
          <cell r="AZ727">
            <v>4</v>
          </cell>
          <cell r="BA727" t="str">
            <v>CONSORCIO NOVA ETE - PARQUE NOVO MUNDO</v>
          </cell>
          <cell r="BB727">
            <v>45779</v>
          </cell>
          <cell r="BC727">
            <v>2</v>
          </cell>
          <cell r="BD727" t="str">
            <v>sex</v>
          </cell>
          <cell r="BG727">
            <v>45776</v>
          </cell>
        </row>
        <row r="728">
          <cell r="A728">
            <v>1077</v>
          </cell>
          <cell r="B728">
            <v>698</v>
          </cell>
          <cell r="C728" t="str">
            <v>PLACAS PN-162 / PN-163</v>
          </cell>
          <cell r="D728">
            <v>7</v>
          </cell>
          <cell r="E728">
            <v>40</v>
          </cell>
          <cell r="F728">
            <v>24</v>
          </cell>
          <cell r="G728">
            <v>40</v>
          </cell>
          <cell r="H728">
            <v>0</v>
          </cell>
          <cell r="I728" t="str">
            <v>-</v>
          </cell>
          <cell r="J728" t="str">
            <v>660/650</v>
          </cell>
          <cell r="K728" t="str">
            <v xml:space="preserve">CPIII 40 RS </v>
          </cell>
          <cell r="L728" t="str">
            <v>CP V</v>
          </cell>
          <cell r="M728" t="str">
            <v>SUPER PLASTIFICANTE</v>
          </cell>
          <cell r="N728" t="str">
            <v>ETE - PARQUE NOVO MUNDO (REATORES NEREDA)</v>
          </cell>
          <cell r="O728" t="str">
            <v>FORTANKS</v>
          </cell>
          <cell r="P728">
            <v>4</v>
          </cell>
          <cell r="Q728" t="str">
            <v>Gean</v>
          </cell>
          <cell r="R728">
            <v>45776</v>
          </cell>
          <cell r="S728">
            <v>0.625</v>
          </cell>
          <cell r="T728">
            <v>0.61499999999999999</v>
          </cell>
          <cell r="U728" t="str">
            <v>X</v>
          </cell>
          <cell r="V728">
            <v>0.32291666666666669</v>
          </cell>
          <cell r="W728">
            <v>42.66</v>
          </cell>
          <cell r="X728">
            <v>41.59</v>
          </cell>
          <cell r="Y728">
            <v>0.4236111111111111</v>
          </cell>
          <cell r="Z728">
            <v>82.63</v>
          </cell>
          <cell r="AA728">
            <v>83.45</v>
          </cell>
          <cell r="AW728">
            <v>4</v>
          </cell>
          <cell r="AX728">
            <v>4</v>
          </cell>
          <cell r="AY728">
            <v>3</v>
          </cell>
          <cell r="AZ728">
            <v>4</v>
          </cell>
          <cell r="BA728" t="str">
            <v>CONSORCIO NOVA ETE - PARQUE NOVO MUNDO</v>
          </cell>
          <cell r="BB728">
            <v>45779</v>
          </cell>
          <cell r="BC728">
            <v>2</v>
          </cell>
          <cell r="BD728" t="str">
            <v>sex</v>
          </cell>
          <cell r="BG728">
            <v>45776</v>
          </cell>
        </row>
        <row r="729">
          <cell r="A729">
            <v>1078</v>
          </cell>
          <cell r="B729">
            <v>699</v>
          </cell>
          <cell r="C729" t="str">
            <v>PLACA PR_PN-30 (CANALETA)</v>
          </cell>
          <cell r="D729">
            <v>1</v>
          </cell>
          <cell r="E729">
            <v>40</v>
          </cell>
          <cell r="F729">
            <v>15</v>
          </cell>
          <cell r="G729">
            <v>40</v>
          </cell>
          <cell r="H729">
            <v>0</v>
          </cell>
          <cell r="I729" t="str">
            <v>-</v>
          </cell>
          <cell r="J729" t="str">
            <v>650/660</v>
          </cell>
          <cell r="K729" t="str">
            <v xml:space="preserve">CPIII 40 RS </v>
          </cell>
          <cell r="L729" t="str">
            <v>CP V</v>
          </cell>
          <cell r="M729" t="str">
            <v>SUPER PLASTIFICANTE</v>
          </cell>
          <cell r="N729" t="str">
            <v>ETE - PROJETO SUCURIÚ - CLARIFICADOR PRIMARIO</v>
          </cell>
          <cell r="O729" t="str">
            <v>FORTANKS</v>
          </cell>
          <cell r="P729">
            <v>5</v>
          </cell>
          <cell r="Q729" t="str">
            <v>Gean</v>
          </cell>
          <cell r="R729">
            <v>45776</v>
          </cell>
          <cell r="S729">
            <v>0.70833333333333337</v>
          </cell>
          <cell r="T729">
            <v>0.69833333333333336</v>
          </cell>
          <cell r="U729" t="str">
            <v>X</v>
          </cell>
          <cell r="V729">
            <v>0.3125</v>
          </cell>
          <cell r="W729">
            <v>40.479999999999997</v>
          </cell>
          <cell r="X729">
            <v>45.07</v>
          </cell>
          <cell r="Y729">
            <v>0.41666666666666669</v>
          </cell>
          <cell r="Z729">
            <v>84.23</v>
          </cell>
          <cell r="AA729">
            <v>82.99</v>
          </cell>
          <cell r="AW729">
            <v>4</v>
          </cell>
          <cell r="AX729">
            <v>4</v>
          </cell>
          <cell r="AY729">
            <v>4</v>
          </cell>
          <cell r="AZ729">
            <v>4</v>
          </cell>
          <cell r="BA729" t="str">
            <v>FORTES ENGENHARIA</v>
          </cell>
          <cell r="BB729">
            <v>45779</v>
          </cell>
          <cell r="BC729">
            <v>2</v>
          </cell>
          <cell r="BD729" t="str">
            <v>sex</v>
          </cell>
          <cell r="BG729">
            <v>45776</v>
          </cell>
        </row>
        <row r="730">
          <cell r="A730">
            <v>1079</v>
          </cell>
          <cell r="B730">
            <v>700</v>
          </cell>
          <cell r="C730" t="str">
            <v>PLACA PN-170</v>
          </cell>
          <cell r="D730">
            <v>6</v>
          </cell>
          <cell r="E730">
            <v>40</v>
          </cell>
          <cell r="F730">
            <v>24</v>
          </cell>
          <cell r="G730">
            <v>40</v>
          </cell>
          <cell r="H730">
            <v>0</v>
          </cell>
          <cell r="I730" t="str">
            <v>-</v>
          </cell>
          <cell r="J730" t="str">
            <v>650/650</v>
          </cell>
          <cell r="K730" t="str">
            <v xml:space="preserve">CPIII 40 RS </v>
          </cell>
          <cell r="L730" t="str">
            <v>CP V</v>
          </cell>
          <cell r="M730" t="str">
            <v>SUPER PLASTIFICANTE</v>
          </cell>
          <cell r="N730" t="str">
            <v>ETE - PARQUE NOVO MUNDO (REATORES NEREDA)</v>
          </cell>
          <cell r="O730" t="str">
            <v>FORTANKS</v>
          </cell>
          <cell r="P730">
            <v>1</v>
          </cell>
          <cell r="Q730" t="str">
            <v>Gean</v>
          </cell>
          <cell r="R730">
            <v>45777</v>
          </cell>
          <cell r="S730">
            <v>0.5625</v>
          </cell>
          <cell r="T730">
            <v>0.55249999999999999</v>
          </cell>
          <cell r="U730" t="str">
            <v>X</v>
          </cell>
          <cell r="V730">
            <v>0.32291666666666669</v>
          </cell>
          <cell r="W730">
            <v>39</v>
          </cell>
          <cell r="X730">
            <v>39.200000000000003</v>
          </cell>
          <cell r="Y730">
            <v>0.42708333333333331</v>
          </cell>
          <cell r="Z730">
            <v>83.28</v>
          </cell>
          <cell r="AA730">
            <v>83.41</v>
          </cell>
          <cell r="AW730">
            <v>4</v>
          </cell>
          <cell r="AX730">
            <v>4</v>
          </cell>
          <cell r="AY730">
            <v>4</v>
          </cell>
          <cell r="AZ730">
            <v>4</v>
          </cell>
          <cell r="BA730" t="str">
            <v>CONSORCIO NOVA ETE - PARQUE NOVO MUNDO</v>
          </cell>
          <cell r="BB730">
            <v>45779</v>
          </cell>
          <cell r="BC730">
            <v>1</v>
          </cell>
          <cell r="BD730" t="str">
            <v>sex</v>
          </cell>
          <cell r="BG730">
            <v>45777</v>
          </cell>
        </row>
        <row r="731">
          <cell r="A731" t="str">
            <v>1079-A</v>
          </cell>
          <cell r="B731">
            <v>700</v>
          </cell>
          <cell r="C731" t="str">
            <v>PLACA PR_PN-32</v>
          </cell>
          <cell r="D731">
            <v>6</v>
          </cell>
          <cell r="E731">
            <v>40</v>
          </cell>
          <cell r="F731">
            <v>24</v>
          </cell>
          <cell r="G731">
            <v>40</v>
          </cell>
          <cell r="H731">
            <v>0</v>
          </cell>
          <cell r="I731" t="str">
            <v>-</v>
          </cell>
          <cell r="J731" t="str">
            <v>650/650</v>
          </cell>
          <cell r="K731" t="str">
            <v xml:space="preserve">CPIII 40 RS </v>
          </cell>
          <cell r="L731" t="str">
            <v>CP V</v>
          </cell>
          <cell r="M731" t="str">
            <v>SUPER PLASTIFICANTE</v>
          </cell>
          <cell r="N731" t="str">
            <v>ETE - PROJETO SUCURIÚ - CLARIFICADOR PRIMARIO</v>
          </cell>
          <cell r="O731" t="str">
            <v>FORTANKS</v>
          </cell>
          <cell r="P731">
            <v>1</v>
          </cell>
          <cell r="Q731" t="str">
            <v>Gean</v>
          </cell>
          <cell r="R731">
            <v>45777</v>
          </cell>
          <cell r="S731">
            <v>0.5625</v>
          </cell>
          <cell r="T731">
            <v>0.55249999999999999</v>
          </cell>
          <cell r="U731" t="str">
            <v>X</v>
          </cell>
          <cell r="V731">
            <v>0.32291666666666669</v>
          </cell>
          <cell r="W731">
            <v>39</v>
          </cell>
          <cell r="X731">
            <v>39.200000000000003</v>
          </cell>
          <cell r="Y731">
            <v>0.42708333333333331</v>
          </cell>
          <cell r="Z731">
            <v>83.28</v>
          </cell>
          <cell r="AA731">
            <v>83.41</v>
          </cell>
          <cell r="AW731">
            <v>4</v>
          </cell>
          <cell r="AX731">
            <v>4</v>
          </cell>
          <cell r="AY731">
            <v>4</v>
          </cell>
          <cell r="AZ731">
            <v>4</v>
          </cell>
          <cell r="BA731" t="str">
            <v>FORTES ENGENHARIA</v>
          </cell>
          <cell r="BB731">
            <v>45779</v>
          </cell>
          <cell r="BC731">
            <v>1</v>
          </cell>
          <cell r="BD731" t="str">
            <v>sex</v>
          </cell>
          <cell r="BG731">
            <v>45777</v>
          </cell>
        </row>
        <row r="732">
          <cell r="A732">
            <v>1080</v>
          </cell>
          <cell r="B732">
            <v>701</v>
          </cell>
          <cell r="C732" t="str">
            <v>PLACAS PN-175 / PN-176</v>
          </cell>
          <cell r="D732">
            <v>7</v>
          </cell>
          <cell r="E732">
            <v>40</v>
          </cell>
          <cell r="F732">
            <v>24</v>
          </cell>
          <cell r="G732">
            <v>40</v>
          </cell>
          <cell r="H732">
            <v>0</v>
          </cell>
          <cell r="I732" t="str">
            <v>-</v>
          </cell>
          <cell r="J732" t="str">
            <v>660/670</v>
          </cell>
          <cell r="K732" t="str">
            <v xml:space="preserve">CPIII 40 RS </v>
          </cell>
          <cell r="L732" t="str">
            <v>CP V</v>
          </cell>
          <cell r="M732" t="str">
            <v>SUPER PLASTIFICANTE</v>
          </cell>
          <cell r="N732" t="str">
            <v>ETE - PARQUE NOVO MUNDO (REATORES NEREDA)</v>
          </cell>
          <cell r="O732" t="str">
            <v>FORTANKS</v>
          </cell>
          <cell r="P732">
            <v>2</v>
          </cell>
          <cell r="Q732" t="str">
            <v>Gean</v>
          </cell>
          <cell r="R732">
            <v>45777</v>
          </cell>
          <cell r="S732">
            <v>0.59027777777777779</v>
          </cell>
          <cell r="T732">
            <v>0.58027777777777778</v>
          </cell>
          <cell r="U732" t="str">
            <v>X</v>
          </cell>
          <cell r="V732">
            <v>0.3263888888888889</v>
          </cell>
          <cell r="W732">
            <v>34.4</v>
          </cell>
          <cell r="X732">
            <v>35.700000000000003</v>
          </cell>
          <cell r="Y732">
            <v>0.42708333333333331</v>
          </cell>
          <cell r="Z732">
            <v>78.58</v>
          </cell>
          <cell r="AA732">
            <v>79.44</v>
          </cell>
          <cell r="AW732">
            <v>4</v>
          </cell>
          <cell r="AX732">
            <v>4</v>
          </cell>
          <cell r="AY732">
            <v>4</v>
          </cell>
          <cell r="AZ732">
            <v>4</v>
          </cell>
          <cell r="BA732" t="str">
            <v>CONSORCIO NOVA ETE - PARQUE NOVO MUNDO</v>
          </cell>
          <cell r="BB732">
            <v>45779</v>
          </cell>
          <cell r="BC732">
            <v>1</v>
          </cell>
          <cell r="BD732" t="str">
            <v>sex</v>
          </cell>
          <cell r="BG732">
            <v>45777</v>
          </cell>
        </row>
        <row r="733">
          <cell r="A733">
            <v>1081</v>
          </cell>
          <cell r="B733">
            <v>702</v>
          </cell>
          <cell r="C733" t="str">
            <v>PLACAS PN-173 / PN-174</v>
          </cell>
          <cell r="D733">
            <v>6.5</v>
          </cell>
          <cell r="E733">
            <v>40</v>
          </cell>
          <cell r="F733">
            <v>24</v>
          </cell>
          <cell r="G733">
            <v>40</v>
          </cell>
          <cell r="H733">
            <v>0</v>
          </cell>
          <cell r="I733" t="str">
            <v>-</v>
          </cell>
          <cell r="J733" t="str">
            <v>660/670</v>
          </cell>
          <cell r="K733" t="str">
            <v xml:space="preserve">CPIII 40 RS </v>
          </cell>
          <cell r="L733" t="str">
            <v>CP V</v>
          </cell>
          <cell r="M733" t="str">
            <v>SUPER PLASTIFICANTE</v>
          </cell>
          <cell r="N733" t="str">
            <v>ETE - PARQUE NOVO MUNDO (REATORES NEREDA)</v>
          </cell>
          <cell r="O733" t="str">
            <v>FORTANKS</v>
          </cell>
          <cell r="P733">
            <v>3</v>
          </cell>
          <cell r="Q733" t="str">
            <v>Gean</v>
          </cell>
          <cell r="R733">
            <v>45777</v>
          </cell>
          <cell r="S733">
            <v>0.61805555555555558</v>
          </cell>
          <cell r="T733">
            <v>0.60805555555555557</v>
          </cell>
          <cell r="U733" t="str">
            <v>X</v>
          </cell>
          <cell r="V733">
            <v>0.3263888888888889</v>
          </cell>
          <cell r="W733">
            <v>34.979999999999997</v>
          </cell>
          <cell r="X733">
            <v>38.909999999999997</v>
          </cell>
          <cell r="Y733">
            <v>0.42708333333333331</v>
          </cell>
          <cell r="Z733">
            <v>82.92</v>
          </cell>
          <cell r="AA733">
            <v>82.02</v>
          </cell>
          <cell r="AW733">
            <v>4</v>
          </cell>
          <cell r="AX733">
            <v>4</v>
          </cell>
          <cell r="AY733">
            <v>4</v>
          </cell>
          <cell r="AZ733">
            <v>4</v>
          </cell>
          <cell r="BA733" t="str">
            <v>CONSORCIO NOVA ETE - PARQUE NOVO MUNDO</v>
          </cell>
          <cell r="BB733">
            <v>45779</v>
          </cell>
          <cell r="BC733">
            <v>1</v>
          </cell>
          <cell r="BD733" t="str">
            <v>sex</v>
          </cell>
          <cell r="BG733">
            <v>45777</v>
          </cell>
        </row>
        <row r="734">
          <cell r="A734">
            <v>1082</v>
          </cell>
          <cell r="B734">
            <v>703</v>
          </cell>
          <cell r="C734" t="str">
            <v>PLACAS PN-171 / PN-172</v>
          </cell>
          <cell r="D734">
            <v>6.5</v>
          </cell>
          <cell r="E734">
            <v>40</v>
          </cell>
          <cell r="F734">
            <v>24</v>
          </cell>
          <cell r="G734">
            <v>40</v>
          </cell>
          <cell r="H734">
            <v>0</v>
          </cell>
          <cell r="I734" t="str">
            <v>-</v>
          </cell>
          <cell r="J734" t="str">
            <v>650/650</v>
          </cell>
          <cell r="K734" t="str">
            <v xml:space="preserve">CPIII 40 RS </v>
          </cell>
          <cell r="L734" t="str">
            <v>CP V</v>
          </cell>
          <cell r="M734" t="str">
            <v>SUPER PLASTIFICANTE</v>
          </cell>
          <cell r="N734" t="str">
            <v>ETE - PARQUE NOVO MUNDO (REATORES NEREDA)</v>
          </cell>
          <cell r="O734" t="str">
            <v>FORTANKS</v>
          </cell>
          <cell r="P734">
            <v>4</v>
          </cell>
          <cell r="Q734" t="str">
            <v>Gean</v>
          </cell>
          <cell r="R734">
            <v>45777</v>
          </cell>
          <cell r="S734">
            <v>0.64583333333333337</v>
          </cell>
          <cell r="T734">
            <v>0.63583333333333336</v>
          </cell>
          <cell r="U734" t="str">
            <v>X</v>
          </cell>
          <cell r="V734">
            <v>0.32291666666666669</v>
          </cell>
          <cell r="W734">
            <v>36.18</v>
          </cell>
          <cell r="X734">
            <v>35.24</v>
          </cell>
          <cell r="Y734">
            <v>0.4201388888888889</v>
          </cell>
          <cell r="Z734">
            <v>83.91</v>
          </cell>
          <cell r="AA734">
            <v>83.23</v>
          </cell>
          <cell r="AW734">
            <v>4</v>
          </cell>
          <cell r="AX734">
            <v>4</v>
          </cell>
          <cell r="AY734">
            <v>4</v>
          </cell>
          <cell r="AZ734">
            <v>3</v>
          </cell>
          <cell r="BA734" t="str">
            <v>CONSORCIO NOVA ETE - PARQUE NOVO MUNDO</v>
          </cell>
          <cell r="BB734">
            <v>45779</v>
          </cell>
          <cell r="BC734">
            <v>1</v>
          </cell>
          <cell r="BD734" t="str">
            <v>sex</v>
          </cell>
          <cell r="BG734">
            <v>45777</v>
          </cell>
        </row>
        <row r="735">
          <cell r="A735">
            <v>1083</v>
          </cell>
          <cell r="B735">
            <v>704</v>
          </cell>
          <cell r="C735" t="str">
            <v>PLACA PR_PN-32 (CANALETA)</v>
          </cell>
          <cell r="D735">
            <v>1</v>
          </cell>
          <cell r="E735">
            <v>40</v>
          </cell>
          <cell r="F735">
            <v>15</v>
          </cell>
          <cell r="G735">
            <v>40</v>
          </cell>
          <cell r="H735">
            <v>0</v>
          </cell>
          <cell r="I735" t="str">
            <v>-</v>
          </cell>
          <cell r="J735" t="str">
            <v>650/650</v>
          </cell>
          <cell r="K735" t="str">
            <v xml:space="preserve">CPIII 40 RS </v>
          </cell>
          <cell r="L735" t="str">
            <v>CP V</v>
          </cell>
          <cell r="M735" t="str">
            <v>SUPER PLASTIFICANTE</v>
          </cell>
          <cell r="N735" t="str">
            <v>ETE - PROJETO SUCURIÚ - CLARIFICADOR PRIMARIO</v>
          </cell>
          <cell r="O735" t="str">
            <v>FORTANKS</v>
          </cell>
          <cell r="P735">
            <v>5</v>
          </cell>
          <cell r="Q735" t="str">
            <v>Gean</v>
          </cell>
          <cell r="R735">
            <v>45777</v>
          </cell>
          <cell r="S735">
            <v>0.72916666666666663</v>
          </cell>
          <cell r="T735">
            <v>0.71916666666666662</v>
          </cell>
          <cell r="U735" t="str">
            <v>X</v>
          </cell>
          <cell r="V735">
            <v>0.32291666666666669</v>
          </cell>
          <cell r="W735">
            <v>36.729999999999997</v>
          </cell>
          <cell r="X735">
            <v>37.06</v>
          </cell>
          <cell r="Y735">
            <v>0.4201388888888889</v>
          </cell>
          <cell r="Z735">
            <v>84.23</v>
          </cell>
          <cell r="AA735">
            <v>85.63</v>
          </cell>
          <cell r="AW735">
            <v>4</v>
          </cell>
          <cell r="AX735">
            <v>4</v>
          </cell>
          <cell r="AY735">
            <v>4</v>
          </cell>
          <cell r="AZ735">
            <v>4</v>
          </cell>
          <cell r="BA735" t="str">
            <v>FORTES ENGENHARIA</v>
          </cell>
          <cell r="BB735">
            <v>45779</v>
          </cell>
          <cell r="BC735">
            <v>1</v>
          </cell>
          <cell r="BD735" t="str">
            <v>sex</v>
          </cell>
          <cell r="BG735">
            <v>45777</v>
          </cell>
        </row>
        <row r="736">
          <cell r="A736">
            <v>1084</v>
          </cell>
          <cell r="B736">
            <v>705</v>
          </cell>
          <cell r="C736" t="str">
            <v>PLACA PN-184</v>
          </cell>
          <cell r="D736">
            <v>6</v>
          </cell>
          <cell r="E736">
            <v>40</v>
          </cell>
          <cell r="F736">
            <v>24</v>
          </cell>
          <cell r="G736">
            <v>40</v>
          </cell>
          <cell r="H736">
            <v>0</v>
          </cell>
          <cell r="I736" t="str">
            <v>-</v>
          </cell>
          <cell r="J736" t="str">
            <v>660/660</v>
          </cell>
          <cell r="K736" t="str">
            <v xml:space="preserve">CPIII 40 RS </v>
          </cell>
          <cell r="L736" t="str">
            <v>CP V</v>
          </cell>
          <cell r="M736" t="str">
            <v>SUPER PLASTIFICANTE</v>
          </cell>
          <cell r="N736" t="str">
            <v>ETE - PARQUE NOVO MUNDO (REATORES NEREDA)</v>
          </cell>
          <cell r="O736" t="str">
            <v>FORTANKS</v>
          </cell>
          <cell r="P736">
            <v>1</v>
          </cell>
          <cell r="Q736" t="str">
            <v>Gean</v>
          </cell>
          <cell r="R736">
            <v>45780</v>
          </cell>
          <cell r="S736">
            <v>0.4201388888888889</v>
          </cell>
          <cell r="T736">
            <v>0.41013888888888889</v>
          </cell>
          <cell r="U736" t="str">
            <v>X</v>
          </cell>
          <cell r="V736">
            <v>0.3125</v>
          </cell>
          <cell r="W736">
            <v>48.58</v>
          </cell>
          <cell r="X736">
            <v>50.64</v>
          </cell>
          <cell r="Y736">
            <v>0.41666666666666669</v>
          </cell>
          <cell r="Z736">
            <v>81.97</v>
          </cell>
          <cell r="AA736">
            <v>84.45</v>
          </cell>
          <cell r="AW736">
            <v>4</v>
          </cell>
          <cell r="AX736">
            <v>4</v>
          </cell>
          <cell r="AY736">
            <v>4</v>
          </cell>
          <cell r="AZ736">
            <v>4</v>
          </cell>
          <cell r="BA736" t="str">
            <v>CONSORCIO NOVA ETE - PARQUE NOVO MUNDO</v>
          </cell>
          <cell r="BB736">
            <v>45782</v>
          </cell>
          <cell r="BC736">
            <v>1</v>
          </cell>
          <cell r="BD736" t="str">
            <v>seg</v>
          </cell>
          <cell r="BG736">
            <v>45780</v>
          </cell>
        </row>
        <row r="737">
          <cell r="A737" t="str">
            <v>1084-A</v>
          </cell>
          <cell r="B737">
            <v>705</v>
          </cell>
          <cell r="C737" t="str">
            <v>PLACA PR_PN-33</v>
          </cell>
          <cell r="D737">
            <v>6</v>
          </cell>
          <cell r="E737">
            <v>40</v>
          </cell>
          <cell r="F737">
            <v>24</v>
          </cell>
          <cell r="G737">
            <v>40</v>
          </cell>
          <cell r="H737">
            <v>0</v>
          </cell>
          <cell r="I737" t="str">
            <v>-</v>
          </cell>
          <cell r="J737" t="str">
            <v>660/660</v>
          </cell>
          <cell r="K737" t="str">
            <v xml:space="preserve">CPIII 40 RS </v>
          </cell>
          <cell r="L737" t="str">
            <v>CP V</v>
          </cell>
          <cell r="M737" t="str">
            <v>SUPER PLASTIFICANTE</v>
          </cell>
          <cell r="N737" t="str">
            <v>ETE - PROJETO SUCURIÚ - CLARIFICADOR PRIMARIO</v>
          </cell>
          <cell r="O737" t="str">
            <v>FORTANKS</v>
          </cell>
          <cell r="P737">
            <v>1</v>
          </cell>
          <cell r="Q737" t="str">
            <v>Gean</v>
          </cell>
          <cell r="R737">
            <v>45780</v>
          </cell>
          <cell r="S737">
            <v>0.4201388888888889</v>
          </cell>
          <cell r="T737">
            <v>0.41013888888888889</v>
          </cell>
          <cell r="U737" t="str">
            <v>X</v>
          </cell>
          <cell r="V737">
            <v>0.3125</v>
          </cell>
          <cell r="W737">
            <v>48.58</v>
          </cell>
          <cell r="X737">
            <v>50.64</v>
          </cell>
          <cell r="Y737">
            <v>0.41666666666666669</v>
          </cell>
          <cell r="Z737">
            <v>81.97</v>
          </cell>
          <cell r="AA737">
            <v>84.45</v>
          </cell>
          <cell r="AW737">
            <v>4</v>
          </cell>
          <cell r="AX737">
            <v>4</v>
          </cell>
          <cell r="AY737">
            <v>4</v>
          </cell>
          <cell r="AZ737">
            <v>4</v>
          </cell>
          <cell r="BA737" t="str">
            <v>FORTES ENGENHARIA</v>
          </cell>
          <cell r="BB737">
            <v>45782</v>
          </cell>
          <cell r="BC737">
            <v>1</v>
          </cell>
          <cell r="BD737" t="str">
            <v>seg</v>
          </cell>
          <cell r="BG737">
            <v>45780</v>
          </cell>
        </row>
        <row r="738">
          <cell r="A738">
            <v>1086</v>
          </cell>
          <cell r="B738">
            <v>707</v>
          </cell>
          <cell r="C738" t="str">
            <v>PLACAS PN-179 / PN-181</v>
          </cell>
          <cell r="D738">
            <v>7</v>
          </cell>
          <cell r="E738">
            <v>40</v>
          </cell>
          <cell r="F738">
            <v>24</v>
          </cell>
          <cell r="G738">
            <v>40</v>
          </cell>
          <cell r="H738">
            <v>0</v>
          </cell>
          <cell r="I738" t="str">
            <v>-</v>
          </cell>
          <cell r="J738" t="str">
            <v>660/660</v>
          </cell>
          <cell r="K738" t="str">
            <v xml:space="preserve">CPIII 40 RS </v>
          </cell>
          <cell r="L738" t="str">
            <v>CP V</v>
          </cell>
          <cell r="M738" t="str">
            <v>SUPER PLASTIFICANTE</v>
          </cell>
          <cell r="N738" t="str">
            <v>ETE - PARQUE NOVO MUNDO (REATORES NEREDA)</v>
          </cell>
          <cell r="O738" t="str">
            <v>FORTANKS</v>
          </cell>
          <cell r="P738">
            <v>3</v>
          </cell>
          <cell r="Q738" t="str">
            <v>Gean</v>
          </cell>
          <cell r="R738">
            <v>45780</v>
          </cell>
          <cell r="S738">
            <v>0.47222222222222221</v>
          </cell>
          <cell r="T738">
            <v>0.4622222222222222</v>
          </cell>
          <cell r="U738" t="str">
            <v>X</v>
          </cell>
          <cell r="V738">
            <v>0.31944444444444442</v>
          </cell>
          <cell r="W738">
            <v>41.43</v>
          </cell>
          <cell r="X738">
            <v>42.63</v>
          </cell>
          <cell r="Y738">
            <v>0.42708333333333331</v>
          </cell>
          <cell r="Z738">
            <v>83.17</v>
          </cell>
          <cell r="AA738">
            <v>81.94</v>
          </cell>
          <cell r="AW738">
            <v>4</v>
          </cell>
          <cell r="AX738">
            <v>4</v>
          </cell>
          <cell r="AY738">
            <v>4</v>
          </cell>
          <cell r="AZ738">
            <v>4</v>
          </cell>
          <cell r="BA738" t="str">
            <v>CONSORCIO NOVA ETE - PARQUE NOVO MUNDO</v>
          </cell>
          <cell r="BB738">
            <v>45782</v>
          </cell>
          <cell r="BC738">
            <v>1</v>
          </cell>
          <cell r="BD738" t="str">
            <v>seg</v>
          </cell>
          <cell r="BG738">
            <v>45780</v>
          </cell>
        </row>
        <row r="739">
          <cell r="A739">
            <v>1087</v>
          </cell>
          <cell r="B739">
            <v>708</v>
          </cell>
          <cell r="C739" t="str">
            <v>PLACAS PN-182 / PN-183</v>
          </cell>
          <cell r="D739">
            <v>7</v>
          </cell>
          <cell r="E739">
            <v>40</v>
          </cell>
          <cell r="F739">
            <v>24</v>
          </cell>
          <cell r="G739">
            <v>40</v>
          </cell>
          <cell r="H739">
            <v>0</v>
          </cell>
          <cell r="I739" t="str">
            <v>-</v>
          </cell>
          <cell r="J739" t="str">
            <v>650/650</v>
          </cell>
          <cell r="K739" t="str">
            <v xml:space="preserve">CPIII 40 RS </v>
          </cell>
          <cell r="L739" t="str">
            <v>CP V</v>
          </cell>
          <cell r="M739" t="str">
            <v>SUPER PLASTIFICANTE</v>
          </cell>
          <cell r="N739" t="str">
            <v>ETE - PARQUE NOVO MUNDO (REATORES NEREDA)</v>
          </cell>
          <cell r="O739" t="str">
            <v>FORTANKS</v>
          </cell>
          <cell r="P739">
            <v>4</v>
          </cell>
          <cell r="Q739" t="str">
            <v>Gean</v>
          </cell>
          <cell r="R739">
            <v>45780</v>
          </cell>
          <cell r="S739">
            <v>0.59027777777777779</v>
          </cell>
          <cell r="T739">
            <v>0.58027777777777778</v>
          </cell>
          <cell r="U739" t="str">
            <v>X</v>
          </cell>
          <cell r="V739">
            <v>0.32291666666666669</v>
          </cell>
          <cell r="W739">
            <v>39.39</v>
          </cell>
          <cell r="X739">
            <v>37.9</v>
          </cell>
          <cell r="Y739">
            <v>0.41666666666666669</v>
          </cell>
          <cell r="Z739">
            <v>82.11</v>
          </cell>
          <cell r="AA739">
            <v>83.22</v>
          </cell>
          <cell r="AW739">
            <v>4</v>
          </cell>
          <cell r="AX739">
            <v>4</v>
          </cell>
          <cell r="AY739">
            <v>4</v>
          </cell>
          <cell r="AZ739">
            <v>4</v>
          </cell>
          <cell r="BA739" t="str">
            <v>CONSORCIO NOVA ETE - PARQUE NOVO MUNDO</v>
          </cell>
          <cell r="BB739">
            <v>45782</v>
          </cell>
          <cell r="BC739">
            <v>1</v>
          </cell>
          <cell r="BD739" t="str">
            <v>seg</v>
          </cell>
          <cell r="BG739">
            <v>45780</v>
          </cell>
        </row>
        <row r="740">
          <cell r="A740" t="str">
            <v>1087-A</v>
          </cell>
          <cell r="B740">
            <v>709</v>
          </cell>
          <cell r="C740" t="str">
            <v>PLACA PR_PN-33 (CANALETA)</v>
          </cell>
          <cell r="D740">
            <v>1</v>
          </cell>
          <cell r="E740">
            <v>40</v>
          </cell>
          <cell r="F740">
            <v>15</v>
          </cell>
          <cell r="G740">
            <v>40</v>
          </cell>
          <cell r="H740">
            <v>0</v>
          </cell>
          <cell r="I740" t="str">
            <v>-</v>
          </cell>
          <cell r="J740" t="str">
            <v>670/670</v>
          </cell>
          <cell r="K740" t="str">
            <v xml:space="preserve">CPIII 40 RS </v>
          </cell>
          <cell r="L740" t="str">
            <v>CP V</v>
          </cell>
          <cell r="M740" t="str">
            <v>SUPER PLASTIFICANTE</v>
          </cell>
          <cell r="N740" t="str">
            <v>ETE - PROJETO SUCURIÚ - CLARIFICADOR PRIMARIO</v>
          </cell>
          <cell r="O740" t="str">
            <v>FORTANKS</v>
          </cell>
          <cell r="P740">
            <v>5</v>
          </cell>
          <cell r="Q740" t="str">
            <v>Gean</v>
          </cell>
          <cell r="R740">
            <v>45780</v>
          </cell>
          <cell r="S740">
            <v>0.66666666666666663</v>
          </cell>
          <cell r="T740">
            <v>0.65666666666666662</v>
          </cell>
          <cell r="U740" t="str">
            <v>X</v>
          </cell>
          <cell r="V740">
            <v>0.3125</v>
          </cell>
          <cell r="W740">
            <v>39.39</v>
          </cell>
          <cell r="X740">
            <v>37.9</v>
          </cell>
          <cell r="Y740">
            <v>0.41666666666666669</v>
          </cell>
          <cell r="Z740">
            <v>82.11</v>
          </cell>
          <cell r="AA740">
            <v>83.22</v>
          </cell>
          <cell r="AW740">
            <v>4</v>
          </cell>
          <cell r="AX740">
            <v>4</v>
          </cell>
          <cell r="AY740">
            <v>4</v>
          </cell>
          <cell r="AZ740">
            <v>4</v>
          </cell>
          <cell r="BA740" t="str">
            <v>FORTES ENGENHARIA</v>
          </cell>
          <cell r="BB740">
            <v>45782</v>
          </cell>
          <cell r="BC740">
            <v>1</v>
          </cell>
          <cell r="BD740" t="str">
            <v>seg</v>
          </cell>
          <cell r="BG740">
            <v>45780</v>
          </cell>
        </row>
        <row r="741">
          <cell r="A741">
            <v>1088</v>
          </cell>
          <cell r="B741">
            <v>710</v>
          </cell>
          <cell r="C741" t="str">
            <v>PLACA PN-185</v>
          </cell>
          <cell r="D741">
            <v>6</v>
          </cell>
          <cell r="E741">
            <v>40</v>
          </cell>
          <cell r="F741">
            <v>24</v>
          </cell>
          <cell r="G741">
            <v>40</v>
          </cell>
          <cell r="H741">
            <v>0</v>
          </cell>
          <cell r="I741" t="str">
            <v>-</v>
          </cell>
          <cell r="J741" t="str">
            <v>650/660</v>
          </cell>
          <cell r="K741" t="str">
            <v xml:space="preserve">CPIII 40 RS </v>
          </cell>
          <cell r="L741" t="str">
            <v>CP V</v>
          </cell>
          <cell r="M741" t="str">
            <v>SUPER PLASTIFICANTE</v>
          </cell>
          <cell r="N741" t="str">
            <v>ETE - PARQUE NOVO MUNDO (REATORES NEREDA)</v>
          </cell>
          <cell r="O741" t="str">
            <v>FORTANKS</v>
          </cell>
          <cell r="P741">
            <v>1</v>
          </cell>
          <cell r="Q741" t="str">
            <v>Gean</v>
          </cell>
          <cell r="R741">
            <v>45782</v>
          </cell>
          <cell r="S741">
            <v>0.5625</v>
          </cell>
          <cell r="T741">
            <v>0.55249999999999999</v>
          </cell>
          <cell r="U741" t="str">
            <v>X</v>
          </cell>
          <cell r="V741">
            <v>0.40625</v>
          </cell>
          <cell r="W741">
            <v>27.08</v>
          </cell>
          <cell r="X741">
            <v>30.65</v>
          </cell>
          <cell r="Y741">
            <v>0.40972222222222221</v>
          </cell>
          <cell r="Z741">
            <v>85.067999999999998</v>
          </cell>
          <cell r="AA741">
            <v>83.1</v>
          </cell>
          <cell r="AW741">
            <v>4</v>
          </cell>
          <cell r="AX741">
            <v>4</v>
          </cell>
          <cell r="AY741">
            <v>3</v>
          </cell>
          <cell r="AZ741">
            <v>4</v>
          </cell>
          <cell r="BA741" t="str">
            <v>CONSORCIO NOVA ETE - PARQUE NOVO MUNDO</v>
          </cell>
          <cell r="BB741">
            <v>45783</v>
          </cell>
          <cell r="BD741" t="str">
            <v>ter</v>
          </cell>
          <cell r="BG741">
            <v>45782</v>
          </cell>
        </row>
        <row r="742">
          <cell r="A742">
            <v>1088</v>
          </cell>
          <cell r="B742">
            <v>710</v>
          </cell>
          <cell r="C742" t="str">
            <v>PLACA PR_PN-34</v>
          </cell>
          <cell r="D742">
            <v>6</v>
          </cell>
          <cell r="E742">
            <v>40</v>
          </cell>
          <cell r="F742">
            <v>24</v>
          </cell>
          <cell r="G742">
            <v>40</v>
          </cell>
          <cell r="H742">
            <v>0</v>
          </cell>
          <cell r="I742" t="str">
            <v>-</v>
          </cell>
          <cell r="J742" t="str">
            <v>650/660</v>
          </cell>
          <cell r="K742" t="str">
            <v xml:space="preserve">CPIII 40 RS </v>
          </cell>
          <cell r="L742" t="str">
            <v>CP V</v>
          </cell>
          <cell r="M742" t="str">
            <v>SUPER PLASTIFICANTE</v>
          </cell>
          <cell r="N742" t="str">
            <v>ETE - PROJETO SUCURIÚ - CLARIFICADOR PRIMARIO</v>
          </cell>
          <cell r="O742" t="str">
            <v>FORTANKS</v>
          </cell>
          <cell r="P742">
            <v>1</v>
          </cell>
          <cell r="Q742" t="str">
            <v>Gean</v>
          </cell>
          <cell r="R742">
            <v>45782</v>
          </cell>
          <cell r="S742">
            <v>0.5625</v>
          </cell>
          <cell r="T742">
            <v>0.55249999999999999</v>
          </cell>
          <cell r="U742" t="str">
            <v>X</v>
          </cell>
          <cell r="V742">
            <v>0.40625</v>
          </cell>
          <cell r="W742">
            <v>27.08</v>
          </cell>
          <cell r="X742">
            <v>30.65</v>
          </cell>
          <cell r="Y742">
            <v>0.40972222222222221</v>
          </cell>
          <cell r="Z742">
            <v>85.067999999999998</v>
          </cell>
          <cell r="AA742">
            <v>83.1</v>
          </cell>
          <cell r="AW742">
            <v>4</v>
          </cell>
          <cell r="AX742">
            <v>4</v>
          </cell>
          <cell r="AY742">
            <v>3</v>
          </cell>
          <cell r="AZ742">
            <v>4</v>
          </cell>
          <cell r="BA742" t="str">
            <v>FORTES ENGENHARIA</v>
          </cell>
          <cell r="BB742">
            <v>45783</v>
          </cell>
          <cell r="BD742" t="str">
            <v>ter</v>
          </cell>
          <cell r="BG742">
            <v>45782</v>
          </cell>
        </row>
        <row r="743">
          <cell r="A743">
            <v>1090</v>
          </cell>
          <cell r="B743">
            <v>712</v>
          </cell>
          <cell r="C743" t="str">
            <v>PLACAS PN-189 / PN-190</v>
          </cell>
          <cell r="D743">
            <v>6.5</v>
          </cell>
          <cell r="E743">
            <v>40</v>
          </cell>
          <cell r="F743">
            <v>24</v>
          </cell>
          <cell r="G743">
            <v>40</v>
          </cell>
          <cell r="H743">
            <v>0</v>
          </cell>
          <cell r="I743" t="str">
            <v>-</v>
          </cell>
          <cell r="J743" t="str">
            <v>650/650</v>
          </cell>
          <cell r="K743" t="str">
            <v xml:space="preserve">CPIII 40 RS </v>
          </cell>
          <cell r="L743" t="str">
            <v>CP V</v>
          </cell>
          <cell r="M743" t="str">
            <v>SUPER PLASTIFICANTE</v>
          </cell>
          <cell r="N743" t="str">
            <v>ETE - PARQUE NOVO MUNDO (REATORES NEREDA)</v>
          </cell>
          <cell r="O743" t="str">
            <v>FORTANKS</v>
          </cell>
          <cell r="P743">
            <v>3</v>
          </cell>
          <cell r="Q743" t="str">
            <v>Gean</v>
          </cell>
          <cell r="R743">
            <v>45782</v>
          </cell>
          <cell r="S743">
            <v>0.61111111111111116</v>
          </cell>
          <cell r="T743">
            <v>0.60111111111111115</v>
          </cell>
          <cell r="U743" t="str">
            <v>X</v>
          </cell>
          <cell r="V743">
            <v>0.54513888888888884</v>
          </cell>
          <cell r="W743">
            <v>26.32</v>
          </cell>
          <cell r="X743">
            <v>25.76</v>
          </cell>
          <cell r="Y743">
            <v>0.4201388888888889</v>
          </cell>
          <cell r="Z743">
            <v>83.975999999999999</v>
          </cell>
          <cell r="AA743">
            <v>85.872</v>
          </cell>
          <cell r="AW743">
            <v>4</v>
          </cell>
          <cell r="AX743">
            <v>4</v>
          </cell>
          <cell r="AY743">
            <v>4</v>
          </cell>
          <cell r="AZ743">
            <v>4</v>
          </cell>
          <cell r="BA743" t="str">
            <v>CONSORCIO NOVA ETE - PARQUE NOVO MUNDO</v>
          </cell>
          <cell r="BB743">
            <v>45783</v>
          </cell>
          <cell r="BD743" t="str">
            <v>ter</v>
          </cell>
          <cell r="BG743">
            <v>45782</v>
          </cell>
        </row>
        <row r="744">
          <cell r="A744">
            <v>1091</v>
          </cell>
          <cell r="B744">
            <v>713</v>
          </cell>
          <cell r="C744" t="str">
            <v>PLACAS PN-186 / PN-188</v>
          </cell>
          <cell r="D744">
            <v>6.5</v>
          </cell>
          <cell r="E744">
            <v>40</v>
          </cell>
          <cell r="F744">
            <v>24</v>
          </cell>
          <cell r="G744">
            <v>40</v>
          </cell>
          <cell r="H744">
            <v>0</v>
          </cell>
          <cell r="I744" t="str">
            <v>-</v>
          </cell>
          <cell r="J744" t="str">
            <v>660/650</v>
          </cell>
          <cell r="K744" t="str">
            <v xml:space="preserve">CPIII 40 RS </v>
          </cell>
          <cell r="L744" t="str">
            <v>CP V</v>
          </cell>
          <cell r="M744" t="str">
            <v>SUPER PLASTIFICANTE</v>
          </cell>
          <cell r="N744" t="str">
            <v>ETE - PARQUE NOVO MUNDO (REATORES NEREDA)</v>
          </cell>
          <cell r="O744" t="str">
            <v>FORTANKS</v>
          </cell>
          <cell r="P744">
            <v>4</v>
          </cell>
          <cell r="Q744" t="str">
            <v>Gean</v>
          </cell>
          <cell r="R744">
            <v>45782</v>
          </cell>
          <cell r="S744">
            <v>0.64583333333333337</v>
          </cell>
          <cell r="T744">
            <v>0.63583333333333336</v>
          </cell>
          <cell r="U744" t="str">
            <v>X</v>
          </cell>
          <cell r="V744">
            <v>0.54861111111111116</v>
          </cell>
          <cell r="W744">
            <v>26</v>
          </cell>
          <cell r="X744">
            <v>24.4</v>
          </cell>
          <cell r="Y744">
            <v>0.43055555555555558</v>
          </cell>
          <cell r="Z744">
            <v>83.16</v>
          </cell>
          <cell r="AA744">
            <v>85.09</v>
          </cell>
          <cell r="AW744">
            <v>4</v>
          </cell>
          <cell r="AX744">
            <v>4</v>
          </cell>
          <cell r="AY744">
            <v>4</v>
          </cell>
          <cell r="AZ744">
            <v>3</v>
          </cell>
          <cell r="BA744" t="str">
            <v>CONSORCIO NOVA ETE - PARQUE NOVO MUNDO</v>
          </cell>
          <cell r="BB744">
            <v>45783</v>
          </cell>
          <cell r="BD744" t="str">
            <v>ter</v>
          </cell>
          <cell r="BG744">
            <v>45782</v>
          </cell>
        </row>
        <row r="745">
          <cell r="A745">
            <v>1092</v>
          </cell>
          <cell r="B745">
            <v>714</v>
          </cell>
          <cell r="C745" t="str">
            <v>PLACA PR_PN-34 (CANALETA)</v>
          </cell>
          <cell r="D745">
            <v>1</v>
          </cell>
          <cell r="E745">
            <v>40</v>
          </cell>
          <cell r="F745">
            <v>15</v>
          </cell>
          <cell r="G745">
            <v>40</v>
          </cell>
          <cell r="H745">
            <v>0</v>
          </cell>
          <cell r="I745" t="str">
            <v>-</v>
          </cell>
          <cell r="J745" t="str">
            <v>660/650</v>
          </cell>
          <cell r="K745" t="str">
            <v xml:space="preserve">CPIII 40 RS </v>
          </cell>
          <cell r="L745" t="str">
            <v>CP V</v>
          </cell>
          <cell r="M745" t="str">
            <v>SUPER PLASTIFICANTE</v>
          </cell>
          <cell r="N745" t="str">
            <v>ETE - PROJETO SUCURIÚ - CLARIFICADOR PRIMARIO</v>
          </cell>
          <cell r="O745" t="str">
            <v>FORTANKS</v>
          </cell>
          <cell r="P745">
            <v>5</v>
          </cell>
          <cell r="Q745" t="str">
            <v>Gean</v>
          </cell>
          <cell r="R745">
            <v>45782</v>
          </cell>
          <cell r="S745">
            <v>0.54166666666666663</v>
          </cell>
          <cell r="T745">
            <v>0.53166666666666662</v>
          </cell>
          <cell r="U745" t="str">
            <v>X</v>
          </cell>
          <cell r="V745">
            <v>0.54166666666666663</v>
          </cell>
          <cell r="W745">
            <v>36.799999999999997</v>
          </cell>
          <cell r="X745">
            <v>35.549999999999997</v>
          </cell>
          <cell r="Y745">
            <v>0.4236111111111111</v>
          </cell>
          <cell r="Z745">
            <v>81.23</v>
          </cell>
          <cell r="AA745">
            <v>80.59</v>
          </cell>
          <cell r="AW745">
            <v>4</v>
          </cell>
          <cell r="AX745">
            <v>4</v>
          </cell>
          <cell r="AY745">
            <v>4</v>
          </cell>
          <cell r="AZ745">
            <v>4</v>
          </cell>
          <cell r="BA745" t="str">
            <v>FORTES ENGENHARIA</v>
          </cell>
          <cell r="BB745">
            <v>45783</v>
          </cell>
          <cell r="BD745" t="str">
            <v>ter</v>
          </cell>
          <cell r="BG745">
            <v>45782</v>
          </cell>
        </row>
        <row r="746">
          <cell r="A746">
            <v>1093</v>
          </cell>
          <cell r="B746">
            <v>715</v>
          </cell>
          <cell r="C746" t="str">
            <v>PLACA PN-200</v>
          </cell>
          <cell r="D746">
            <v>6</v>
          </cell>
          <cell r="E746">
            <v>40</v>
          </cell>
          <cell r="F746">
            <v>24</v>
          </cell>
          <cell r="G746">
            <v>40</v>
          </cell>
          <cell r="H746">
            <v>0</v>
          </cell>
          <cell r="I746" t="str">
            <v>-</v>
          </cell>
          <cell r="J746" t="str">
            <v>650/650</v>
          </cell>
          <cell r="K746" t="str">
            <v xml:space="preserve">CPIII 40 RS </v>
          </cell>
          <cell r="L746" t="str">
            <v>CP V</v>
          </cell>
          <cell r="M746" t="str">
            <v>SUPER PLASTIFICANTE</v>
          </cell>
          <cell r="N746" t="str">
            <v>ETE - PARQUE NOVO MUNDO (REATORES NEREDA)</v>
          </cell>
          <cell r="O746" t="str">
            <v>FORTANKS</v>
          </cell>
          <cell r="P746">
            <v>1</v>
          </cell>
          <cell r="Q746" t="str">
            <v>Gean</v>
          </cell>
          <cell r="R746">
            <v>45783</v>
          </cell>
          <cell r="S746">
            <v>0.54861111111111116</v>
          </cell>
          <cell r="T746">
            <v>0.53861111111111115</v>
          </cell>
          <cell r="U746" t="str">
            <v>X</v>
          </cell>
          <cell r="V746">
            <v>0.43055555555555558</v>
          </cell>
          <cell r="W746">
            <v>28.8</v>
          </cell>
          <cell r="X746">
            <v>29.46</v>
          </cell>
          <cell r="Y746">
            <v>0.43055555555555558</v>
          </cell>
          <cell r="Z746">
            <v>82.59</v>
          </cell>
          <cell r="AA746">
            <v>81.96</v>
          </cell>
          <cell r="AW746">
            <v>4</v>
          </cell>
          <cell r="AX746">
            <v>4</v>
          </cell>
          <cell r="AY746">
            <v>4</v>
          </cell>
          <cell r="AZ746">
            <v>3</v>
          </cell>
          <cell r="BA746" t="str">
            <v>CONSORCIO NOVA ETE - PARQUE NOVO MUNDO</v>
          </cell>
          <cell r="BB746">
            <v>45784</v>
          </cell>
          <cell r="BD746" t="str">
            <v>qua</v>
          </cell>
          <cell r="BG746">
            <v>45783</v>
          </cell>
        </row>
        <row r="747">
          <cell r="A747" t="str">
            <v>1093-A</v>
          </cell>
          <cell r="B747">
            <v>715</v>
          </cell>
          <cell r="C747" t="str">
            <v>PLACA PR_PN-40</v>
          </cell>
          <cell r="D747">
            <v>6</v>
          </cell>
          <cell r="E747">
            <v>40</v>
          </cell>
          <cell r="F747">
            <v>24</v>
          </cell>
          <cell r="G747">
            <v>40</v>
          </cell>
          <cell r="H747">
            <v>0</v>
          </cell>
          <cell r="I747" t="str">
            <v>-</v>
          </cell>
          <cell r="J747" t="str">
            <v>650/650</v>
          </cell>
          <cell r="K747" t="str">
            <v xml:space="preserve">CPIII 40 RS </v>
          </cell>
          <cell r="L747" t="str">
            <v>CP V</v>
          </cell>
          <cell r="M747" t="str">
            <v>SUPER PLASTIFICANTE</v>
          </cell>
          <cell r="N747" t="str">
            <v>ETE - PROJETO SUCURIÚ - CLARIFICADOR PRIMARIO</v>
          </cell>
          <cell r="O747" t="str">
            <v>FORTANKS</v>
          </cell>
          <cell r="P747">
            <v>1</v>
          </cell>
          <cell r="Q747" t="str">
            <v>Gean</v>
          </cell>
          <cell r="R747">
            <v>45783</v>
          </cell>
          <cell r="S747">
            <v>0.54861111111111116</v>
          </cell>
          <cell r="T747">
            <v>0.53861111111111115</v>
          </cell>
          <cell r="U747" t="str">
            <v>X</v>
          </cell>
          <cell r="V747">
            <v>0.43055555555555558</v>
          </cell>
          <cell r="W747">
            <v>28.8</v>
          </cell>
          <cell r="X747">
            <v>29.46</v>
          </cell>
          <cell r="Y747">
            <v>0.43055555555555558</v>
          </cell>
          <cell r="Z747">
            <v>82.59</v>
          </cell>
          <cell r="AA747">
            <v>81.96</v>
          </cell>
          <cell r="AW747">
            <v>4</v>
          </cell>
          <cell r="AX747">
            <v>4</v>
          </cell>
          <cell r="AY747">
            <v>4</v>
          </cell>
          <cell r="AZ747">
            <v>3</v>
          </cell>
          <cell r="BA747" t="str">
            <v>FORTES ENGENHARIA</v>
          </cell>
          <cell r="BB747">
            <v>45784</v>
          </cell>
          <cell r="BD747" t="str">
            <v>qua</v>
          </cell>
          <cell r="BG747">
            <v>45783</v>
          </cell>
        </row>
        <row r="748">
          <cell r="A748">
            <v>1094</v>
          </cell>
          <cell r="B748">
            <v>716</v>
          </cell>
          <cell r="C748" t="str">
            <v>PLACAS PN-198 / PN-199</v>
          </cell>
          <cell r="D748">
            <v>7</v>
          </cell>
          <cell r="F748">
            <v>24</v>
          </cell>
          <cell r="J748" t="str">
            <v>660/650</v>
          </cell>
          <cell r="N748" t="str">
            <v>ETE - PARQUE NOVO MUNDO (REATORES NEREDA)</v>
          </cell>
          <cell r="P748">
            <v>2</v>
          </cell>
          <cell r="R748">
            <v>45783</v>
          </cell>
          <cell r="S748">
            <v>0.5625</v>
          </cell>
          <cell r="T748">
            <v>0.55249999999999999</v>
          </cell>
          <cell r="U748" t="str">
            <v>X</v>
          </cell>
          <cell r="V748">
            <v>0.43402777777777779</v>
          </cell>
          <cell r="W748">
            <v>29.65</v>
          </cell>
          <cell r="X748">
            <v>30.52</v>
          </cell>
          <cell r="Y748">
            <v>0.41666666666666669</v>
          </cell>
          <cell r="Z748">
            <v>80.59</v>
          </cell>
          <cell r="AA748">
            <v>81.84</v>
          </cell>
          <cell r="AW748">
            <v>4</v>
          </cell>
          <cell r="AX748">
            <v>4</v>
          </cell>
          <cell r="AY748">
            <v>4</v>
          </cell>
          <cell r="AZ748">
            <v>3</v>
          </cell>
          <cell r="BA748" t="str">
            <v>PARQUE NOVO MUNDO</v>
          </cell>
          <cell r="BB748">
            <v>45784</v>
          </cell>
          <cell r="BD748" t="str">
            <v>qua</v>
          </cell>
          <cell r="BG748">
            <v>45783</v>
          </cell>
        </row>
        <row r="749">
          <cell r="A749">
            <v>1095</v>
          </cell>
          <cell r="B749">
            <v>717</v>
          </cell>
          <cell r="C749" t="str">
            <v>PLACAS PN-196 / PN-197</v>
          </cell>
          <cell r="D749">
            <v>7</v>
          </cell>
          <cell r="E749">
            <v>40</v>
          </cell>
          <cell r="F749">
            <v>24</v>
          </cell>
          <cell r="G749">
            <v>40</v>
          </cell>
          <cell r="H749">
            <v>0</v>
          </cell>
          <cell r="I749" t="str">
            <v>-</v>
          </cell>
          <cell r="J749" t="str">
            <v>660/660</v>
          </cell>
          <cell r="K749" t="str">
            <v xml:space="preserve">CPIII 40 RS </v>
          </cell>
          <cell r="L749" t="str">
            <v>CP V</v>
          </cell>
          <cell r="M749" t="str">
            <v>SUPER PLASTIFICANTE</v>
          </cell>
          <cell r="N749" t="str">
            <v>ETE - PARQUE NOVO MUNDO (REATORES NEREDA)</v>
          </cell>
          <cell r="O749" t="str">
            <v>FORTANKS</v>
          </cell>
          <cell r="P749">
            <v>3</v>
          </cell>
          <cell r="Q749" t="str">
            <v>Gean</v>
          </cell>
          <cell r="R749">
            <v>45783</v>
          </cell>
          <cell r="S749">
            <v>0.58333333333333337</v>
          </cell>
          <cell r="T749">
            <v>0.57333333333333336</v>
          </cell>
          <cell r="U749" t="str">
            <v>X</v>
          </cell>
          <cell r="V749">
            <v>0.4375</v>
          </cell>
          <cell r="W749">
            <v>31.84</v>
          </cell>
          <cell r="X749">
            <v>28.99</v>
          </cell>
          <cell r="Y749">
            <v>0.41666666666666669</v>
          </cell>
          <cell r="Z749">
            <v>82.62</v>
          </cell>
          <cell r="AA749">
            <v>82.16</v>
          </cell>
          <cell r="AW749">
            <v>4</v>
          </cell>
          <cell r="AX749">
            <v>4</v>
          </cell>
          <cell r="AY749">
            <v>4</v>
          </cell>
          <cell r="AZ749">
            <v>3</v>
          </cell>
          <cell r="BA749" t="str">
            <v>CONSORCIO NOVA ETE - PARQUE NOVO MUNDO</v>
          </cell>
          <cell r="BB749">
            <v>45784</v>
          </cell>
          <cell r="BD749" t="str">
            <v>qua</v>
          </cell>
          <cell r="BG749">
            <v>45783</v>
          </cell>
        </row>
        <row r="750">
          <cell r="A750">
            <v>1096</v>
          </cell>
          <cell r="B750">
            <v>718</v>
          </cell>
          <cell r="C750" t="str">
            <v>PLACAS PN-193 / PN-194</v>
          </cell>
          <cell r="D750">
            <v>7</v>
          </cell>
          <cell r="E750">
            <v>40</v>
          </cell>
          <cell r="F750">
            <v>24</v>
          </cell>
          <cell r="G750">
            <v>40</v>
          </cell>
          <cell r="H750">
            <v>0</v>
          </cell>
          <cell r="I750" t="str">
            <v>-</v>
          </cell>
          <cell r="J750" t="str">
            <v>660/650</v>
          </cell>
          <cell r="K750" t="str">
            <v xml:space="preserve">CPIII 40 RS </v>
          </cell>
          <cell r="L750" t="str">
            <v>CP V</v>
          </cell>
          <cell r="M750" t="str">
            <v>SUPER PLASTIFICANTE</v>
          </cell>
          <cell r="N750" t="str">
            <v>ETE - PARQUE NOVO MUNDO (REATORES NEREDA)</v>
          </cell>
          <cell r="O750" t="str">
            <v>FORTANKS</v>
          </cell>
          <cell r="P750">
            <v>4</v>
          </cell>
          <cell r="Q750" t="str">
            <v>Gean</v>
          </cell>
          <cell r="R750">
            <v>45783</v>
          </cell>
          <cell r="S750">
            <v>0.61458333333333337</v>
          </cell>
          <cell r="T750">
            <v>0.60458333333333336</v>
          </cell>
          <cell r="U750" t="str">
            <v>X</v>
          </cell>
          <cell r="V750">
            <v>0.43055555555555558</v>
          </cell>
          <cell r="W750">
            <v>27.92</v>
          </cell>
          <cell r="X750">
            <v>26.68</v>
          </cell>
          <cell r="Y750">
            <v>0.42708333333333331</v>
          </cell>
          <cell r="Z750">
            <v>79.78</v>
          </cell>
          <cell r="AA750">
            <v>80.77</v>
          </cell>
          <cell r="AW750">
            <v>4</v>
          </cell>
          <cell r="AX750">
            <v>4</v>
          </cell>
          <cell r="AY750">
            <v>1</v>
          </cell>
          <cell r="AZ750">
            <v>4</v>
          </cell>
          <cell r="BA750" t="str">
            <v>CONSORCIO NOVA ETE - PARQUE NOVO MUNDO</v>
          </cell>
          <cell r="BB750">
            <v>45784</v>
          </cell>
          <cell r="BD750" t="str">
            <v>qua</v>
          </cell>
          <cell r="BG750">
            <v>45783</v>
          </cell>
        </row>
        <row r="751">
          <cell r="A751">
            <v>1097</v>
          </cell>
          <cell r="B751">
            <v>719</v>
          </cell>
          <cell r="C751" t="str">
            <v xml:space="preserve">PLACA PR_PN-40 (CANALETA) </v>
          </cell>
          <cell r="D751">
            <v>1</v>
          </cell>
          <cell r="E751">
            <v>40</v>
          </cell>
          <cell r="F751">
            <v>24</v>
          </cell>
          <cell r="G751">
            <v>40</v>
          </cell>
          <cell r="H751">
            <v>0</v>
          </cell>
          <cell r="I751" t="str">
            <v>-</v>
          </cell>
          <cell r="J751" t="str">
            <v>650/650</v>
          </cell>
          <cell r="K751" t="str">
            <v xml:space="preserve">CPIII 40 RS </v>
          </cell>
          <cell r="L751" t="str">
            <v>CP V</v>
          </cell>
          <cell r="M751" t="str">
            <v>SUPER PLASTIFICANTE</v>
          </cell>
          <cell r="N751" t="str">
            <v>ETE - PROJETO SUCURIÚ - CLARIFICADOR PRIMARIO</v>
          </cell>
          <cell r="O751" t="str">
            <v>FORTANKS</v>
          </cell>
          <cell r="P751">
            <v>5</v>
          </cell>
          <cell r="Q751" t="str">
            <v>Gean</v>
          </cell>
          <cell r="R751">
            <v>45783</v>
          </cell>
          <cell r="S751">
            <v>0.66666666666666663</v>
          </cell>
          <cell r="T751">
            <v>0.65666666666666662</v>
          </cell>
          <cell r="U751" t="str">
            <v>X</v>
          </cell>
          <cell r="V751">
            <v>0.43055555555555558</v>
          </cell>
          <cell r="W751">
            <v>26.77</v>
          </cell>
          <cell r="X751">
            <v>24.46</v>
          </cell>
          <cell r="Y751">
            <v>0.42708333333333331</v>
          </cell>
          <cell r="Z751">
            <v>81.260000000000005</v>
          </cell>
          <cell r="AA751">
            <v>80.69</v>
          </cell>
          <cell r="AW751">
            <v>4</v>
          </cell>
          <cell r="AX751">
            <v>4</v>
          </cell>
          <cell r="AY751">
            <v>4</v>
          </cell>
          <cell r="AZ751">
            <v>3</v>
          </cell>
          <cell r="BA751" t="str">
            <v>FORTES ENGENHARIA</v>
          </cell>
          <cell r="BB751">
            <v>45784</v>
          </cell>
          <cell r="BD751" t="str">
            <v>qua</v>
          </cell>
          <cell r="BG751">
            <v>45783</v>
          </cell>
        </row>
        <row r="752">
          <cell r="A752">
            <v>1098</v>
          </cell>
          <cell r="B752">
            <v>720</v>
          </cell>
          <cell r="C752" t="str">
            <v>PLACA PN-201</v>
          </cell>
          <cell r="D752">
            <v>6</v>
          </cell>
          <cell r="E752">
            <v>40</v>
          </cell>
          <cell r="F752">
            <v>24</v>
          </cell>
          <cell r="G752">
            <v>40</v>
          </cell>
          <cell r="H752">
            <v>0</v>
          </cell>
          <cell r="I752" t="str">
            <v>-</v>
          </cell>
          <cell r="J752" t="str">
            <v>650/650</v>
          </cell>
          <cell r="K752" t="str">
            <v xml:space="preserve">CPIII 40 RS </v>
          </cell>
          <cell r="L752" t="str">
            <v>CP V</v>
          </cell>
          <cell r="M752" t="str">
            <v>SUPER PLASTIFICANTE</v>
          </cell>
          <cell r="N752" t="str">
            <v>ETE - PARQUE NOVO MUNDO (REATORES NEREDA)</v>
          </cell>
          <cell r="O752" t="str">
            <v>FORTANKS</v>
          </cell>
          <cell r="P752">
            <v>1</v>
          </cell>
          <cell r="Q752" t="str">
            <v>Gean</v>
          </cell>
          <cell r="R752">
            <v>45785</v>
          </cell>
          <cell r="S752">
            <v>0.41666666666666669</v>
          </cell>
          <cell r="T752">
            <v>0.40666666666666668</v>
          </cell>
          <cell r="U752" t="str">
            <v>X</v>
          </cell>
          <cell r="V752">
            <v>0.35416666666666669</v>
          </cell>
          <cell r="W752">
            <v>27.14</v>
          </cell>
          <cell r="X752">
            <v>28.71</v>
          </cell>
          <cell r="Y752">
            <v>0.42708333333333331</v>
          </cell>
          <cell r="Z752">
            <v>78.72</v>
          </cell>
          <cell r="AA752">
            <v>79.569999999999993</v>
          </cell>
          <cell r="AW752">
            <v>4</v>
          </cell>
          <cell r="AX752">
            <v>4</v>
          </cell>
          <cell r="AY752">
            <v>1</v>
          </cell>
          <cell r="AZ752">
            <v>4</v>
          </cell>
          <cell r="BA752" t="str">
            <v>CONSORCIO NOVA ETE - PARQUE NOVO MUNDO</v>
          </cell>
          <cell r="BB752">
            <v>45786</v>
          </cell>
          <cell r="BD752" t="str">
            <v>sex</v>
          </cell>
          <cell r="BG752">
            <v>45785</v>
          </cell>
        </row>
        <row r="753">
          <cell r="A753" t="str">
            <v>1098-A</v>
          </cell>
          <cell r="B753">
            <v>720</v>
          </cell>
          <cell r="C753" t="str">
            <v>PLACA PR_PN-41</v>
          </cell>
          <cell r="D753">
            <v>6</v>
          </cell>
          <cell r="E753">
            <v>40</v>
          </cell>
          <cell r="F753">
            <v>24</v>
          </cell>
          <cell r="G753">
            <v>40</v>
          </cell>
          <cell r="H753">
            <v>0</v>
          </cell>
          <cell r="I753" t="str">
            <v>-</v>
          </cell>
          <cell r="J753" t="str">
            <v>650/650</v>
          </cell>
          <cell r="K753" t="str">
            <v xml:space="preserve">CPIII 40 RS </v>
          </cell>
          <cell r="L753" t="str">
            <v>CP V</v>
          </cell>
          <cell r="M753" t="str">
            <v>SUPER PLASTIFICANTE</v>
          </cell>
          <cell r="N753" t="str">
            <v>ETE - PROJETO SUCURIÚ - CLARIFICADOR PRIMARIO</v>
          </cell>
          <cell r="O753" t="str">
            <v>FORTANKS</v>
          </cell>
          <cell r="P753">
            <v>1</v>
          </cell>
          <cell r="Q753" t="str">
            <v>Gean</v>
          </cell>
          <cell r="R753">
            <v>45785</v>
          </cell>
          <cell r="S753">
            <v>0.41666666666666669</v>
          </cell>
          <cell r="T753">
            <v>0.40666666666666668</v>
          </cell>
          <cell r="U753" t="str">
            <v>X</v>
          </cell>
          <cell r="V753">
            <v>0.35416666666666669</v>
          </cell>
          <cell r="W753">
            <v>27.14</v>
          </cell>
          <cell r="X753">
            <v>28.71</v>
          </cell>
          <cell r="Y753">
            <v>0.42708333333333331</v>
          </cell>
          <cell r="Z753">
            <v>78.72</v>
          </cell>
          <cell r="AA753">
            <v>79.569999999999993</v>
          </cell>
          <cell r="AW753">
            <v>4</v>
          </cell>
          <cell r="AX753">
            <v>4</v>
          </cell>
          <cell r="AY753">
            <v>1</v>
          </cell>
          <cell r="AZ753">
            <v>4</v>
          </cell>
          <cell r="BA753" t="str">
            <v>FORTES ENGENHARIA</v>
          </cell>
          <cell r="BB753">
            <v>45786</v>
          </cell>
          <cell r="BD753" t="str">
            <v>sex</v>
          </cell>
          <cell r="BG753">
            <v>45785</v>
          </cell>
        </row>
        <row r="754">
          <cell r="A754">
            <v>1100</v>
          </cell>
          <cell r="B754">
            <v>722</v>
          </cell>
          <cell r="C754" t="str">
            <v>PLACAS PN-204 / PN-205</v>
          </cell>
          <cell r="D754">
            <v>7</v>
          </cell>
          <cell r="E754">
            <v>40</v>
          </cell>
          <cell r="F754">
            <v>24</v>
          </cell>
          <cell r="G754">
            <v>40</v>
          </cell>
          <cell r="H754">
            <v>0</v>
          </cell>
          <cell r="I754" t="str">
            <v>-</v>
          </cell>
          <cell r="J754" t="str">
            <v>650/660</v>
          </cell>
          <cell r="K754" t="str">
            <v xml:space="preserve">CPIII 40 RS </v>
          </cell>
          <cell r="L754" t="str">
            <v>CP V</v>
          </cell>
          <cell r="M754" t="str">
            <v>SUPER PLASTIFICANTE</v>
          </cell>
          <cell r="N754" t="str">
            <v>ETE - PARQUE NOVO MUNDO (REATORES NEREDA)</v>
          </cell>
          <cell r="O754" t="str">
            <v>FORTANKS</v>
          </cell>
          <cell r="P754">
            <v>3</v>
          </cell>
          <cell r="Q754" t="str">
            <v>Gean</v>
          </cell>
          <cell r="R754">
            <v>45785</v>
          </cell>
          <cell r="S754">
            <v>0.5</v>
          </cell>
          <cell r="T754">
            <v>0.49</v>
          </cell>
          <cell r="U754" t="str">
            <v>X</v>
          </cell>
          <cell r="V754">
            <v>0.35416666666666669</v>
          </cell>
          <cell r="W754">
            <v>31.32</v>
          </cell>
          <cell r="X754">
            <v>29.86</v>
          </cell>
          <cell r="Y754">
            <v>0.42708333333333331</v>
          </cell>
          <cell r="Z754">
            <v>83</v>
          </cell>
          <cell r="AA754">
            <v>84.69</v>
          </cell>
          <cell r="AW754">
            <v>4</v>
          </cell>
          <cell r="AX754">
            <v>4</v>
          </cell>
          <cell r="AY754">
            <v>3</v>
          </cell>
          <cell r="AZ754">
            <v>4</v>
          </cell>
          <cell r="BA754" t="str">
            <v>CONSORCIO NOVA ETE - PARQUE NOVO MUNDO</v>
          </cell>
          <cell r="BB754">
            <v>45786</v>
          </cell>
          <cell r="BD754" t="str">
            <v>sex</v>
          </cell>
          <cell r="BG754">
            <v>45785</v>
          </cell>
        </row>
        <row r="755">
          <cell r="A755">
            <v>1101</v>
          </cell>
          <cell r="B755">
            <v>723</v>
          </cell>
          <cell r="C755" t="str">
            <v>PLACAS PN-202 / PN-203</v>
          </cell>
          <cell r="D755">
            <v>6.5</v>
          </cell>
          <cell r="E755">
            <v>40</v>
          </cell>
          <cell r="F755">
            <v>24</v>
          </cell>
          <cell r="G755">
            <v>40</v>
          </cell>
          <cell r="H755">
            <v>0</v>
          </cell>
          <cell r="I755" t="str">
            <v>-</v>
          </cell>
          <cell r="J755" t="str">
            <v>650/660</v>
          </cell>
          <cell r="K755" t="str">
            <v xml:space="preserve">CPIII 40 RS </v>
          </cell>
          <cell r="L755" t="str">
            <v>CP V</v>
          </cell>
          <cell r="M755" t="str">
            <v>SUPER PLASTIFICANTE</v>
          </cell>
          <cell r="N755" t="str">
            <v>ETE - PARQUE NOVO MUNDO (REATORES NEREDA)</v>
          </cell>
          <cell r="O755" t="str">
            <v>FORTANKS</v>
          </cell>
          <cell r="P755">
            <v>4</v>
          </cell>
          <cell r="Q755" t="str">
            <v>Gean</v>
          </cell>
          <cell r="R755">
            <v>45785</v>
          </cell>
          <cell r="S755">
            <v>0.57638888888888884</v>
          </cell>
          <cell r="T755">
            <v>0.56638888888888883</v>
          </cell>
          <cell r="U755" t="str">
            <v>X</v>
          </cell>
          <cell r="V755">
            <v>0.35416666666666669</v>
          </cell>
          <cell r="W755">
            <v>30.72</v>
          </cell>
          <cell r="X755">
            <v>29.58</v>
          </cell>
          <cell r="Y755">
            <v>0.41666666666666669</v>
          </cell>
          <cell r="Z755">
            <v>83.35</v>
          </cell>
          <cell r="AA755">
            <v>83.04</v>
          </cell>
          <cell r="AW755">
            <v>4</v>
          </cell>
          <cell r="AX755">
            <v>4</v>
          </cell>
          <cell r="AY755">
            <v>4</v>
          </cell>
          <cell r="AZ755">
            <v>4</v>
          </cell>
          <cell r="BA755" t="str">
            <v>CONSORCIO NOVA ETE - PARQUE NOVO MUNDO</v>
          </cell>
          <cell r="BB755">
            <v>45786</v>
          </cell>
          <cell r="BD755" t="str">
            <v>sex</v>
          </cell>
          <cell r="BG755">
            <v>45785</v>
          </cell>
        </row>
        <row r="756">
          <cell r="A756">
            <v>1102</v>
          </cell>
          <cell r="B756">
            <v>724</v>
          </cell>
          <cell r="C756" t="str">
            <v>PLACA PR_PN-41 (CANALETA)</v>
          </cell>
          <cell r="D756">
            <v>1</v>
          </cell>
          <cell r="E756">
            <v>40</v>
          </cell>
          <cell r="F756">
            <v>15</v>
          </cell>
          <cell r="G756">
            <v>40</v>
          </cell>
          <cell r="H756">
            <v>0</v>
          </cell>
          <cell r="I756" t="str">
            <v>-</v>
          </cell>
          <cell r="J756" t="str">
            <v>650/650</v>
          </cell>
          <cell r="K756" t="str">
            <v xml:space="preserve">CPIII 40 RS </v>
          </cell>
          <cell r="L756" t="str">
            <v>CP V</v>
          </cell>
          <cell r="M756" t="str">
            <v>SUPER PLASTIFICANTE</v>
          </cell>
          <cell r="N756" t="str">
            <v>ETE - PROJETO SUCURIÚ - CLARIFICADOR PRIMARIO</v>
          </cell>
          <cell r="O756" t="str">
            <v>FORTANKS</v>
          </cell>
          <cell r="P756">
            <v>5</v>
          </cell>
          <cell r="Q756" t="str">
            <v>Gean</v>
          </cell>
          <cell r="R756">
            <v>45785</v>
          </cell>
          <cell r="S756">
            <v>0.66666666666666663</v>
          </cell>
          <cell r="T756">
            <v>0.65666666666666662</v>
          </cell>
          <cell r="U756" t="str">
            <v>X</v>
          </cell>
          <cell r="V756">
            <v>0.35416666666666669</v>
          </cell>
          <cell r="W756">
            <v>19.32</v>
          </cell>
          <cell r="X756">
            <v>20.7</v>
          </cell>
          <cell r="Y756">
            <v>0.44097222222222221</v>
          </cell>
          <cell r="Z756">
            <v>78.319999999999993</v>
          </cell>
          <cell r="AA756">
            <v>79.349999999999994</v>
          </cell>
          <cell r="AW756">
            <v>4</v>
          </cell>
          <cell r="AX756">
            <v>4</v>
          </cell>
          <cell r="AY756">
            <v>3</v>
          </cell>
          <cell r="AZ756">
            <v>4</v>
          </cell>
          <cell r="BA756" t="str">
            <v>FORTES ENGENHARIA</v>
          </cell>
          <cell r="BB756">
            <v>45786</v>
          </cell>
          <cell r="BD756" t="str">
            <v>sex</v>
          </cell>
          <cell r="BG756">
            <v>45785</v>
          </cell>
        </row>
        <row r="757">
          <cell r="A757">
            <v>1103</v>
          </cell>
          <cell r="B757">
            <v>725</v>
          </cell>
          <cell r="C757" t="str">
            <v>PLACA PN-215</v>
          </cell>
          <cell r="D757">
            <v>6</v>
          </cell>
          <cell r="E757">
            <v>40</v>
          </cell>
          <cell r="F757">
            <v>24</v>
          </cell>
          <cell r="G757">
            <v>40</v>
          </cell>
          <cell r="H757">
            <v>0</v>
          </cell>
          <cell r="I757" t="str">
            <v>-</v>
          </cell>
          <cell r="J757" t="str">
            <v>650/650</v>
          </cell>
          <cell r="K757" t="str">
            <v xml:space="preserve">CPIII 40 RS </v>
          </cell>
          <cell r="L757" t="str">
            <v>CP V</v>
          </cell>
          <cell r="M757" t="str">
            <v>SUPER PLASTIFICANTE</v>
          </cell>
          <cell r="N757" t="str">
            <v>ETE - PARQUE NOVO MUNDO (REATORES NEREDA)</v>
          </cell>
          <cell r="O757" t="str">
            <v>FORTANKS</v>
          </cell>
          <cell r="P757">
            <v>1</v>
          </cell>
          <cell r="Q757" t="str">
            <v>Gean</v>
          </cell>
          <cell r="R757">
            <v>45786</v>
          </cell>
          <cell r="S757">
            <v>0.43402777777777779</v>
          </cell>
          <cell r="T757">
            <v>0.42402777777777778</v>
          </cell>
          <cell r="U757" t="str">
            <v>X</v>
          </cell>
          <cell r="V757">
            <v>0.33333333333333331</v>
          </cell>
          <cell r="W757">
            <v>35.19</v>
          </cell>
          <cell r="X757">
            <v>35.79</v>
          </cell>
          <cell r="Y757">
            <v>0.43055555555555558</v>
          </cell>
          <cell r="Z757">
            <v>82.82</v>
          </cell>
          <cell r="AA757">
            <v>84.03</v>
          </cell>
          <cell r="AW757">
            <v>4</v>
          </cell>
          <cell r="AX757">
            <v>4</v>
          </cell>
          <cell r="AY757">
            <v>4</v>
          </cell>
          <cell r="AZ757">
            <v>4</v>
          </cell>
          <cell r="BA757" t="str">
            <v>CONSORCIO NOVA ETE - PARQUE NOVO MUNDO</v>
          </cell>
          <cell r="BB757">
            <v>45787</v>
          </cell>
          <cell r="BD757" t="str">
            <v>sáb</v>
          </cell>
          <cell r="BG757">
            <v>45786</v>
          </cell>
        </row>
        <row r="758">
          <cell r="A758" t="str">
            <v>1103-A</v>
          </cell>
          <cell r="B758">
            <v>725</v>
          </cell>
          <cell r="C758" t="str">
            <v>PLACA PR_PN-42</v>
          </cell>
          <cell r="D758">
            <v>6</v>
          </cell>
          <cell r="E758">
            <v>40</v>
          </cell>
          <cell r="F758">
            <v>24</v>
          </cell>
          <cell r="G758">
            <v>40</v>
          </cell>
          <cell r="H758">
            <v>0</v>
          </cell>
          <cell r="I758" t="str">
            <v>-</v>
          </cell>
          <cell r="J758" t="str">
            <v>650/650</v>
          </cell>
          <cell r="K758" t="str">
            <v xml:space="preserve">CPIII 40 RS </v>
          </cell>
          <cell r="L758" t="str">
            <v>CP V</v>
          </cell>
          <cell r="M758" t="str">
            <v>SUPER PLASTIFICANTE</v>
          </cell>
          <cell r="N758" t="str">
            <v>ETE - PROJETO SUCURIÚ - CLARIFICADOR PRIMARIO</v>
          </cell>
          <cell r="O758" t="str">
            <v>FORTANKS</v>
          </cell>
          <cell r="P758">
            <v>1</v>
          </cell>
          <cell r="Q758" t="str">
            <v>Gean</v>
          </cell>
          <cell r="R758">
            <v>45786</v>
          </cell>
          <cell r="S758">
            <v>0.43402777777777779</v>
          </cell>
          <cell r="T758">
            <v>0.42402777777777778</v>
          </cell>
          <cell r="U758" t="str">
            <v>X</v>
          </cell>
          <cell r="V758">
            <v>0.33333333333333331</v>
          </cell>
          <cell r="W758">
            <v>35.19</v>
          </cell>
          <cell r="X758">
            <v>35.79</v>
          </cell>
          <cell r="Y758">
            <v>0.43055555555555558</v>
          </cell>
          <cell r="Z758">
            <v>82.82</v>
          </cell>
          <cell r="AA758">
            <v>84.03</v>
          </cell>
          <cell r="AW758">
            <v>4</v>
          </cell>
          <cell r="AX758">
            <v>4</v>
          </cell>
          <cell r="AY758">
            <v>4</v>
          </cell>
          <cell r="AZ758">
            <v>4</v>
          </cell>
          <cell r="BA758" t="str">
            <v>FORTES ENGENHARIA</v>
          </cell>
          <cell r="BB758">
            <v>45787</v>
          </cell>
          <cell r="BD758" t="str">
            <v>sáb</v>
          </cell>
          <cell r="BG758">
            <v>45786</v>
          </cell>
        </row>
        <row r="759">
          <cell r="A759">
            <v>1104</v>
          </cell>
          <cell r="B759">
            <v>726</v>
          </cell>
          <cell r="C759" t="str">
            <v>PLACAS  PN-213 / PN-214</v>
          </cell>
          <cell r="D759">
            <v>7</v>
          </cell>
          <cell r="E759">
            <v>40</v>
          </cell>
          <cell r="F759">
            <v>24</v>
          </cell>
          <cell r="G759">
            <v>40</v>
          </cell>
          <cell r="H759">
            <v>0</v>
          </cell>
          <cell r="I759" t="str">
            <v>-</v>
          </cell>
          <cell r="J759" t="str">
            <v>650/650</v>
          </cell>
          <cell r="K759" t="str">
            <v xml:space="preserve">CPIII 40 RS </v>
          </cell>
          <cell r="L759" t="str">
            <v>CP V</v>
          </cell>
          <cell r="M759" t="str">
            <v>SUPER PLASTIFICANTE</v>
          </cell>
          <cell r="N759" t="str">
            <v>ETE - PARQUE NOVO MUNDO (REATORES NEREDA)</v>
          </cell>
          <cell r="O759" t="str">
            <v>FORTANKS</v>
          </cell>
          <cell r="P759">
            <v>2</v>
          </cell>
          <cell r="Q759" t="str">
            <v>Gean</v>
          </cell>
          <cell r="R759">
            <v>45786</v>
          </cell>
          <cell r="S759">
            <v>0.45833333333333331</v>
          </cell>
          <cell r="T759">
            <v>0.44833333333333331</v>
          </cell>
          <cell r="U759" t="str">
            <v>X</v>
          </cell>
          <cell r="V759">
            <v>0.34027777777777779</v>
          </cell>
          <cell r="W759">
            <v>33.19</v>
          </cell>
          <cell r="X759">
            <v>35.520000000000003</v>
          </cell>
          <cell r="Y759">
            <v>0.43055555555555558</v>
          </cell>
          <cell r="Z759">
            <v>82.6</v>
          </cell>
          <cell r="AA759">
            <v>82.81</v>
          </cell>
          <cell r="AW759">
            <v>4</v>
          </cell>
          <cell r="AX759">
            <v>4</v>
          </cell>
          <cell r="AY759">
            <v>3</v>
          </cell>
          <cell r="AZ759">
            <v>4</v>
          </cell>
          <cell r="BA759" t="str">
            <v>CONSORCIO NOVA ETE - PARQUE NOVO MUNDO</v>
          </cell>
          <cell r="BB759">
            <v>45787</v>
          </cell>
          <cell r="BD759" t="str">
            <v>sáb</v>
          </cell>
          <cell r="BG759">
            <v>45786</v>
          </cell>
        </row>
        <row r="760">
          <cell r="A760">
            <v>1105</v>
          </cell>
          <cell r="B760">
            <v>727</v>
          </cell>
          <cell r="C760" t="str">
            <v>PLACAS  PN-210 / PN-212</v>
          </cell>
          <cell r="D760">
            <v>7</v>
          </cell>
          <cell r="E760">
            <v>40</v>
          </cell>
          <cell r="F760">
            <v>24</v>
          </cell>
          <cell r="G760">
            <v>40</v>
          </cell>
          <cell r="H760">
            <v>0</v>
          </cell>
          <cell r="I760" t="str">
            <v>-</v>
          </cell>
          <cell r="J760" t="str">
            <v>650/650</v>
          </cell>
          <cell r="K760" t="str">
            <v xml:space="preserve">CPIII 40 RS </v>
          </cell>
          <cell r="L760" t="str">
            <v>CP V</v>
          </cell>
          <cell r="M760" t="str">
            <v>SUPER PLASTIFICANTE</v>
          </cell>
          <cell r="N760" t="str">
            <v>ETE - PARQUE NOVO MUNDO (REATORES NEREDA)</v>
          </cell>
          <cell r="O760" t="str">
            <v>FORTANKS</v>
          </cell>
          <cell r="P760">
            <v>3</v>
          </cell>
          <cell r="Q760" t="str">
            <v>Gean</v>
          </cell>
          <cell r="R760">
            <v>45786</v>
          </cell>
          <cell r="S760">
            <v>0.49305555555555558</v>
          </cell>
          <cell r="T760">
            <v>0.48305555555555557</v>
          </cell>
          <cell r="U760" t="str">
            <v>X</v>
          </cell>
          <cell r="V760">
            <v>0.34027777777777779</v>
          </cell>
          <cell r="W760">
            <v>34.51</v>
          </cell>
          <cell r="X760">
            <v>31.82</v>
          </cell>
          <cell r="Y760">
            <v>0.43055555555555558</v>
          </cell>
          <cell r="Z760">
            <v>80.040000000000006</v>
          </cell>
          <cell r="AA760">
            <v>80.41</v>
          </cell>
          <cell r="AW760">
            <v>4</v>
          </cell>
          <cell r="AX760">
            <v>4</v>
          </cell>
          <cell r="AY760">
            <v>4</v>
          </cell>
          <cell r="AZ760">
            <v>4</v>
          </cell>
          <cell r="BA760" t="str">
            <v>CONSORCIO NOVA ETE - PARQUE NOVO MUNDO</v>
          </cell>
          <cell r="BB760">
            <v>45787</v>
          </cell>
          <cell r="BD760" t="str">
            <v>sáb</v>
          </cell>
          <cell r="BG760">
            <v>45786</v>
          </cell>
        </row>
        <row r="761">
          <cell r="A761">
            <v>1106</v>
          </cell>
          <cell r="B761">
            <v>728</v>
          </cell>
          <cell r="C761" t="str">
            <v>PLACAS  PN-208 /  PN-209</v>
          </cell>
          <cell r="D761">
            <v>7</v>
          </cell>
          <cell r="E761">
            <v>40</v>
          </cell>
          <cell r="F761">
            <v>24</v>
          </cell>
          <cell r="G761">
            <v>40</v>
          </cell>
          <cell r="H761">
            <v>0</v>
          </cell>
          <cell r="I761" t="str">
            <v>-</v>
          </cell>
          <cell r="J761" t="str">
            <v>650/650</v>
          </cell>
          <cell r="K761" t="str">
            <v xml:space="preserve">CPIII 40 RS </v>
          </cell>
          <cell r="L761" t="str">
            <v>CP V</v>
          </cell>
          <cell r="M761" t="str">
            <v>SUPER PLASTIFICANTE</v>
          </cell>
          <cell r="N761" t="str">
            <v>ETE - PARQUE NOVO MUNDO (REATORES NEREDA)</v>
          </cell>
          <cell r="O761" t="str">
            <v>FORTANKS</v>
          </cell>
          <cell r="P761">
            <v>4</v>
          </cell>
          <cell r="Q761" t="str">
            <v>Gean</v>
          </cell>
          <cell r="R761">
            <v>45786</v>
          </cell>
          <cell r="S761">
            <v>0.61805555555555558</v>
          </cell>
          <cell r="T761">
            <v>0.60805555555555557</v>
          </cell>
          <cell r="U761" t="str">
            <v>X</v>
          </cell>
          <cell r="V761">
            <v>0.34375</v>
          </cell>
          <cell r="W761">
            <v>29.89</v>
          </cell>
          <cell r="X761">
            <v>29.08</v>
          </cell>
          <cell r="Y761">
            <v>0.4236111111111111</v>
          </cell>
          <cell r="Z761">
            <v>82.66</v>
          </cell>
          <cell r="AA761">
            <v>83.64</v>
          </cell>
          <cell r="AW761">
            <v>4</v>
          </cell>
          <cell r="AX761">
            <v>4</v>
          </cell>
          <cell r="AY761">
            <v>3</v>
          </cell>
          <cell r="AZ761">
            <v>4</v>
          </cell>
          <cell r="BA761" t="str">
            <v>CONSORCIO NOVA ETE - PARQUE NOVO MUNDO</v>
          </cell>
          <cell r="BB761">
            <v>45787</v>
          </cell>
          <cell r="BD761" t="str">
            <v>sáb</v>
          </cell>
          <cell r="BG761">
            <v>45786</v>
          </cell>
        </row>
        <row r="762">
          <cell r="A762" t="str">
            <v>1106-A</v>
          </cell>
          <cell r="B762">
            <v>728</v>
          </cell>
          <cell r="C762" t="str">
            <v>PLACA PR_PN-42 (CANALETA)</v>
          </cell>
          <cell r="D762">
            <v>1</v>
          </cell>
          <cell r="E762">
            <v>40</v>
          </cell>
          <cell r="F762">
            <v>24</v>
          </cell>
          <cell r="G762">
            <v>40</v>
          </cell>
          <cell r="H762">
            <v>0</v>
          </cell>
          <cell r="I762" t="str">
            <v>-</v>
          </cell>
          <cell r="J762" t="str">
            <v>650/650</v>
          </cell>
          <cell r="K762" t="str">
            <v xml:space="preserve">CPIII 40 RS </v>
          </cell>
          <cell r="L762" t="str">
            <v>CP V</v>
          </cell>
          <cell r="M762" t="str">
            <v>SUPER PLASTIFICANTE</v>
          </cell>
          <cell r="N762" t="str">
            <v>ETE - PROJETO SUCURIÚ - CLARIFICADOR PRIMARIO</v>
          </cell>
          <cell r="O762" t="str">
            <v>FORTANKS</v>
          </cell>
          <cell r="P762">
            <v>4</v>
          </cell>
          <cell r="Q762" t="str">
            <v>Gean</v>
          </cell>
          <cell r="R762">
            <v>45786</v>
          </cell>
          <cell r="S762">
            <v>0.61805555555555558</v>
          </cell>
          <cell r="T762">
            <v>0.60805555555555557</v>
          </cell>
          <cell r="U762" t="str">
            <v>X</v>
          </cell>
          <cell r="V762">
            <v>0.34375</v>
          </cell>
          <cell r="W762">
            <v>29.89</v>
          </cell>
          <cell r="X762">
            <v>29.08</v>
          </cell>
          <cell r="Y762">
            <v>0.4236111111111111</v>
          </cell>
          <cell r="Z762">
            <v>82.66</v>
          </cell>
          <cell r="AA762">
            <v>83.64</v>
          </cell>
          <cell r="AW762">
            <v>4</v>
          </cell>
          <cell r="AX762">
            <v>4</v>
          </cell>
          <cell r="AY762">
            <v>3</v>
          </cell>
          <cell r="AZ762">
            <v>4</v>
          </cell>
          <cell r="BA762" t="str">
            <v>FORTES ENGENHARIA</v>
          </cell>
          <cell r="BB762">
            <v>45787</v>
          </cell>
          <cell r="BD762" t="str">
            <v>sáb</v>
          </cell>
          <cell r="BG762">
            <v>45786</v>
          </cell>
        </row>
        <row r="763">
          <cell r="A763">
            <v>1107</v>
          </cell>
          <cell r="B763">
            <v>729</v>
          </cell>
          <cell r="C763" t="str">
            <v>PLACA PN-216</v>
          </cell>
          <cell r="D763">
            <v>6</v>
          </cell>
          <cell r="E763">
            <v>40</v>
          </cell>
          <cell r="F763">
            <v>24</v>
          </cell>
          <cell r="G763">
            <v>40</v>
          </cell>
          <cell r="H763">
            <v>0</v>
          </cell>
          <cell r="I763" t="str">
            <v>-</v>
          </cell>
          <cell r="J763" t="str">
            <v>660/650</v>
          </cell>
          <cell r="K763" t="str">
            <v xml:space="preserve">CPIII 40 RS </v>
          </cell>
          <cell r="L763" t="str">
            <v>CP V</v>
          </cell>
          <cell r="M763" t="str">
            <v>SUPER PLASTIFICANTE</v>
          </cell>
          <cell r="N763" t="str">
            <v>ETE - PARQUE NOVO MUNDO (REATORES NEREDA)</v>
          </cell>
          <cell r="O763" t="str">
            <v>FORTANKS</v>
          </cell>
          <cell r="P763">
            <v>1</v>
          </cell>
          <cell r="Q763" t="str">
            <v>Gean</v>
          </cell>
          <cell r="R763">
            <v>45789</v>
          </cell>
          <cell r="S763">
            <v>0.34027777777777779</v>
          </cell>
          <cell r="T763">
            <v>0.33027777777777778</v>
          </cell>
          <cell r="U763" t="str">
            <v>X</v>
          </cell>
          <cell r="V763">
            <v>0.41666666666666669</v>
          </cell>
          <cell r="W763">
            <v>30.57</v>
          </cell>
          <cell r="X763">
            <v>32.909999999999997</v>
          </cell>
          <cell r="Y763">
            <v>0.42708333333333331</v>
          </cell>
          <cell r="Z763">
            <v>83.49</v>
          </cell>
          <cell r="AA763">
            <v>83.64</v>
          </cell>
          <cell r="AW763">
            <v>4</v>
          </cell>
          <cell r="AX763">
            <v>4</v>
          </cell>
          <cell r="AY763">
            <v>3</v>
          </cell>
          <cell r="AZ763">
            <v>4</v>
          </cell>
          <cell r="BA763" t="str">
            <v>CONSORCIO NOVA ETE - PARQUE NOVO MUNDO</v>
          </cell>
          <cell r="BB763">
            <v>45790</v>
          </cell>
          <cell r="BD763" t="str">
            <v>ter</v>
          </cell>
          <cell r="BG763">
            <v>45789</v>
          </cell>
        </row>
        <row r="764">
          <cell r="A764" t="str">
            <v>1107-A</v>
          </cell>
          <cell r="B764">
            <v>729</v>
          </cell>
          <cell r="C764" t="str">
            <v>PLACA PR_PN-43</v>
          </cell>
          <cell r="D764">
            <v>6</v>
          </cell>
          <cell r="E764">
            <v>40</v>
          </cell>
          <cell r="F764">
            <v>24</v>
          </cell>
          <cell r="G764">
            <v>40</v>
          </cell>
          <cell r="H764">
            <v>0</v>
          </cell>
          <cell r="I764" t="str">
            <v>-</v>
          </cell>
          <cell r="J764" t="str">
            <v>660/650</v>
          </cell>
          <cell r="K764" t="str">
            <v xml:space="preserve">CPIII 40 RS </v>
          </cell>
          <cell r="L764" t="str">
            <v>CP V</v>
          </cell>
          <cell r="M764" t="str">
            <v>SUPER PLASTIFICANTE</v>
          </cell>
          <cell r="N764" t="str">
            <v>ETE - PROJETO SUCURIÚ - CLARIFICADOR PRIMARIO</v>
          </cell>
          <cell r="O764" t="str">
            <v>FORTANKS</v>
          </cell>
          <cell r="P764">
            <v>1</v>
          </cell>
          <cell r="Q764" t="str">
            <v>Gean</v>
          </cell>
          <cell r="R764">
            <v>45789</v>
          </cell>
          <cell r="S764">
            <v>0.34027777777777779</v>
          </cell>
          <cell r="T764">
            <v>0.33027777777777778</v>
          </cell>
          <cell r="U764" t="str">
            <v>X</v>
          </cell>
          <cell r="V764">
            <v>0.41666666666666669</v>
          </cell>
          <cell r="W764">
            <v>30.57</v>
          </cell>
          <cell r="X764">
            <v>32.909999999999997</v>
          </cell>
          <cell r="Y764">
            <v>0.42708333333333331</v>
          </cell>
          <cell r="Z764">
            <v>83.49</v>
          </cell>
          <cell r="AA764">
            <v>83.64</v>
          </cell>
          <cell r="AW764">
            <v>4</v>
          </cell>
          <cell r="AX764">
            <v>4</v>
          </cell>
          <cell r="AY764">
            <v>3</v>
          </cell>
          <cell r="AZ764">
            <v>4</v>
          </cell>
          <cell r="BA764" t="str">
            <v>FORTES ENGENHARIA</v>
          </cell>
          <cell r="BB764">
            <v>45790</v>
          </cell>
          <cell r="BD764" t="str">
            <v>ter</v>
          </cell>
          <cell r="BG764">
            <v>45789</v>
          </cell>
        </row>
        <row r="765">
          <cell r="A765">
            <v>1109</v>
          </cell>
          <cell r="B765">
            <v>731</v>
          </cell>
          <cell r="C765" t="str">
            <v>PLACAS PN-220 / PN-221</v>
          </cell>
          <cell r="D765">
            <v>6.5</v>
          </cell>
          <cell r="E765">
            <v>40</v>
          </cell>
          <cell r="F765">
            <v>24</v>
          </cell>
          <cell r="G765">
            <v>40</v>
          </cell>
          <cell r="H765">
            <v>0</v>
          </cell>
          <cell r="I765" t="str">
            <v>-</v>
          </cell>
          <cell r="J765" t="str">
            <v>650/650</v>
          </cell>
          <cell r="K765" t="str">
            <v xml:space="preserve">CPIII 40 RS </v>
          </cell>
          <cell r="L765" t="str">
            <v>CP V</v>
          </cell>
          <cell r="M765" t="str">
            <v>SUPER PLASTIFICANTE</v>
          </cell>
          <cell r="N765" t="str">
            <v>ETE - PARQUE NOVO MUNDO (REATORES NEREDA)</v>
          </cell>
          <cell r="O765" t="str">
            <v>FORTANKS</v>
          </cell>
          <cell r="P765">
            <v>3</v>
          </cell>
          <cell r="Q765" t="str">
            <v>Gean</v>
          </cell>
          <cell r="R765">
            <v>45789</v>
          </cell>
          <cell r="S765">
            <v>0.38541666666666669</v>
          </cell>
          <cell r="T765">
            <v>0.37541666666666668</v>
          </cell>
          <cell r="U765" t="str">
            <v>X</v>
          </cell>
          <cell r="V765">
            <v>0.4236111111111111</v>
          </cell>
          <cell r="W765">
            <v>33.07</v>
          </cell>
          <cell r="X765">
            <v>30.9</v>
          </cell>
          <cell r="Y765">
            <v>0.42708333333333331</v>
          </cell>
          <cell r="Z765">
            <v>82.81</v>
          </cell>
          <cell r="AA765">
            <v>82.7</v>
          </cell>
          <cell r="AW765">
            <v>4</v>
          </cell>
          <cell r="AX765">
            <v>4</v>
          </cell>
          <cell r="AY765">
            <v>4</v>
          </cell>
          <cell r="AZ765">
            <v>4</v>
          </cell>
          <cell r="BA765" t="str">
            <v>CONSORCIO NOVA ETE - PARQUE NOVO MUNDO</v>
          </cell>
          <cell r="BB765">
            <v>45790</v>
          </cell>
          <cell r="BD765" t="str">
            <v>ter</v>
          </cell>
          <cell r="BG765">
            <v>45789</v>
          </cell>
        </row>
        <row r="766">
          <cell r="A766">
            <v>1110</v>
          </cell>
          <cell r="B766">
            <v>732</v>
          </cell>
          <cell r="C766" t="str">
            <v>PLACAS PN-217 / PN-219</v>
          </cell>
          <cell r="D766">
            <v>6.5</v>
          </cell>
          <cell r="E766">
            <v>40</v>
          </cell>
          <cell r="F766">
            <v>24</v>
          </cell>
          <cell r="G766">
            <v>40</v>
          </cell>
          <cell r="H766">
            <v>0</v>
          </cell>
          <cell r="I766" t="str">
            <v>-</v>
          </cell>
          <cell r="J766" t="str">
            <v>650/650</v>
          </cell>
          <cell r="K766" t="str">
            <v xml:space="preserve">CPIII 40 RS </v>
          </cell>
          <cell r="L766" t="str">
            <v>CP V</v>
          </cell>
          <cell r="M766" t="str">
            <v>SUPER PLASTIFICANTE</v>
          </cell>
          <cell r="N766" t="str">
            <v>ETE - PARQUE NOVO MUNDO (REATORES NEREDA)</v>
          </cell>
          <cell r="O766" t="str">
            <v>FORTANKS</v>
          </cell>
          <cell r="P766">
            <v>4</v>
          </cell>
          <cell r="Q766" t="str">
            <v>Gean</v>
          </cell>
          <cell r="R766">
            <v>45789</v>
          </cell>
          <cell r="S766">
            <v>0.41666666666666669</v>
          </cell>
          <cell r="T766">
            <v>0.40666666666666668</v>
          </cell>
          <cell r="U766" t="str">
            <v>X</v>
          </cell>
          <cell r="V766">
            <v>0.41666666666666669</v>
          </cell>
          <cell r="W766">
            <v>24.22</v>
          </cell>
          <cell r="X766">
            <v>27.2</v>
          </cell>
          <cell r="Y766">
            <v>0.41666666666666669</v>
          </cell>
          <cell r="Z766">
            <v>84.144000000000005</v>
          </cell>
          <cell r="AA766">
            <v>85.151999999999987</v>
          </cell>
          <cell r="AW766">
            <v>4</v>
          </cell>
          <cell r="AX766">
            <v>4</v>
          </cell>
          <cell r="AY766">
            <v>4</v>
          </cell>
          <cell r="AZ766">
            <v>4</v>
          </cell>
          <cell r="BA766" t="str">
            <v>CONSORCIO NOVA ETE - PARQUE NOVO MUNDO</v>
          </cell>
          <cell r="BB766">
            <v>45790</v>
          </cell>
          <cell r="BD766" t="str">
            <v>ter</v>
          </cell>
          <cell r="BG766">
            <v>45789</v>
          </cell>
        </row>
        <row r="767">
          <cell r="A767">
            <v>1112</v>
          </cell>
          <cell r="B767">
            <v>734</v>
          </cell>
          <cell r="C767" t="str">
            <v>PLACA PR_PF-21</v>
          </cell>
          <cell r="D767">
            <v>5</v>
          </cell>
          <cell r="E767">
            <v>40</v>
          </cell>
          <cell r="F767">
            <v>24</v>
          </cell>
          <cell r="G767">
            <v>40</v>
          </cell>
          <cell r="H767">
            <v>0</v>
          </cell>
          <cell r="I767" t="str">
            <v>-</v>
          </cell>
          <cell r="J767" t="str">
            <v>680/680</v>
          </cell>
          <cell r="K767" t="str">
            <v xml:space="preserve">CPIII 40 RS </v>
          </cell>
          <cell r="L767" t="str">
            <v>CP V</v>
          </cell>
          <cell r="M767" t="str">
            <v>SUPER PLASTIFICANTE</v>
          </cell>
          <cell r="N767" t="str">
            <v>ETE - PROJETO SUCURIÚ - CLARIFICADOR PRIMARIO</v>
          </cell>
          <cell r="O767" t="str">
            <v>FORTANKS</v>
          </cell>
          <cell r="P767">
            <v>1</v>
          </cell>
          <cell r="Q767" t="str">
            <v>Gean</v>
          </cell>
          <cell r="R767">
            <v>45796</v>
          </cell>
          <cell r="S767">
            <v>0.45833333333333331</v>
          </cell>
          <cell r="T767">
            <v>0.44833333333333331</v>
          </cell>
          <cell r="U767" t="str">
            <v>X</v>
          </cell>
          <cell r="V767">
            <v>0.3125</v>
          </cell>
          <cell r="W767">
            <v>37.700000000000003</v>
          </cell>
          <cell r="X767">
            <v>34.14</v>
          </cell>
          <cell r="Y767">
            <v>0.41666666666666669</v>
          </cell>
          <cell r="Z767">
            <v>83.291999999999987</v>
          </cell>
          <cell r="AA767">
            <v>84.012</v>
          </cell>
          <cell r="AW767">
            <v>4</v>
          </cell>
          <cell r="AX767">
            <v>4</v>
          </cell>
          <cell r="AY767">
            <v>4</v>
          </cell>
          <cell r="AZ767">
            <v>4</v>
          </cell>
          <cell r="BA767" t="str">
            <v>FORTES ENGENHARIA</v>
          </cell>
          <cell r="BB767">
            <v>45797</v>
          </cell>
          <cell r="BD767" t="str">
            <v>ter</v>
          </cell>
          <cell r="BG767">
            <v>45796</v>
          </cell>
        </row>
        <row r="768">
          <cell r="A768" t="str">
            <v>1112-A</v>
          </cell>
          <cell r="B768">
            <v>734</v>
          </cell>
          <cell r="C768" t="str">
            <v>PLACA PF-01      (1° ETAPA)</v>
          </cell>
          <cell r="D768">
            <v>5</v>
          </cell>
          <cell r="E768">
            <v>40</v>
          </cell>
          <cell r="F768">
            <v>24</v>
          </cell>
          <cell r="G768">
            <v>40</v>
          </cell>
          <cell r="H768">
            <v>0</v>
          </cell>
          <cell r="I768" t="str">
            <v>-</v>
          </cell>
          <cell r="J768" t="str">
            <v>680/680</v>
          </cell>
          <cell r="K768" t="str">
            <v xml:space="preserve">CPIII 40 RS </v>
          </cell>
          <cell r="L768" t="str">
            <v>CP V</v>
          </cell>
          <cell r="M768" t="str">
            <v>SUPER PLASTIFICANTE</v>
          </cell>
          <cell r="N768" t="str">
            <v>ETE - PARQUE NOVO MUNDO (REATORES NEREDA)</v>
          </cell>
          <cell r="O768" t="str">
            <v>FORTANKS</v>
          </cell>
          <cell r="P768">
            <v>1</v>
          </cell>
          <cell r="Q768" t="str">
            <v>Gean</v>
          </cell>
          <cell r="R768">
            <v>45796</v>
          </cell>
          <cell r="S768">
            <v>0.45833333333333331</v>
          </cell>
          <cell r="T768">
            <v>0.44833333333333331</v>
          </cell>
          <cell r="U768" t="str">
            <v>X</v>
          </cell>
          <cell r="V768">
            <v>0.3125</v>
          </cell>
          <cell r="W768">
            <v>37.700000000000003</v>
          </cell>
          <cell r="X768">
            <v>34.14</v>
          </cell>
          <cell r="Y768">
            <v>0.41666666666666669</v>
          </cell>
          <cell r="Z768">
            <v>83.291999999999987</v>
          </cell>
          <cell r="AA768">
            <v>84.012</v>
          </cell>
          <cell r="AW768">
            <v>4</v>
          </cell>
          <cell r="AX768">
            <v>4</v>
          </cell>
          <cell r="AY768">
            <v>4</v>
          </cell>
          <cell r="AZ768">
            <v>4</v>
          </cell>
          <cell r="BA768" t="str">
            <v>CONSORCIO NOVA ETE - PARQUE NOVO MUNDO</v>
          </cell>
          <cell r="BB768">
            <v>45797</v>
          </cell>
          <cell r="BD768" t="str">
            <v>ter</v>
          </cell>
          <cell r="BG768">
            <v>45796</v>
          </cell>
        </row>
        <row r="769">
          <cell r="A769">
            <v>1113</v>
          </cell>
          <cell r="B769">
            <v>735</v>
          </cell>
          <cell r="C769" t="str">
            <v>PLACA PF-01      (2° ETAPA)</v>
          </cell>
          <cell r="D769">
            <v>4.5</v>
          </cell>
          <cell r="E769">
            <v>40</v>
          </cell>
          <cell r="F769">
            <v>24</v>
          </cell>
          <cell r="G769">
            <v>40</v>
          </cell>
          <cell r="H769">
            <v>0</v>
          </cell>
          <cell r="I769" t="str">
            <v>-</v>
          </cell>
          <cell r="J769" t="str">
            <v>670/670</v>
          </cell>
          <cell r="K769" t="str">
            <v xml:space="preserve">CPIII 40 RS </v>
          </cell>
          <cell r="L769" t="str">
            <v>CP V</v>
          </cell>
          <cell r="M769" t="str">
            <v>SUPER PLASTIFICANTE</v>
          </cell>
          <cell r="N769" t="str">
            <v>ETE - PARQUE NOVO MUNDO (REATORES NEREDA)</v>
          </cell>
          <cell r="O769" t="str">
            <v>FORTANKS</v>
          </cell>
          <cell r="P769">
            <v>2</v>
          </cell>
          <cell r="Q769" t="str">
            <v>Gean</v>
          </cell>
          <cell r="R769">
            <v>45796</v>
          </cell>
          <cell r="S769">
            <v>0.46180555555555558</v>
          </cell>
          <cell r="T769">
            <v>0.45180555555555557</v>
          </cell>
          <cell r="U769" t="str">
            <v>X</v>
          </cell>
          <cell r="V769">
            <v>0.31527777777777777</v>
          </cell>
          <cell r="W769">
            <v>33.06</v>
          </cell>
          <cell r="X769">
            <v>34.29</v>
          </cell>
          <cell r="Y769">
            <v>0.4201388888888889</v>
          </cell>
          <cell r="Z769">
            <v>83.567999999999998</v>
          </cell>
          <cell r="AA769">
            <v>81.983999999999995</v>
          </cell>
          <cell r="AW769">
            <v>4</v>
          </cell>
          <cell r="AX769">
            <v>4</v>
          </cell>
          <cell r="AY769">
            <v>4</v>
          </cell>
          <cell r="AZ769">
            <v>4</v>
          </cell>
          <cell r="BA769" t="str">
            <v>CONSORCIO NOVA ETE - PARQUE NOVO MUNDO</v>
          </cell>
          <cell r="BB769">
            <v>45797</v>
          </cell>
          <cell r="BD769" t="str">
            <v>ter</v>
          </cell>
          <cell r="BG769">
            <v>45796</v>
          </cell>
        </row>
        <row r="770">
          <cell r="A770">
            <v>1114</v>
          </cell>
          <cell r="B770">
            <v>736</v>
          </cell>
          <cell r="C770" t="str">
            <v>PLACA PR_PF-21  (CANALETA)</v>
          </cell>
          <cell r="D770">
            <v>1</v>
          </cell>
          <cell r="E770">
            <v>40</v>
          </cell>
          <cell r="F770">
            <v>24</v>
          </cell>
          <cell r="G770">
            <v>40</v>
          </cell>
          <cell r="H770">
            <v>0</v>
          </cell>
          <cell r="I770" t="str">
            <v>-</v>
          </cell>
          <cell r="J770" t="str">
            <v>650/650</v>
          </cell>
          <cell r="K770" t="str">
            <v xml:space="preserve">CPIII 40 RS </v>
          </cell>
          <cell r="L770" t="str">
            <v>CP V</v>
          </cell>
          <cell r="M770" t="str">
            <v>SUPER PLASTIFICANTE</v>
          </cell>
          <cell r="N770" t="str">
            <v>ETE - PROJETO SUCURIÚ - CLARIFICADOR PRIMARIO</v>
          </cell>
          <cell r="O770" t="str">
            <v>FORTANKS</v>
          </cell>
          <cell r="P770">
            <v>1</v>
          </cell>
          <cell r="Q770" t="str">
            <v>Gean</v>
          </cell>
          <cell r="R770">
            <v>45796</v>
          </cell>
          <cell r="S770">
            <v>0.41666666666666669</v>
          </cell>
          <cell r="T770">
            <v>0.40666666666666668</v>
          </cell>
          <cell r="U770" t="str">
            <v>X</v>
          </cell>
          <cell r="V770">
            <v>0.33333333333333331</v>
          </cell>
          <cell r="W770">
            <v>23.6</v>
          </cell>
          <cell r="X770">
            <v>24.42</v>
          </cell>
          <cell r="Y770">
            <v>0.43472222222222223</v>
          </cell>
          <cell r="Z770">
            <v>86.219999999999985</v>
          </cell>
          <cell r="AA770">
            <v>84.347999999999999</v>
          </cell>
          <cell r="AW770">
            <v>4</v>
          </cell>
          <cell r="AX770">
            <v>4</v>
          </cell>
          <cell r="AY770">
            <v>4</v>
          </cell>
          <cell r="AZ770">
            <v>4</v>
          </cell>
          <cell r="BA770" t="str">
            <v>FORTES ENGENHARIA</v>
          </cell>
          <cell r="BB770">
            <v>45797</v>
          </cell>
          <cell r="BD770" t="str">
            <v>ter</v>
          </cell>
          <cell r="BG770">
            <v>45796</v>
          </cell>
        </row>
        <row r="771">
          <cell r="A771">
            <v>1115</v>
          </cell>
          <cell r="B771">
            <v>737</v>
          </cell>
          <cell r="C771" t="str">
            <v>PLACA PR_PF-46</v>
          </cell>
          <cell r="D771">
            <v>3.5</v>
          </cell>
          <cell r="E771">
            <v>40</v>
          </cell>
          <cell r="F771">
            <v>24</v>
          </cell>
          <cell r="G771">
            <v>40</v>
          </cell>
          <cell r="H771">
            <v>0</v>
          </cell>
          <cell r="I771" t="str">
            <v>-</v>
          </cell>
          <cell r="J771" t="str">
            <v>650/650</v>
          </cell>
          <cell r="K771" t="str">
            <v xml:space="preserve">CPIII 40 RS </v>
          </cell>
          <cell r="L771" t="str">
            <v>CP V</v>
          </cell>
          <cell r="M771" t="str">
            <v>SUPER PLASTIFICANTE</v>
          </cell>
          <cell r="N771" t="str">
            <v>ETE - PROJETO SUCURIÚ - CLARIFICADOR PRIMARIO</v>
          </cell>
          <cell r="O771" t="str">
            <v>FORTANKS</v>
          </cell>
          <cell r="P771">
            <v>2</v>
          </cell>
          <cell r="Q771" t="str">
            <v>Gean</v>
          </cell>
          <cell r="R771">
            <v>45800</v>
          </cell>
          <cell r="S771">
            <v>0.58333333333333337</v>
          </cell>
          <cell r="T771">
            <v>0.57333333333333336</v>
          </cell>
          <cell r="U771" t="str">
            <v>X</v>
          </cell>
          <cell r="V771">
            <v>0.3125</v>
          </cell>
          <cell r="W771">
            <v>34.700000000000003</v>
          </cell>
          <cell r="X771">
            <v>34.14</v>
          </cell>
          <cell r="Y771">
            <v>0.41666666666666669</v>
          </cell>
          <cell r="Z771">
            <v>81.62</v>
          </cell>
          <cell r="AA771">
            <v>82.36</v>
          </cell>
          <cell r="AW771">
            <v>4</v>
          </cell>
          <cell r="AX771">
            <v>4</v>
          </cell>
          <cell r="AY771">
            <v>3</v>
          </cell>
          <cell r="AZ771">
            <v>4</v>
          </cell>
          <cell r="BA771" t="str">
            <v>FORTES ENGENHARIA</v>
          </cell>
          <cell r="BB771">
            <v>45801</v>
          </cell>
          <cell r="BD771" t="str">
            <v>sáb</v>
          </cell>
          <cell r="BG771">
            <v>45800</v>
          </cell>
        </row>
        <row r="772">
          <cell r="A772" t="str">
            <v>1115-A</v>
          </cell>
          <cell r="B772">
            <v>737</v>
          </cell>
          <cell r="C772" t="str">
            <v>PLACA PF-32    (1° ETAPA)</v>
          </cell>
          <cell r="D772">
            <v>5</v>
          </cell>
          <cell r="E772">
            <v>40</v>
          </cell>
          <cell r="F772">
            <v>24</v>
          </cell>
          <cell r="G772">
            <v>40</v>
          </cell>
          <cell r="H772">
            <v>0</v>
          </cell>
          <cell r="I772" t="str">
            <v>-</v>
          </cell>
          <cell r="J772" t="str">
            <v>660/660</v>
          </cell>
          <cell r="K772" t="str">
            <v xml:space="preserve">CPIII 40 RS </v>
          </cell>
          <cell r="L772" t="str">
            <v>CP V</v>
          </cell>
          <cell r="M772" t="str">
            <v>SUPER PLASTIFICANTE</v>
          </cell>
          <cell r="N772" t="str">
            <v>ETE - PARQUE NOVO MUNDO (REATORES NEREDA)</v>
          </cell>
          <cell r="O772" t="str">
            <v>FORTANKS</v>
          </cell>
          <cell r="P772">
            <v>1</v>
          </cell>
          <cell r="Q772" t="str">
            <v>Gean</v>
          </cell>
          <cell r="R772">
            <v>45800</v>
          </cell>
          <cell r="S772">
            <v>0.41666666666666669</v>
          </cell>
          <cell r="T772">
            <v>0.40666666666666668</v>
          </cell>
          <cell r="U772" t="str">
            <v>X</v>
          </cell>
          <cell r="V772">
            <v>0.35416666666666669</v>
          </cell>
          <cell r="W772">
            <v>27.09</v>
          </cell>
          <cell r="X772">
            <v>26.31</v>
          </cell>
          <cell r="Y772">
            <v>0.41666666666666669</v>
          </cell>
          <cell r="Z772">
            <v>82.007999999999996</v>
          </cell>
          <cell r="AA772">
            <v>83.219999999999985</v>
          </cell>
          <cell r="AW772">
            <v>4</v>
          </cell>
          <cell r="AX772">
            <v>4</v>
          </cell>
          <cell r="AY772">
            <v>4</v>
          </cell>
          <cell r="AZ772">
            <v>4</v>
          </cell>
          <cell r="BA772" t="str">
            <v>CONSORCIO NOVA ETE - PARQUE NOVO MUNDO</v>
          </cell>
          <cell r="BB772">
            <v>45801</v>
          </cell>
          <cell r="BD772" t="str">
            <v>sáb</v>
          </cell>
          <cell r="BG772">
            <v>45800</v>
          </cell>
        </row>
        <row r="773">
          <cell r="A773">
            <v>1116</v>
          </cell>
          <cell r="B773">
            <v>738</v>
          </cell>
          <cell r="C773" t="str">
            <v>PLACA PF-32    (2° ETAPA)</v>
          </cell>
          <cell r="D773">
            <v>4</v>
          </cell>
          <cell r="E773">
            <v>40</v>
          </cell>
          <cell r="F773">
            <v>24</v>
          </cell>
          <cell r="G773">
            <v>40</v>
          </cell>
          <cell r="H773">
            <v>0</v>
          </cell>
          <cell r="I773" t="str">
            <v>-</v>
          </cell>
          <cell r="J773" t="str">
            <v>650/660</v>
          </cell>
          <cell r="K773" t="str">
            <v xml:space="preserve">CPIII 40 RS </v>
          </cell>
          <cell r="L773" t="str">
            <v>CP V</v>
          </cell>
          <cell r="M773" t="str">
            <v>SUPER PLASTIFICANTE</v>
          </cell>
          <cell r="N773" t="str">
            <v>ETE - PARQUE NOVO MUNDO (REATORES NEREDA)</v>
          </cell>
          <cell r="O773" t="str">
            <v>FORTANKS</v>
          </cell>
          <cell r="P773">
            <v>2</v>
          </cell>
          <cell r="Q773" t="str">
            <v>Gean</v>
          </cell>
          <cell r="R773">
            <v>45800</v>
          </cell>
          <cell r="S773">
            <v>0.4201388888888889</v>
          </cell>
          <cell r="T773">
            <v>0.41013888888888889</v>
          </cell>
          <cell r="U773" t="str">
            <v>X</v>
          </cell>
          <cell r="V773">
            <v>0.3576388888888889</v>
          </cell>
          <cell r="W773">
            <v>37.1</v>
          </cell>
          <cell r="X773">
            <v>37.11</v>
          </cell>
          <cell r="Y773">
            <v>0.41666666666666669</v>
          </cell>
          <cell r="Z773">
            <v>82.655999999999992</v>
          </cell>
          <cell r="AA773">
            <v>83.903999999999996</v>
          </cell>
          <cell r="AW773">
            <v>4</v>
          </cell>
          <cell r="AX773">
            <v>4</v>
          </cell>
          <cell r="AY773">
            <v>4</v>
          </cell>
          <cell r="AZ773">
            <v>4</v>
          </cell>
          <cell r="BA773" t="str">
            <v>CONSORCIO NOVA ETE - PARQUE NOVO MUNDO</v>
          </cell>
          <cell r="BB773">
            <v>45801</v>
          </cell>
          <cell r="BD773" t="str">
            <v>sáb</v>
          </cell>
          <cell r="BG773">
            <v>45800</v>
          </cell>
        </row>
        <row r="774">
          <cell r="A774">
            <v>1117</v>
          </cell>
          <cell r="B774">
            <v>739</v>
          </cell>
          <cell r="C774" t="str">
            <v>PLACA PR_PF-46 (CANALETA)</v>
          </cell>
          <cell r="D774">
            <v>1</v>
          </cell>
          <cell r="E774">
            <v>40</v>
          </cell>
          <cell r="F774">
            <v>24</v>
          </cell>
          <cell r="G774">
            <v>40</v>
          </cell>
          <cell r="H774">
            <v>0</v>
          </cell>
          <cell r="I774" t="str">
            <v>-</v>
          </cell>
          <cell r="J774" t="str">
            <v>660/665</v>
          </cell>
          <cell r="K774" t="str">
            <v xml:space="preserve">CPIII 40 RS </v>
          </cell>
          <cell r="L774" t="str">
            <v>CP V</v>
          </cell>
          <cell r="M774" t="str">
            <v>SUPER PLASTIFICANTE</v>
          </cell>
          <cell r="N774" t="str">
            <v>ETE - PROJETO SUCURIÚ - CLARIFICADOR PRIMARIO</v>
          </cell>
          <cell r="O774" t="str">
            <v>FORTANKS</v>
          </cell>
          <cell r="P774">
            <v>4</v>
          </cell>
          <cell r="Q774" t="str">
            <v>Gean</v>
          </cell>
          <cell r="R774">
            <v>45800</v>
          </cell>
          <cell r="S774">
            <v>0.66666666666666663</v>
          </cell>
          <cell r="T774">
            <v>0.65666666666666662</v>
          </cell>
          <cell r="U774" t="str">
            <v>X</v>
          </cell>
          <cell r="V774">
            <v>0.3611111111111111</v>
          </cell>
          <cell r="W774">
            <v>24.06</v>
          </cell>
          <cell r="X774">
            <v>24.63</v>
          </cell>
          <cell r="Y774">
            <v>0.41666666666666669</v>
          </cell>
          <cell r="Z774">
            <v>84.948000000000008</v>
          </cell>
          <cell r="AA774">
            <v>84.85199999999999</v>
          </cell>
          <cell r="AW774">
            <v>4</v>
          </cell>
          <cell r="AX774">
            <v>4</v>
          </cell>
          <cell r="AY774">
            <v>4</v>
          </cell>
          <cell r="AZ774">
            <v>4</v>
          </cell>
          <cell r="BA774" t="str">
            <v>FORTES ENGENHARIA</v>
          </cell>
          <cell r="BB774">
            <v>45801</v>
          </cell>
          <cell r="BD774" t="str">
            <v>sáb</v>
          </cell>
          <cell r="BG774">
            <v>45800</v>
          </cell>
        </row>
        <row r="775">
          <cell r="A775">
            <v>1118</v>
          </cell>
          <cell r="B775">
            <v>740</v>
          </cell>
          <cell r="C775" t="str">
            <v>PLACA PN-224</v>
          </cell>
          <cell r="D775">
            <v>6</v>
          </cell>
          <cell r="E775">
            <v>40</v>
          </cell>
          <cell r="F775">
            <v>24</v>
          </cell>
          <cell r="G775">
            <v>40</v>
          </cell>
          <cell r="H775">
            <v>0</v>
          </cell>
          <cell r="I775" t="str">
            <v>-</v>
          </cell>
          <cell r="J775" t="str">
            <v>650/660</v>
          </cell>
          <cell r="K775" t="str">
            <v xml:space="preserve">CPIII 40 RS </v>
          </cell>
          <cell r="L775" t="str">
            <v>CP V</v>
          </cell>
          <cell r="M775" t="str">
            <v>SUPER PLASTIFICANTE</v>
          </cell>
          <cell r="N775" t="str">
            <v>ETE - PARQUE NOVO MUNDO (REATORES NEREDA)</v>
          </cell>
          <cell r="O775" t="str">
            <v>FORTANKS</v>
          </cell>
          <cell r="P775">
            <v>1</v>
          </cell>
          <cell r="Q775" t="str">
            <v>Gean</v>
          </cell>
          <cell r="R775">
            <v>45806</v>
          </cell>
          <cell r="S775">
            <v>0.56944444444444442</v>
          </cell>
          <cell r="T775">
            <v>0.55944444444444441</v>
          </cell>
          <cell r="U775" t="str">
            <v>X</v>
          </cell>
          <cell r="V775">
            <v>0.45833333333333331</v>
          </cell>
          <cell r="W775">
            <v>35.18</v>
          </cell>
          <cell r="X775">
            <v>34.35</v>
          </cell>
          <cell r="Y775">
            <v>0.4236111111111111</v>
          </cell>
          <cell r="Z775">
            <v>84.516000000000005</v>
          </cell>
          <cell r="AA775">
            <v>85.14</v>
          </cell>
          <cell r="AW775">
            <v>4</v>
          </cell>
          <cell r="AX775">
            <v>4</v>
          </cell>
          <cell r="AY775">
            <v>4</v>
          </cell>
          <cell r="AZ775">
            <v>4</v>
          </cell>
          <cell r="BA775" t="str">
            <v>CONSORCIO NOVA ETE - PARQUE NOVO MUNDO</v>
          </cell>
          <cell r="BB775">
            <v>45807</v>
          </cell>
          <cell r="BD775" t="str">
            <v>sex</v>
          </cell>
          <cell r="BG775">
            <v>45806</v>
          </cell>
        </row>
        <row r="776">
          <cell r="A776" t="str">
            <v>1118-A</v>
          </cell>
          <cell r="B776">
            <v>740</v>
          </cell>
          <cell r="C776" t="str">
            <v>PLACA PR-PN-44</v>
          </cell>
          <cell r="D776">
            <v>6</v>
          </cell>
          <cell r="E776">
            <v>40</v>
          </cell>
          <cell r="F776">
            <v>24</v>
          </cell>
          <cell r="G776">
            <v>40</v>
          </cell>
          <cell r="H776">
            <v>0</v>
          </cell>
          <cell r="I776" t="str">
            <v>-</v>
          </cell>
          <cell r="J776" t="str">
            <v>650/660</v>
          </cell>
          <cell r="K776" t="str">
            <v xml:space="preserve">CPIII 40 RS </v>
          </cell>
          <cell r="L776" t="str">
            <v>CP V</v>
          </cell>
          <cell r="M776" t="str">
            <v>SUPER PLASTIFICANTE</v>
          </cell>
          <cell r="N776" t="str">
            <v>ETE - PROJETO SUCURIÚ - CLARIFICADOR PRIMARIO</v>
          </cell>
          <cell r="O776" t="str">
            <v>FORTANKS</v>
          </cell>
          <cell r="P776">
            <v>1</v>
          </cell>
          <cell r="Q776" t="str">
            <v>Gean</v>
          </cell>
          <cell r="R776">
            <v>45806</v>
          </cell>
          <cell r="S776">
            <v>0.56944444444444442</v>
          </cell>
          <cell r="T776">
            <v>0.55944444444444441</v>
          </cell>
          <cell r="U776" t="str">
            <v>X</v>
          </cell>
          <cell r="V776">
            <v>0.45833333333333331</v>
          </cell>
          <cell r="W776">
            <v>35.18</v>
          </cell>
          <cell r="X776">
            <v>34.35</v>
          </cell>
          <cell r="Y776">
            <v>0.4236111111111111</v>
          </cell>
          <cell r="Z776">
            <v>84.516000000000005</v>
          </cell>
          <cell r="AA776">
            <v>85.14</v>
          </cell>
          <cell r="AW776">
            <v>4</v>
          </cell>
          <cell r="AX776">
            <v>4</v>
          </cell>
          <cell r="AY776">
            <v>4</v>
          </cell>
          <cell r="AZ776">
            <v>4</v>
          </cell>
          <cell r="BA776" t="str">
            <v>FORTES ENGENHARIA</v>
          </cell>
          <cell r="BB776">
            <v>45807</v>
          </cell>
          <cell r="BD776" t="str">
            <v>sex</v>
          </cell>
          <cell r="BG776">
            <v>45806</v>
          </cell>
        </row>
        <row r="777">
          <cell r="A777">
            <v>1120</v>
          </cell>
          <cell r="B777">
            <v>742</v>
          </cell>
          <cell r="C777" t="str">
            <v>PLACAS PE-24(Tipo 4) / PE-55(Tipo 4)</v>
          </cell>
          <cell r="D777">
            <v>6</v>
          </cell>
          <cell r="E777">
            <v>40</v>
          </cell>
          <cell r="F777">
            <v>24</v>
          </cell>
          <cell r="G777">
            <v>40</v>
          </cell>
          <cell r="H777">
            <v>0</v>
          </cell>
          <cell r="I777" t="str">
            <v>-</v>
          </cell>
          <cell r="J777" t="str">
            <v>660/670</v>
          </cell>
          <cell r="K777" t="str">
            <v xml:space="preserve">CPIII 40 RS </v>
          </cell>
          <cell r="L777" t="str">
            <v>CP V</v>
          </cell>
          <cell r="M777" t="str">
            <v>SUPER PLASTIFICANTE</v>
          </cell>
          <cell r="N777" t="str">
            <v>ETE - PARQUE NOVO MUNDO (REATORES NEREDA)</v>
          </cell>
          <cell r="O777" t="str">
            <v>FORTANKS</v>
          </cell>
          <cell r="P777">
            <v>3</v>
          </cell>
          <cell r="Q777" t="str">
            <v>Gean</v>
          </cell>
          <cell r="R777">
            <v>45806</v>
          </cell>
          <cell r="S777">
            <v>0.61805555555555558</v>
          </cell>
          <cell r="T777">
            <v>0.60805555555555557</v>
          </cell>
          <cell r="U777" t="str">
            <v>X</v>
          </cell>
          <cell r="V777">
            <v>0.46527777777777779</v>
          </cell>
          <cell r="W777">
            <v>35.229999999999997</v>
          </cell>
          <cell r="X777">
            <v>32.619999999999997</v>
          </cell>
          <cell r="Y777">
            <v>0.41666666666666669</v>
          </cell>
          <cell r="Z777">
            <v>80.783999999999992</v>
          </cell>
          <cell r="AA777">
            <v>84.827999999999989</v>
          </cell>
          <cell r="AW777">
            <v>4</v>
          </cell>
          <cell r="AX777">
            <v>4</v>
          </cell>
          <cell r="AY777">
            <v>4</v>
          </cell>
          <cell r="AZ777">
            <v>4</v>
          </cell>
          <cell r="BA777" t="str">
            <v>CONSORCIO NOVA ETE - PARQUE NOVO MUNDO</v>
          </cell>
          <cell r="BB777">
            <v>45807</v>
          </cell>
          <cell r="BD777" t="str">
            <v>sex</v>
          </cell>
          <cell r="BG777">
            <v>45806</v>
          </cell>
        </row>
        <row r="778">
          <cell r="A778">
            <v>1121</v>
          </cell>
          <cell r="B778">
            <v>743</v>
          </cell>
          <cell r="C778" t="str">
            <v>PLACAS PE-09(Tipo 3) / PE-08(Tipo 1)</v>
          </cell>
          <cell r="D778">
            <v>7</v>
          </cell>
          <cell r="E778">
            <v>40</v>
          </cell>
          <cell r="F778">
            <v>24</v>
          </cell>
          <cell r="G778">
            <v>40</v>
          </cell>
          <cell r="H778">
            <v>0</v>
          </cell>
          <cell r="I778" t="str">
            <v>-</v>
          </cell>
          <cell r="J778" t="str">
            <v>670/660</v>
          </cell>
          <cell r="K778" t="str">
            <v xml:space="preserve">CPIII 40 RS </v>
          </cell>
          <cell r="L778" t="str">
            <v>CP V</v>
          </cell>
          <cell r="M778" t="str">
            <v>SUPER PLASTIFICANTE</v>
          </cell>
          <cell r="N778" t="str">
            <v>ETE - PARQUE NOVO MUNDO (REATORES NEREDA)</v>
          </cell>
          <cell r="O778" t="str">
            <v>FORTANKS</v>
          </cell>
          <cell r="P778">
            <v>4</v>
          </cell>
          <cell r="Q778" t="str">
            <v>Gean</v>
          </cell>
          <cell r="R778">
            <v>45806</v>
          </cell>
          <cell r="S778">
            <v>0.64583333333333337</v>
          </cell>
          <cell r="T778">
            <v>0.63583333333333336</v>
          </cell>
          <cell r="U778" t="str">
            <v>X</v>
          </cell>
          <cell r="V778">
            <v>0.46875</v>
          </cell>
          <cell r="W778">
            <v>35.32</v>
          </cell>
          <cell r="X778">
            <v>32.9</v>
          </cell>
          <cell r="Y778">
            <v>0.41666666666666669</v>
          </cell>
          <cell r="Z778">
            <v>82.9</v>
          </cell>
          <cell r="AA778">
            <v>84.623999999999995</v>
          </cell>
          <cell r="AW778">
            <v>4</v>
          </cell>
          <cell r="AX778">
            <v>4</v>
          </cell>
          <cell r="AY778">
            <v>4</v>
          </cell>
          <cell r="AZ778">
            <v>4</v>
          </cell>
          <cell r="BA778" t="str">
            <v>CONSORCIO NOVA ETE - PARQUE NOVO MUNDO</v>
          </cell>
          <cell r="BB778">
            <v>45807</v>
          </cell>
          <cell r="BD778" t="str">
            <v>sex</v>
          </cell>
          <cell r="BG778">
            <v>45806</v>
          </cell>
        </row>
        <row r="779">
          <cell r="A779">
            <v>1122</v>
          </cell>
          <cell r="B779">
            <v>744</v>
          </cell>
          <cell r="C779" t="str">
            <v>PLACA PR_PN-44 (CANALETA)</v>
          </cell>
          <cell r="D779">
            <v>1</v>
          </cell>
          <cell r="E779">
            <v>40</v>
          </cell>
          <cell r="F779">
            <v>15</v>
          </cell>
          <cell r="G779">
            <v>40</v>
          </cell>
          <cell r="H779">
            <v>0</v>
          </cell>
          <cell r="I779" t="str">
            <v>-</v>
          </cell>
          <cell r="J779" t="str">
            <v>650/650</v>
          </cell>
          <cell r="K779" t="str">
            <v xml:space="preserve">CPIII 40 RS </v>
          </cell>
          <cell r="L779" t="str">
            <v>CP V</v>
          </cell>
          <cell r="M779" t="str">
            <v>SUPER PLASTIFICANTE</v>
          </cell>
          <cell r="N779" t="str">
            <v>ETE - PROJETO SUCURIÚ - CLARIFICADOR PRIMARIO</v>
          </cell>
          <cell r="O779" t="str">
            <v>FORTANKS</v>
          </cell>
          <cell r="P779">
            <v>5</v>
          </cell>
          <cell r="Q779" t="str">
            <v>Gean</v>
          </cell>
          <cell r="R779">
            <v>45806</v>
          </cell>
          <cell r="S779">
            <v>0.66666666666666663</v>
          </cell>
          <cell r="T779">
            <v>0.65666666666666662</v>
          </cell>
          <cell r="U779" t="str">
            <v>X</v>
          </cell>
          <cell r="V779">
            <v>0.45833333333333331</v>
          </cell>
          <cell r="W779">
            <v>32.369999999999997</v>
          </cell>
          <cell r="X779">
            <v>32.42</v>
          </cell>
          <cell r="Y779">
            <v>0.4201388888888889</v>
          </cell>
          <cell r="Z779">
            <v>84.012</v>
          </cell>
          <cell r="AA779">
            <v>83.435999999999993</v>
          </cell>
          <cell r="AW779">
            <v>4</v>
          </cell>
          <cell r="AX779">
            <v>4</v>
          </cell>
          <cell r="AY779">
            <v>4</v>
          </cell>
          <cell r="AZ779">
            <v>4</v>
          </cell>
          <cell r="BA779" t="str">
            <v>FORTES ENGENHARIA</v>
          </cell>
          <cell r="BB779">
            <v>45807</v>
          </cell>
          <cell r="BD779" t="str">
            <v>sex</v>
          </cell>
          <cell r="BG779">
            <v>45806</v>
          </cell>
        </row>
        <row r="780">
          <cell r="A780">
            <v>1123</v>
          </cell>
          <cell r="B780">
            <v>745</v>
          </cell>
          <cell r="C780" t="str">
            <v>PLACA PN-225</v>
          </cell>
          <cell r="D780">
            <v>6</v>
          </cell>
          <cell r="E780">
            <v>40</v>
          </cell>
          <cell r="F780">
            <v>24</v>
          </cell>
          <cell r="G780">
            <v>40</v>
          </cell>
          <cell r="H780">
            <v>0</v>
          </cell>
          <cell r="I780" t="str">
            <v>-</v>
          </cell>
          <cell r="J780" t="str">
            <v>650/660</v>
          </cell>
          <cell r="K780" t="str">
            <v xml:space="preserve">CPIII 40 RS </v>
          </cell>
          <cell r="L780" t="str">
            <v>CP V</v>
          </cell>
          <cell r="M780" t="str">
            <v>SUPER PLASTIFICANTE</v>
          </cell>
          <cell r="N780" t="str">
            <v>ETE - PARQUE NOVO MUNDO (REATORES NEREDA)</v>
          </cell>
          <cell r="O780" t="str">
            <v>FORTANKS</v>
          </cell>
          <cell r="P780">
            <v>1</v>
          </cell>
          <cell r="Q780" t="str">
            <v>Gean</v>
          </cell>
          <cell r="R780">
            <v>45812</v>
          </cell>
          <cell r="S780">
            <v>0.4236111111111111</v>
          </cell>
          <cell r="T780">
            <v>0.4136111111111111</v>
          </cell>
          <cell r="U780" t="str">
            <v>X</v>
          </cell>
          <cell r="V780">
            <v>0.3125</v>
          </cell>
          <cell r="W780">
            <v>38.07</v>
          </cell>
          <cell r="X780">
            <v>38.31</v>
          </cell>
          <cell r="Y780">
            <v>0.41666666666666669</v>
          </cell>
          <cell r="Z780">
            <v>84.012</v>
          </cell>
          <cell r="AA780">
            <v>83.255999999999986</v>
          </cell>
          <cell r="AW780">
            <v>4</v>
          </cell>
          <cell r="AX780">
            <v>4</v>
          </cell>
          <cell r="AY780">
            <v>4</v>
          </cell>
          <cell r="AZ780">
            <v>4</v>
          </cell>
          <cell r="BA780" t="str">
            <v>CONSORCIO NOVA ETE - PARQUE NOVO MUNDO</v>
          </cell>
          <cell r="BB780">
            <v>45813</v>
          </cell>
          <cell r="BD780" t="str">
            <v>qui</v>
          </cell>
          <cell r="BG780">
            <v>45812</v>
          </cell>
        </row>
        <row r="781">
          <cell r="A781" t="str">
            <v>1123-A</v>
          </cell>
          <cell r="B781">
            <v>745</v>
          </cell>
          <cell r="C781" t="str">
            <v>PLACA PR_PN-47</v>
          </cell>
          <cell r="D781">
            <v>6</v>
          </cell>
          <cell r="E781">
            <v>40</v>
          </cell>
          <cell r="F781">
            <v>24</v>
          </cell>
          <cell r="G781">
            <v>40</v>
          </cell>
          <cell r="H781">
            <v>0</v>
          </cell>
          <cell r="I781" t="str">
            <v>-</v>
          </cell>
          <cell r="J781" t="str">
            <v>650/660</v>
          </cell>
          <cell r="K781" t="str">
            <v xml:space="preserve">CPIII 40 RS </v>
          </cell>
          <cell r="L781" t="str">
            <v>CP V</v>
          </cell>
          <cell r="M781" t="str">
            <v>SUPER PLASTIFICANTE</v>
          </cell>
          <cell r="N781" t="str">
            <v>ETE - PROJETO SUCURIÚ - CLARIFICADOR PRIMARIO</v>
          </cell>
          <cell r="O781" t="str">
            <v>FORTANKS</v>
          </cell>
          <cell r="P781">
            <v>1</v>
          </cell>
          <cell r="Q781" t="str">
            <v>Gean</v>
          </cell>
          <cell r="R781">
            <v>45812</v>
          </cell>
          <cell r="S781">
            <v>0.4236111111111111</v>
          </cell>
          <cell r="T781">
            <v>0.4136111111111111</v>
          </cell>
          <cell r="U781" t="str">
            <v>X</v>
          </cell>
          <cell r="V781">
            <v>0.3125</v>
          </cell>
          <cell r="W781">
            <v>38.07</v>
          </cell>
          <cell r="X781">
            <v>38.31</v>
          </cell>
          <cell r="Y781">
            <v>0.41666666666666669</v>
          </cell>
          <cell r="Z781">
            <v>84.012</v>
          </cell>
          <cell r="AA781">
            <v>83.255999999999986</v>
          </cell>
          <cell r="AW781">
            <v>4</v>
          </cell>
          <cell r="AX781">
            <v>4</v>
          </cell>
          <cell r="AY781">
            <v>4</v>
          </cell>
          <cell r="AZ781">
            <v>4</v>
          </cell>
          <cell r="BA781" t="str">
            <v>FORTES ENGENHARIA</v>
          </cell>
          <cell r="BB781">
            <v>45813</v>
          </cell>
          <cell r="BD781" t="str">
            <v>qui</v>
          </cell>
          <cell r="BG781">
            <v>45812</v>
          </cell>
        </row>
        <row r="782">
          <cell r="A782">
            <v>1124</v>
          </cell>
          <cell r="B782">
            <v>746</v>
          </cell>
          <cell r="C782" t="str">
            <v>PLACAS PE-69 (Tipo 2)  / PE-101(Tipo 2)</v>
          </cell>
          <cell r="D782">
            <v>7</v>
          </cell>
          <cell r="E782">
            <v>40</v>
          </cell>
          <cell r="F782">
            <v>24</v>
          </cell>
          <cell r="G782">
            <v>40</v>
          </cell>
          <cell r="H782">
            <v>0</v>
          </cell>
          <cell r="I782" t="str">
            <v>-</v>
          </cell>
          <cell r="J782" t="str">
            <v>650/660</v>
          </cell>
          <cell r="K782" t="str">
            <v xml:space="preserve">CPIII 40 RS </v>
          </cell>
          <cell r="L782" t="str">
            <v>CP V</v>
          </cell>
          <cell r="M782" t="str">
            <v>SUPER PLASTIFICANTE</v>
          </cell>
          <cell r="N782" t="str">
            <v>ETE - PARQUE NOVO MUNDO (REATORES NEREDA)</v>
          </cell>
          <cell r="O782" t="str">
            <v>FORTANKS</v>
          </cell>
          <cell r="P782">
            <v>2</v>
          </cell>
          <cell r="Q782" t="str">
            <v>Gean</v>
          </cell>
          <cell r="R782">
            <v>45812</v>
          </cell>
          <cell r="S782">
            <v>0.45833333333333331</v>
          </cell>
          <cell r="T782">
            <v>0.44833333333333331</v>
          </cell>
          <cell r="U782" t="str">
            <v>X</v>
          </cell>
          <cell r="V782">
            <v>0.31597222222222221</v>
          </cell>
          <cell r="W782">
            <v>37.72</v>
          </cell>
          <cell r="X782">
            <v>39.26</v>
          </cell>
          <cell r="Y782">
            <v>0.41666666666666669</v>
          </cell>
          <cell r="Z782">
            <v>83.603999999999999</v>
          </cell>
          <cell r="AA782">
            <v>84.468000000000004</v>
          </cell>
          <cell r="AW782">
            <v>4</v>
          </cell>
          <cell r="AX782">
            <v>4</v>
          </cell>
          <cell r="AY782">
            <v>4</v>
          </cell>
          <cell r="AZ782">
            <v>3</v>
          </cell>
          <cell r="BA782" t="str">
            <v>CONSORCIO NOVA ETE - PARQUE NOVO MUNDO</v>
          </cell>
          <cell r="BB782">
            <v>45813</v>
          </cell>
          <cell r="BD782" t="str">
            <v>qui</v>
          </cell>
          <cell r="BG782">
            <v>45812</v>
          </cell>
        </row>
        <row r="783">
          <cell r="A783">
            <v>1125</v>
          </cell>
          <cell r="B783">
            <v>747</v>
          </cell>
          <cell r="C783" t="str">
            <v>PLACAS PE-86 (Tipo 4) / PE-117(Tipo 4)</v>
          </cell>
          <cell r="D783">
            <v>7</v>
          </cell>
          <cell r="E783">
            <v>40</v>
          </cell>
          <cell r="F783">
            <v>24</v>
          </cell>
          <cell r="G783">
            <v>40</v>
          </cell>
          <cell r="H783">
            <v>0</v>
          </cell>
          <cell r="I783" t="str">
            <v>-</v>
          </cell>
          <cell r="J783" t="str">
            <v>650/650</v>
          </cell>
          <cell r="K783" t="str">
            <v xml:space="preserve">CPIII 40 RS </v>
          </cell>
          <cell r="L783" t="str">
            <v>CP V</v>
          </cell>
          <cell r="M783" t="str">
            <v>SUPER PLASTIFICANTE</v>
          </cell>
          <cell r="N783" t="str">
            <v>ETE - PARQUE NOVO MUNDO (REATORES NEREDA)</v>
          </cell>
          <cell r="O783" t="str">
            <v>FORTANKS</v>
          </cell>
          <cell r="P783">
            <v>3</v>
          </cell>
          <cell r="Q783" t="str">
            <v>Gean</v>
          </cell>
          <cell r="R783">
            <v>45812</v>
          </cell>
          <cell r="S783">
            <v>0.4861111111111111</v>
          </cell>
          <cell r="T783">
            <v>0.4761111111111111</v>
          </cell>
          <cell r="U783" t="str">
            <v>X</v>
          </cell>
          <cell r="V783">
            <v>0.3263888888888889</v>
          </cell>
          <cell r="W783">
            <v>39.090000000000003</v>
          </cell>
          <cell r="X783">
            <v>40.049999999999997</v>
          </cell>
          <cell r="Y783">
            <v>0.41666666666666669</v>
          </cell>
          <cell r="Z783">
            <v>82.055999999999997</v>
          </cell>
          <cell r="AA783">
            <v>83.94</v>
          </cell>
          <cell r="AW783">
            <v>4</v>
          </cell>
          <cell r="AX783">
            <v>4</v>
          </cell>
          <cell r="AY783">
            <v>3</v>
          </cell>
          <cell r="AZ783">
            <v>4</v>
          </cell>
          <cell r="BA783" t="str">
            <v>CONSORCIO NOVA ETE - PARQUE NOVO MUNDO</v>
          </cell>
          <cell r="BB783">
            <v>45813</v>
          </cell>
          <cell r="BD783" t="str">
            <v>qui</v>
          </cell>
          <cell r="BG783">
            <v>45812</v>
          </cell>
        </row>
        <row r="784">
          <cell r="A784">
            <v>1126</v>
          </cell>
          <cell r="B784">
            <v>748</v>
          </cell>
          <cell r="C784" t="str">
            <v>PLACAS PE-71 (Tipo 3) / PE-70 (Tipo 1)</v>
          </cell>
          <cell r="D784">
            <v>8</v>
          </cell>
          <cell r="E784">
            <v>40</v>
          </cell>
          <cell r="F784">
            <v>24</v>
          </cell>
          <cell r="G784">
            <v>40</v>
          </cell>
          <cell r="H784">
            <v>0</v>
          </cell>
          <cell r="I784" t="str">
            <v>-</v>
          </cell>
          <cell r="J784" t="str">
            <v>660/660</v>
          </cell>
          <cell r="K784" t="str">
            <v xml:space="preserve">CPIII 40 RS </v>
          </cell>
          <cell r="L784" t="str">
            <v>CP V</v>
          </cell>
          <cell r="M784" t="str">
            <v>SUPER PLASTIFICANTE</v>
          </cell>
          <cell r="N784" t="str">
            <v>ETE - PARQUE NOVO MUNDO (REATORES NEREDA)</v>
          </cell>
          <cell r="O784" t="str">
            <v>FORTANKS</v>
          </cell>
          <cell r="P784">
            <v>4</v>
          </cell>
          <cell r="Q784" t="str">
            <v>Gean</v>
          </cell>
          <cell r="R784">
            <v>45812</v>
          </cell>
          <cell r="S784">
            <v>0.58333333333333337</v>
          </cell>
          <cell r="T784">
            <v>0.57333333333333336</v>
          </cell>
          <cell r="U784" t="str">
            <v>X</v>
          </cell>
          <cell r="V784">
            <v>0.33333333333333331</v>
          </cell>
          <cell r="W784">
            <v>27.61</v>
          </cell>
          <cell r="X784">
            <v>27.15</v>
          </cell>
          <cell r="Y784">
            <v>0.41805555555555557</v>
          </cell>
          <cell r="Z784">
            <v>85.067999999999998</v>
          </cell>
          <cell r="AA784">
            <v>85.22399999999999</v>
          </cell>
          <cell r="AW784">
            <v>4</v>
          </cell>
          <cell r="AX784">
            <v>4</v>
          </cell>
          <cell r="AY784">
            <v>4</v>
          </cell>
          <cell r="AZ784">
            <v>4</v>
          </cell>
          <cell r="BA784" t="str">
            <v>CONSORCIO NOVA ETE - PARQUE NOVO MUNDO</v>
          </cell>
          <cell r="BB784">
            <v>45813</v>
          </cell>
          <cell r="BD784" t="str">
            <v>qui</v>
          </cell>
          <cell r="BG784">
            <v>45812</v>
          </cell>
        </row>
        <row r="785">
          <cell r="A785" t="str">
            <v>1126-A</v>
          </cell>
          <cell r="B785">
            <v>748</v>
          </cell>
          <cell r="C785" t="str">
            <v>PLACA PR-PN-47 (CANALETA)</v>
          </cell>
          <cell r="D785">
            <v>8</v>
          </cell>
          <cell r="E785">
            <v>40</v>
          </cell>
          <cell r="F785">
            <v>15</v>
          </cell>
          <cell r="G785">
            <v>40</v>
          </cell>
          <cell r="H785">
            <v>0</v>
          </cell>
          <cell r="I785" t="str">
            <v>-</v>
          </cell>
          <cell r="J785" t="str">
            <v>660/660</v>
          </cell>
          <cell r="K785" t="str">
            <v xml:space="preserve">CPIII 40 RS </v>
          </cell>
          <cell r="L785" t="str">
            <v>CP V</v>
          </cell>
          <cell r="M785" t="str">
            <v>SUPER PLASTIFICANTE</v>
          </cell>
          <cell r="N785" t="str">
            <v>ETE - PROJETO SUCURIÚ - CLARIFICADOR PRIMARIO</v>
          </cell>
          <cell r="O785" t="str">
            <v>FORTANKS</v>
          </cell>
          <cell r="P785">
            <v>4</v>
          </cell>
          <cell r="Q785" t="str">
            <v>Gean</v>
          </cell>
          <cell r="R785">
            <v>45812</v>
          </cell>
          <cell r="S785">
            <v>0.58333333333333337</v>
          </cell>
          <cell r="T785">
            <v>0.57333333333333336</v>
          </cell>
          <cell r="U785" t="str">
            <v>X</v>
          </cell>
          <cell r="V785">
            <v>0.33333333333333331</v>
          </cell>
          <cell r="W785">
            <v>27.61</v>
          </cell>
          <cell r="X785">
            <v>27.15</v>
          </cell>
          <cell r="Y785">
            <v>0.41805555555555557</v>
          </cell>
          <cell r="Z785">
            <v>85.07</v>
          </cell>
          <cell r="AA785">
            <v>85.22</v>
          </cell>
          <cell r="AW785">
            <v>4</v>
          </cell>
          <cell r="AX785">
            <v>4</v>
          </cell>
          <cell r="AY785">
            <v>4</v>
          </cell>
          <cell r="AZ785">
            <v>4</v>
          </cell>
          <cell r="BA785" t="str">
            <v>FORTES ENGENHARIA</v>
          </cell>
          <cell r="BB785">
            <v>45813</v>
          </cell>
          <cell r="BD785" t="str">
            <v>qui</v>
          </cell>
          <cell r="BG785">
            <v>45812</v>
          </cell>
        </row>
        <row r="786">
          <cell r="A786">
            <v>1127</v>
          </cell>
          <cell r="B786">
            <v>749</v>
          </cell>
          <cell r="C786" t="str">
            <v>PLACA PR_PF-70</v>
          </cell>
          <cell r="D786">
            <v>3.5</v>
          </cell>
          <cell r="E786">
            <v>40</v>
          </cell>
          <cell r="F786">
            <v>24</v>
          </cell>
          <cell r="G786">
            <v>40</v>
          </cell>
          <cell r="H786">
            <v>0</v>
          </cell>
          <cell r="I786" t="str">
            <v>-</v>
          </cell>
          <cell r="J786" t="str">
            <v>680/680</v>
          </cell>
          <cell r="K786" t="str">
            <v xml:space="preserve">CPIII 40 RS </v>
          </cell>
          <cell r="L786" t="str">
            <v>CP V</v>
          </cell>
          <cell r="M786" t="str">
            <v>SUPER PLASTIFICANTE</v>
          </cell>
          <cell r="N786" t="str">
            <v>ETE - PROJETO SUCURIÚ - CLARIFICADOR PRIMARIO</v>
          </cell>
          <cell r="O786" t="str">
            <v>FORTANKS</v>
          </cell>
          <cell r="P786">
            <v>1</v>
          </cell>
          <cell r="Q786" t="str">
            <v>Gean</v>
          </cell>
          <cell r="R786">
            <v>45814</v>
          </cell>
          <cell r="S786">
            <v>0.4861111111111111</v>
          </cell>
          <cell r="T786">
            <v>0.4761111111111111</v>
          </cell>
          <cell r="U786" t="str">
            <v>X</v>
          </cell>
          <cell r="V786">
            <v>0.35416666666666669</v>
          </cell>
          <cell r="W786">
            <v>31.41</v>
          </cell>
          <cell r="X786">
            <v>34.44</v>
          </cell>
          <cell r="Y786">
            <v>0.42222222222222222</v>
          </cell>
          <cell r="Z786">
            <v>84.323999999999998</v>
          </cell>
          <cell r="AA786">
            <v>84.468000000000004</v>
          </cell>
          <cell r="AW786">
            <v>4</v>
          </cell>
          <cell r="AX786">
            <v>4</v>
          </cell>
          <cell r="AY786">
            <v>4</v>
          </cell>
          <cell r="AZ786">
            <v>4</v>
          </cell>
          <cell r="BA786" t="str">
            <v>FORTES ENGENHARIA</v>
          </cell>
          <cell r="BB786">
            <v>45815</v>
          </cell>
          <cell r="BD786" t="str">
            <v>sáb</v>
          </cell>
          <cell r="BG786">
            <v>45814</v>
          </cell>
        </row>
        <row r="787">
          <cell r="A787">
            <v>1128</v>
          </cell>
          <cell r="B787">
            <v>750</v>
          </cell>
          <cell r="C787" t="str">
            <v>PLACA PF-63 (PF)</v>
          </cell>
          <cell r="D787">
            <v>7</v>
          </cell>
          <cell r="E787">
            <v>40</v>
          </cell>
          <cell r="F787">
            <v>24</v>
          </cell>
          <cell r="G787">
            <v>40</v>
          </cell>
          <cell r="H787">
            <v>0</v>
          </cell>
          <cell r="I787" t="str">
            <v>-</v>
          </cell>
          <cell r="J787" t="str">
            <v>680/680</v>
          </cell>
          <cell r="K787" t="str">
            <v xml:space="preserve">CPIII 40 RS </v>
          </cell>
          <cell r="L787" t="str">
            <v>CP V</v>
          </cell>
          <cell r="M787" t="str">
            <v>SUPER PLASTIFICANTE</v>
          </cell>
          <cell r="N787" t="str">
            <v>ETE - PARQUE NOVO MUNDO (REATORES NEREDA)</v>
          </cell>
          <cell r="O787" t="str">
            <v>FORTANKS</v>
          </cell>
          <cell r="P787">
            <v>2</v>
          </cell>
          <cell r="Q787" t="str">
            <v>Gean</v>
          </cell>
          <cell r="R787">
            <v>45814</v>
          </cell>
          <cell r="S787">
            <v>0.75</v>
          </cell>
          <cell r="T787">
            <v>0.74</v>
          </cell>
          <cell r="U787" t="str">
            <v>X</v>
          </cell>
          <cell r="V787">
            <v>0.35416666666666669</v>
          </cell>
          <cell r="W787">
            <v>24.16</v>
          </cell>
          <cell r="X787">
            <v>25.46</v>
          </cell>
          <cell r="Y787">
            <v>0.41666666666666669</v>
          </cell>
          <cell r="Z787">
            <v>78.311999999999998</v>
          </cell>
          <cell r="AA787">
            <v>78.167999999999992</v>
          </cell>
          <cell r="AW787">
            <v>4</v>
          </cell>
          <cell r="AX787">
            <v>4</v>
          </cell>
          <cell r="AY787">
            <v>4</v>
          </cell>
          <cell r="AZ787">
            <v>3</v>
          </cell>
          <cell r="BA787" t="str">
            <v>CONSORCIO NOVA ETE - PARQUE NOVO MUNDO</v>
          </cell>
          <cell r="BB787">
            <v>45815</v>
          </cell>
          <cell r="BD787" t="str">
            <v>sáb</v>
          </cell>
          <cell r="BG787">
            <v>45814</v>
          </cell>
        </row>
        <row r="788">
          <cell r="A788" t="str">
            <v>1128-A</v>
          </cell>
          <cell r="B788">
            <v>750</v>
          </cell>
          <cell r="C788" t="str">
            <v>PLACA PR_PF-70 (CANALETA)</v>
          </cell>
          <cell r="D788">
            <v>7</v>
          </cell>
          <cell r="E788">
            <v>40</v>
          </cell>
          <cell r="F788">
            <v>15</v>
          </cell>
          <cell r="G788">
            <v>40</v>
          </cell>
          <cell r="H788">
            <v>0</v>
          </cell>
          <cell r="I788" t="str">
            <v>-</v>
          </cell>
          <cell r="J788" t="str">
            <v>680/680</v>
          </cell>
          <cell r="K788" t="str">
            <v xml:space="preserve">CPIII 40 RS </v>
          </cell>
          <cell r="L788" t="str">
            <v>CP V</v>
          </cell>
          <cell r="M788" t="str">
            <v>SUPER PLASTIFICANTE</v>
          </cell>
          <cell r="N788" t="str">
            <v>ETE - PROJETO SUCURIÚ - CLARIFICADOR PRIMARIO</v>
          </cell>
          <cell r="O788" t="str">
            <v>FORTANKS</v>
          </cell>
          <cell r="P788">
            <v>2</v>
          </cell>
          <cell r="Q788" t="str">
            <v>Gean</v>
          </cell>
          <cell r="R788">
            <v>45814</v>
          </cell>
          <cell r="S788">
            <v>0.75</v>
          </cell>
          <cell r="T788">
            <v>0.74</v>
          </cell>
          <cell r="U788" t="str">
            <v>X</v>
          </cell>
          <cell r="V788">
            <v>0.35416666666666669</v>
          </cell>
          <cell r="W788">
            <v>24.16</v>
          </cell>
          <cell r="X788">
            <v>25.46</v>
          </cell>
          <cell r="Y788">
            <v>0.41666666666666669</v>
          </cell>
          <cell r="Z788">
            <v>78.31</v>
          </cell>
          <cell r="AA788">
            <v>78.16</v>
          </cell>
          <cell r="AW788">
            <v>4</v>
          </cell>
          <cell r="AX788">
            <v>4</v>
          </cell>
          <cell r="AY788">
            <v>4</v>
          </cell>
          <cell r="AZ788">
            <v>3</v>
          </cell>
          <cell r="BA788" t="str">
            <v>FORTES ENGENHARIA</v>
          </cell>
          <cell r="BB788">
            <v>45815</v>
          </cell>
          <cell r="BD788" t="str">
            <v>sáb</v>
          </cell>
          <cell r="BG788">
            <v>45814</v>
          </cell>
        </row>
        <row r="789">
          <cell r="A789" t="str">
            <v>1129-A</v>
          </cell>
          <cell r="B789">
            <v>751</v>
          </cell>
          <cell r="C789" t="str">
            <v xml:space="preserve">PLACA PR_PN-48 </v>
          </cell>
          <cell r="D789">
            <v>6</v>
          </cell>
          <cell r="E789">
            <v>40</v>
          </cell>
          <cell r="F789">
            <v>24</v>
          </cell>
          <cell r="G789">
            <v>40</v>
          </cell>
          <cell r="H789">
            <v>0</v>
          </cell>
          <cell r="I789" t="str">
            <v>-</v>
          </cell>
          <cell r="J789" t="str">
            <v>650/650</v>
          </cell>
          <cell r="K789" t="str">
            <v xml:space="preserve">CPIII 40 RS </v>
          </cell>
          <cell r="L789" t="str">
            <v>CP V</v>
          </cell>
          <cell r="M789" t="str">
            <v>SUPER PLASTIFICANTE</v>
          </cell>
          <cell r="N789" t="str">
            <v>ETE - PROJETO SUCURIÚ - CLARIFICADOR PRIMARIO</v>
          </cell>
          <cell r="P789">
            <v>1</v>
          </cell>
          <cell r="R789">
            <v>45818</v>
          </cell>
          <cell r="S789">
            <v>0.5625</v>
          </cell>
          <cell r="T789">
            <v>0.55249999999999999</v>
          </cell>
          <cell r="U789" t="str">
            <v>X</v>
          </cell>
          <cell r="V789">
            <v>0.375</v>
          </cell>
          <cell r="W789">
            <v>26.58</v>
          </cell>
          <cell r="X789">
            <v>28.18</v>
          </cell>
          <cell r="Y789">
            <v>0.41666666666666669</v>
          </cell>
          <cell r="Z789">
            <v>81.47</v>
          </cell>
          <cell r="AA789">
            <v>84.024000000000001</v>
          </cell>
          <cell r="AW789">
            <v>4</v>
          </cell>
          <cell r="AX789">
            <v>4</v>
          </cell>
          <cell r="AY789">
            <v>4</v>
          </cell>
          <cell r="AZ789">
            <v>4</v>
          </cell>
          <cell r="BA789" t="str">
            <v>FORTES ENGENHARIA</v>
          </cell>
          <cell r="BB789">
            <v>45819</v>
          </cell>
          <cell r="BD789" t="str">
            <v>qua</v>
          </cell>
          <cell r="BG789">
            <v>45818</v>
          </cell>
        </row>
        <row r="790">
          <cell r="A790">
            <v>1129</v>
          </cell>
          <cell r="B790">
            <v>751</v>
          </cell>
          <cell r="C790" t="str">
            <v>PLACA PN-227</v>
          </cell>
          <cell r="D790">
            <v>6</v>
          </cell>
          <cell r="E790">
            <v>40</v>
          </cell>
          <cell r="F790">
            <v>24</v>
          </cell>
          <cell r="G790">
            <v>40</v>
          </cell>
          <cell r="H790">
            <v>0</v>
          </cell>
          <cell r="I790" t="str">
            <v>-</v>
          </cell>
          <cell r="J790" t="str">
            <v>650/660</v>
          </cell>
          <cell r="K790" t="str">
            <v xml:space="preserve">CPIII 40 RS </v>
          </cell>
          <cell r="L790" t="str">
            <v>CP V</v>
          </cell>
          <cell r="M790" t="str">
            <v>SUPER PLASTIFICANTE</v>
          </cell>
          <cell r="N790" t="str">
            <v>ETE - PARQUE NOVO MUNDO (REATORES NEREDA)</v>
          </cell>
          <cell r="O790" t="str">
            <v>FORTANKS</v>
          </cell>
          <cell r="P790">
            <v>1</v>
          </cell>
          <cell r="Q790" t="str">
            <v>Gean</v>
          </cell>
          <cell r="R790">
            <v>45818</v>
          </cell>
          <cell r="S790">
            <v>0.5625</v>
          </cell>
          <cell r="T790">
            <v>0.55249999999999999</v>
          </cell>
          <cell r="U790" t="str">
            <v>X</v>
          </cell>
          <cell r="V790">
            <v>0.375</v>
          </cell>
          <cell r="W790">
            <v>26.58</v>
          </cell>
          <cell r="X790">
            <v>28.175999999999998</v>
          </cell>
          <cell r="Y790">
            <v>0.41666666666666669</v>
          </cell>
          <cell r="Z790">
            <v>81.468000000000004</v>
          </cell>
          <cell r="AA790">
            <v>84.023999999999987</v>
          </cell>
          <cell r="AW790">
            <v>4</v>
          </cell>
          <cell r="AX790">
            <v>4</v>
          </cell>
          <cell r="AY790">
            <v>4</v>
          </cell>
          <cell r="AZ790">
            <v>4</v>
          </cell>
          <cell r="BA790" t="str">
            <v>CONSORCIO NOVA ETE - PARQUE NOVO MUNDO</v>
          </cell>
          <cell r="BB790">
            <v>45819</v>
          </cell>
          <cell r="BD790" t="str">
            <v>qua</v>
          </cell>
          <cell r="BG790">
            <v>45818</v>
          </cell>
        </row>
        <row r="791">
          <cell r="A791">
            <v>1130</v>
          </cell>
          <cell r="B791">
            <v>752</v>
          </cell>
          <cell r="C791" t="str">
            <v>PLACAS PE-180(Tipo 2)  /  PE-150(Tipo 2)</v>
          </cell>
          <cell r="D791">
            <v>7</v>
          </cell>
          <cell r="E791">
            <v>40</v>
          </cell>
          <cell r="F791">
            <v>24</v>
          </cell>
          <cell r="G791">
            <v>40</v>
          </cell>
          <cell r="H791">
            <v>0</v>
          </cell>
          <cell r="I791" t="str">
            <v>-</v>
          </cell>
          <cell r="J791" t="str">
            <v>680/670</v>
          </cell>
          <cell r="K791" t="str">
            <v xml:space="preserve">CPIII 40 RS </v>
          </cell>
          <cell r="L791" t="str">
            <v>CP V</v>
          </cell>
          <cell r="M791" t="str">
            <v>SUPER PLASTIFICANTE</v>
          </cell>
          <cell r="N791" t="str">
            <v>ETE - PARQUE NOVO MUNDO (REATORES NEREDA)</v>
          </cell>
          <cell r="O791" t="str">
            <v>FORTANKS</v>
          </cell>
          <cell r="P791">
            <v>2</v>
          </cell>
          <cell r="Q791" t="str">
            <v>Gean</v>
          </cell>
          <cell r="R791">
            <v>45818</v>
          </cell>
          <cell r="S791">
            <v>0.58333333333333337</v>
          </cell>
          <cell r="T791">
            <v>0.57333333333333336</v>
          </cell>
          <cell r="U791" t="str">
            <v>X</v>
          </cell>
          <cell r="V791">
            <v>0.38194444444444442</v>
          </cell>
          <cell r="W791">
            <v>27.251999999999999</v>
          </cell>
          <cell r="X791">
            <v>27.084</v>
          </cell>
          <cell r="Y791">
            <v>0.41666666666666669</v>
          </cell>
          <cell r="Z791">
            <v>84.3</v>
          </cell>
          <cell r="AA791">
            <v>83.82</v>
          </cell>
          <cell r="AW791">
            <v>4</v>
          </cell>
          <cell r="AX791">
            <v>4</v>
          </cell>
          <cell r="AY791">
            <v>4</v>
          </cell>
          <cell r="AZ791">
            <v>4</v>
          </cell>
          <cell r="BA791" t="str">
            <v>CONSORCIO NOVA ETE - PARQUE NOVO MUNDO</v>
          </cell>
          <cell r="BB791">
            <v>45819</v>
          </cell>
          <cell r="BD791" t="str">
            <v>qua</v>
          </cell>
          <cell r="BG791">
            <v>45818</v>
          </cell>
        </row>
        <row r="792">
          <cell r="A792">
            <v>1131</v>
          </cell>
          <cell r="B792">
            <v>753</v>
          </cell>
          <cell r="C792" t="str">
            <v>PLACAS PE-164(Tipo 4)  /  PE-133(Tipo 4)</v>
          </cell>
          <cell r="D792">
            <v>7</v>
          </cell>
          <cell r="E792">
            <v>40</v>
          </cell>
          <cell r="F792">
            <v>24</v>
          </cell>
          <cell r="G792">
            <v>40</v>
          </cell>
          <cell r="H792">
            <v>0</v>
          </cell>
          <cell r="I792" t="str">
            <v>-</v>
          </cell>
          <cell r="J792" t="str">
            <v>660/670</v>
          </cell>
          <cell r="K792" t="str">
            <v xml:space="preserve">CPIII 40 RS </v>
          </cell>
          <cell r="L792" t="str">
            <v>CP V</v>
          </cell>
          <cell r="M792" t="str">
            <v>SUPER PLASTIFICANTE</v>
          </cell>
          <cell r="N792" t="str">
            <v>ETE - PARQUE NOVO MUNDO (REATORES NEREDA)</v>
          </cell>
          <cell r="O792" t="str">
            <v>FORTANKS</v>
          </cell>
          <cell r="P792">
            <v>3</v>
          </cell>
          <cell r="Q792" t="str">
            <v>Gean</v>
          </cell>
          <cell r="R792">
            <v>45818</v>
          </cell>
          <cell r="S792">
            <v>0.60416666666666663</v>
          </cell>
          <cell r="T792">
            <v>0.59416666666666662</v>
          </cell>
          <cell r="U792" t="str">
            <v>X</v>
          </cell>
          <cell r="V792">
            <v>0.3888888888888889</v>
          </cell>
          <cell r="W792">
            <v>25.236000000000001</v>
          </cell>
          <cell r="X792">
            <v>26.771999999999998</v>
          </cell>
          <cell r="Y792">
            <v>0.41388888888888886</v>
          </cell>
          <cell r="Z792">
            <v>83.712000000000003</v>
          </cell>
          <cell r="AA792">
            <v>84.18</v>
          </cell>
          <cell r="AW792">
            <v>4</v>
          </cell>
          <cell r="AX792">
            <v>4</v>
          </cell>
          <cell r="AY792">
            <v>4</v>
          </cell>
          <cell r="AZ792">
            <v>4</v>
          </cell>
          <cell r="BA792" t="str">
            <v>CONSORCIO NOVA ETE - PARQUE NOVO MUNDO</v>
          </cell>
          <cell r="BB792">
            <v>45819</v>
          </cell>
          <cell r="BD792" t="str">
            <v>qua</v>
          </cell>
          <cell r="BG792">
            <v>45818</v>
          </cell>
        </row>
        <row r="793">
          <cell r="A793">
            <v>1132</v>
          </cell>
          <cell r="B793">
            <v>754</v>
          </cell>
          <cell r="C793" t="str">
            <v>PLACAS PE-149(Tipo 1) / PE-148(Tipo 3)</v>
          </cell>
          <cell r="D793">
            <v>7</v>
          </cell>
          <cell r="E793">
            <v>40</v>
          </cell>
          <cell r="F793">
            <v>24</v>
          </cell>
          <cell r="G793">
            <v>40</v>
          </cell>
          <cell r="H793">
            <v>0</v>
          </cell>
          <cell r="I793" t="str">
            <v>-</v>
          </cell>
          <cell r="J793" t="str">
            <v>680/670</v>
          </cell>
          <cell r="K793" t="str">
            <v xml:space="preserve">CPIII 40 RS </v>
          </cell>
          <cell r="L793" t="str">
            <v>CP V</v>
          </cell>
          <cell r="M793" t="str">
            <v>SUPER PLASTIFICANTE</v>
          </cell>
          <cell r="N793" t="str">
            <v>ETE - PARQUE NOVO MUNDO (REATORES NEREDA)</v>
          </cell>
          <cell r="O793" t="str">
            <v>FORTANKS</v>
          </cell>
          <cell r="P793">
            <v>4</v>
          </cell>
          <cell r="Q793" t="str">
            <v>Gean</v>
          </cell>
          <cell r="R793">
            <v>45818</v>
          </cell>
          <cell r="S793">
            <v>0.63888888888888884</v>
          </cell>
          <cell r="T793">
            <v>0.62888888888888883</v>
          </cell>
          <cell r="U793" t="str">
            <v>X</v>
          </cell>
          <cell r="V793">
            <v>0.39583333333333331</v>
          </cell>
          <cell r="W793">
            <v>28.055999999999997</v>
          </cell>
          <cell r="X793">
            <v>29.591999999999999</v>
          </cell>
          <cell r="Y793">
            <v>0.39583333333333331</v>
          </cell>
          <cell r="Z793">
            <v>84.048000000000002</v>
          </cell>
          <cell r="AA793">
            <v>83.543999999999997</v>
          </cell>
          <cell r="AW793">
            <v>4</v>
          </cell>
          <cell r="AX793">
            <v>4</v>
          </cell>
          <cell r="AY793">
            <v>4</v>
          </cell>
          <cell r="AZ793">
            <v>4</v>
          </cell>
          <cell r="BA793" t="str">
            <v>CONSORCIO NOVA ETE - PARQUE NOVO MUNDO</v>
          </cell>
          <cell r="BB793">
            <v>45819</v>
          </cell>
          <cell r="BD793" t="str">
            <v>qua</v>
          </cell>
          <cell r="BG793">
            <v>45818</v>
          </cell>
        </row>
        <row r="794">
          <cell r="A794" t="str">
            <v>1132-A</v>
          </cell>
          <cell r="B794">
            <v>754</v>
          </cell>
          <cell r="C794" t="str">
            <v>PLACA PR_PN-48 (CANALETA)</v>
          </cell>
          <cell r="D794">
            <v>7</v>
          </cell>
          <cell r="E794">
            <v>40</v>
          </cell>
          <cell r="F794">
            <v>24</v>
          </cell>
          <cell r="G794">
            <v>40</v>
          </cell>
          <cell r="H794">
            <v>0</v>
          </cell>
          <cell r="I794" t="str">
            <v>-</v>
          </cell>
          <cell r="J794" t="str">
            <v>680/670</v>
          </cell>
          <cell r="K794" t="str">
            <v xml:space="preserve">CPIII 40 RS </v>
          </cell>
          <cell r="L794" t="str">
            <v>CP V</v>
          </cell>
          <cell r="M794" t="str">
            <v>SUPER PLASTIFICANTE</v>
          </cell>
          <cell r="N794" t="str">
            <v>ETE - PROJETO SUCURIÚ - CLARIFICADOR PRIMARIO</v>
          </cell>
          <cell r="O794" t="str">
            <v>FORTANKS</v>
          </cell>
          <cell r="P794">
            <v>4</v>
          </cell>
          <cell r="Q794" t="str">
            <v>Gean</v>
          </cell>
          <cell r="R794">
            <v>45818</v>
          </cell>
          <cell r="S794">
            <v>0.63888888888888884</v>
          </cell>
          <cell r="T794">
            <v>0.62888888888888883</v>
          </cell>
          <cell r="U794" t="str">
            <v>X</v>
          </cell>
          <cell r="V794">
            <v>0.39583333333333331</v>
          </cell>
          <cell r="W794">
            <v>28.055999999999997</v>
          </cell>
          <cell r="X794">
            <v>29.591999999999999</v>
          </cell>
          <cell r="Y794">
            <v>0.39583333333333331</v>
          </cell>
          <cell r="Z794">
            <v>84.048000000000002</v>
          </cell>
          <cell r="AA794">
            <v>83.543999999999997</v>
          </cell>
          <cell r="AW794">
            <v>4</v>
          </cell>
          <cell r="AX794">
            <v>4</v>
          </cell>
          <cell r="AY794">
            <v>4</v>
          </cell>
          <cell r="AZ794">
            <v>4</v>
          </cell>
          <cell r="BA794" t="str">
            <v>FORTES ENGENHARIA</v>
          </cell>
          <cell r="BB794">
            <v>45819</v>
          </cell>
          <cell r="BD794" t="str">
            <v>qua</v>
          </cell>
          <cell r="BG794">
            <v>45818</v>
          </cell>
        </row>
        <row r="795">
          <cell r="A795">
            <v>1133</v>
          </cell>
          <cell r="B795">
            <v>755</v>
          </cell>
          <cell r="C795" t="str">
            <v>PLACA PN-228</v>
          </cell>
          <cell r="D795">
            <v>6</v>
          </cell>
          <cell r="E795">
            <v>40</v>
          </cell>
          <cell r="F795">
            <v>24</v>
          </cell>
          <cell r="G795">
            <v>40</v>
          </cell>
          <cell r="H795">
            <v>0</v>
          </cell>
          <cell r="I795" t="str">
            <v>-</v>
          </cell>
          <cell r="J795" t="str">
            <v>660/670</v>
          </cell>
          <cell r="K795" t="str">
            <v xml:space="preserve">CPIII 40 RS </v>
          </cell>
          <cell r="L795" t="str">
            <v>CP V</v>
          </cell>
          <cell r="M795" t="str">
            <v>SUPER PLASTIFICANTE</v>
          </cell>
          <cell r="N795" t="str">
            <v>ETE - PARQUE NOVO MUNDO (REATORES NEREDA)</v>
          </cell>
          <cell r="O795" t="str">
            <v>FORTANKS</v>
          </cell>
          <cell r="P795">
            <v>1</v>
          </cell>
          <cell r="Q795" t="str">
            <v>Gean</v>
          </cell>
          <cell r="R795">
            <v>45822</v>
          </cell>
          <cell r="S795">
            <v>0.3888888888888889</v>
          </cell>
          <cell r="T795">
            <v>0.37888888888888889</v>
          </cell>
          <cell r="U795" t="str">
            <v>X</v>
          </cell>
          <cell r="V795">
            <v>0.31944444444444442</v>
          </cell>
          <cell r="W795">
            <v>57.72</v>
          </cell>
          <cell r="X795">
            <v>60.827999999999996</v>
          </cell>
          <cell r="Y795">
            <v>0.41041666666666665</v>
          </cell>
          <cell r="Z795">
            <v>84.167999999999992</v>
          </cell>
          <cell r="AA795">
            <v>83.891999999999996</v>
          </cell>
          <cell r="AW795">
            <v>4</v>
          </cell>
          <cell r="AX795">
            <v>4</v>
          </cell>
          <cell r="AY795">
            <v>4</v>
          </cell>
          <cell r="AZ795">
            <v>4</v>
          </cell>
          <cell r="BA795" t="str">
            <v>CONSORCIO NOVA ETE - PARQUE NOVO MUNDO</v>
          </cell>
          <cell r="BB795">
            <v>45824</v>
          </cell>
          <cell r="BC795">
            <v>1</v>
          </cell>
          <cell r="BD795" t="str">
            <v>seg</v>
          </cell>
          <cell r="BG795">
            <v>45822</v>
          </cell>
        </row>
        <row r="796">
          <cell r="A796" t="str">
            <v>1133-A</v>
          </cell>
          <cell r="B796">
            <v>755</v>
          </cell>
          <cell r="C796" t="str">
            <v>PLACA PR_PN-49</v>
          </cell>
          <cell r="D796">
            <v>6</v>
          </cell>
          <cell r="E796">
            <v>40</v>
          </cell>
          <cell r="F796">
            <v>24</v>
          </cell>
          <cell r="G796">
            <v>40</v>
          </cell>
          <cell r="H796">
            <v>0</v>
          </cell>
          <cell r="I796" t="str">
            <v>-</v>
          </cell>
          <cell r="J796" t="str">
            <v>660/670</v>
          </cell>
          <cell r="K796" t="str">
            <v xml:space="preserve">CPIII 40 RS </v>
          </cell>
          <cell r="L796" t="str">
            <v>CP V</v>
          </cell>
          <cell r="M796" t="str">
            <v>SUPER PLASTIFICANTE</v>
          </cell>
          <cell r="N796" t="str">
            <v>ETE - PROJETO SUCURIÚ - CLARIFICADOR PRIMARIO</v>
          </cell>
          <cell r="O796" t="str">
            <v>FORTANKS</v>
          </cell>
          <cell r="P796">
            <v>1</v>
          </cell>
          <cell r="Q796" t="str">
            <v>Gean</v>
          </cell>
          <cell r="R796">
            <v>45822</v>
          </cell>
          <cell r="S796">
            <v>0.3888888888888889</v>
          </cell>
          <cell r="T796">
            <v>0.37888888888888889</v>
          </cell>
          <cell r="U796" t="str">
            <v>X</v>
          </cell>
          <cell r="V796">
            <v>0.31944444444444442</v>
          </cell>
          <cell r="W796">
            <v>57.72</v>
          </cell>
          <cell r="X796">
            <v>60.827999999999996</v>
          </cell>
          <cell r="Y796">
            <v>0.41041666666666665</v>
          </cell>
          <cell r="Z796">
            <v>84.167999999999992</v>
          </cell>
          <cell r="AA796">
            <v>83.891999999999996</v>
          </cell>
          <cell r="AW796">
            <v>4</v>
          </cell>
          <cell r="AX796">
            <v>4</v>
          </cell>
          <cell r="AY796">
            <v>4</v>
          </cell>
          <cell r="AZ796">
            <v>4</v>
          </cell>
          <cell r="BA796" t="str">
            <v>FORTES ENGENHARIA</v>
          </cell>
          <cell r="BB796">
            <v>45824</v>
          </cell>
          <cell r="BC796">
            <v>1</v>
          </cell>
          <cell r="BD796" t="str">
            <v>seg</v>
          </cell>
          <cell r="BG796">
            <v>45822</v>
          </cell>
        </row>
        <row r="797">
          <cell r="A797">
            <v>1134</v>
          </cell>
          <cell r="B797">
            <v>756</v>
          </cell>
          <cell r="C797" t="str">
            <v>PLACAS PE-211(Tipo 2) / PE-243(Tipo 2)</v>
          </cell>
          <cell r="D797">
            <v>7</v>
          </cell>
          <cell r="E797">
            <v>40</v>
          </cell>
          <cell r="F797">
            <v>24</v>
          </cell>
          <cell r="G797">
            <v>40</v>
          </cell>
          <cell r="H797">
            <v>0</v>
          </cell>
          <cell r="I797" t="str">
            <v>-</v>
          </cell>
          <cell r="J797" t="str">
            <v>670/680</v>
          </cell>
          <cell r="K797" t="str">
            <v xml:space="preserve">CPIII 40 RS </v>
          </cell>
          <cell r="L797" t="str">
            <v>CP V</v>
          </cell>
          <cell r="M797" t="str">
            <v>SUPER PLASTIFICANTE</v>
          </cell>
          <cell r="N797" t="str">
            <v>ETE - PARQUE NOVO MUNDO (REATORES NEREDA)</v>
          </cell>
          <cell r="O797" t="str">
            <v>FORTANKS</v>
          </cell>
          <cell r="P797">
            <v>2</v>
          </cell>
          <cell r="Q797" t="str">
            <v>Gean</v>
          </cell>
          <cell r="R797">
            <v>45822</v>
          </cell>
          <cell r="S797">
            <v>0.41666666666666669</v>
          </cell>
          <cell r="T797">
            <v>0.40666666666666668</v>
          </cell>
          <cell r="U797" t="str">
            <v>X</v>
          </cell>
          <cell r="V797">
            <v>0.32291666666666669</v>
          </cell>
          <cell r="W797">
            <v>52.847999999999999</v>
          </cell>
          <cell r="X797">
            <v>54.059999999999995</v>
          </cell>
          <cell r="Y797">
            <v>0.39583333333333331</v>
          </cell>
          <cell r="Z797">
            <v>84.408000000000001</v>
          </cell>
          <cell r="AA797">
            <v>85.007999999999996</v>
          </cell>
          <cell r="AW797">
            <v>4</v>
          </cell>
          <cell r="AX797">
            <v>4</v>
          </cell>
          <cell r="AY797">
            <v>4</v>
          </cell>
          <cell r="AZ797">
            <v>4</v>
          </cell>
          <cell r="BA797" t="str">
            <v>CONSORCIO NOVA ETE - PARQUE NOVO MUNDO</v>
          </cell>
          <cell r="BB797">
            <v>45824</v>
          </cell>
          <cell r="BC797">
            <v>1</v>
          </cell>
          <cell r="BD797" t="str">
            <v>seg</v>
          </cell>
          <cell r="BG797">
            <v>45822</v>
          </cell>
        </row>
        <row r="798">
          <cell r="A798">
            <v>1135</v>
          </cell>
          <cell r="B798">
            <v>757</v>
          </cell>
          <cell r="C798" t="str">
            <v>PLACAS PE-226(Tipo 4) / PE-242(Tipo 1)</v>
          </cell>
          <cell r="D798">
            <v>7</v>
          </cell>
          <cell r="E798">
            <v>40</v>
          </cell>
          <cell r="F798">
            <v>24</v>
          </cell>
          <cell r="G798">
            <v>40</v>
          </cell>
          <cell r="H798">
            <v>0</v>
          </cell>
          <cell r="I798" t="str">
            <v>-</v>
          </cell>
          <cell r="J798" t="str">
            <v>680/680</v>
          </cell>
          <cell r="K798" t="str">
            <v xml:space="preserve">CPIII 40 RS </v>
          </cell>
          <cell r="L798" t="str">
            <v>CP V</v>
          </cell>
          <cell r="M798" t="str">
            <v>SUPER PLASTIFICANTE</v>
          </cell>
          <cell r="N798" t="str">
            <v>ETE - PARQUE NOVO MUNDO (REATORES NEREDA)</v>
          </cell>
          <cell r="O798" t="str">
            <v>FORTANKS</v>
          </cell>
          <cell r="P798">
            <v>3</v>
          </cell>
          <cell r="Q798" t="str">
            <v>Gean</v>
          </cell>
          <cell r="R798">
            <v>45822</v>
          </cell>
          <cell r="S798">
            <v>0.45833333333333331</v>
          </cell>
          <cell r="T798">
            <v>0.44833333333333331</v>
          </cell>
          <cell r="U798" t="str">
            <v>X</v>
          </cell>
          <cell r="V798">
            <v>0.3263888888888889</v>
          </cell>
          <cell r="W798">
            <v>62.063999999999993</v>
          </cell>
          <cell r="X798">
            <v>61.775999999999996</v>
          </cell>
          <cell r="Y798">
            <v>0.40625</v>
          </cell>
          <cell r="Z798">
            <v>84.144000000000005</v>
          </cell>
          <cell r="AA798">
            <v>84.635999999999996</v>
          </cell>
          <cell r="AW798">
            <v>4</v>
          </cell>
          <cell r="AX798">
            <v>4</v>
          </cell>
          <cell r="AY798">
            <v>4</v>
          </cell>
          <cell r="AZ798">
            <v>4</v>
          </cell>
          <cell r="BA798" t="str">
            <v>CONSORCIO NOVA ETE - PARQUE NOVO MUNDO</v>
          </cell>
          <cell r="BB798">
            <v>45824</v>
          </cell>
          <cell r="BC798">
            <v>1</v>
          </cell>
          <cell r="BD798" t="str">
            <v>seg</v>
          </cell>
          <cell r="BG798">
            <v>45822</v>
          </cell>
        </row>
        <row r="799">
          <cell r="A799">
            <v>1136</v>
          </cell>
          <cell r="B799">
            <v>758</v>
          </cell>
          <cell r="C799" t="str">
            <v>PLACAS PE-195 (Tipo 4)  /   PE-241 (Tipo 3)</v>
          </cell>
          <cell r="D799">
            <v>7</v>
          </cell>
          <cell r="E799">
            <v>40</v>
          </cell>
          <cell r="F799">
            <v>24</v>
          </cell>
          <cell r="G799">
            <v>40</v>
          </cell>
          <cell r="H799">
            <v>0</v>
          </cell>
          <cell r="I799" t="str">
            <v>-</v>
          </cell>
          <cell r="J799" t="str">
            <v>670/700</v>
          </cell>
          <cell r="K799" t="str">
            <v xml:space="preserve">CPIII 40 RS </v>
          </cell>
          <cell r="L799" t="str">
            <v>CP V</v>
          </cell>
          <cell r="M799" t="str">
            <v>SUPER PLASTIFICANTE</v>
          </cell>
          <cell r="N799" t="str">
            <v>ETE - PARQUE NOVO MUNDO (REATORES NEREDA)</v>
          </cell>
          <cell r="O799" t="str">
            <v>FORTANKS</v>
          </cell>
          <cell r="P799">
            <v>4</v>
          </cell>
          <cell r="Q799" t="str">
            <v>Gean</v>
          </cell>
          <cell r="R799">
            <v>45822</v>
          </cell>
          <cell r="S799">
            <v>0.61805555555555558</v>
          </cell>
          <cell r="T799">
            <v>0.60805555555555557</v>
          </cell>
          <cell r="U799" t="str">
            <v>X</v>
          </cell>
          <cell r="V799">
            <v>0.3298611111111111</v>
          </cell>
          <cell r="W799">
            <v>49.463999999999999</v>
          </cell>
          <cell r="X799">
            <v>51.072000000000003</v>
          </cell>
          <cell r="Y799">
            <v>0.41666666666666669</v>
          </cell>
          <cell r="Z799">
            <v>77.867999999999995</v>
          </cell>
          <cell r="AA799">
            <v>82.02</v>
          </cell>
          <cell r="AW799">
            <v>4</v>
          </cell>
          <cell r="AX799">
            <v>4</v>
          </cell>
          <cell r="AY799">
            <v>4</v>
          </cell>
          <cell r="AZ799">
            <v>4</v>
          </cell>
          <cell r="BA799" t="str">
            <v>CONSORCIO NOVA ETE - PARQUE NOVO MUNDO</v>
          </cell>
          <cell r="BB799">
            <v>45824</v>
          </cell>
          <cell r="BC799">
            <v>1</v>
          </cell>
          <cell r="BD799" t="str">
            <v>seg</v>
          </cell>
          <cell r="BG799">
            <v>45822</v>
          </cell>
        </row>
        <row r="800">
          <cell r="A800" t="str">
            <v>1136-A</v>
          </cell>
          <cell r="B800">
            <v>758</v>
          </cell>
          <cell r="C800" t="str">
            <v>PLACA PR_PN-49 (CANALETA)</v>
          </cell>
          <cell r="D800">
            <v>7</v>
          </cell>
          <cell r="E800">
            <v>40</v>
          </cell>
          <cell r="F800">
            <v>24</v>
          </cell>
          <cell r="G800">
            <v>40</v>
          </cell>
          <cell r="H800">
            <v>0</v>
          </cell>
          <cell r="I800" t="str">
            <v>-</v>
          </cell>
          <cell r="J800" t="str">
            <v>670/700</v>
          </cell>
          <cell r="K800" t="str">
            <v xml:space="preserve">CPIII 40 RS </v>
          </cell>
          <cell r="L800" t="str">
            <v>CP V</v>
          </cell>
          <cell r="M800" t="str">
            <v>SUPER PLASTIFICANTE</v>
          </cell>
          <cell r="N800" t="str">
            <v>ETE - PROJETO SUCURIÚ - CLARIFICADOR PRIMARIO</v>
          </cell>
          <cell r="O800" t="str">
            <v>FORTANKS</v>
          </cell>
          <cell r="P800">
            <v>4</v>
          </cell>
          <cell r="Q800" t="str">
            <v>Gean</v>
          </cell>
          <cell r="R800">
            <v>45822</v>
          </cell>
          <cell r="S800">
            <v>0.61805555555555558</v>
          </cell>
          <cell r="T800">
            <v>0.60805555555555557</v>
          </cell>
          <cell r="U800" t="str">
            <v>X</v>
          </cell>
          <cell r="V800">
            <v>0.3298611111111111</v>
          </cell>
          <cell r="W800">
            <v>49.463999999999999</v>
          </cell>
          <cell r="X800">
            <v>51.072000000000003</v>
          </cell>
          <cell r="Y800">
            <v>0.41666666666666669</v>
          </cell>
          <cell r="Z800">
            <v>77.867999999999995</v>
          </cell>
          <cell r="AA800">
            <v>82.02</v>
          </cell>
          <cell r="AW800">
            <v>4</v>
          </cell>
          <cell r="AX800">
            <v>4</v>
          </cell>
          <cell r="AY800">
            <v>4</v>
          </cell>
          <cell r="AZ800">
            <v>4</v>
          </cell>
          <cell r="BA800" t="str">
            <v>FORTES ENGENHARIA</v>
          </cell>
          <cell r="BB800">
            <v>45824</v>
          </cell>
          <cell r="BC800">
            <v>1</v>
          </cell>
          <cell r="BD800" t="str">
            <v>seg</v>
          </cell>
          <cell r="BG800">
            <v>45822</v>
          </cell>
        </row>
        <row r="801">
          <cell r="A801">
            <v>1137</v>
          </cell>
          <cell r="B801">
            <v>759</v>
          </cell>
          <cell r="C801" t="str">
            <v>PLACA PR_PF-95</v>
          </cell>
          <cell r="D801">
            <v>3.5</v>
          </cell>
          <cell r="E801">
            <v>40</v>
          </cell>
          <cell r="F801">
            <v>24</v>
          </cell>
          <cell r="G801">
            <v>40</v>
          </cell>
          <cell r="H801">
            <v>0</v>
          </cell>
          <cell r="I801" t="str">
            <v>-</v>
          </cell>
          <cell r="J801" t="str">
            <v>670/660</v>
          </cell>
          <cell r="K801" t="str">
            <v xml:space="preserve">CPIII 40 RS </v>
          </cell>
          <cell r="L801" t="str">
            <v>CP V</v>
          </cell>
          <cell r="M801" t="str">
            <v>SUPER PLASTIFICANTE</v>
          </cell>
          <cell r="N801" t="str">
            <v>ETE - PROJETO SUCURIÚ - CLARIFICADOR PRIMARIO</v>
          </cell>
          <cell r="O801" t="str">
            <v>FORTANKS</v>
          </cell>
          <cell r="P801">
            <v>1</v>
          </cell>
          <cell r="Q801" t="str">
            <v>Gean</v>
          </cell>
          <cell r="R801">
            <v>45825</v>
          </cell>
          <cell r="S801">
            <v>0.41666666666666669</v>
          </cell>
          <cell r="T801">
            <v>0.40666666666666668</v>
          </cell>
          <cell r="U801" t="str">
            <v>X</v>
          </cell>
          <cell r="V801">
            <v>0.33333333333333331</v>
          </cell>
          <cell r="W801">
            <v>32.207999999999998</v>
          </cell>
          <cell r="X801">
            <v>31.895999999999997</v>
          </cell>
          <cell r="Y801">
            <v>0.41666666666666669</v>
          </cell>
          <cell r="Z801">
            <v>81.455999999999989</v>
          </cell>
          <cell r="AA801">
            <v>82.02</v>
          </cell>
          <cell r="AW801">
            <v>4</v>
          </cell>
          <cell r="AX801">
            <v>4</v>
          </cell>
          <cell r="AY801">
            <v>4</v>
          </cell>
          <cell r="AZ801">
            <v>4</v>
          </cell>
          <cell r="BA801" t="str">
            <v>FORTES ENGENHARIA</v>
          </cell>
          <cell r="BB801">
            <v>45826</v>
          </cell>
          <cell r="BD801" t="str">
            <v>qua</v>
          </cell>
          <cell r="BG801">
            <v>45825</v>
          </cell>
        </row>
        <row r="802">
          <cell r="A802">
            <v>1138</v>
          </cell>
          <cell r="B802">
            <v>760</v>
          </cell>
          <cell r="C802" t="str">
            <v>PLACA PF-94</v>
          </cell>
          <cell r="D802">
            <v>7</v>
          </cell>
          <cell r="E802">
            <v>40</v>
          </cell>
          <cell r="F802">
            <v>24</v>
          </cell>
          <cell r="G802">
            <v>40</v>
          </cell>
          <cell r="H802">
            <v>0</v>
          </cell>
          <cell r="I802" t="str">
            <v>-</v>
          </cell>
          <cell r="J802" t="str">
            <v>650/660</v>
          </cell>
          <cell r="K802" t="str">
            <v xml:space="preserve">CPIII 40 RS </v>
          </cell>
          <cell r="L802" t="str">
            <v>CP V</v>
          </cell>
          <cell r="M802" t="str">
            <v>SUPER PLASTIFICANTE</v>
          </cell>
          <cell r="N802" t="str">
            <v>ETE - PARQUE NOVO MUNDO (REATORES NEREDA)</v>
          </cell>
          <cell r="O802" t="str">
            <v>FORTANKS</v>
          </cell>
          <cell r="P802">
            <v>2</v>
          </cell>
          <cell r="Q802" t="str">
            <v>Gean</v>
          </cell>
          <cell r="R802">
            <v>45825</v>
          </cell>
          <cell r="S802">
            <v>0.54166666666666663</v>
          </cell>
          <cell r="T802">
            <v>0.53166666666666662</v>
          </cell>
          <cell r="U802" t="str">
            <v>X</v>
          </cell>
          <cell r="V802">
            <v>0.3125</v>
          </cell>
          <cell r="W802">
            <v>26.315999999999999</v>
          </cell>
          <cell r="X802">
            <v>26.171999999999997</v>
          </cell>
          <cell r="Y802">
            <v>0.41666666666666669</v>
          </cell>
          <cell r="Z802">
            <v>78.335999999999999</v>
          </cell>
          <cell r="AA802">
            <v>81.587999999999994</v>
          </cell>
          <cell r="AW802">
            <v>4</v>
          </cell>
          <cell r="AX802">
            <v>4</v>
          </cell>
          <cell r="AY802">
            <v>4</v>
          </cell>
          <cell r="AZ802">
            <v>4</v>
          </cell>
          <cell r="BA802" t="str">
            <v>CONSORCIO NOVA ETE - PARQUE NOVO MUNDO</v>
          </cell>
          <cell r="BB802">
            <v>45826</v>
          </cell>
          <cell r="BD802" t="str">
            <v>qua</v>
          </cell>
          <cell r="BG802">
            <v>45825</v>
          </cell>
        </row>
        <row r="803">
          <cell r="A803" t="str">
            <v>1138-A</v>
          </cell>
          <cell r="B803">
            <v>760</v>
          </cell>
          <cell r="C803" t="str">
            <v>PLACA PR_PF-95 (CANALETA)</v>
          </cell>
          <cell r="D803">
            <v>7</v>
          </cell>
          <cell r="E803">
            <v>40</v>
          </cell>
          <cell r="F803">
            <v>24</v>
          </cell>
          <cell r="G803">
            <v>40</v>
          </cell>
          <cell r="H803">
            <v>0</v>
          </cell>
          <cell r="I803" t="str">
            <v>-</v>
          </cell>
          <cell r="J803" t="str">
            <v>650/650</v>
          </cell>
          <cell r="K803" t="str">
            <v xml:space="preserve">CPIII 40 RS </v>
          </cell>
          <cell r="L803" t="str">
            <v>CP V</v>
          </cell>
          <cell r="M803" t="str">
            <v>SUPER PLASTIFICANTE</v>
          </cell>
          <cell r="N803" t="str">
            <v>ETE - PROJETO SUCURIÚ - CLARIFICADOR PRIMARIO</v>
          </cell>
          <cell r="O803" t="str">
            <v>FORTANKS</v>
          </cell>
          <cell r="P803">
            <v>3</v>
          </cell>
          <cell r="Q803" t="str">
            <v>Gean</v>
          </cell>
          <cell r="R803">
            <v>45825</v>
          </cell>
          <cell r="S803">
            <v>0.54166666666666663</v>
          </cell>
          <cell r="T803">
            <v>0.53166666666666662</v>
          </cell>
          <cell r="U803" t="str">
            <v>X</v>
          </cell>
          <cell r="V803">
            <v>0.3125</v>
          </cell>
          <cell r="W803">
            <v>26.32</v>
          </cell>
          <cell r="X803">
            <v>26.17</v>
          </cell>
          <cell r="Y803">
            <v>0.41666666666666669</v>
          </cell>
          <cell r="Z803">
            <v>78.34</v>
          </cell>
          <cell r="AA803">
            <v>81.58</v>
          </cell>
          <cell r="AW803">
            <v>4</v>
          </cell>
          <cell r="AX803">
            <v>4</v>
          </cell>
          <cell r="AY803">
            <v>4</v>
          </cell>
          <cell r="AZ803">
            <v>4</v>
          </cell>
          <cell r="BA803" t="str">
            <v>FORTES ENGENHARIA</v>
          </cell>
          <cell r="BB803">
            <v>45826</v>
          </cell>
          <cell r="BD803" t="str">
            <v>qua</v>
          </cell>
          <cell r="BG803">
            <v>45825</v>
          </cell>
        </row>
        <row r="804">
          <cell r="A804">
            <v>1139</v>
          </cell>
          <cell r="B804">
            <v>761</v>
          </cell>
          <cell r="C804" t="str">
            <v>PLACA PN-234</v>
          </cell>
          <cell r="D804">
            <v>6</v>
          </cell>
          <cell r="E804">
            <v>40</v>
          </cell>
          <cell r="F804">
            <v>24</v>
          </cell>
          <cell r="G804">
            <v>40</v>
          </cell>
          <cell r="H804">
            <v>0</v>
          </cell>
          <cell r="I804" t="str">
            <v>-</v>
          </cell>
          <cell r="J804" t="str">
            <v>650/650</v>
          </cell>
          <cell r="K804" t="str">
            <v xml:space="preserve">CPIII 40 RS </v>
          </cell>
          <cell r="L804" t="str">
            <v>CP V</v>
          </cell>
          <cell r="M804" t="str">
            <v>SUPER PLASTIFICANTE</v>
          </cell>
          <cell r="N804" t="str">
            <v>ETE - PARQUE NOVO MUNDO (REATORES NEREDA)</v>
          </cell>
          <cell r="O804" t="str">
            <v>FORTANKS</v>
          </cell>
          <cell r="P804">
            <v>1</v>
          </cell>
          <cell r="Q804" t="str">
            <v>Gean</v>
          </cell>
          <cell r="R804">
            <v>45827</v>
          </cell>
          <cell r="S804">
            <v>0.3888888888888889</v>
          </cell>
          <cell r="T804">
            <v>0.37888888888888889</v>
          </cell>
          <cell r="U804" t="str">
            <v>X</v>
          </cell>
          <cell r="V804">
            <v>0.3125</v>
          </cell>
          <cell r="W804">
            <v>31.955999999999996</v>
          </cell>
          <cell r="X804">
            <v>31.536000000000001</v>
          </cell>
          <cell r="Y804">
            <v>0.41666666666666669</v>
          </cell>
          <cell r="Z804">
            <v>84.18</v>
          </cell>
          <cell r="AA804">
            <v>85.655999999999992</v>
          </cell>
          <cell r="AW804">
            <v>4</v>
          </cell>
          <cell r="AX804">
            <v>4</v>
          </cell>
          <cell r="AY804">
            <v>4</v>
          </cell>
          <cell r="AZ804">
            <v>4</v>
          </cell>
          <cell r="BA804" t="str">
            <v>CONSORCIO NOVA ETE - PARQUE NOVO MUNDO</v>
          </cell>
          <cell r="BB804">
            <v>45828</v>
          </cell>
          <cell r="BD804" t="str">
            <v>sex</v>
          </cell>
          <cell r="BG804">
            <v>45827</v>
          </cell>
        </row>
        <row r="805">
          <cell r="A805">
            <v>1139</v>
          </cell>
          <cell r="B805">
            <v>761</v>
          </cell>
          <cell r="C805" t="str">
            <v>PLACA PR-PN-50</v>
          </cell>
          <cell r="D805">
            <v>6</v>
          </cell>
          <cell r="E805">
            <v>40</v>
          </cell>
          <cell r="F805">
            <v>24</v>
          </cell>
          <cell r="G805">
            <v>40</v>
          </cell>
          <cell r="H805">
            <v>0</v>
          </cell>
          <cell r="I805" t="str">
            <v>-</v>
          </cell>
          <cell r="J805" t="str">
            <v>650/650</v>
          </cell>
          <cell r="K805" t="str">
            <v xml:space="preserve">CPIII 40 RS </v>
          </cell>
          <cell r="L805" t="str">
            <v>CP V</v>
          </cell>
          <cell r="M805" t="str">
            <v>SUPER PLASTIFICANTE</v>
          </cell>
          <cell r="N805" t="str">
            <v>ETE - PROJETO SUCURIÚ - CLARIFICADOR PRIMARIO</v>
          </cell>
          <cell r="O805" t="str">
            <v>FORTANKS</v>
          </cell>
          <cell r="P805">
            <v>1</v>
          </cell>
          <cell r="Q805" t="str">
            <v>Gean</v>
          </cell>
          <cell r="R805">
            <v>45827</v>
          </cell>
          <cell r="S805">
            <v>0.3888888888888889</v>
          </cell>
          <cell r="T805">
            <v>0.37888888888888889</v>
          </cell>
          <cell r="U805" t="str">
            <v>X</v>
          </cell>
          <cell r="V805">
            <v>0.3125</v>
          </cell>
          <cell r="W805">
            <v>31.955999999999996</v>
          </cell>
          <cell r="X805">
            <v>31.536000000000001</v>
          </cell>
          <cell r="Y805">
            <v>0.41666666666666669</v>
          </cell>
          <cell r="Z805">
            <v>84.18</v>
          </cell>
          <cell r="AA805">
            <v>85.655999999999992</v>
          </cell>
          <cell r="AW805">
            <v>4</v>
          </cell>
          <cell r="AX805">
            <v>4</v>
          </cell>
          <cell r="AY805">
            <v>4</v>
          </cell>
          <cell r="AZ805">
            <v>4</v>
          </cell>
          <cell r="BA805" t="str">
            <v>FORTES ENGENHARIA</v>
          </cell>
          <cell r="BB805">
            <v>45828</v>
          </cell>
          <cell r="BD805" t="str">
            <v>sex</v>
          </cell>
          <cell r="BG805">
            <v>45827</v>
          </cell>
        </row>
        <row r="806">
          <cell r="A806">
            <v>1140</v>
          </cell>
          <cell r="B806">
            <v>762</v>
          </cell>
          <cell r="C806" t="str">
            <v>PLACAS PN-232 / PN-233</v>
          </cell>
          <cell r="D806">
            <v>7</v>
          </cell>
          <cell r="E806">
            <v>40</v>
          </cell>
          <cell r="F806">
            <v>24</v>
          </cell>
          <cell r="G806">
            <v>40</v>
          </cell>
          <cell r="H806">
            <v>0</v>
          </cell>
          <cell r="I806" t="str">
            <v>-</v>
          </cell>
          <cell r="J806" t="str">
            <v>650/660</v>
          </cell>
          <cell r="K806" t="str">
            <v xml:space="preserve">CPIII 40 RS </v>
          </cell>
          <cell r="L806" t="str">
            <v>CP V</v>
          </cell>
          <cell r="M806" t="str">
            <v>SUPER PLASTIFICANTE</v>
          </cell>
          <cell r="N806" t="str">
            <v>ETE - PARQUE NOVO MUNDO (REATORES NEREDA)</v>
          </cell>
          <cell r="O806" t="str">
            <v>FORTANKS</v>
          </cell>
          <cell r="P806">
            <v>2</v>
          </cell>
          <cell r="Q806" t="str">
            <v>Gean</v>
          </cell>
          <cell r="R806">
            <v>45827</v>
          </cell>
          <cell r="S806">
            <v>0.40972222222222221</v>
          </cell>
          <cell r="T806">
            <v>0.3997222222222222</v>
          </cell>
          <cell r="U806" t="str">
            <v>X</v>
          </cell>
          <cell r="V806">
            <v>0.31597222222222221</v>
          </cell>
          <cell r="W806">
            <v>32.687999999999995</v>
          </cell>
          <cell r="X806">
            <v>31.367999999999999</v>
          </cell>
          <cell r="Y806">
            <v>0.41666666666666669</v>
          </cell>
          <cell r="Z806">
            <v>83.268000000000001</v>
          </cell>
          <cell r="AA806">
            <v>82.164000000000001</v>
          </cell>
          <cell r="AW806">
            <v>4</v>
          </cell>
          <cell r="AX806">
            <v>4</v>
          </cell>
          <cell r="AY806">
            <v>4</v>
          </cell>
          <cell r="AZ806">
            <v>4</v>
          </cell>
          <cell r="BA806" t="str">
            <v>CONSORCIO NOVA ETE - PARQUE NOVO MUNDO</v>
          </cell>
          <cell r="BB806">
            <v>45828</v>
          </cell>
          <cell r="BD806" t="str">
            <v>sex</v>
          </cell>
          <cell r="BG806">
            <v>45827</v>
          </cell>
        </row>
        <row r="807">
          <cell r="A807">
            <v>1141</v>
          </cell>
          <cell r="B807">
            <v>763</v>
          </cell>
          <cell r="C807" t="str">
            <v>PLACAS PE-257(Tipo 4) / PN-231</v>
          </cell>
          <cell r="D807">
            <v>7</v>
          </cell>
          <cell r="E807">
            <v>40</v>
          </cell>
          <cell r="F807">
            <v>24</v>
          </cell>
          <cell r="G807">
            <v>40</v>
          </cell>
          <cell r="H807">
            <v>0</v>
          </cell>
          <cell r="I807" t="str">
            <v>-</v>
          </cell>
          <cell r="J807" t="str">
            <v>650/650</v>
          </cell>
          <cell r="K807" t="str">
            <v xml:space="preserve">CPIII 40 RS </v>
          </cell>
          <cell r="L807" t="str">
            <v>CP V</v>
          </cell>
          <cell r="M807" t="str">
            <v>SUPER PLASTIFICANTE</v>
          </cell>
          <cell r="N807" t="str">
            <v>ETE - PARQUE NOVO MUNDO (REATORES NEREDA)</v>
          </cell>
          <cell r="O807" t="str">
            <v>FORTANKS</v>
          </cell>
          <cell r="P807">
            <v>3</v>
          </cell>
          <cell r="Q807" t="str">
            <v>Gean</v>
          </cell>
          <cell r="R807">
            <v>45827</v>
          </cell>
          <cell r="S807">
            <v>0.44097222222222221</v>
          </cell>
          <cell r="T807">
            <v>0.4309722222222222</v>
          </cell>
          <cell r="U807" t="str">
            <v>X</v>
          </cell>
          <cell r="V807">
            <v>0.31944444444444442</v>
          </cell>
          <cell r="W807">
            <v>31.655999999999999</v>
          </cell>
          <cell r="X807">
            <v>30.24</v>
          </cell>
          <cell r="Y807">
            <v>0.41666666666666669</v>
          </cell>
          <cell r="Z807">
            <v>83.987999999999985</v>
          </cell>
          <cell r="AA807">
            <v>84.18</v>
          </cell>
          <cell r="AW807">
            <v>4</v>
          </cell>
          <cell r="AX807">
            <v>4</v>
          </cell>
          <cell r="AY807">
            <v>4</v>
          </cell>
          <cell r="AZ807">
            <v>4</v>
          </cell>
          <cell r="BA807" t="str">
            <v>CONSORCIO NOVA ETE - PARQUE NOVO MUNDO</v>
          </cell>
          <cell r="BB807">
            <v>45828</v>
          </cell>
          <cell r="BD807" t="str">
            <v>sex</v>
          </cell>
          <cell r="BG807">
            <v>45827</v>
          </cell>
        </row>
        <row r="808">
          <cell r="A808">
            <v>1142</v>
          </cell>
          <cell r="B808">
            <v>764</v>
          </cell>
          <cell r="C808" t="str">
            <v xml:space="preserve">PLACAS PN-229 / PN-230 </v>
          </cell>
          <cell r="D808">
            <v>7</v>
          </cell>
          <cell r="E808">
            <v>40</v>
          </cell>
          <cell r="F808">
            <v>24</v>
          </cell>
          <cell r="G808">
            <v>40</v>
          </cell>
          <cell r="H808">
            <v>0</v>
          </cell>
          <cell r="I808" t="str">
            <v>-</v>
          </cell>
          <cell r="J808" t="str">
            <v>650/660</v>
          </cell>
          <cell r="K808" t="str">
            <v xml:space="preserve">CPIII 40 RS </v>
          </cell>
          <cell r="L808" t="str">
            <v>CP V</v>
          </cell>
          <cell r="M808" t="str">
            <v>SUPER PLASTIFICANTE</v>
          </cell>
          <cell r="N808" t="str">
            <v>ETE - PARQUE NOVO MUNDO (REATORES NEREDA)</v>
          </cell>
          <cell r="O808" t="str">
            <v>FORTANKS</v>
          </cell>
          <cell r="P808">
            <v>4</v>
          </cell>
          <cell r="Q808" t="str">
            <v>Gean</v>
          </cell>
          <cell r="R808">
            <v>45827</v>
          </cell>
          <cell r="S808">
            <v>0.47222222222222221</v>
          </cell>
          <cell r="T808">
            <v>0.4622222222222222</v>
          </cell>
          <cell r="U808" t="str">
            <v>X</v>
          </cell>
          <cell r="V808">
            <v>0.32291666666666669</v>
          </cell>
          <cell r="W808">
            <v>32.555999999999997</v>
          </cell>
          <cell r="X808">
            <v>33.167999999999999</v>
          </cell>
          <cell r="Y808">
            <v>0.43402777777777779</v>
          </cell>
          <cell r="Z808">
            <v>84.671999999999997</v>
          </cell>
          <cell r="AA808">
            <v>83.567999999999998</v>
          </cell>
          <cell r="AW808">
            <v>4</v>
          </cell>
          <cell r="AX808">
            <v>4</v>
          </cell>
          <cell r="AY808">
            <v>4</v>
          </cell>
          <cell r="AZ808">
            <v>4</v>
          </cell>
          <cell r="BA808" t="str">
            <v>CONSORCIO NOVA ETE - PARQUE NOVO MUNDO</v>
          </cell>
          <cell r="BB808">
            <v>45828</v>
          </cell>
          <cell r="BD808" t="str">
            <v>sex</v>
          </cell>
          <cell r="BG808">
            <v>45827</v>
          </cell>
        </row>
        <row r="809">
          <cell r="A809">
            <v>1143</v>
          </cell>
          <cell r="B809">
            <v>765</v>
          </cell>
          <cell r="C809" t="str">
            <v>PLACA PR-PN-50 (CANALETA)</v>
          </cell>
          <cell r="D809">
            <v>1</v>
          </cell>
          <cell r="E809">
            <v>40</v>
          </cell>
          <cell r="F809">
            <v>24</v>
          </cell>
          <cell r="G809">
            <v>40</v>
          </cell>
          <cell r="H809">
            <v>0</v>
          </cell>
          <cell r="I809" t="str">
            <v>-</v>
          </cell>
          <cell r="J809" t="str">
            <v>650/650</v>
          </cell>
          <cell r="K809" t="str">
            <v xml:space="preserve">CPIII 40 RS </v>
          </cell>
          <cell r="L809" t="str">
            <v>CP V</v>
          </cell>
          <cell r="M809" t="str">
            <v>SUPER PLASTIFICANTE</v>
          </cell>
          <cell r="N809" t="str">
            <v>ETE - PROJETO SUCURIÚ - CLARIFICADOR PRIMARIO</v>
          </cell>
          <cell r="O809" t="str">
            <v>FORTANKS</v>
          </cell>
          <cell r="P809">
            <v>5</v>
          </cell>
          <cell r="Q809" t="str">
            <v>Gean</v>
          </cell>
          <cell r="R809">
            <v>45827</v>
          </cell>
          <cell r="S809">
            <v>0.70833333333333337</v>
          </cell>
          <cell r="T809">
            <v>0.69833333333333336</v>
          </cell>
          <cell r="U809" t="str">
            <v>X</v>
          </cell>
          <cell r="V809">
            <v>0.3263888888888889</v>
          </cell>
          <cell r="W809">
            <v>26.495999999999999</v>
          </cell>
          <cell r="X809">
            <v>24.504000000000001</v>
          </cell>
          <cell r="Y809">
            <v>0.4201388888888889</v>
          </cell>
          <cell r="Z809">
            <v>84.912000000000006</v>
          </cell>
          <cell r="AA809">
            <v>83.219999999999985</v>
          </cell>
          <cell r="AW809">
            <v>4</v>
          </cell>
          <cell r="AX809">
            <v>4</v>
          </cell>
          <cell r="AY809">
            <v>4</v>
          </cell>
          <cell r="AZ809">
            <v>4</v>
          </cell>
          <cell r="BA809" t="str">
            <v>FORTES ENGENHARIA</v>
          </cell>
          <cell r="BB809">
            <v>45828</v>
          </cell>
          <cell r="BD809" t="str">
            <v>sex</v>
          </cell>
          <cell r="BG809">
            <v>45827</v>
          </cell>
        </row>
        <row r="810">
          <cell r="A810">
            <v>1144</v>
          </cell>
          <cell r="B810">
            <v>766</v>
          </cell>
          <cell r="C810" t="str">
            <v>PLACAS PR-PN-54 / PR-PN-55 / PR-PN-56/ PR-PN-58 (50%)</v>
          </cell>
          <cell r="D810">
            <v>7.5</v>
          </cell>
          <cell r="E810">
            <v>40</v>
          </cell>
          <cell r="F810">
            <v>24</v>
          </cell>
          <cell r="G810">
            <v>40</v>
          </cell>
          <cell r="H810">
            <v>0</v>
          </cell>
          <cell r="I810" t="str">
            <v>-</v>
          </cell>
          <cell r="J810" t="str">
            <v>650/650</v>
          </cell>
          <cell r="K810" t="str">
            <v xml:space="preserve">CPIII 40 RS </v>
          </cell>
          <cell r="L810" t="str">
            <v>CP V</v>
          </cell>
          <cell r="M810" t="str">
            <v>SUPER PLASTIFICANTE</v>
          </cell>
          <cell r="N810" t="str">
            <v>ETE - PROJETO SUCURIÚ - CLARIFICADOR PRIMARIO</v>
          </cell>
          <cell r="O810" t="str">
            <v>FORTANKS</v>
          </cell>
          <cell r="P810">
            <v>1</v>
          </cell>
          <cell r="Q810" t="str">
            <v>Gean</v>
          </cell>
          <cell r="R810">
            <v>45828</v>
          </cell>
          <cell r="S810">
            <v>0.4375</v>
          </cell>
          <cell r="T810">
            <v>0.42749999999999999</v>
          </cell>
          <cell r="U810" t="str">
            <v>X</v>
          </cell>
          <cell r="V810">
            <v>0.29166666666666669</v>
          </cell>
          <cell r="W810">
            <v>62.879999999999995</v>
          </cell>
          <cell r="X810">
            <v>62.243999999999993</v>
          </cell>
          <cell r="Y810">
            <v>0.4236111111111111</v>
          </cell>
          <cell r="Z810">
            <v>80.304000000000002</v>
          </cell>
          <cell r="AA810">
            <v>80.772000000000006</v>
          </cell>
          <cell r="AW810">
            <v>4</v>
          </cell>
          <cell r="AX810">
            <v>4</v>
          </cell>
          <cell r="AY810">
            <v>4</v>
          </cell>
          <cell r="AZ810">
            <v>4</v>
          </cell>
          <cell r="BA810" t="str">
            <v>FORTES ENGENHARIA</v>
          </cell>
          <cell r="BB810">
            <v>45831</v>
          </cell>
          <cell r="BC810">
            <v>2</v>
          </cell>
          <cell r="BD810" t="str">
            <v>seg</v>
          </cell>
          <cell r="BG810">
            <v>45828</v>
          </cell>
        </row>
        <row r="811">
          <cell r="A811">
            <v>1145</v>
          </cell>
          <cell r="B811">
            <v>767</v>
          </cell>
          <cell r="C811" t="str">
            <v>PLACAS PR-PN-58(50%) / PR-PN-59 / PR-PN-60 / PR-PNI-07</v>
          </cell>
          <cell r="D811">
            <v>7.5</v>
          </cell>
          <cell r="E811">
            <v>40</v>
          </cell>
          <cell r="F811">
            <v>24</v>
          </cell>
          <cell r="G811">
            <v>40</v>
          </cell>
          <cell r="H811">
            <v>0</v>
          </cell>
          <cell r="I811" t="str">
            <v>-</v>
          </cell>
          <cell r="J811" t="str">
            <v>660/650</v>
          </cell>
          <cell r="K811" t="str">
            <v xml:space="preserve">CPIII 40 RS </v>
          </cell>
          <cell r="L811" t="str">
            <v>CP V</v>
          </cell>
          <cell r="M811" t="str">
            <v>SUPER PLASTIFICANTE</v>
          </cell>
          <cell r="N811" t="str">
            <v>ETE - PROJETO SUCURIÚ - CLARIFICADOR PRIMARIO</v>
          </cell>
          <cell r="O811" t="str">
            <v>FORTANKS</v>
          </cell>
          <cell r="P811">
            <v>2</v>
          </cell>
          <cell r="Q811" t="str">
            <v>Gean</v>
          </cell>
          <cell r="R811">
            <v>45828</v>
          </cell>
          <cell r="S811">
            <v>0.47222222222222221</v>
          </cell>
          <cell r="T811">
            <v>0.4622222222222222</v>
          </cell>
          <cell r="U811" t="str">
            <v>X</v>
          </cell>
          <cell r="V811">
            <v>0.30555555555555558</v>
          </cell>
          <cell r="W811">
            <v>56.747999999999998</v>
          </cell>
          <cell r="X811">
            <v>58.283999999999999</v>
          </cell>
          <cell r="Y811">
            <v>0.43055555555555558</v>
          </cell>
          <cell r="Z811">
            <v>82.811999999999998</v>
          </cell>
          <cell r="AA811">
            <v>82.655999999999992</v>
          </cell>
          <cell r="AW811">
            <v>4</v>
          </cell>
          <cell r="AX811">
            <v>4</v>
          </cell>
          <cell r="AY811">
            <v>4</v>
          </cell>
          <cell r="AZ811">
            <v>4</v>
          </cell>
          <cell r="BA811" t="str">
            <v>FORTES ENGENHARIA</v>
          </cell>
          <cell r="BB811">
            <v>45831</v>
          </cell>
          <cell r="BC811">
            <v>2</v>
          </cell>
          <cell r="BD811" t="str">
            <v>seg</v>
          </cell>
          <cell r="BG811">
            <v>45828</v>
          </cell>
        </row>
        <row r="812">
          <cell r="A812">
            <v>1146</v>
          </cell>
          <cell r="B812">
            <v>768</v>
          </cell>
          <cell r="C812" t="str">
            <v xml:space="preserve">PLACAS PR-PN-61 / PR-PNI-13 / PR-PNI-19 / PR-PN-52(80%) </v>
          </cell>
          <cell r="D812">
            <v>7.5</v>
          </cell>
          <cell r="E812">
            <v>40</v>
          </cell>
          <cell r="F812">
            <v>24</v>
          </cell>
          <cell r="G812">
            <v>40</v>
          </cell>
          <cell r="H812">
            <v>0</v>
          </cell>
          <cell r="I812" t="str">
            <v>-</v>
          </cell>
          <cell r="J812" t="str">
            <v>650/670</v>
          </cell>
          <cell r="K812" t="str">
            <v xml:space="preserve">CPIII 40 RS </v>
          </cell>
          <cell r="L812" t="str">
            <v>CP V</v>
          </cell>
          <cell r="M812" t="str">
            <v>SUPER PLASTIFICANTE</v>
          </cell>
          <cell r="N812" t="str">
            <v>ETE - PROJETO SUCURIÚ - CLARIFICADOR PRIMARIO</v>
          </cell>
          <cell r="O812" t="str">
            <v>FORTANKS</v>
          </cell>
          <cell r="P812">
            <v>3</v>
          </cell>
          <cell r="Q812" t="str">
            <v>Gean</v>
          </cell>
          <cell r="R812">
            <v>45828</v>
          </cell>
          <cell r="S812">
            <v>0.5</v>
          </cell>
          <cell r="T812">
            <v>0.49</v>
          </cell>
          <cell r="U812" t="str">
            <v>X</v>
          </cell>
          <cell r="V812">
            <v>0.3125</v>
          </cell>
          <cell r="W812">
            <v>61.884</v>
          </cell>
          <cell r="X812">
            <v>60.9</v>
          </cell>
          <cell r="Y812">
            <v>0.42708333333333331</v>
          </cell>
          <cell r="Z812">
            <v>85.475999999999999</v>
          </cell>
          <cell r="AA812">
            <v>85.176000000000002</v>
          </cell>
          <cell r="AW812">
            <v>4</v>
          </cell>
          <cell r="AX812">
            <v>4</v>
          </cell>
          <cell r="AY812">
            <v>4</v>
          </cell>
          <cell r="AZ812">
            <v>4</v>
          </cell>
          <cell r="BA812" t="str">
            <v>FORTES ENGENHARIA</v>
          </cell>
          <cell r="BB812">
            <v>45831</v>
          </cell>
          <cell r="BC812">
            <v>2</v>
          </cell>
          <cell r="BD812" t="str">
            <v>seg</v>
          </cell>
          <cell r="BG812">
            <v>45828</v>
          </cell>
        </row>
        <row r="813">
          <cell r="A813">
            <v>1147</v>
          </cell>
          <cell r="B813">
            <v>769</v>
          </cell>
          <cell r="C813" t="str">
            <v>PLACAS PR-PN-52(20%) / PR-PN-53</v>
          </cell>
          <cell r="D813">
            <v>3.5</v>
          </cell>
          <cell r="E813">
            <v>40</v>
          </cell>
          <cell r="F813">
            <v>24</v>
          </cell>
          <cell r="G813">
            <v>40</v>
          </cell>
          <cell r="H813">
            <v>0</v>
          </cell>
          <cell r="I813" t="str">
            <v>-</v>
          </cell>
          <cell r="J813" t="str">
            <v>650/660</v>
          </cell>
          <cell r="K813" t="str">
            <v xml:space="preserve">CPIII 40 RS </v>
          </cell>
          <cell r="L813" t="str">
            <v>CP V</v>
          </cell>
          <cell r="M813" t="str">
            <v>SUPER PLASTIFICANTE</v>
          </cell>
          <cell r="N813" t="str">
            <v>ETE - PROJETO SUCURIÚ - CLARIFICADOR PRIMARIO</v>
          </cell>
          <cell r="O813" t="str">
            <v>FORTANKS</v>
          </cell>
          <cell r="P813">
            <v>4</v>
          </cell>
          <cell r="Q813" t="str">
            <v>Gean</v>
          </cell>
          <cell r="R813">
            <v>45828</v>
          </cell>
          <cell r="S813">
            <v>0.52083333333333337</v>
          </cell>
          <cell r="T813">
            <v>0.51083333333333336</v>
          </cell>
          <cell r="U813" t="str">
            <v>X</v>
          </cell>
          <cell r="V813">
            <v>0.31944444444444442</v>
          </cell>
          <cell r="W813">
            <v>62.447999999999993</v>
          </cell>
          <cell r="X813">
            <v>62.099999999999994</v>
          </cell>
          <cell r="Y813">
            <v>0.44097222222222221</v>
          </cell>
          <cell r="Z813">
            <v>82.344000000000008</v>
          </cell>
          <cell r="AA813">
            <v>83.171999999999997</v>
          </cell>
          <cell r="AW813">
            <v>4</v>
          </cell>
          <cell r="AX813">
            <v>4</v>
          </cell>
          <cell r="AY813">
            <v>4</v>
          </cell>
          <cell r="AZ813">
            <v>4</v>
          </cell>
          <cell r="BA813" t="str">
            <v>FORTES ENGENHARIA</v>
          </cell>
          <cell r="BB813">
            <v>45831</v>
          </cell>
          <cell r="BC813">
            <v>2</v>
          </cell>
          <cell r="BD813" t="str">
            <v>seg</v>
          </cell>
          <cell r="BG813">
            <v>45828</v>
          </cell>
        </row>
        <row r="814">
          <cell r="A814">
            <v>1148</v>
          </cell>
          <cell r="B814">
            <v>770</v>
          </cell>
          <cell r="C814" t="str">
            <v>PLACAS - PR-PN-52 / PR-PN-53 / PR-PN-54 / PR-PN-55 / PR-PN-56 / PR-PN-58 / PR-PN-59 / PR-PN-60 /PR-PNI-07 ( CANALETAS)</v>
          </cell>
          <cell r="D814">
            <v>8</v>
          </cell>
          <cell r="E814">
            <v>40</v>
          </cell>
          <cell r="F814">
            <v>15</v>
          </cell>
          <cell r="G814">
            <v>40</v>
          </cell>
          <cell r="H814">
            <v>0</v>
          </cell>
          <cell r="I814" t="str">
            <v>-</v>
          </cell>
          <cell r="J814" t="str">
            <v>670/670</v>
          </cell>
          <cell r="K814" t="str">
            <v xml:space="preserve">CPIII 40 RS </v>
          </cell>
          <cell r="L814" t="str">
            <v>CP V</v>
          </cell>
          <cell r="M814" t="str">
            <v>SUPER PLASTIFICANTE</v>
          </cell>
          <cell r="N814" t="str">
            <v>ETE - PROJETO SUCURIÚ - CLARIFICADOR PRIMARIO</v>
          </cell>
          <cell r="O814" t="str">
            <v>FORTANKS</v>
          </cell>
          <cell r="P814">
            <v>5</v>
          </cell>
          <cell r="Q814" t="str">
            <v>Gean</v>
          </cell>
          <cell r="R814">
            <v>45828</v>
          </cell>
          <cell r="S814">
            <v>0.66666666666666663</v>
          </cell>
          <cell r="T814">
            <v>0.65666666666666662</v>
          </cell>
          <cell r="U814" t="str">
            <v>X</v>
          </cell>
          <cell r="V814">
            <v>0.3263888888888889</v>
          </cell>
          <cell r="W814">
            <v>62.951999999999998</v>
          </cell>
          <cell r="X814">
            <v>64.067999999999998</v>
          </cell>
          <cell r="Y814">
            <v>0.41666666666666669</v>
          </cell>
          <cell r="Z814">
            <v>83.987999999999985</v>
          </cell>
          <cell r="AA814">
            <v>84.3</v>
          </cell>
          <cell r="AW814">
            <v>4</v>
          </cell>
          <cell r="AX814">
            <v>4</v>
          </cell>
          <cell r="AY814">
            <v>4</v>
          </cell>
          <cell r="AZ814">
            <v>4</v>
          </cell>
          <cell r="BA814" t="str">
            <v>FORTES ENGENHARIA</v>
          </cell>
          <cell r="BB814">
            <v>45831</v>
          </cell>
          <cell r="BC814">
            <v>2</v>
          </cell>
          <cell r="BD814" t="str">
            <v>seg</v>
          </cell>
          <cell r="BG814">
            <v>45828</v>
          </cell>
        </row>
        <row r="815">
          <cell r="A815">
            <v>1149</v>
          </cell>
          <cell r="B815">
            <v>771</v>
          </cell>
          <cell r="C815" t="str">
            <v>PLACAS - PR-PN-61 /PR-PNI-13 / PR-PNI-19 (CANALETAS)</v>
          </cell>
          <cell r="D815">
            <v>3</v>
          </cell>
          <cell r="E815">
            <v>40</v>
          </cell>
          <cell r="F815">
            <v>15</v>
          </cell>
          <cell r="G815">
            <v>40</v>
          </cell>
          <cell r="H815">
            <v>0</v>
          </cell>
          <cell r="I815" t="str">
            <v>-</v>
          </cell>
          <cell r="J815" t="str">
            <v>680/680</v>
          </cell>
          <cell r="K815" t="str">
            <v xml:space="preserve">CPIII 40 RS </v>
          </cell>
          <cell r="L815" t="str">
            <v>CP V</v>
          </cell>
          <cell r="M815" t="str">
            <v>SUPER PLASTIFICANTE</v>
          </cell>
          <cell r="N815" t="str">
            <v>ETE - PROJETO SUCURIÚ - CLARIFICADOR PRIMARIO</v>
          </cell>
          <cell r="O815" t="str">
            <v>FORTANKS</v>
          </cell>
          <cell r="P815">
            <v>6</v>
          </cell>
          <cell r="Q815" t="str">
            <v>Gean</v>
          </cell>
          <cell r="R815">
            <v>45828</v>
          </cell>
          <cell r="S815">
            <v>0.6875</v>
          </cell>
          <cell r="T815">
            <v>0.67749999999999999</v>
          </cell>
          <cell r="U815" t="str">
            <v>X</v>
          </cell>
          <cell r="V815">
            <v>0.3298611111111111</v>
          </cell>
          <cell r="W815">
            <v>65.675999999999988</v>
          </cell>
          <cell r="X815">
            <v>63.84</v>
          </cell>
          <cell r="Y815">
            <v>0.4201388888888889</v>
          </cell>
          <cell r="Z815">
            <v>83.7</v>
          </cell>
          <cell r="AA815">
            <v>84.455999999999989</v>
          </cell>
          <cell r="AW815">
            <v>4</v>
          </cell>
          <cell r="AX815">
            <v>4</v>
          </cell>
          <cell r="AY815">
            <v>4</v>
          </cell>
          <cell r="AZ815">
            <v>4</v>
          </cell>
          <cell r="BA815" t="str">
            <v>FORTES ENGENHARIA</v>
          </cell>
          <cell r="BB815">
            <v>45831</v>
          </cell>
          <cell r="BC815">
            <v>2</v>
          </cell>
          <cell r="BD815" t="str">
            <v>seg</v>
          </cell>
          <cell r="BG815">
            <v>45828</v>
          </cell>
        </row>
        <row r="816">
          <cell r="A816">
            <v>1150</v>
          </cell>
          <cell r="B816">
            <v>772</v>
          </cell>
          <cell r="C816" t="str">
            <v xml:space="preserve">PLACA PN-240 </v>
          </cell>
          <cell r="D816">
            <v>6</v>
          </cell>
          <cell r="E816">
            <v>40</v>
          </cell>
          <cell r="F816">
            <v>24</v>
          </cell>
          <cell r="G816">
            <v>40</v>
          </cell>
          <cell r="H816">
            <v>0</v>
          </cell>
          <cell r="I816" t="str">
            <v>-</v>
          </cell>
          <cell r="J816" t="str">
            <v>650/650</v>
          </cell>
          <cell r="K816" t="str">
            <v xml:space="preserve">CPIII 40 RS </v>
          </cell>
          <cell r="L816" t="str">
            <v>CP V</v>
          </cell>
          <cell r="M816" t="str">
            <v>SUPER PLASTIFICANTE</v>
          </cell>
          <cell r="N816" t="str">
            <v>ETE - PARQUE NOVO MUNDO (REATORES NEREDA)</v>
          </cell>
          <cell r="O816" t="str">
            <v>FORTANKS</v>
          </cell>
          <cell r="P816">
            <v>1</v>
          </cell>
          <cell r="Q816" t="str">
            <v>Gean</v>
          </cell>
          <cell r="R816">
            <v>45833</v>
          </cell>
          <cell r="S816">
            <v>0.41666666666666669</v>
          </cell>
          <cell r="T816">
            <v>0.40666666666666668</v>
          </cell>
          <cell r="U816" t="str">
            <v>X</v>
          </cell>
          <cell r="V816">
            <v>0.3125</v>
          </cell>
          <cell r="W816">
            <v>29.831999999999997</v>
          </cell>
          <cell r="X816">
            <v>30.384</v>
          </cell>
          <cell r="Y816">
            <v>0.4236111111111111</v>
          </cell>
          <cell r="Z816">
            <v>86.255999999999986</v>
          </cell>
          <cell r="AA816">
            <v>84.311999999999998</v>
          </cell>
          <cell r="AW816">
            <v>4</v>
          </cell>
          <cell r="AX816">
            <v>4</v>
          </cell>
          <cell r="AY816">
            <v>4</v>
          </cell>
          <cell r="AZ816">
            <v>4</v>
          </cell>
          <cell r="BA816" t="str">
            <v>CONSORCIO NOVA ETE - PARQUE NOVO MUNDO</v>
          </cell>
          <cell r="BB816">
            <v>45834</v>
          </cell>
          <cell r="BD816" t="str">
            <v>qui</v>
          </cell>
          <cell r="BG816">
            <v>45833</v>
          </cell>
        </row>
        <row r="817">
          <cell r="A817" t="str">
            <v>1150-A</v>
          </cell>
          <cell r="B817">
            <v>772</v>
          </cell>
          <cell r="C817" t="str">
            <v>PLACA - PR-PN-62</v>
          </cell>
          <cell r="D817">
            <v>6</v>
          </cell>
          <cell r="E817">
            <v>40</v>
          </cell>
          <cell r="F817">
            <v>24</v>
          </cell>
          <cell r="G817">
            <v>40</v>
          </cell>
          <cell r="H817">
            <v>0</v>
          </cell>
          <cell r="I817" t="str">
            <v>-</v>
          </cell>
          <cell r="J817" t="str">
            <v>650/650</v>
          </cell>
          <cell r="K817" t="str">
            <v xml:space="preserve">CPIII 40 RS </v>
          </cell>
          <cell r="L817" t="str">
            <v>CP V</v>
          </cell>
          <cell r="M817" t="str">
            <v>SUPER PLASTIFICANTE</v>
          </cell>
          <cell r="N817" t="str">
            <v>ETE - PROJETO SUCURIÚ - CLARIFICADOR PRIMARIO</v>
          </cell>
          <cell r="O817" t="str">
            <v>FORTANKS</v>
          </cell>
          <cell r="P817">
            <v>1</v>
          </cell>
          <cell r="Q817" t="str">
            <v>Gean</v>
          </cell>
          <cell r="R817">
            <v>45833</v>
          </cell>
          <cell r="S817">
            <v>0.41666666666666669</v>
          </cell>
          <cell r="T817">
            <v>0.40666666666666668</v>
          </cell>
          <cell r="U817" t="str">
            <v>X</v>
          </cell>
          <cell r="V817">
            <v>0.3125</v>
          </cell>
          <cell r="W817">
            <v>29.831999999999997</v>
          </cell>
          <cell r="X817">
            <v>30.384</v>
          </cell>
          <cell r="Y817">
            <v>0.43055555555555558</v>
          </cell>
          <cell r="Z817">
            <v>87.719999999999985</v>
          </cell>
          <cell r="AA817">
            <v>86.855999999999995</v>
          </cell>
          <cell r="AW817">
            <v>4</v>
          </cell>
          <cell r="AX817">
            <v>4</v>
          </cell>
          <cell r="AY817">
            <v>4</v>
          </cell>
          <cell r="AZ817">
            <v>4</v>
          </cell>
          <cell r="BA817" t="str">
            <v>FORTES ENGENHARIA</v>
          </cell>
          <cell r="BB817">
            <v>45834</v>
          </cell>
          <cell r="BD817" t="str">
            <v>qui</v>
          </cell>
          <cell r="BG817">
            <v>45833</v>
          </cell>
        </row>
        <row r="818">
          <cell r="A818">
            <v>1151</v>
          </cell>
          <cell r="B818">
            <v>773</v>
          </cell>
          <cell r="C818" t="str">
            <v>PLACAS PN-238 / PN-239</v>
          </cell>
          <cell r="D818">
            <v>7</v>
          </cell>
          <cell r="E818">
            <v>40</v>
          </cell>
          <cell r="F818">
            <v>24</v>
          </cell>
          <cell r="G818">
            <v>40</v>
          </cell>
          <cell r="H818">
            <v>0</v>
          </cell>
          <cell r="I818" t="str">
            <v>-</v>
          </cell>
          <cell r="J818" t="str">
            <v>680/680</v>
          </cell>
          <cell r="K818" t="str">
            <v xml:space="preserve">CPIII 40 RS </v>
          </cell>
          <cell r="L818" t="str">
            <v>CP V</v>
          </cell>
          <cell r="M818" t="str">
            <v>SUPER PLASTIFICANTE</v>
          </cell>
          <cell r="N818" t="str">
            <v>ETE - PARQUE NOVO MUNDO (REATORES NEREDA)</v>
          </cell>
          <cell r="O818" t="str">
            <v>FORTANKS</v>
          </cell>
          <cell r="P818">
            <v>2</v>
          </cell>
          <cell r="Q818" t="str">
            <v>Gean</v>
          </cell>
          <cell r="R818">
            <v>45833</v>
          </cell>
          <cell r="S818">
            <v>0.4375</v>
          </cell>
          <cell r="T818">
            <v>0.42749999999999999</v>
          </cell>
          <cell r="U818" t="str">
            <v>X</v>
          </cell>
          <cell r="V818">
            <v>0.31597222222222221</v>
          </cell>
          <cell r="W818">
            <v>31.655999999999999</v>
          </cell>
          <cell r="X818">
            <v>31.236000000000001</v>
          </cell>
          <cell r="Y818">
            <v>0.4375</v>
          </cell>
          <cell r="Z818">
            <v>84.899999999999991</v>
          </cell>
          <cell r="AA818">
            <v>84.108000000000004</v>
          </cell>
          <cell r="AW818">
            <v>4</v>
          </cell>
          <cell r="AX818">
            <v>4</v>
          </cell>
          <cell r="AY818">
            <v>4</v>
          </cell>
          <cell r="AZ818">
            <v>4</v>
          </cell>
          <cell r="BA818" t="str">
            <v>CONSORCIO NOVA ETE - PARQUE NOVO MUNDO</v>
          </cell>
          <cell r="BB818">
            <v>45834</v>
          </cell>
          <cell r="BD818" t="str">
            <v>qui</v>
          </cell>
          <cell r="BG818">
            <v>45833</v>
          </cell>
        </row>
        <row r="819">
          <cell r="A819">
            <v>1152</v>
          </cell>
          <cell r="B819">
            <v>774</v>
          </cell>
          <cell r="C819" t="str">
            <v>PLACAS PN-237 /  PE-288 (Tipo 4)</v>
          </cell>
          <cell r="D819">
            <v>7</v>
          </cell>
          <cell r="E819">
            <v>40</v>
          </cell>
          <cell r="F819">
            <v>24</v>
          </cell>
          <cell r="G819">
            <v>40</v>
          </cell>
          <cell r="H819">
            <v>0</v>
          </cell>
          <cell r="I819" t="str">
            <v>-</v>
          </cell>
          <cell r="J819" t="str">
            <v>650/650</v>
          </cell>
          <cell r="K819" t="str">
            <v xml:space="preserve">CPIII 40 RS </v>
          </cell>
          <cell r="L819" t="str">
            <v>CP V</v>
          </cell>
          <cell r="M819" t="str">
            <v>SUPER PLASTIFICANTE</v>
          </cell>
          <cell r="N819" t="str">
            <v>ETE - PARQUE NOVO MUNDO (REATORES NEREDA)</v>
          </cell>
          <cell r="O819" t="str">
            <v>FORTANKS</v>
          </cell>
          <cell r="P819">
            <v>3</v>
          </cell>
          <cell r="Q819" t="str">
            <v>Gean</v>
          </cell>
          <cell r="R819">
            <v>45833</v>
          </cell>
          <cell r="S819">
            <v>0.46875</v>
          </cell>
          <cell r="T819">
            <v>0.45874999999999999</v>
          </cell>
          <cell r="U819" t="str">
            <v>X</v>
          </cell>
          <cell r="V819">
            <v>0.31944444444444442</v>
          </cell>
          <cell r="W819">
            <v>34.379999999999995</v>
          </cell>
          <cell r="X819">
            <v>34.283999999999999</v>
          </cell>
          <cell r="Y819">
            <v>0.44444444444444442</v>
          </cell>
          <cell r="Z819">
            <v>81.47</v>
          </cell>
          <cell r="AA819">
            <v>83.05</v>
          </cell>
          <cell r="AW819">
            <v>4</v>
          </cell>
          <cell r="AX819">
            <v>4</v>
          </cell>
          <cell r="AY819">
            <v>0</v>
          </cell>
          <cell r="AZ819">
            <v>0</v>
          </cell>
          <cell r="BA819" t="str">
            <v>CONSORCIO NOVA ETE - PARQUE NOVO MUNDO</v>
          </cell>
          <cell r="BB819">
            <v>45834</v>
          </cell>
          <cell r="BD819" t="str">
            <v>qui</v>
          </cell>
          <cell r="BG819">
            <v>45833</v>
          </cell>
        </row>
        <row r="820">
          <cell r="A820">
            <v>1153</v>
          </cell>
          <cell r="B820">
            <v>775</v>
          </cell>
          <cell r="C820" t="str">
            <v>PLACAS PN-235 / PN-236</v>
          </cell>
          <cell r="D820">
            <v>7</v>
          </cell>
          <cell r="E820">
            <v>40</v>
          </cell>
          <cell r="F820">
            <v>24</v>
          </cell>
          <cell r="G820">
            <v>40</v>
          </cell>
          <cell r="H820">
            <v>0</v>
          </cell>
          <cell r="I820" t="str">
            <v>-</v>
          </cell>
          <cell r="J820" t="str">
            <v>650/650</v>
          </cell>
          <cell r="K820" t="str">
            <v xml:space="preserve">CPIII 40 RS </v>
          </cell>
          <cell r="L820" t="str">
            <v>CP V</v>
          </cell>
          <cell r="M820" t="str">
            <v>SUPER PLASTIFICANTE</v>
          </cell>
          <cell r="N820" t="str">
            <v>ETE - PARQUE NOVO MUNDO (REATORES NEREDA)</v>
          </cell>
          <cell r="O820" t="str">
            <v>FORTANKS</v>
          </cell>
          <cell r="P820">
            <v>4</v>
          </cell>
          <cell r="Q820" t="str">
            <v>Gean</v>
          </cell>
          <cell r="R820">
            <v>45833</v>
          </cell>
          <cell r="S820">
            <v>0.49652777777777779</v>
          </cell>
          <cell r="T820">
            <v>0.48652777777777778</v>
          </cell>
          <cell r="U820" t="str">
            <v>X</v>
          </cell>
          <cell r="V820">
            <v>0.32291666666666669</v>
          </cell>
          <cell r="W820">
            <v>25.5</v>
          </cell>
          <cell r="X820">
            <v>26.363999999999997</v>
          </cell>
          <cell r="Y820">
            <v>0.4513888888888889</v>
          </cell>
          <cell r="Z820">
            <v>81.25</v>
          </cell>
          <cell r="AA820">
            <v>80.489999999999995</v>
          </cell>
          <cell r="AW820">
            <v>4</v>
          </cell>
          <cell r="AX820">
            <v>4</v>
          </cell>
          <cell r="AY820">
            <v>4</v>
          </cell>
          <cell r="AZ820">
            <v>4</v>
          </cell>
          <cell r="BA820" t="str">
            <v>CONSORCIO NOVA ETE - PARQUE NOVO MUNDO</v>
          </cell>
          <cell r="BB820">
            <v>45834</v>
          </cell>
          <cell r="BD820" t="str">
            <v>qui</v>
          </cell>
          <cell r="BG820">
            <v>45833</v>
          </cell>
        </row>
        <row r="821">
          <cell r="A821">
            <v>1154</v>
          </cell>
          <cell r="B821">
            <v>776</v>
          </cell>
          <cell r="C821" t="str">
            <v>PLACA - PR-PN-62 (CANALETA)</v>
          </cell>
          <cell r="D821">
            <v>1</v>
          </cell>
          <cell r="E821">
            <v>40</v>
          </cell>
          <cell r="F821">
            <v>15</v>
          </cell>
          <cell r="G821">
            <v>40</v>
          </cell>
          <cell r="H821">
            <v>0</v>
          </cell>
          <cell r="I821" t="str">
            <v>-</v>
          </cell>
          <cell r="J821" t="str">
            <v>650/650</v>
          </cell>
          <cell r="K821" t="str">
            <v xml:space="preserve">CPIII 40 RS </v>
          </cell>
          <cell r="L821" t="str">
            <v>CP V</v>
          </cell>
          <cell r="M821" t="str">
            <v>SUPER PLASTIFICANTE</v>
          </cell>
          <cell r="N821" t="str">
            <v>ETE - PROJETO SUCURIÚ - CLARIFICADOR PRIMARIO</v>
          </cell>
          <cell r="O821" t="str">
            <v>FORTANKS</v>
          </cell>
          <cell r="P821">
            <v>5</v>
          </cell>
          <cell r="Q821" t="str">
            <v>Gean</v>
          </cell>
          <cell r="R821">
            <v>45833</v>
          </cell>
          <cell r="S821">
            <v>0.625</v>
          </cell>
          <cell r="T821">
            <v>0.61499999999999999</v>
          </cell>
          <cell r="U821" t="str">
            <v>X</v>
          </cell>
          <cell r="V821">
            <v>0.3263888888888889</v>
          </cell>
          <cell r="W821">
            <v>22.8</v>
          </cell>
          <cell r="X821">
            <v>23.099999999999998</v>
          </cell>
          <cell r="Y821">
            <v>0.41666666666666669</v>
          </cell>
          <cell r="Z821">
            <v>83.89</v>
          </cell>
          <cell r="AA821">
            <v>81.91</v>
          </cell>
          <cell r="AW821">
            <v>4</v>
          </cell>
          <cell r="AX821">
            <v>4</v>
          </cell>
          <cell r="AY821">
            <v>4</v>
          </cell>
          <cell r="AZ821">
            <v>4</v>
          </cell>
          <cell r="BA821" t="str">
            <v>FORTES ENGENHARIA</v>
          </cell>
          <cell r="BB821">
            <v>45834</v>
          </cell>
          <cell r="BD821" t="str">
            <v>qui</v>
          </cell>
          <cell r="BG821">
            <v>45833</v>
          </cell>
        </row>
        <row r="822">
          <cell r="A822">
            <v>1155</v>
          </cell>
          <cell r="B822">
            <v>777</v>
          </cell>
          <cell r="C822" t="str">
            <v>PLACAS - PR_PN-64 / PR_PN65 /PR_PN-66</v>
          </cell>
          <cell r="D822">
            <v>6</v>
          </cell>
          <cell r="E822">
            <v>40</v>
          </cell>
          <cell r="F822">
            <v>24</v>
          </cell>
          <cell r="G822">
            <v>40</v>
          </cell>
          <cell r="H822">
            <v>0</v>
          </cell>
          <cell r="I822" t="str">
            <v>-</v>
          </cell>
          <cell r="J822" t="str">
            <v>650/650</v>
          </cell>
          <cell r="K822" t="str">
            <v xml:space="preserve">CPIII 40 RS </v>
          </cell>
          <cell r="L822" t="str">
            <v>CP V</v>
          </cell>
          <cell r="M822" t="str">
            <v>SUPER PLASTIFICANTE</v>
          </cell>
          <cell r="N822" t="str">
            <v>ETE - PROJETO SUCURIÚ - CLARIFICADOR PRIMARIO</v>
          </cell>
          <cell r="O822" t="str">
            <v>FORTANKS</v>
          </cell>
          <cell r="P822">
            <v>1</v>
          </cell>
          <cell r="Q822" t="str">
            <v>Gean</v>
          </cell>
          <cell r="R822">
            <v>45834</v>
          </cell>
          <cell r="S822">
            <v>0.55555555555555558</v>
          </cell>
          <cell r="T822">
            <v>0.54555555555555557</v>
          </cell>
          <cell r="U822" t="str">
            <v>X</v>
          </cell>
          <cell r="V822">
            <v>0.33333333333333331</v>
          </cell>
          <cell r="W822">
            <v>33.948</v>
          </cell>
          <cell r="X822">
            <v>32.076000000000001</v>
          </cell>
          <cell r="Y822">
            <v>0.4201388888888889</v>
          </cell>
          <cell r="Z822">
            <v>85.14</v>
          </cell>
          <cell r="AA822">
            <v>84.455999999999989</v>
          </cell>
          <cell r="AW822">
            <v>4</v>
          </cell>
          <cell r="AX822">
            <v>4</v>
          </cell>
          <cell r="AY822">
            <v>4</v>
          </cell>
          <cell r="AZ822">
            <v>4</v>
          </cell>
          <cell r="BA822" t="str">
            <v>FORTES ENGENHARIA</v>
          </cell>
          <cell r="BB822">
            <v>45835</v>
          </cell>
          <cell r="BD822" t="str">
            <v>sex</v>
          </cell>
          <cell r="BG822">
            <v>45834</v>
          </cell>
        </row>
        <row r="823">
          <cell r="A823">
            <v>1156</v>
          </cell>
          <cell r="B823">
            <v>778</v>
          </cell>
          <cell r="C823" t="str">
            <v>PLACAS - PR_PN-67 / PR_PN-68 / PR_PN-71</v>
          </cell>
          <cell r="D823">
            <v>7</v>
          </cell>
          <cell r="E823">
            <v>40</v>
          </cell>
          <cell r="F823">
            <v>24</v>
          </cell>
          <cell r="G823">
            <v>40</v>
          </cell>
          <cell r="H823">
            <v>0</v>
          </cell>
          <cell r="I823" t="str">
            <v>-</v>
          </cell>
          <cell r="J823" t="str">
            <v>650/650</v>
          </cell>
          <cell r="K823" t="str">
            <v xml:space="preserve">CPIII 40 RS </v>
          </cell>
          <cell r="L823" t="str">
            <v>CP V</v>
          </cell>
          <cell r="M823" t="str">
            <v>SUPER PLASTIFICANTE</v>
          </cell>
          <cell r="N823" t="str">
            <v>ETE - PROJETO SUCURIÚ - CLARIFICADOR PRIMARIO</v>
          </cell>
          <cell r="O823" t="str">
            <v>FORTANKS</v>
          </cell>
          <cell r="P823">
            <v>2</v>
          </cell>
          <cell r="Q823" t="str">
            <v>Gean</v>
          </cell>
          <cell r="R823">
            <v>45834</v>
          </cell>
          <cell r="S823">
            <v>0.56944444444444442</v>
          </cell>
          <cell r="T823">
            <v>0.55944444444444441</v>
          </cell>
          <cell r="U823" t="str">
            <v>X</v>
          </cell>
          <cell r="V823">
            <v>0.34027777777777779</v>
          </cell>
          <cell r="W823">
            <v>30.599999999999998</v>
          </cell>
          <cell r="X823">
            <v>30.612000000000002</v>
          </cell>
          <cell r="Y823">
            <v>0.4236111111111111</v>
          </cell>
          <cell r="Z823">
            <v>83.94</v>
          </cell>
          <cell r="AA823">
            <v>83.531999999999996</v>
          </cell>
          <cell r="AW823">
            <v>4</v>
          </cell>
          <cell r="AX823">
            <v>4</v>
          </cell>
          <cell r="AY823">
            <v>4</v>
          </cell>
          <cell r="AZ823">
            <v>4</v>
          </cell>
          <cell r="BA823" t="str">
            <v>FORTES ENGENHARIA</v>
          </cell>
          <cell r="BB823">
            <v>45835</v>
          </cell>
          <cell r="BD823" t="str">
            <v>sex</v>
          </cell>
          <cell r="BG823">
            <v>45834</v>
          </cell>
        </row>
        <row r="824">
          <cell r="A824">
            <v>1157</v>
          </cell>
          <cell r="B824">
            <v>779</v>
          </cell>
          <cell r="C824" t="str">
            <v>PLACAS - PR_PN-72 / PR_PN-73 / PR_PNI-31</v>
          </cell>
          <cell r="D824">
            <v>6</v>
          </cell>
          <cell r="E824">
            <v>40</v>
          </cell>
          <cell r="F824">
            <v>24</v>
          </cell>
          <cell r="G824">
            <v>40</v>
          </cell>
          <cell r="H824">
            <v>0</v>
          </cell>
          <cell r="I824" t="str">
            <v>-</v>
          </cell>
          <cell r="J824" t="str">
            <v>650/650</v>
          </cell>
          <cell r="K824" t="str">
            <v xml:space="preserve">CPIII 40 RS </v>
          </cell>
          <cell r="L824" t="str">
            <v>CP V</v>
          </cell>
          <cell r="M824" t="str">
            <v>SUPER PLASTIFICANTE</v>
          </cell>
          <cell r="N824" t="str">
            <v>ETE - PROJETO SUCURIÚ - CLARIFICADOR PRIMARIO</v>
          </cell>
          <cell r="O824" t="str">
            <v>FORTANKS</v>
          </cell>
          <cell r="P824">
            <v>3</v>
          </cell>
          <cell r="Q824" t="str">
            <v>Gean</v>
          </cell>
          <cell r="R824">
            <v>45834</v>
          </cell>
          <cell r="S824">
            <v>0.625</v>
          </cell>
          <cell r="T824">
            <v>0.61499999999999999</v>
          </cell>
          <cell r="U824" t="str">
            <v>X</v>
          </cell>
          <cell r="V824">
            <v>0.34722222222222221</v>
          </cell>
          <cell r="W824">
            <v>29.639999999999997</v>
          </cell>
          <cell r="X824">
            <v>28.032</v>
          </cell>
          <cell r="Y824">
            <v>0.43055555555555558</v>
          </cell>
          <cell r="Z824">
            <v>84.347999999999999</v>
          </cell>
          <cell r="AA824">
            <v>83.219999999999985</v>
          </cell>
          <cell r="AW824">
            <v>4</v>
          </cell>
          <cell r="AX824">
            <v>4</v>
          </cell>
          <cell r="AY824">
            <v>4</v>
          </cell>
          <cell r="AZ824">
            <v>4</v>
          </cell>
          <cell r="BA824" t="str">
            <v>FORTES ENGENHARIA</v>
          </cell>
          <cell r="BB824">
            <v>45835</v>
          </cell>
          <cell r="BD824" t="str">
            <v>sex</v>
          </cell>
          <cell r="BG824">
            <v>45834</v>
          </cell>
        </row>
        <row r="825">
          <cell r="A825">
            <v>1158</v>
          </cell>
          <cell r="B825">
            <v>780</v>
          </cell>
          <cell r="C825" t="str">
            <v>PLACAS - PR_PN-74 / PR_PNI-39 / PR_PNI-45</v>
          </cell>
          <cell r="D825">
            <v>7.5</v>
          </cell>
          <cell r="E825">
            <v>40</v>
          </cell>
          <cell r="F825">
            <v>24</v>
          </cell>
          <cell r="G825">
            <v>40</v>
          </cell>
          <cell r="H825">
            <v>0</v>
          </cell>
          <cell r="I825" t="str">
            <v>-</v>
          </cell>
          <cell r="J825" t="str">
            <v>660/670</v>
          </cell>
          <cell r="K825" t="str">
            <v xml:space="preserve">CPIII 40 RS </v>
          </cell>
          <cell r="L825" t="str">
            <v>CP V</v>
          </cell>
          <cell r="M825" t="str">
            <v>SUPER PLASTIFICANTE</v>
          </cell>
          <cell r="N825" t="str">
            <v>ETE - PROJETO SUCURIÚ - CLARIFICADOR PRIMARIO</v>
          </cell>
          <cell r="O825" t="str">
            <v>FORTANKS</v>
          </cell>
          <cell r="P825">
            <v>4</v>
          </cell>
          <cell r="Q825" t="str">
            <v>Gean</v>
          </cell>
          <cell r="R825">
            <v>45834</v>
          </cell>
          <cell r="S825">
            <v>0.65625</v>
          </cell>
          <cell r="T825">
            <v>0.64624999999999999</v>
          </cell>
          <cell r="U825" t="str">
            <v>X</v>
          </cell>
          <cell r="V825">
            <v>0.35416666666666669</v>
          </cell>
          <cell r="W825">
            <v>24.215999999999998</v>
          </cell>
          <cell r="X825">
            <v>25.055999999999997</v>
          </cell>
          <cell r="Y825">
            <v>0.4375</v>
          </cell>
          <cell r="Z825">
            <v>84.576000000000008</v>
          </cell>
          <cell r="AA825">
            <v>85.667999999999992</v>
          </cell>
          <cell r="AW825">
            <v>4</v>
          </cell>
          <cell r="AX825">
            <v>4</v>
          </cell>
          <cell r="AY825">
            <v>4</v>
          </cell>
          <cell r="AZ825">
            <v>4</v>
          </cell>
          <cell r="BA825" t="str">
            <v>FORTES ENGENHARIA</v>
          </cell>
          <cell r="BB825">
            <v>45835</v>
          </cell>
          <cell r="BD825" t="str">
            <v>sex</v>
          </cell>
          <cell r="BG825">
            <v>45834</v>
          </cell>
        </row>
        <row r="826">
          <cell r="A826">
            <v>1159</v>
          </cell>
          <cell r="B826">
            <v>781</v>
          </cell>
          <cell r="C826" t="str">
            <v>PLACAS - PR_PN-64 /PR_PN-65 /PR_PN-66/ PR_PN-67/PR_PN-68/ PR_PN-71/ PR_PN-72/ PR_PN-73 / PR_PNI-31 / PR_PN-74  (CANALETAS)</v>
          </cell>
          <cell r="D826">
            <v>8</v>
          </cell>
          <cell r="E826">
            <v>40</v>
          </cell>
          <cell r="F826">
            <v>15</v>
          </cell>
          <cell r="G826">
            <v>40</v>
          </cell>
          <cell r="H826">
            <v>0</v>
          </cell>
          <cell r="I826" t="str">
            <v>-</v>
          </cell>
          <cell r="J826" t="str">
            <v>650/660</v>
          </cell>
          <cell r="K826" t="str">
            <v xml:space="preserve">CPIII 40 RS </v>
          </cell>
          <cell r="L826" t="str">
            <v>CP V</v>
          </cell>
          <cell r="M826" t="str">
            <v>SUPER PLASTIFICANTE</v>
          </cell>
          <cell r="N826" t="str">
            <v>ETE - PROJETO SUCURIÚ - CLARIFICADOR PRIMARIO</v>
          </cell>
          <cell r="O826" t="str">
            <v>FORTANKS</v>
          </cell>
          <cell r="P826">
            <v>5</v>
          </cell>
          <cell r="Q826" t="str">
            <v>Gean</v>
          </cell>
          <cell r="R826">
            <v>45834</v>
          </cell>
          <cell r="S826">
            <v>0.70833333333333337</v>
          </cell>
          <cell r="T826">
            <v>0.69833333333333336</v>
          </cell>
          <cell r="U826" t="str">
            <v>X</v>
          </cell>
          <cell r="V826">
            <v>0.36458333333333331</v>
          </cell>
          <cell r="W826">
            <v>16.343999999999998</v>
          </cell>
          <cell r="X826">
            <v>16.8</v>
          </cell>
          <cell r="Y826">
            <v>0.41666666666666669</v>
          </cell>
          <cell r="Z826">
            <v>81.47</v>
          </cell>
          <cell r="AA826">
            <v>83.22</v>
          </cell>
          <cell r="AW826">
            <v>4</v>
          </cell>
          <cell r="AX826">
            <v>4</v>
          </cell>
          <cell r="AY826">
            <v>4</v>
          </cell>
          <cell r="AZ826">
            <v>4</v>
          </cell>
          <cell r="BA826" t="str">
            <v>FORTES ENGENHARIA</v>
          </cell>
          <cell r="BB826">
            <v>45835</v>
          </cell>
          <cell r="BD826" t="str">
            <v>sex</v>
          </cell>
          <cell r="BG826">
            <v>45834</v>
          </cell>
        </row>
        <row r="827">
          <cell r="A827">
            <v>1160</v>
          </cell>
          <cell r="B827">
            <v>782</v>
          </cell>
          <cell r="C827" t="str">
            <v>PLACAS - PR_PNI-39 / PR_PNI-45 (CANALETAS)</v>
          </cell>
          <cell r="D827">
            <v>1.5</v>
          </cell>
          <cell r="E827">
            <v>40</v>
          </cell>
          <cell r="F827">
            <v>15</v>
          </cell>
          <cell r="G827">
            <v>40</v>
          </cell>
          <cell r="H827">
            <v>0</v>
          </cell>
          <cell r="I827" t="str">
            <v>-</v>
          </cell>
          <cell r="J827" t="str">
            <v>670/670</v>
          </cell>
          <cell r="K827" t="str">
            <v xml:space="preserve">CPIII 40 RS </v>
          </cell>
          <cell r="L827" t="str">
            <v>CP V</v>
          </cell>
          <cell r="M827" t="str">
            <v>SUPER PLASTIFICANTE</v>
          </cell>
          <cell r="N827" t="str">
            <v>ETE - PROJETO SUCURIÚ - CLARIFICADOR PRIMARIO</v>
          </cell>
          <cell r="O827" t="str">
            <v>FORTANKS</v>
          </cell>
          <cell r="P827">
            <v>6</v>
          </cell>
          <cell r="Q827" t="str">
            <v>Gean</v>
          </cell>
          <cell r="R827">
            <v>45834</v>
          </cell>
          <cell r="S827">
            <v>0.72916666666666663</v>
          </cell>
          <cell r="T827">
            <v>0.71916666666666662</v>
          </cell>
          <cell r="U827" t="str">
            <v>X</v>
          </cell>
          <cell r="V827">
            <v>0.36805555555555558</v>
          </cell>
          <cell r="W827">
            <v>16.8</v>
          </cell>
          <cell r="X827">
            <v>15.6</v>
          </cell>
          <cell r="Y827">
            <v>0.4201388888888889</v>
          </cell>
          <cell r="Z827">
            <v>83.88</v>
          </cell>
          <cell r="AA827">
            <v>83.05</v>
          </cell>
          <cell r="AW827">
            <v>4</v>
          </cell>
          <cell r="AX827">
            <v>4</v>
          </cell>
          <cell r="AY827">
            <v>4</v>
          </cell>
          <cell r="AZ827">
            <v>4</v>
          </cell>
          <cell r="BA827" t="str">
            <v>FORTES ENGENHARIA</v>
          </cell>
          <cell r="BB827">
            <v>45835</v>
          </cell>
          <cell r="BD827" t="str">
            <v>sex</v>
          </cell>
          <cell r="BG827">
            <v>45834</v>
          </cell>
        </row>
        <row r="828">
          <cell r="A828">
            <v>1161</v>
          </cell>
          <cell r="B828">
            <v>783</v>
          </cell>
          <cell r="C828" t="str">
            <v>PLACA - PR_PF-120</v>
          </cell>
          <cell r="D828">
            <v>3.5</v>
          </cell>
          <cell r="E828">
            <v>40</v>
          </cell>
          <cell r="F828">
            <v>24</v>
          </cell>
          <cell r="G828">
            <v>40</v>
          </cell>
          <cell r="H828">
            <v>0</v>
          </cell>
          <cell r="I828" t="str">
            <v>-</v>
          </cell>
          <cell r="J828" t="str">
            <v>650/650</v>
          </cell>
          <cell r="K828" t="str">
            <v xml:space="preserve">CPIII 40 RS </v>
          </cell>
          <cell r="L828" t="str">
            <v>CP V</v>
          </cell>
          <cell r="M828" t="str">
            <v>SUPER PLASTIFICANTE</v>
          </cell>
          <cell r="N828" t="str">
            <v>ETE - PROJETO SUCURIÚ - CLARIFICADOR PRIMARIO</v>
          </cell>
          <cell r="O828" t="str">
            <v>FORTANKS</v>
          </cell>
          <cell r="P828">
            <v>1</v>
          </cell>
          <cell r="Q828" t="str">
            <v>Gean</v>
          </cell>
          <cell r="R828">
            <v>45836</v>
          </cell>
          <cell r="S828">
            <v>0.43472222222222223</v>
          </cell>
          <cell r="T828">
            <v>0.42472222222222222</v>
          </cell>
          <cell r="U828" t="str">
            <v>X</v>
          </cell>
          <cell r="V828">
            <v>0.33333333333333331</v>
          </cell>
          <cell r="W828">
            <v>51.875999999999998</v>
          </cell>
          <cell r="X828">
            <v>53.256</v>
          </cell>
          <cell r="Y828">
            <v>0.4236111111111111</v>
          </cell>
          <cell r="Z828">
            <v>84.19</v>
          </cell>
          <cell r="AA828">
            <v>84.18</v>
          </cell>
          <cell r="AW828">
            <v>4</v>
          </cell>
          <cell r="AX828">
            <v>4</v>
          </cell>
          <cell r="AY828">
            <v>4</v>
          </cell>
          <cell r="AZ828">
            <v>4</v>
          </cell>
          <cell r="BA828" t="str">
            <v>FORTES ENGENHARIA</v>
          </cell>
          <cell r="BB828">
            <v>45838</v>
          </cell>
          <cell r="BC828">
            <v>1</v>
          </cell>
          <cell r="BD828" t="str">
            <v>seg</v>
          </cell>
          <cell r="BG828">
            <v>45836</v>
          </cell>
        </row>
        <row r="829">
          <cell r="A829">
            <v>1162</v>
          </cell>
          <cell r="B829">
            <v>784</v>
          </cell>
          <cell r="C829" t="str">
            <v>PLACA PF-125</v>
          </cell>
          <cell r="D829">
            <v>6.5</v>
          </cell>
          <cell r="E829">
            <v>40</v>
          </cell>
          <cell r="F829">
            <v>24</v>
          </cell>
          <cell r="G829">
            <v>40</v>
          </cell>
          <cell r="H829">
            <v>0</v>
          </cell>
          <cell r="I829" t="str">
            <v>-</v>
          </cell>
          <cell r="J829" t="str">
            <v>680/680</v>
          </cell>
          <cell r="K829" t="str">
            <v xml:space="preserve">CPIII 40 RS </v>
          </cell>
          <cell r="L829" t="str">
            <v>CP V</v>
          </cell>
          <cell r="M829" t="str">
            <v>SUPER PLASTIFICANTE</v>
          </cell>
          <cell r="N829" t="str">
            <v>ETE - PARQUE NOVO MUNDO (REATORES NEREDA)</v>
          </cell>
          <cell r="O829" t="str">
            <v>FORTANKS</v>
          </cell>
          <cell r="P829">
            <v>2</v>
          </cell>
          <cell r="Q829" t="str">
            <v>Gean</v>
          </cell>
          <cell r="R829">
            <v>45836</v>
          </cell>
          <cell r="S829">
            <v>0.57291666666666663</v>
          </cell>
          <cell r="T829">
            <v>0.56291666666666662</v>
          </cell>
          <cell r="U829" t="str">
            <v>X</v>
          </cell>
          <cell r="V829">
            <v>0.30902777777777779</v>
          </cell>
          <cell r="W829">
            <v>41.663999999999994</v>
          </cell>
          <cell r="X829">
            <v>43.295999999999999</v>
          </cell>
          <cell r="Y829">
            <v>0.41666666666666669</v>
          </cell>
          <cell r="Z829">
            <v>84.3</v>
          </cell>
          <cell r="AA829">
            <v>85.15</v>
          </cell>
          <cell r="AW829">
            <v>4</v>
          </cell>
          <cell r="AX829">
            <v>4</v>
          </cell>
          <cell r="AY829">
            <v>4</v>
          </cell>
          <cell r="AZ829">
            <v>4</v>
          </cell>
          <cell r="BA829" t="str">
            <v>CONSORCIO NOVA ETE - PARQUE NOVO MUNDO</v>
          </cell>
          <cell r="BB829">
            <v>45838</v>
          </cell>
          <cell r="BC829">
            <v>1</v>
          </cell>
          <cell r="BD829" t="str">
            <v>seg</v>
          </cell>
          <cell r="BG829">
            <v>45836</v>
          </cell>
        </row>
        <row r="830">
          <cell r="A830" t="str">
            <v>1162-A</v>
          </cell>
          <cell r="B830">
            <v>784</v>
          </cell>
          <cell r="C830" t="str">
            <v>PLACA - PR_PF-120 (CANALETA)</v>
          </cell>
          <cell r="D830">
            <v>6.5</v>
          </cell>
          <cell r="E830">
            <v>40</v>
          </cell>
          <cell r="F830">
            <v>24</v>
          </cell>
          <cell r="G830">
            <v>40</v>
          </cell>
          <cell r="H830">
            <v>0</v>
          </cell>
          <cell r="I830" t="str">
            <v>-</v>
          </cell>
          <cell r="J830" t="str">
            <v>680/680</v>
          </cell>
          <cell r="K830" t="str">
            <v xml:space="preserve">CPIII 40 RS </v>
          </cell>
          <cell r="L830" t="str">
            <v>CP V</v>
          </cell>
          <cell r="M830" t="str">
            <v>SUPER PLASTIFICANTE</v>
          </cell>
          <cell r="N830" t="str">
            <v>ETE - PROJETO SUCURIÚ - CLARIFICADOR PRIMARIO</v>
          </cell>
          <cell r="O830" t="str">
            <v>FORTANKS</v>
          </cell>
          <cell r="P830">
            <v>2</v>
          </cell>
          <cell r="Q830" t="str">
            <v>Gean</v>
          </cell>
          <cell r="R830">
            <v>45836</v>
          </cell>
          <cell r="S830">
            <v>0.57291666666666663</v>
          </cell>
          <cell r="T830">
            <v>0.56291666666666662</v>
          </cell>
          <cell r="U830" t="str">
            <v>X</v>
          </cell>
          <cell r="V830">
            <v>0.30902777777777779</v>
          </cell>
          <cell r="W830">
            <v>41.663999999999994</v>
          </cell>
          <cell r="X830">
            <v>43.295999999999999</v>
          </cell>
          <cell r="Y830">
            <v>0.41666666666666669</v>
          </cell>
          <cell r="Z830">
            <v>84.3</v>
          </cell>
          <cell r="AA830">
            <v>85.15</v>
          </cell>
          <cell r="AW830">
            <v>4</v>
          </cell>
          <cell r="AX830">
            <v>4</v>
          </cell>
          <cell r="AY830">
            <v>4</v>
          </cell>
          <cell r="AZ830">
            <v>4</v>
          </cell>
          <cell r="BA830" t="str">
            <v>FORTES ENGENHARIA</v>
          </cell>
          <cell r="BB830">
            <v>45838</v>
          </cell>
          <cell r="BC830">
            <v>1</v>
          </cell>
          <cell r="BD830" t="str">
            <v>seg</v>
          </cell>
          <cell r="BG830">
            <v>45836</v>
          </cell>
        </row>
        <row r="831">
          <cell r="A831">
            <v>1163</v>
          </cell>
          <cell r="B831">
            <v>785</v>
          </cell>
          <cell r="C831" t="str">
            <v>PLACAS PR_PN-76 / PR_PN-77 / PR_PN-78</v>
          </cell>
          <cell r="D831">
            <v>6</v>
          </cell>
          <cell r="E831">
            <v>40</v>
          </cell>
          <cell r="F831">
            <v>24</v>
          </cell>
          <cell r="G831">
            <v>40</v>
          </cell>
          <cell r="H831">
            <v>0</v>
          </cell>
          <cell r="I831" t="str">
            <v>-</v>
          </cell>
          <cell r="J831" t="str">
            <v>650/660</v>
          </cell>
          <cell r="K831" t="str">
            <v xml:space="preserve">CPIII 40 RS </v>
          </cell>
          <cell r="L831" t="str">
            <v>CP V</v>
          </cell>
          <cell r="M831" t="str">
            <v>SUPER PLASTIFICANTE</v>
          </cell>
          <cell r="N831" t="str">
            <v>ETE - PROJETO SUCURIÚ - CLARIFICADOR PRIMARIO</v>
          </cell>
          <cell r="O831" t="str">
            <v>FORTANKS</v>
          </cell>
          <cell r="P831">
            <v>1</v>
          </cell>
          <cell r="Q831" t="str">
            <v>Gean</v>
          </cell>
          <cell r="R831">
            <v>45839</v>
          </cell>
          <cell r="S831">
            <v>0.38194444444444442</v>
          </cell>
          <cell r="T831">
            <v>0.37194444444444441</v>
          </cell>
          <cell r="U831" t="str">
            <v>X</v>
          </cell>
          <cell r="V831">
            <v>0.3125</v>
          </cell>
          <cell r="W831">
            <v>36.911999999999999</v>
          </cell>
          <cell r="X831">
            <v>37.163999999999994</v>
          </cell>
          <cell r="Y831">
            <v>0.4201388888888889</v>
          </cell>
          <cell r="Z831">
            <v>82.33</v>
          </cell>
          <cell r="AA831">
            <v>80.78</v>
          </cell>
          <cell r="AW831">
            <v>4</v>
          </cell>
          <cell r="AX831">
            <v>4</v>
          </cell>
          <cell r="AY831">
            <v>4</v>
          </cell>
          <cell r="AZ831">
            <v>4</v>
          </cell>
          <cell r="BA831" t="str">
            <v>FORTES ENGENHARIA</v>
          </cell>
          <cell r="BB831">
            <v>45840</v>
          </cell>
          <cell r="BD831" t="str">
            <v>qua</v>
          </cell>
          <cell r="BG831">
            <v>45839</v>
          </cell>
        </row>
        <row r="832">
          <cell r="A832">
            <v>1164</v>
          </cell>
          <cell r="B832">
            <v>786</v>
          </cell>
          <cell r="C832" t="str">
            <v>PLACAS PR_PN-79 / PR_PN-80 / PR_PN-82</v>
          </cell>
          <cell r="D832">
            <v>7</v>
          </cell>
          <cell r="E832">
            <v>40</v>
          </cell>
          <cell r="F832">
            <v>24</v>
          </cell>
          <cell r="G832">
            <v>40</v>
          </cell>
          <cell r="H832">
            <v>0</v>
          </cell>
          <cell r="I832" t="str">
            <v>-</v>
          </cell>
          <cell r="J832" t="str">
            <v>650/650</v>
          </cell>
          <cell r="K832" t="str">
            <v xml:space="preserve">CPIII 40 RS </v>
          </cell>
          <cell r="L832" t="str">
            <v>CP V</v>
          </cell>
          <cell r="M832" t="str">
            <v>SUPER PLASTIFICANTE</v>
          </cell>
          <cell r="N832" t="str">
            <v>ETE - PROJETO SUCURIÚ - CLARIFICADOR PRIMARIO</v>
          </cell>
          <cell r="O832" t="str">
            <v>FORTANKS</v>
          </cell>
          <cell r="P832">
            <v>2</v>
          </cell>
          <cell r="Q832" t="str">
            <v>Gean</v>
          </cell>
          <cell r="R832">
            <v>45839</v>
          </cell>
          <cell r="S832">
            <v>0.40277777777777779</v>
          </cell>
          <cell r="T832">
            <v>0.39277777777777778</v>
          </cell>
          <cell r="U832" t="str">
            <v>X</v>
          </cell>
          <cell r="V832">
            <v>0.31597222222222221</v>
          </cell>
          <cell r="W832">
            <v>30.839999999999996</v>
          </cell>
          <cell r="X832">
            <v>32.159999999999997</v>
          </cell>
          <cell r="Y832">
            <v>0.4236111111111111</v>
          </cell>
          <cell r="Z832">
            <v>84.05</v>
          </cell>
          <cell r="AA832">
            <v>85.15</v>
          </cell>
          <cell r="AW832">
            <v>4</v>
          </cell>
          <cell r="AX832">
            <v>4</v>
          </cell>
          <cell r="AY832">
            <v>4</v>
          </cell>
          <cell r="AZ832">
            <v>4</v>
          </cell>
          <cell r="BA832" t="str">
            <v>FORTES ENGENHARIA</v>
          </cell>
          <cell r="BB832">
            <v>45840</v>
          </cell>
          <cell r="BD832" t="str">
            <v>qua</v>
          </cell>
          <cell r="BG832">
            <v>45839</v>
          </cell>
        </row>
        <row r="833">
          <cell r="A833">
            <v>1165</v>
          </cell>
          <cell r="B833">
            <v>787</v>
          </cell>
          <cell r="C833" t="str">
            <v>PLACAS PR_PN-83 / PR_PN-84 / PR_PNI-01</v>
          </cell>
          <cell r="D833">
            <v>6.5</v>
          </cell>
          <cell r="E833">
            <v>40</v>
          </cell>
          <cell r="F833">
            <v>24</v>
          </cell>
          <cell r="G833">
            <v>40</v>
          </cell>
          <cell r="H833">
            <v>0</v>
          </cell>
          <cell r="I833" t="str">
            <v>-</v>
          </cell>
          <cell r="J833" t="str">
            <v>650/660</v>
          </cell>
          <cell r="K833" t="str">
            <v xml:space="preserve">CPIII 40 RS </v>
          </cell>
          <cell r="L833" t="str">
            <v>CP V</v>
          </cell>
          <cell r="M833" t="str">
            <v>SUPER PLASTIFICANTE</v>
          </cell>
          <cell r="N833" t="str">
            <v>ETE - PROJETO SUCURIÚ - CLARIFICADOR PRIMARIO</v>
          </cell>
          <cell r="O833" t="str">
            <v>FORTANKS</v>
          </cell>
          <cell r="P833">
            <v>3</v>
          </cell>
          <cell r="Q833" t="str">
            <v>Gean</v>
          </cell>
          <cell r="R833">
            <v>45839</v>
          </cell>
          <cell r="S833">
            <v>0.4236111111111111</v>
          </cell>
          <cell r="T833">
            <v>0.4136111111111111</v>
          </cell>
          <cell r="U833" t="str">
            <v>X</v>
          </cell>
          <cell r="V833">
            <v>0.31944444444444442</v>
          </cell>
          <cell r="W833">
            <v>34.571999999999996</v>
          </cell>
          <cell r="X833">
            <v>35.652000000000001</v>
          </cell>
          <cell r="Y833">
            <v>0.42708333333333331</v>
          </cell>
          <cell r="Z833">
            <v>84.72</v>
          </cell>
          <cell r="AA833">
            <v>84.3</v>
          </cell>
          <cell r="AW833">
            <v>4</v>
          </cell>
          <cell r="AX833">
            <v>4</v>
          </cell>
          <cell r="AY833">
            <v>4</v>
          </cell>
          <cell r="AZ833">
            <v>4</v>
          </cell>
          <cell r="BA833" t="str">
            <v>FORTES ENGENHARIA</v>
          </cell>
          <cell r="BB833">
            <v>45840</v>
          </cell>
          <cell r="BD833" t="str">
            <v>qua</v>
          </cell>
          <cell r="BG833">
            <v>45839</v>
          </cell>
        </row>
        <row r="834">
          <cell r="A834">
            <v>1166</v>
          </cell>
          <cell r="B834">
            <v>788</v>
          </cell>
          <cell r="C834" t="str">
            <v>PLACAS PR_PN-85/ PR_PNI-51 / PR_PNI-57</v>
          </cell>
          <cell r="D834">
            <v>7</v>
          </cell>
          <cell r="E834">
            <v>40</v>
          </cell>
          <cell r="F834">
            <v>24</v>
          </cell>
          <cell r="G834">
            <v>40</v>
          </cell>
          <cell r="H834">
            <v>0</v>
          </cell>
          <cell r="I834" t="str">
            <v>-</v>
          </cell>
          <cell r="J834" t="str">
            <v>650/660</v>
          </cell>
          <cell r="K834" t="str">
            <v xml:space="preserve">CPIII 40 RS </v>
          </cell>
          <cell r="L834" t="str">
            <v>CP V</v>
          </cell>
          <cell r="M834" t="str">
            <v>SUPER PLASTIFICANTE</v>
          </cell>
          <cell r="N834" t="str">
            <v>ETE - PROJETO SUCURIÚ - CLARIFICADOR PRIMARIO</v>
          </cell>
          <cell r="O834" t="str">
            <v>FORTANKS</v>
          </cell>
          <cell r="P834">
            <v>4</v>
          </cell>
          <cell r="Q834" t="str">
            <v>Gean</v>
          </cell>
          <cell r="R834">
            <v>45839</v>
          </cell>
          <cell r="S834">
            <v>0.45833333333333331</v>
          </cell>
          <cell r="T834">
            <v>0.44833333333333331</v>
          </cell>
          <cell r="U834" t="str">
            <v>X</v>
          </cell>
          <cell r="V834">
            <v>0.3263888888888889</v>
          </cell>
          <cell r="W834">
            <v>25.895999999999997</v>
          </cell>
          <cell r="X834">
            <v>26.831999999999997</v>
          </cell>
          <cell r="Y834">
            <v>0.43055555555555558</v>
          </cell>
          <cell r="Z834">
            <v>84.2</v>
          </cell>
          <cell r="AA834">
            <v>84.23</v>
          </cell>
          <cell r="AW834">
            <v>4</v>
          </cell>
          <cell r="AX834">
            <v>4</v>
          </cell>
          <cell r="AY834">
            <v>4</v>
          </cell>
          <cell r="AZ834">
            <v>4</v>
          </cell>
          <cell r="BA834" t="str">
            <v>FORTES ENGENHARIA</v>
          </cell>
          <cell r="BB834">
            <v>45840</v>
          </cell>
          <cell r="BD834" t="str">
            <v>qua</v>
          </cell>
          <cell r="BG834">
            <v>45839</v>
          </cell>
        </row>
        <row r="835">
          <cell r="A835">
            <v>1166</v>
          </cell>
          <cell r="B835">
            <v>788</v>
          </cell>
          <cell r="C835" t="str">
            <v>PLACAS PR_PN-76 / PR_PN-77 / PR_PN-78 (CANALETAS)</v>
          </cell>
          <cell r="D835">
            <v>7</v>
          </cell>
          <cell r="E835">
            <v>40</v>
          </cell>
          <cell r="F835">
            <v>24</v>
          </cell>
          <cell r="G835">
            <v>40</v>
          </cell>
          <cell r="H835">
            <v>0</v>
          </cell>
          <cell r="I835" t="str">
            <v>-</v>
          </cell>
          <cell r="J835" t="str">
            <v>650/660</v>
          </cell>
          <cell r="K835" t="str">
            <v xml:space="preserve">CPIII 40 RS </v>
          </cell>
          <cell r="L835" t="str">
            <v>CP V</v>
          </cell>
          <cell r="M835" t="str">
            <v>SUPER PLASTIFICANTE</v>
          </cell>
          <cell r="N835" t="str">
            <v>ETE - PROJETO SUCURIÚ - CLARIFICADOR PRIMARIO</v>
          </cell>
          <cell r="O835" t="str">
            <v>FORTANKS</v>
          </cell>
          <cell r="P835">
            <v>4</v>
          </cell>
          <cell r="Q835" t="str">
            <v>Gean</v>
          </cell>
          <cell r="R835">
            <v>45839</v>
          </cell>
          <cell r="S835">
            <v>0.45833333333333331</v>
          </cell>
          <cell r="T835">
            <v>0.44833333333333331</v>
          </cell>
          <cell r="U835" t="str">
            <v>X</v>
          </cell>
          <cell r="V835">
            <v>0.3263888888888889</v>
          </cell>
          <cell r="W835">
            <v>25.895999999999997</v>
          </cell>
          <cell r="X835">
            <v>26.831999999999997</v>
          </cell>
          <cell r="Y835">
            <v>0.43055555555555558</v>
          </cell>
          <cell r="Z835">
            <v>84.2</v>
          </cell>
          <cell r="AA835">
            <v>84.23</v>
          </cell>
          <cell r="AW835">
            <v>4</v>
          </cell>
          <cell r="AX835">
            <v>4</v>
          </cell>
          <cell r="AY835">
            <v>4</v>
          </cell>
          <cell r="AZ835">
            <v>4</v>
          </cell>
          <cell r="BA835" t="str">
            <v>FORTES ENGENHARIA</v>
          </cell>
          <cell r="BB835">
            <v>45840</v>
          </cell>
          <cell r="BD835" t="str">
            <v>qua</v>
          </cell>
          <cell r="BG835">
            <v>45839</v>
          </cell>
        </row>
        <row r="836">
          <cell r="A836">
            <v>1167</v>
          </cell>
          <cell r="B836">
            <v>789</v>
          </cell>
          <cell r="C836" t="str">
            <v>PLACAS PR_PN-79 / PR_PN-80 / PR_PN-82/ PR_PN-83/ PR_PN-84 / PR_PNI-01 /PR_PN-85 / PR_PNI-51 / PR_PNI-57</v>
          </cell>
          <cell r="D836">
            <v>8.5</v>
          </cell>
          <cell r="E836">
            <v>40</v>
          </cell>
          <cell r="F836">
            <v>24</v>
          </cell>
          <cell r="G836">
            <v>40</v>
          </cell>
          <cell r="H836">
            <v>0</v>
          </cell>
          <cell r="I836" t="str">
            <v>-</v>
          </cell>
          <cell r="J836" t="str">
            <v>680/680</v>
          </cell>
          <cell r="K836" t="str">
            <v xml:space="preserve">CPIII 40 RS </v>
          </cell>
          <cell r="L836" t="str">
            <v>CP V</v>
          </cell>
          <cell r="M836" t="str">
            <v>SUPER PLASTIFICANTE</v>
          </cell>
          <cell r="N836" t="str">
            <v>ETE - PROJETO SUCURIÚ - CLARIFICADOR PRIMARIO</v>
          </cell>
          <cell r="O836" t="str">
            <v>FORTANKS</v>
          </cell>
          <cell r="P836">
            <v>5</v>
          </cell>
          <cell r="Q836" t="str">
            <v>Gean</v>
          </cell>
          <cell r="R836">
            <v>45839</v>
          </cell>
          <cell r="S836">
            <v>0.58333333333333337</v>
          </cell>
          <cell r="T836">
            <v>0.57333333333333336</v>
          </cell>
          <cell r="U836" t="str">
            <v>X</v>
          </cell>
          <cell r="V836">
            <v>0.33333333333333331</v>
          </cell>
          <cell r="W836">
            <v>24.323999999999998</v>
          </cell>
          <cell r="X836">
            <v>25.584</v>
          </cell>
          <cell r="Y836">
            <v>0.43055555555555558</v>
          </cell>
          <cell r="Z836">
            <v>85.15</v>
          </cell>
          <cell r="AA836">
            <v>84.01</v>
          </cell>
          <cell r="AW836">
            <v>4</v>
          </cell>
          <cell r="AX836">
            <v>4</v>
          </cell>
          <cell r="AY836">
            <v>4</v>
          </cell>
          <cell r="AZ836">
            <v>4</v>
          </cell>
          <cell r="BA836" t="str">
            <v>FORTES ENGENHARIA</v>
          </cell>
          <cell r="BB836">
            <v>45840</v>
          </cell>
          <cell r="BD836" t="str">
            <v>qua</v>
          </cell>
          <cell r="BG836">
            <v>45839</v>
          </cell>
        </row>
        <row r="837">
          <cell r="A837">
            <v>1168</v>
          </cell>
          <cell r="B837">
            <v>790</v>
          </cell>
          <cell r="C837" t="str">
            <v>PLACA PF-156</v>
          </cell>
          <cell r="D837">
            <v>8</v>
          </cell>
          <cell r="E837">
            <v>40</v>
          </cell>
          <cell r="F837">
            <v>24</v>
          </cell>
          <cell r="G837">
            <v>40</v>
          </cell>
          <cell r="H837">
            <v>0</v>
          </cell>
          <cell r="I837" t="str">
            <v>-</v>
          </cell>
          <cell r="J837" t="str">
            <v>650/650</v>
          </cell>
          <cell r="K837" t="str">
            <v xml:space="preserve">CPIII 40 RS </v>
          </cell>
          <cell r="L837" t="str">
            <v>CP V</v>
          </cell>
          <cell r="M837" t="str">
            <v>SUPER PLASTIFICANTE</v>
          </cell>
          <cell r="N837" t="str">
            <v>ETE - PARQUE NOVO MUNDO (REATORES NEREDA)</v>
          </cell>
          <cell r="O837" t="str">
            <v>FORTANKS</v>
          </cell>
          <cell r="P837">
            <v>1</v>
          </cell>
          <cell r="Q837" t="str">
            <v>Gean</v>
          </cell>
          <cell r="R837">
            <v>45839</v>
          </cell>
          <cell r="S837">
            <v>0.58333333333333337</v>
          </cell>
          <cell r="T837">
            <v>0.57333333333333336</v>
          </cell>
          <cell r="U837" t="str">
            <v>X</v>
          </cell>
          <cell r="V837">
            <v>0.3125</v>
          </cell>
          <cell r="W837">
            <v>28.86</v>
          </cell>
          <cell r="X837">
            <v>27.93</v>
          </cell>
          <cell r="Y837">
            <v>0.41666666666666669</v>
          </cell>
          <cell r="Z837">
            <v>84.61</v>
          </cell>
          <cell r="AA837">
            <v>83.94</v>
          </cell>
          <cell r="AW837">
            <v>4</v>
          </cell>
          <cell r="AX837">
            <v>4</v>
          </cell>
          <cell r="AY837">
            <v>4</v>
          </cell>
          <cell r="AZ837">
            <v>4</v>
          </cell>
          <cell r="BA837" t="str">
            <v>CONSORCIO NOVA ETE - PARQUE NOVO MUNDO</v>
          </cell>
          <cell r="BB837">
            <v>45841</v>
          </cell>
          <cell r="BC837">
            <v>1</v>
          </cell>
          <cell r="BD837" t="str">
            <v>qui</v>
          </cell>
          <cell r="BG837">
            <v>45839</v>
          </cell>
        </row>
        <row r="838">
          <cell r="A838" t="str">
            <v>1168-A</v>
          </cell>
          <cell r="B838">
            <v>790</v>
          </cell>
          <cell r="C838" t="str">
            <v>PLACA PR_PF-144</v>
          </cell>
          <cell r="D838">
            <v>8</v>
          </cell>
          <cell r="E838">
            <v>40</v>
          </cell>
          <cell r="F838">
            <v>24</v>
          </cell>
          <cell r="G838">
            <v>40</v>
          </cell>
          <cell r="H838">
            <v>0</v>
          </cell>
          <cell r="I838" t="str">
            <v>-</v>
          </cell>
          <cell r="J838" t="str">
            <v>650/650</v>
          </cell>
          <cell r="K838" t="str">
            <v xml:space="preserve">CPIII 40 RS </v>
          </cell>
          <cell r="L838" t="str">
            <v>CP V</v>
          </cell>
          <cell r="M838" t="str">
            <v>SUPER PLASTIFICANTE</v>
          </cell>
          <cell r="N838" t="str">
            <v>ETE - PROJETO SUCURIÚ - CLARIFICADOR PRIMARIO</v>
          </cell>
          <cell r="O838" t="str">
            <v>FORTANKS</v>
          </cell>
          <cell r="P838">
            <v>1</v>
          </cell>
          <cell r="Q838" t="str">
            <v>Gean</v>
          </cell>
          <cell r="R838">
            <v>45839</v>
          </cell>
          <cell r="S838">
            <v>0.58333333333333337</v>
          </cell>
          <cell r="T838">
            <v>0.57333333333333336</v>
          </cell>
          <cell r="U838" t="str">
            <v>X</v>
          </cell>
          <cell r="V838">
            <v>0.3125</v>
          </cell>
          <cell r="W838">
            <v>28.86</v>
          </cell>
          <cell r="X838">
            <v>27.93</v>
          </cell>
          <cell r="Y838">
            <v>0.41666666666666669</v>
          </cell>
          <cell r="Z838">
            <v>84.61</v>
          </cell>
          <cell r="AA838">
            <v>83.94</v>
          </cell>
          <cell r="AW838">
            <v>4</v>
          </cell>
          <cell r="AX838">
            <v>4</v>
          </cell>
          <cell r="AY838">
            <v>4</v>
          </cell>
          <cell r="AZ838">
            <v>4</v>
          </cell>
          <cell r="BA838" t="str">
            <v>FORTES ENGENHARIA</v>
          </cell>
          <cell r="BB838">
            <v>45841</v>
          </cell>
          <cell r="BC838">
            <v>1</v>
          </cell>
          <cell r="BD838" t="str">
            <v>qui</v>
          </cell>
          <cell r="BG838">
            <v>45839</v>
          </cell>
        </row>
        <row r="839">
          <cell r="A839">
            <v>1169</v>
          </cell>
          <cell r="B839">
            <v>791</v>
          </cell>
          <cell r="C839" t="str">
            <v>PLACAS PR_PN-89 /  PR_PN-90 /  PR_PN-91</v>
          </cell>
          <cell r="D839">
            <v>6.5</v>
          </cell>
          <cell r="E839">
            <v>40</v>
          </cell>
          <cell r="F839">
            <v>24</v>
          </cell>
          <cell r="G839">
            <v>40</v>
          </cell>
          <cell r="H839">
            <v>0</v>
          </cell>
          <cell r="I839" t="str">
            <v>-</v>
          </cell>
          <cell r="J839" t="str">
            <v>650/660</v>
          </cell>
          <cell r="K839" t="str">
            <v xml:space="preserve">CPIII 40 RS </v>
          </cell>
          <cell r="L839" t="str">
            <v>CP V</v>
          </cell>
          <cell r="M839" t="str">
            <v>SUPER PLASTIFICANTE</v>
          </cell>
          <cell r="N839" t="str">
            <v>ETE - PROJETO SUCURIÚ - CLARIFICADOR PRIMARIO</v>
          </cell>
          <cell r="O839" t="str">
            <v>FORTANKS</v>
          </cell>
          <cell r="P839">
            <v>1</v>
          </cell>
          <cell r="Q839" t="str">
            <v>Gean</v>
          </cell>
          <cell r="R839">
            <v>45842</v>
          </cell>
          <cell r="S839">
            <v>0.38541666666666669</v>
          </cell>
          <cell r="T839">
            <v>0.37541666666666668</v>
          </cell>
          <cell r="U839" t="str">
            <v>X</v>
          </cell>
          <cell r="V839">
            <v>0.29166666666666669</v>
          </cell>
          <cell r="W839">
            <v>31.692</v>
          </cell>
          <cell r="X839">
            <v>31.74</v>
          </cell>
          <cell r="Y839">
            <v>0.4201388888888889</v>
          </cell>
          <cell r="Z839">
            <v>84.335999999999999</v>
          </cell>
          <cell r="AA839">
            <v>85.5</v>
          </cell>
          <cell r="AW839">
            <v>4</v>
          </cell>
          <cell r="AX839">
            <v>4</v>
          </cell>
          <cell r="AY839">
            <v>4</v>
          </cell>
          <cell r="AZ839">
            <v>4</v>
          </cell>
          <cell r="BA839" t="str">
            <v>FORTES ENGENHARIA</v>
          </cell>
          <cell r="BB839">
            <v>45843</v>
          </cell>
          <cell r="BD839" t="str">
            <v>sáb</v>
          </cell>
          <cell r="BG839">
            <v>45842</v>
          </cell>
        </row>
        <row r="840">
          <cell r="A840">
            <v>1170</v>
          </cell>
          <cell r="B840">
            <v>792</v>
          </cell>
          <cell r="C840" t="str">
            <v>PLACAS  PR_PN-92 /  PR_PN-94 / PR_PN-96</v>
          </cell>
          <cell r="D840">
            <v>7</v>
          </cell>
          <cell r="E840">
            <v>40</v>
          </cell>
          <cell r="F840">
            <v>24</v>
          </cell>
          <cell r="G840">
            <v>40</v>
          </cell>
          <cell r="H840">
            <v>0</v>
          </cell>
          <cell r="I840" t="str">
            <v>-</v>
          </cell>
          <cell r="J840" t="str">
            <v>660/650</v>
          </cell>
          <cell r="K840" t="str">
            <v xml:space="preserve">CPIII 40 RS </v>
          </cell>
          <cell r="L840" t="str">
            <v>CP V</v>
          </cell>
          <cell r="M840" t="str">
            <v>SUPER PLASTIFICANTE</v>
          </cell>
          <cell r="N840" t="str">
            <v>ETE - PROJETO SUCURIÚ - CLARIFICADOR PRIMARIO</v>
          </cell>
          <cell r="O840" t="str">
            <v>FORTANKS</v>
          </cell>
          <cell r="P840">
            <v>2</v>
          </cell>
          <cell r="Q840" t="str">
            <v>Gean</v>
          </cell>
          <cell r="R840">
            <v>45842</v>
          </cell>
          <cell r="S840">
            <v>0.40972222222222221</v>
          </cell>
          <cell r="T840">
            <v>0.3997222222222222</v>
          </cell>
          <cell r="U840" t="str">
            <v>X</v>
          </cell>
          <cell r="V840">
            <v>0.2951388888888889</v>
          </cell>
          <cell r="W840">
            <v>27.276</v>
          </cell>
          <cell r="X840">
            <v>26.867999999999999</v>
          </cell>
          <cell r="Y840">
            <v>0.4236111111111111</v>
          </cell>
          <cell r="Z840">
            <v>84.383999999999986</v>
          </cell>
          <cell r="AA840">
            <v>84.372</v>
          </cell>
          <cell r="AW840">
            <v>4</v>
          </cell>
          <cell r="AX840">
            <v>4</v>
          </cell>
          <cell r="AY840">
            <v>4</v>
          </cell>
          <cell r="AZ840">
            <v>4</v>
          </cell>
          <cell r="BA840" t="str">
            <v>FORTES ENGENHARIA</v>
          </cell>
          <cell r="BB840">
            <v>45843</v>
          </cell>
          <cell r="BD840" t="str">
            <v>sáb</v>
          </cell>
          <cell r="BG840">
            <v>45842</v>
          </cell>
        </row>
        <row r="841">
          <cell r="A841">
            <v>1171</v>
          </cell>
          <cell r="B841">
            <v>793</v>
          </cell>
          <cell r="C841" t="str">
            <v>PLACAS  PR_PN-100 /  PR_PN-101 / PR_PNI-63</v>
          </cell>
          <cell r="D841">
            <v>6.5</v>
          </cell>
          <cell r="E841">
            <v>40</v>
          </cell>
          <cell r="F841">
            <v>24</v>
          </cell>
          <cell r="G841">
            <v>40</v>
          </cell>
          <cell r="H841">
            <v>0</v>
          </cell>
          <cell r="I841" t="str">
            <v>-</v>
          </cell>
          <cell r="J841" t="str">
            <v>660/670</v>
          </cell>
          <cell r="K841" t="str">
            <v xml:space="preserve">CPIII 40 RS </v>
          </cell>
          <cell r="L841" t="str">
            <v>CP V</v>
          </cell>
          <cell r="M841" t="str">
            <v>SUPER PLASTIFICANTE</v>
          </cell>
          <cell r="N841" t="str">
            <v>ETE - PROJETO SUCURIÚ - CLARIFICADOR PRIMARIO</v>
          </cell>
          <cell r="O841" t="str">
            <v>FORTANKS</v>
          </cell>
          <cell r="P841">
            <v>3</v>
          </cell>
          <cell r="Q841" t="str">
            <v>Gean</v>
          </cell>
          <cell r="R841">
            <v>45842</v>
          </cell>
          <cell r="S841">
            <v>0.44097222222222221</v>
          </cell>
          <cell r="T841">
            <v>0.4309722222222222</v>
          </cell>
          <cell r="U841" t="str">
            <v>X</v>
          </cell>
          <cell r="V841">
            <v>0.2986111111111111</v>
          </cell>
          <cell r="W841">
            <v>24.347999999999999</v>
          </cell>
          <cell r="X841">
            <v>28.679999999999996</v>
          </cell>
          <cell r="Y841">
            <v>0.4201388888888889</v>
          </cell>
          <cell r="Z841">
            <v>84.804000000000002</v>
          </cell>
          <cell r="AA841">
            <v>84.323999999999998</v>
          </cell>
          <cell r="AW841">
            <v>4</v>
          </cell>
          <cell r="AX841">
            <v>4</v>
          </cell>
          <cell r="AY841">
            <v>4</v>
          </cell>
          <cell r="AZ841">
            <v>4</v>
          </cell>
          <cell r="BA841" t="str">
            <v>FORTES ENGENHARIA</v>
          </cell>
          <cell r="BB841">
            <v>45843</v>
          </cell>
          <cell r="BD841" t="str">
            <v>sáb</v>
          </cell>
          <cell r="BG841">
            <v>45842</v>
          </cell>
        </row>
        <row r="842">
          <cell r="A842">
            <v>1172</v>
          </cell>
          <cell r="B842">
            <v>794</v>
          </cell>
          <cell r="C842" t="str">
            <v>PLACAS  PR_PN-102 /  PR_PNI-69 /  PR_PNI-75</v>
          </cell>
          <cell r="D842">
            <v>6.5</v>
          </cell>
          <cell r="E842">
            <v>40</v>
          </cell>
          <cell r="F842">
            <v>24</v>
          </cell>
          <cell r="G842">
            <v>40</v>
          </cell>
          <cell r="H842">
            <v>0</v>
          </cell>
          <cell r="I842" t="str">
            <v>-</v>
          </cell>
          <cell r="J842" t="str">
            <v>650/650</v>
          </cell>
          <cell r="K842" t="str">
            <v xml:space="preserve">CPIII 40 RS </v>
          </cell>
          <cell r="L842" t="str">
            <v>CP V</v>
          </cell>
          <cell r="M842" t="str">
            <v>SUPER PLASTIFICANTE</v>
          </cell>
          <cell r="N842" t="str">
            <v>ETE - PROJETO SUCURIÚ - CLARIFICADOR PRIMARIO</v>
          </cell>
          <cell r="O842" t="str">
            <v>FORTANKS</v>
          </cell>
          <cell r="P842">
            <v>4</v>
          </cell>
          <cell r="Q842" t="str">
            <v>Gean</v>
          </cell>
          <cell r="R842">
            <v>45842</v>
          </cell>
          <cell r="S842">
            <v>0.46527777777777779</v>
          </cell>
          <cell r="T842">
            <v>0.45527777777777778</v>
          </cell>
          <cell r="U842" t="str">
            <v>X</v>
          </cell>
          <cell r="V842">
            <v>0.30208333333333331</v>
          </cell>
          <cell r="W842">
            <v>27.804000000000002</v>
          </cell>
          <cell r="X842">
            <v>28.679999999999996</v>
          </cell>
          <cell r="Y842">
            <v>0.41666666666666669</v>
          </cell>
          <cell r="Z842">
            <v>84.275999999999996</v>
          </cell>
          <cell r="AA842">
            <v>86.628</v>
          </cell>
          <cell r="AW842">
            <v>4</v>
          </cell>
          <cell r="AX842">
            <v>4</v>
          </cell>
          <cell r="AY842">
            <v>4</v>
          </cell>
          <cell r="AZ842">
            <v>4</v>
          </cell>
          <cell r="BA842" t="str">
            <v>FORTES ENGENHARIA</v>
          </cell>
          <cell r="BB842">
            <v>45843</v>
          </cell>
          <cell r="BD842" t="str">
            <v>sáb</v>
          </cell>
          <cell r="BG842">
            <v>45842</v>
          </cell>
        </row>
        <row r="843">
          <cell r="A843">
            <v>1173</v>
          </cell>
          <cell r="B843">
            <v>795</v>
          </cell>
          <cell r="C843" t="str">
            <v>PLACA PN-250</v>
          </cell>
          <cell r="D843">
            <v>6</v>
          </cell>
          <cell r="E843">
            <v>40</v>
          </cell>
          <cell r="F843">
            <v>24</v>
          </cell>
          <cell r="G843">
            <v>40</v>
          </cell>
          <cell r="H843">
            <v>0</v>
          </cell>
          <cell r="I843" t="str">
            <v>-</v>
          </cell>
          <cell r="J843" t="str">
            <v>650/650</v>
          </cell>
          <cell r="K843" t="str">
            <v xml:space="preserve">CPIII 40 RS </v>
          </cell>
          <cell r="L843" t="str">
            <v>CP V</v>
          </cell>
          <cell r="M843" t="str">
            <v>SUPER PLASTIFICANTE</v>
          </cell>
          <cell r="N843" t="str">
            <v>ETE - PARQUE NOVO MUNDO (REATORES NEREDA)</v>
          </cell>
          <cell r="O843" t="str">
            <v>FORTANKS</v>
          </cell>
          <cell r="P843">
            <v>5</v>
          </cell>
          <cell r="Q843" t="str">
            <v>Gean</v>
          </cell>
          <cell r="R843">
            <v>45842</v>
          </cell>
          <cell r="S843">
            <v>0.49305555555555558</v>
          </cell>
          <cell r="T843">
            <v>0.48305555555555557</v>
          </cell>
          <cell r="U843" t="str">
            <v>X</v>
          </cell>
          <cell r="V843">
            <v>0.29166666666666669</v>
          </cell>
          <cell r="W843">
            <v>46.68</v>
          </cell>
          <cell r="X843">
            <v>46.811999999999998</v>
          </cell>
          <cell r="Y843">
            <v>0.41944444444444445</v>
          </cell>
          <cell r="Z843">
            <v>83.1</v>
          </cell>
          <cell r="AA843">
            <v>82.308000000000007</v>
          </cell>
          <cell r="AW843">
            <v>4</v>
          </cell>
          <cell r="AX843">
            <v>4</v>
          </cell>
          <cell r="AY843">
            <v>4</v>
          </cell>
          <cell r="AZ843">
            <v>4</v>
          </cell>
          <cell r="BA843" t="str">
            <v>CONSORCIO NOVA ETE - PARQUE NOVO MUNDO</v>
          </cell>
          <cell r="BB843">
            <v>45845</v>
          </cell>
          <cell r="BC843">
            <v>2</v>
          </cell>
          <cell r="BD843" t="str">
            <v>seg</v>
          </cell>
          <cell r="BG843">
            <v>45842</v>
          </cell>
        </row>
        <row r="844">
          <cell r="A844" t="str">
            <v>1173-A</v>
          </cell>
          <cell r="B844">
            <v>795</v>
          </cell>
          <cell r="C844" t="str">
            <v>PLACA PR_PN-88 /  PR_PF-144(CANALETA)</v>
          </cell>
          <cell r="D844">
            <v>6</v>
          </cell>
          <cell r="E844">
            <v>40</v>
          </cell>
          <cell r="F844">
            <v>24</v>
          </cell>
          <cell r="G844">
            <v>40</v>
          </cell>
          <cell r="H844">
            <v>0</v>
          </cell>
          <cell r="I844" t="str">
            <v>-</v>
          </cell>
          <cell r="J844" t="str">
            <v>650/650</v>
          </cell>
          <cell r="K844" t="str">
            <v xml:space="preserve">CPIII 40 RS </v>
          </cell>
          <cell r="L844" t="str">
            <v>CP V</v>
          </cell>
          <cell r="M844" t="str">
            <v>SUPER PLASTIFICANTE</v>
          </cell>
          <cell r="N844" t="str">
            <v>ETE - PROJETO SUCURIÚ - CLARIFICADOR PRIMARIO</v>
          </cell>
          <cell r="O844" t="str">
            <v>FORTANKS</v>
          </cell>
          <cell r="P844">
            <v>5</v>
          </cell>
          <cell r="Q844" t="str">
            <v>Gean</v>
          </cell>
          <cell r="R844">
            <v>45842</v>
          </cell>
          <cell r="S844">
            <v>0.49305555555555558</v>
          </cell>
          <cell r="T844">
            <v>0.48305555555555557</v>
          </cell>
          <cell r="U844" t="str">
            <v>X</v>
          </cell>
          <cell r="V844">
            <v>0.29166666666666669</v>
          </cell>
          <cell r="W844">
            <v>46.68</v>
          </cell>
          <cell r="X844">
            <v>46.811999999999998</v>
          </cell>
          <cell r="Y844">
            <v>0.41944444444444445</v>
          </cell>
          <cell r="Z844">
            <v>83.1</v>
          </cell>
          <cell r="AA844">
            <v>82.31</v>
          </cell>
          <cell r="AW844">
            <v>4</v>
          </cell>
          <cell r="AX844">
            <v>4</v>
          </cell>
          <cell r="AY844">
            <v>4</v>
          </cell>
          <cell r="AZ844">
            <v>4</v>
          </cell>
          <cell r="BA844" t="str">
            <v>FORTES ENGENHARIA</v>
          </cell>
          <cell r="BB844">
            <v>45845</v>
          </cell>
          <cell r="BC844">
            <v>2</v>
          </cell>
          <cell r="BD844" t="str">
            <v>seg</v>
          </cell>
          <cell r="BG844">
            <v>45842</v>
          </cell>
        </row>
        <row r="845">
          <cell r="A845">
            <v>1174</v>
          </cell>
          <cell r="B845">
            <v>796</v>
          </cell>
          <cell r="C845" t="str">
            <v>PLACAS PN-247 / PN-248</v>
          </cell>
          <cell r="D845">
            <v>7</v>
          </cell>
          <cell r="E845">
            <v>40</v>
          </cell>
          <cell r="F845">
            <v>24</v>
          </cell>
          <cell r="G845">
            <v>40</v>
          </cell>
          <cell r="H845">
            <v>0</v>
          </cell>
          <cell r="I845" t="str">
            <v>-</v>
          </cell>
          <cell r="J845" t="str">
            <v>660/660</v>
          </cell>
          <cell r="K845" t="str">
            <v xml:space="preserve">CPIII 40 RS </v>
          </cell>
          <cell r="L845" t="str">
            <v>CP V</v>
          </cell>
          <cell r="M845" t="str">
            <v>SUPER PLASTIFICANTE</v>
          </cell>
          <cell r="N845" t="str">
            <v>ETE - PARQUE NOVO MUNDO (REATORES NEREDA)</v>
          </cell>
          <cell r="O845" t="str">
            <v>FORTANKS</v>
          </cell>
          <cell r="P845">
            <v>6</v>
          </cell>
          <cell r="Q845" t="str">
            <v>Gean</v>
          </cell>
          <cell r="R845">
            <v>45842</v>
          </cell>
          <cell r="S845">
            <v>0.56944444444444442</v>
          </cell>
          <cell r="T845">
            <v>0.55944444444444441</v>
          </cell>
          <cell r="U845" t="str">
            <v>X</v>
          </cell>
          <cell r="V845">
            <v>0.2951388888888889</v>
          </cell>
          <cell r="W845">
            <v>56.652000000000001</v>
          </cell>
          <cell r="X845">
            <v>58.823999999999998</v>
          </cell>
          <cell r="Y845">
            <v>0.4236111111111111</v>
          </cell>
          <cell r="Z845">
            <v>88.703999999999994</v>
          </cell>
          <cell r="AA845">
            <v>87.072000000000003</v>
          </cell>
          <cell r="AW845">
            <v>4</v>
          </cell>
          <cell r="AX845">
            <v>4</v>
          </cell>
          <cell r="AY845">
            <v>4</v>
          </cell>
          <cell r="AZ845">
            <v>4</v>
          </cell>
          <cell r="BA845" t="str">
            <v>CONSORCIO NOVA ETE - PARQUE NOVO MUNDO</v>
          </cell>
          <cell r="BB845">
            <v>45845</v>
          </cell>
          <cell r="BC845">
            <v>2</v>
          </cell>
          <cell r="BD845" t="str">
            <v>seg</v>
          </cell>
          <cell r="BG845">
            <v>45842</v>
          </cell>
        </row>
        <row r="846">
          <cell r="A846">
            <v>1175</v>
          </cell>
          <cell r="B846">
            <v>797</v>
          </cell>
          <cell r="C846" t="str">
            <v>PLACAS PN-246 / PE-334(T4)</v>
          </cell>
          <cell r="D846">
            <v>7</v>
          </cell>
          <cell r="E846">
            <v>40</v>
          </cell>
          <cell r="F846">
            <v>24</v>
          </cell>
          <cell r="G846">
            <v>40</v>
          </cell>
          <cell r="H846">
            <v>0</v>
          </cell>
          <cell r="I846" t="str">
            <v>-</v>
          </cell>
          <cell r="J846" t="str">
            <v>670/670</v>
          </cell>
          <cell r="K846" t="str">
            <v xml:space="preserve">CPIII 40 RS </v>
          </cell>
          <cell r="L846" t="str">
            <v>CP V</v>
          </cell>
          <cell r="M846" t="str">
            <v>SUPER PLASTIFICANTE</v>
          </cell>
          <cell r="N846" t="str">
            <v>ETE - PARQUE NOVO MUNDO (REATORES NEREDA)</v>
          </cell>
          <cell r="O846" t="str">
            <v>FORTANKS</v>
          </cell>
          <cell r="P846">
            <v>7</v>
          </cell>
          <cell r="Q846" t="str">
            <v>Gean</v>
          </cell>
          <cell r="R846">
            <v>45842</v>
          </cell>
          <cell r="S846">
            <v>0.60416666666666663</v>
          </cell>
          <cell r="T846">
            <v>0.59416666666666662</v>
          </cell>
          <cell r="U846" t="str">
            <v>X</v>
          </cell>
          <cell r="V846">
            <v>0.2986111111111111</v>
          </cell>
          <cell r="W846">
            <v>40.691999999999993</v>
          </cell>
          <cell r="X846">
            <v>39.288000000000004</v>
          </cell>
          <cell r="Y846">
            <v>0.42222222222222222</v>
          </cell>
          <cell r="Z846">
            <v>78.408000000000001</v>
          </cell>
          <cell r="AA846">
            <v>77.14800000000001</v>
          </cell>
          <cell r="AW846">
            <v>4</v>
          </cell>
          <cell r="AX846">
            <v>4</v>
          </cell>
          <cell r="AY846">
            <v>4</v>
          </cell>
          <cell r="AZ846">
            <v>4</v>
          </cell>
          <cell r="BA846" t="str">
            <v>CONSORCIO NOVA ETE - PARQUE NOVO MUNDO</v>
          </cell>
          <cell r="BB846">
            <v>45845</v>
          </cell>
          <cell r="BC846">
            <v>2</v>
          </cell>
          <cell r="BD846" t="str">
            <v>seg</v>
          </cell>
          <cell r="BG846">
            <v>45842</v>
          </cell>
        </row>
        <row r="847">
          <cell r="A847">
            <v>1176</v>
          </cell>
          <cell r="B847">
            <v>798</v>
          </cell>
          <cell r="C847" t="str">
            <v>PLACAS PN-244 / PN-245</v>
          </cell>
          <cell r="D847">
            <v>7</v>
          </cell>
          <cell r="E847">
            <v>40</v>
          </cell>
          <cell r="F847">
            <v>24</v>
          </cell>
          <cell r="G847">
            <v>40</v>
          </cell>
          <cell r="H847">
            <v>0</v>
          </cell>
          <cell r="I847" t="str">
            <v>-</v>
          </cell>
          <cell r="J847" t="str">
            <v>650/650</v>
          </cell>
          <cell r="K847" t="str">
            <v xml:space="preserve">CPIII 40 RS </v>
          </cell>
          <cell r="L847" t="str">
            <v>CP V</v>
          </cell>
          <cell r="M847" t="str">
            <v>SUPER PLASTIFICANTE</v>
          </cell>
          <cell r="N847" t="str">
            <v>ETE - PARQUE NOVO MUNDO (REATORES NEREDA)</v>
          </cell>
          <cell r="O847" t="str">
            <v>FORTANKS</v>
          </cell>
          <cell r="P847">
            <v>8</v>
          </cell>
          <cell r="Q847" t="str">
            <v>Gean</v>
          </cell>
          <cell r="R847">
            <v>45842</v>
          </cell>
          <cell r="S847">
            <v>0.64583333333333337</v>
          </cell>
          <cell r="T847">
            <v>0.63583333333333336</v>
          </cell>
          <cell r="U847" t="str">
            <v>X</v>
          </cell>
          <cell r="V847">
            <v>0.30208333333333331</v>
          </cell>
          <cell r="W847">
            <v>49.943999999999996</v>
          </cell>
          <cell r="X847">
            <v>51.431999999999995</v>
          </cell>
          <cell r="Y847">
            <v>0.41944444444444445</v>
          </cell>
          <cell r="Z847">
            <v>84.551999999999992</v>
          </cell>
          <cell r="AA847">
            <v>84.311999999999998</v>
          </cell>
          <cell r="AW847">
            <v>4</v>
          </cell>
          <cell r="AX847">
            <v>4</v>
          </cell>
          <cell r="AY847">
            <v>4</v>
          </cell>
          <cell r="AZ847">
            <v>4</v>
          </cell>
          <cell r="BA847" t="str">
            <v>CONSORCIO NOVA ETE - PARQUE NOVO MUNDO</v>
          </cell>
          <cell r="BB847">
            <v>45845</v>
          </cell>
          <cell r="BC847">
            <v>2</v>
          </cell>
          <cell r="BD847" t="str">
            <v>seg</v>
          </cell>
          <cell r="BG847">
            <v>45842</v>
          </cell>
        </row>
        <row r="848">
          <cell r="A848" t="str">
            <v>1176-A</v>
          </cell>
          <cell r="B848">
            <v>798</v>
          </cell>
          <cell r="C848" t="str">
            <v>PLACAS - PR-PN-89 / PR-PN-90 / PR-PN-91 (CANALETA)</v>
          </cell>
          <cell r="D848">
            <v>7</v>
          </cell>
          <cell r="E848">
            <v>40</v>
          </cell>
          <cell r="F848">
            <v>15</v>
          </cell>
          <cell r="G848">
            <v>40</v>
          </cell>
          <cell r="H848">
            <v>0</v>
          </cell>
          <cell r="I848" t="str">
            <v>-</v>
          </cell>
          <cell r="J848" t="str">
            <v>650/650</v>
          </cell>
          <cell r="K848" t="str">
            <v xml:space="preserve">CPIII 40 RS </v>
          </cell>
          <cell r="L848" t="str">
            <v>CP V</v>
          </cell>
          <cell r="M848" t="str">
            <v>SUPER PLASTIFICANTE</v>
          </cell>
          <cell r="N848" t="str">
            <v>ETE - PARQUE NOVO MUNDO (REATORES NEREDA)</v>
          </cell>
          <cell r="O848" t="str">
            <v>FORTANKS</v>
          </cell>
          <cell r="P848">
            <v>8</v>
          </cell>
          <cell r="Q848" t="str">
            <v>Gean</v>
          </cell>
          <cell r="R848">
            <v>45842</v>
          </cell>
          <cell r="S848">
            <v>0.64583333333333337</v>
          </cell>
          <cell r="T848">
            <v>0.63583333333333336</v>
          </cell>
          <cell r="U848" t="str">
            <v>X</v>
          </cell>
          <cell r="V848">
            <v>0.30208333333333331</v>
          </cell>
          <cell r="W848">
            <v>23.04</v>
          </cell>
          <cell r="X848">
            <v>23.076000000000001</v>
          </cell>
          <cell r="Y848">
            <v>0.41944444444444445</v>
          </cell>
          <cell r="Z848">
            <v>84.55</v>
          </cell>
          <cell r="AA848">
            <v>84.31</v>
          </cell>
          <cell r="AW848">
            <v>4</v>
          </cell>
          <cell r="AX848">
            <v>4</v>
          </cell>
          <cell r="AY848">
            <v>4</v>
          </cell>
          <cell r="AZ848">
            <v>4</v>
          </cell>
          <cell r="BA848" t="str">
            <v>FORTES ENGENHARIA</v>
          </cell>
          <cell r="BB848">
            <v>45843</v>
          </cell>
          <cell r="BC848">
            <v>0</v>
          </cell>
          <cell r="BD848" t="str">
            <v>sáb</v>
          </cell>
          <cell r="BG848">
            <v>45842</v>
          </cell>
        </row>
        <row r="849">
          <cell r="A849">
            <v>1177</v>
          </cell>
          <cell r="B849">
            <v>799</v>
          </cell>
          <cell r="C849" t="str">
            <v>PLACAS - PR-PN-92 / PR-PN-94/ PR-PN-96 / PR-PN-100/ PR-PN-101 /PR-PNI-63 / PR-PN-102 / PR-PNI-69 / PR-PNI-75 (CANALETAS)</v>
          </cell>
          <cell r="D849">
            <v>8</v>
          </cell>
          <cell r="E849">
            <v>40</v>
          </cell>
          <cell r="F849">
            <v>15</v>
          </cell>
          <cell r="G849">
            <v>40</v>
          </cell>
          <cell r="H849">
            <v>0</v>
          </cell>
          <cell r="I849" t="str">
            <v>-</v>
          </cell>
          <cell r="J849" t="str">
            <v>680/680</v>
          </cell>
          <cell r="K849" t="str">
            <v xml:space="preserve">CPIII 40 RS </v>
          </cell>
          <cell r="L849" t="str">
            <v>CP V</v>
          </cell>
          <cell r="M849" t="str">
            <v>SUPER PLASTIFICANTE</v>
          </cell>
          <cell r="N849" t="str">
            <v>ETE - PROJETO SUCURIÚ - CLARIFICADOR PRIMARIO</v>
          </cell>
          <cell r="O849" t="str">
            <v>FORTANKS</v>
          </cell>
          <cell r="P849">
            <v>9</v>
          </cell>
          <cell r="Q849" t="str">
            <v>Gean</v>
          </cell>
          <cell r="R849">
            <v>45842</v>
          </cell>
          <cell r="S849">
            <v>0.67361111111111116</v>
          </cell>
          <cell r="T849">
            <v>0.66361111111111115</v>
          </cell>
          <cell r="U849" t="str">
            <v>X</v>
          </cell>
          <cell r="V849">
            <v>0.30555555555555558</v>
          </cell>
          <cell r="W849">
            <v>24.251999999999999</v>
          </cell>
          <cell r="X849">
            <v>23.987999999999996</v>
          </cell>
          <cell r="Y849">
            <v>0.41666666666666669</v>
          </cell>
          <cell r="Z849">
            <v>84.083999999999989</v>
          </cell>
          <cell r="AA849">
            <v>85.22399999999999</v>
          </cell>
          <cell r="AW849">
            <v>4</v>
          </cell>
          <cell r="AX849">
            <v>4</v>
          </cell>
          <cell r="AY849">
            <v>4</v>
          </cell>
          <cell r="AZ849">
            <v>4</v>
          </cell>
          <cell r="BA849" t="str">
            <v>FORTES ENGENHARIA</v>
          </cell>
          <cell r="BB849">
            <v>45843</v>
          </cell>
          <cell r="BC849">
            <v>0</v>
          </cell>
          <cell r="BD849" t="str">
            <v>sáb</v>
          </cell>
          <cell r="BG849">
            <v>45842</v>
          </cell>
        </row>
        <row r="850">
          <cell r="A850">
            <v>1178</v>
          </cell>
          <cell r="B850">
            <v>800</v>
          </cell>
          <cell r="C850" t="str">
            <v>PLACA PN-256</v>
          </cell>
          <cell r="D850">
            <v>6</v>
          </cell>
          <cell r="E850">
            <v>40</v>
          </cell>
          <cell r="F850">
            <v>24</v>
          </cell>
          <cell r="G850">
            <v>40</v>
          </cell>
          <cell r="H850">
            <v>0</v>
          </cell>
          <cell r="I850" t="str">
            <v>-</v>
          </cell>
          <cell r="J850" t="str">
            <v>650/650</v>
          </cell>
          <cell r="K850" t="str">
            <v xml:space="preserve">CPIII 40 RS </v>
          </cell>
          <cell r="L850" t="str">
            <v>CP V</v>
          </cell>
          <cell r="M850" t="str">
            <v>SUPER PLASTIFICANTE</v>
          </cell>
          <cell r="N850" t="str">
            <v>ETE - PARQUE NOVO MUNDO (REATORES NEREDA)</v>
          </cell>
          <cell r="O850" t="str">
            <v>FORTANKS</v>
          </cell>
          <cell r="P850">
            <v>1</v>
          </cell>
          <cell r="Q850" t="str">
            <v>Gean</v>
          </cell>
          <cell r="R850">
            <v>45848</v>
          </cell>
          <cell r="S850">
            <v>0.36805555555555558</v>
          </cell>
          <cell r="T850">
            <v>0.35805555555555557</v>
          </cell>
          <cell r="U850" t="str">
            <v>X</v>
          </cell>
          <cell r="V850">
            <v>0.3125</v>
          </cell>
          <cell r="W850">
            <v>26.98</v>
          </cell>
          <cell r="X850">
            <v>27.65</v>
          </cell>
          <cell r="Y850">
            <v>0.41944444444444445</v>
          </cell>
          <cell r="Z850">
            <v>82.416000000000011</v>
          </cell>
          <cell r="AA850">
            <v>83.963999999999999</v>
          </cell>
          <cell r="AW850">
            <v>4</v>
          </cell>
          <cell r="AX850">
            <v>4</v>
          </cell>
          <cell r="AY850">
            <v>4</v>
          </cell>
          <cell r="AZ850">
            <v>4</v>
          </cell>
          <cell r="BA850" t="str">
            <v>CONSORCIO NOVA ETE - PARQUE NOVO MUNDO</v>
          </cell>
          <cell r="BB850">
            <v>45849</v>
          </cell>
          <cell r="BC850">
            <v>0</v>
          </cell>
          <cell r="BD850" t="str">
            <v>sex</v>
          </cell>
          <cell r="BG850">
            <v>45848</v>
          </cell>
        </row>
        <row r="851">
          <cell r="A851" t="str">
            <v>1178-A</v>
          </cell>
          <cell r="B851">
            <v>800</v>
          </cell>
          <cell r="C851" t="str">
            <v>PLACA PR_PN-103</v>
          </cell>
          <cell r="D851">
            <v>6</v>
          </cell>
          <cell r="E851">
            <v>40</v>
          </cell>
          <cell r="F851">
            <v>24</v>
          </cell>
          <cell r="G851">
            <v>40</v>
          </cell>
          <cell r="H851">
            <v>0</v>
          </cell>
          <cell r="I851" t="str">
            <v>-</v>
          </cell>
          <cell r="J851" t="str">
            <v>650/650</v>
          </cell>
          <cell r="K851" t="str">
            <v xml:space="preserve">CPIII 40 RS </v>
          </cell>
          <cell r="L851" t="str">
            <v>CP V</v>
          </cell>
          <cell r="M851" t="str">
            <v>SUPER PLASTIFICANTE</v>
          </cell>
          <cell r="N851" t="str">
            <v>ETE - PROJETO SUCURIÚ - CLARIFICADOR PRIMARIO</v>
          </cell>
          <cell r="O851" t="str">
            <v>FORTANKS</v>
          </cell>
          <cell r="P851">
            <v>1</v>
          </cell>
          <cell r="Q851" t="str">
            <v>Gean</v>
          </cell>
          <cell r="R851">
            <v>45848</v>
          </cell>
          <cell r="S851">
            <v>0.36805555555555558</v>
          </cell>
          <cell r="T851">
            <v>0.35805555555555557</v>
          </cell>
          <cell r="U851" t="str">
            <v>X</v>
          </cell>
          <cell r="V851">
            <v>0.3125</v>
          </cell>
          <cell r="W851">
            <v>26.98</v>
          </cell>
          <cell r="X851">
            <v>27.65</v>
          </cell>
          <cell r="Y851">
            <v>0.41944444444444445</v>
          </cell>
          <cell r="Z851">
            <v>82.42</v>
          </cell>
          <cell r="AA851">
            <v>83.96</v>
          </cell>
          <cell r="AW851">
            <v>4</v>
          </cell>
          <cell r="AX851">
            <v>4</v>
          </cell>
          <cell r="AY851">
            <v>4</v>
          </cell>
          <cell r="AZ851">
            <v>4</v>
          </cell>
          <cell r="BA851" t="str">
            <v>FORTES ENGENHARIA</v>
          </cell>
          <cell r="BB851">
            <v>45849</v>
          </cell>
          <cell r="BC851">
            <v>0</v>
          </cell>
          <cell r="BD851" t="str">
            <v>sex</v>
          </cell>
          <cell r="BG851">
            <v>45848</v>
          </cell>
        </row>
        <row r="852">
          <cell r="A852">
            <v>1179</v>
          </cell>
          <cell r="B852">
            <v>801</v>
          </cell>
          <cell r="C852" t="str">
            <v>PLACAS PN-254 / PN-255</v>
          </cell>
          <cell r="D852">
            <v>7</v>
          </cell>
          <cell r="E852">
            <v>40</v>
          </cell>
          <cell r="F852">
            <v>24</v>
          </cell>
          <cell r="G852">
            <v>40</v>
          </cell>
          <cell r="H852">
            <v>0</v>
          </cell>
          <cell r="I852" t="str">
            <v>-</v>
          </cell>
          <cell r="J852" t="str">
            <v>660/650</v>
          </cell>
          <cell r="K852" t="str">
            <v xml:space="preserve">CPIII 40 RS </v>
          </cell>
          <cell r="L852" t="str">
            <v>CP V</v>
          </cell>
          <cell r="M852" t="str">
            <v>SUPER PLASTIFICANTE</v>
          </cell>
          <cell r="N852" t="str">
            <v>ETE - PARQUE NOVO MUNDO (REATORES NEREDA)</v>
          </cell>
          <cell r="O852" t="str">
            <v>FORTANKS</v>
          </cell>
          <cell r="P852">
            <v>2</v>
          </cell>
          <cell r="Q852" t="str">
            <v>Gean</v>
          </cell>
          <cell r="R852">
            <v>45848</v>
          </cell>
          <cell r="S852">
            <v>0.38194444444444442</v>
          </cell>
          <cell r="T852">
            <v>0.37194444444444441</v>
          </cell>
          <cell r="U852" t="str">
            <v>X</v>
          </cell>
          <cell r="V852">
            <v>0.31597222222222221</v>
          </cell>
          <cell r="W852">
            <v>31.667999999999999</v>
          </cell>
          <cell r="X852">
            <v>30.911999999999999</v>
          </cell>
          <cell r="Y852">
            <v>0.41666666666666669</v>
          </cell>
          <cell r="Z852">
            <v>84.671999999999997</v>
          </cell>
          <cell r="AA852">
            <v>84.995999999999995</v>
          </cell>
          <cell r="AW852">
            <v>4</v>
          </cell>
          <cell r="AX852">
            <v>4</v>
          </cell>
          <cell r="AY852">
            <v>4</v>
          </cell>
          <cell r="AZ852">
            <v>4</v>
          </cell>
          <cell r="BA852" t="str">
            <v>CONSORCIO NOVA ETE - PARQUE NOVO MUNDO</v>
          </cell>
          <cell r="BB852">
            <v>45849</v>
          </cell>
          <cell r="BC852">
            <v>0</v>
          </cell>
          <cell r="BD852" t="str">
            <v>sex</v>
          </cell>
          <cell r="BG852">
            <v>45848</v>
          </cell>
        </row>
        <row r="853">
          <cell r="A853">
            <v>1180</v>
          </cell>
          <cell r="B853">
            <v>802</v>
          </cell>
          <cell r="C853" t="str">
            <v>PLACAS PN-253 / PE-365(T4)</v>
          </cell>
          <cell r="D853">
            <v>7</v>
          </cell>
          <cell r="E853">
            <v>40</v>
          </cell>
          <cell r="F853">
            <v>24</v>
          </cell>
          <cell r="G853">
            <v>40</v>
          </cell>
          <cell r="H853">
            <v>0</v>
          </cell>
          <cell r="I853" t="str">
            <v>-</v>
          </cell>
          <cell r="J853" t="str">
            <v>660/660</v>
          </cell>
          <cell r="K853" t="str">
            <v xml:space="preserve">CPIII 40 RS </v>
          </cell>
          <cell r="L853" t="str">
            <v>CP V</v>
          </cell>
          <cell r="M853" t="str">
            <v>SUPER PLASTIFICANTE</v>
          </cell>
          <cell r="N853" t="str">
            <v>ETE - PARQUE NOVO MUNDO (REATORES NEREDA)</v>
          </cell>
          <cell r="O853" t="str">
            <v>FORTANKS</v>
          </cell>
          <cell r="P853">
            <v>3</v>
          </cell>
          <cell r="Q853" t="str">
            <v>Gean</v>
          </cell>
          <cell r="R853">
            <v>45848</v>
          </cell>
          <cell r="S853">
            <v>0.40625</v>
          </cell>
          <cell r="T853">
            <v>0.39624999999999999</v>
          </cell>
          <cell r="U853" t="str">
            <v>X</v>
          </cell>
          <cell r="V853">
            <v>0.31944444444444442</v>
          </cell>
          <cell r="W853">
            <v>33.06</v>
          </cell>
          <cell r="X853">
            <v>36.549999999999997</v>
          </cell>
          <cell r="Y853">
            <v>0.41944444444444445</v>
          </cell>
          <cell r="Z853">
            <v>84.804000000000002</v>
          </cell>
          <cell r="AA853">
            <v>84.287999999999997</v>
          </cell>
          <cell r="AW853">
            <v>4</v>
          </cell>
          <cell r="AX853">
            <v>4</v>
          </cell>
          <cell r="AY853">
            <v>4</v>
          </cell>
          <cell r="AZ853">
            <v>4</v>
          </cell>
          <cell r="BA853" t="str">
            <v>CONSORCIO NOVA ETE - PARQUE NOVO MUNDO</v>
          </cell>
          <cell r="BB853">
            <v>45849</v>
          </cell>
          <cell r="BC853">
            <v>0</v>
          </cell>
          <cell r="BD853" t="str">
            <v>sex</v>
          </cell>
          <cell r="BG853">
            <v>45848</v>
          </cell>
        </row>
        <row r="854">
          <cell r="A854">
            <v>1181</v>
          </cell>
          <cell r="B854">
            <v>803</v>
          </cell>
          <cell r="C854" t="str">
            <v>PLACAS PN-251 / PN-252</v>
          </cell>
          <cell r="D854">
            <v>7</v>
          </cell>
          <cell r="E854">
            <v>40</v>
          </cell>
          <cell r="F854">
            <v>24</v>
          </cell>
          <cell r="G854">
            <v>40</v>
          </cell>
          <cell r="H854">
            <v>0</v>
          </cell>
          <cell r="I854" t="str">
            <v>-</v>
          </cell>
          <cell r="J854" t="str">
            <v>650/650</v>
          </cell>
          <cell r="K854" t="str">
            <v xml:space="preserve">CPIII 40 RS </v>
          </cell>
          <cell r="L854" t="str">
            <v>CP V</v>
          </cell>
          <cell r="M854" t="str">
            <v>SUPER PLASTIFICANTE</v>
          </cell>
          <cell r="N854" t="str">
            <v>ETE - PARQUE NOVO MUNDO (REATORES NEREDA)</v>
          </cell>
          <cell r="O854" t="str">
            <v>FORTANKS</v>
          </cell>
          <cell r="P854">
            <v>4</v>
          </cell>
          <cell r="Q854" t="str">
            <v>Gean</v>
          </cell>
          <cell r="R854">
            <v>45848</v>
          </cell>
          <cell r="S854">
            <v>0.4236111111111111</v>
          </cell>
          <cell r="T854">
            <v>0.4136111111111111</v>
          </cell>
          <cell r="U854" t="str">
            <v>X</v>
          </cell>
          <cell r="V854">
            <v>0.32291666666666669</v>
          </cell>
          <cell r="W854">
            <v>38.363999999999997</v>
          </cell>
          <cell r="X854">
            <v>36.612000000000002</v>
          </cell>
          <cell r="Y854">
            <v>0.4201388888888889</v>
          </cell>
          <cell r="Z854">
            <v>83.616</v>
          </cell>
          <cell r="AA854">
            <v>84.072000000000003</v>
          </cell>
          <cell r="AW854">
            <v>4</v>
          </cell>
          <cell r="AX854">
            <v>4</v>
          </cell>
          <cell r="AY854">
            <v>4</v>
          </cell>
          <cell r="AZ854">
            <v>4</v>
          </cell>
          <cell r="BA854" t="str">
            <v>CONSORCIO NOVA ETE - PARQUE NOVO MUNDO</v>
          </cell>
          <cell r="BB854">
            <v>45849</v>
          </cell>
          <cell r="BC854">
            <v>0</v>
          </cell>
          <cell r="BD854" t="str">
            <v>sex</v>
          </cell>
          <cell r="BG854">
            <v>45848</v>
          </cell>
        </row>
        <row r="855">
          <cell r="A855">
            <v>1182</v>
          </cell>
          <cell r="B855">
            <v>804</v>
          </cell>
          <cell r="C855" t="str">
            <v>PLACA - PR_PN-103 (CANALETA)</v>
          </cell>
          <cell r="D855">
            <v>1</v>
          </cell>
          <cell r="E855">
            <v>40</v>
          </cell>
          <cell r="F855">
            <v>15</v>
          </cell>
          <cell r="G855">
            <v>40</v>
          </cell>
          <cell r="H855">
            <v>0</v>
          </cell>
          <cell r="I855" t="str">
            <v>-</v>
          </cell>
          <cell r="J855" t="str">
            <v>660/660</v>
          </cell>
          <cell r="K855" t="str">
            <v xml:space="preserve">CPIII 40 RS </v>
          </cell>
          <cell r="L855" t="str">
            <v>CP V</v>
          </cell>
          <cell r="M855" t="str">
            <v>SUPER PLASTIFICANTE</v>
          </cell>
          <cell r="N855" t="str">
            <v>ETE - PROJETO SUCURIÚ - CLARIFICADOR PRIMARIO</v>
          </cell>
          <cell r="O855" t="str">
            <v>FORTANKS</v>
          </cell>
          <cell r="P855">
            <v>5</v>
          </cell>
          <cell r="Q855" t="str">
            <v>Gean</v>
          </cell>
          <cell r="R855">
            <v>45848</v>
          </cell>
          <cell r="S855">
            <v>0.625</v>
          </cell>
          <cell r="T855">
            <v>0.61499999999999999</v>
          </cell>
          <cell r="U855" t="str">
            <v>X</v>
          </cell>
          <cell r="V855">
            <v>0.3263888888888889</v>
          </cell>
          <cell r="W855">
            <v>23.7</v>
          </cell>
          <cell r="X855">
            <v>24.179999999999996</v>
          </cell>
          <cell r="Y855">
            <v>0.4236111111111111</v>
          </cell>
          <cell r="Z855">
            <v>84.731999999999999</v>
          </cell>
          <cell r="AA855">
            <v>85.151999999999987</v>
          </cell>
          <cell r="AW855">
            <v>4</v>
          </cell>
          <cell r="AX855">
            <v>4</v>
          </cell>
          <cell r="AY855">
            <v>4</v>
          </cell>
          <cell r="AZ855">
            <v>4</v>
          </cell>
          <cell r="BA855" t="str">
            <v>FORTES ENGENHARIA</v>
          </cell>
          <cell r="BB855">
            <v>45849</v>
          </cell>
          <cell r="BD855" t="str">
            <v>sex</v>
          </cell>
          <cell r="BG855">
            <v>45848</v>
          </cell>
        </row>
        <row r="856">
          <cell r="A856">
            <v>1183</v>
          </cell>
          <cell r="B856">
            <v>805</v>
          </cell>
          <cell r="C856" t="str">
            <v>PLACA PN-263</v>
          </cell>
          <cell r="D856">
            <v>6</v>
          </cell>
          <cell r="E856">
            <v>40</v>
          </cell>
          <cell r="F856">
            <v>24</v>
          </cell>
          <cell r="G856">
            <v>40</v>
          </cell>
          <cell r="H856">
            <v>0</v>
          </cell>
          <cell r="I856" t="str">
            <v>-</v>
          </cell>
          <cell r="J856" t="str">
            <v>650/650</v>
          </cell>
          <cell r="K856" t="str">
            <v xml:space="preserve">CPIII 40 RS </v>
          </cell>
          <cell r="L856" t="str">
            <v>CP V</v>
          </cell>
          <cell r="M856" t="str">
            <v>SUPER PLASTIFICANTE</v>
          </cell>
          <cell r="N856" t="str">
            <v>ETE - PARQUE NOVO MUNDO (REATORES NEREDA)</v>
          </cell>
          <cell r="O856" t="str">
            <v>FORTANKS</v>
          </cell>
          <cell r="P856">
            <v>1</v>
          </cell>
          <cell r="Q856" t="str">
            <v>Gean</v>
          </cell>
          <cell r="R856">
            <v>45850</v>
          </cell>
          <cell r="S856">
            <v>0.46527777777777779</v>
          </cell>
          <cell r="T856">
            <v>0.45527777777777778</v>
          </cell>
          <cell r="U856" t="str">
            <v>X</v>
          </cell>
          <cell r="V856">
            <v>0.29166666666666669</v>
          </cell>
          <cell r="W856">
            <v>50.879999999999995</v>
          </cell>
          <cell r="X856">
            <v>50.34</v>
          </cell>
          <cell r="Y856">
            <v>0.43402777777777779</v>
          </cell>
          <cell r="Z856">
            <v>84.059999999999988</v>
          </cell>
          <cell r="AA856">
            <v>84.275999999999996</v>
          </cell>
          <cell r="AW856">
            <v>4</v>
          </cell>
          <cell r="AX856">
            <v>4</v>
          </cell>
          <cell r="AY856">
            <v>4</v>
          </cell>
          <cell r="AZ856">
            <v>4</v>
          </cell>
          <cell r="BA856" t="str">
            <v>CONSORCIO NOVA ETE - PARQUE NOVO MUNDO</v>
          </cell>
          <cell r="BB856">
            <v>45852</v>
          </cell>
          <cell r="BC856">
            <v>1</v>
          </cell>
          <cell r="BD856" t="str">
            <v>seg</v>
          </cell>
          <cell r="BG856">
            <v>45850</v>
          </cell>
        </row>
        <row r="857">
          <cell r="A857" t="str">
            <v>1183-A</v>
          </cell>
          <cell r="B857">
            <v>805</v>
          </cell>
          <cell r="C857" t="str">
            <v>PLACA PR_PN-104</v>
          </cell>
          <cell r="D857">
            <v>6</v>
          </cell>
          <cell r="E857">
            <v>40</v>
          </cell>
          <cell r="F857">
            <v>24</v>
          </cell>
          <cell r="G857">
            <v>40</v>
          </cell>
          <cell r="H857">
            <v>0</v>
          </cell>
          <cell r="I857" t="str">
            <v>-</v>
          </cell>
          <cell r="J857" t="str">
            <v>650/650</v>
          </cell>
          <cell r="K857" t="str">
            <v xml:space="preserve">CPIII 40 RS </v>
          </cell>
          <cell r="L857" t="str">
            <v>CP V</v>
          </cell>
          <cell r="M857" t="str">
            <v>SUPER PLASTIFICANTE</v>
          </cell>
          <cell r="N857" t="str">
            <v>ETE - PROJETO SUCURIÚ - CLARIFICADOR PRIMARIO</v>
          </cell>
          <cell r="O857" t="str">
            <v>FORTANKS</v>
          </cell>
          <cell r="P857">
            <v>1</v>
          </cell>
          <cell r="Q857" t="str">
            <v>Gean</v>
          </cell>
          <cell r="R857">
            <v>45850</v>
          </cell>
          <cell r="S857">
            <v>0.46527777777777779</v>
          </cell>
          <cell r="T857">
            <v>0.45527777777777778</v>
          </cell>
          <cell r="U857" t="str">
            <v>X</v>
          </cell>
          <cell r="V857">
            <v>0.29166666666666669</v>
          </cell>
          <cell r="W857">
            <v>50.879999999999995</v>
          </cell>
          <cell r="X857">
            <v>50.34</v>
          </cell>
          <cell r="Y857">
            <v>0.43402777777777779</v>
          </cell>
          <cell r="Z857">
            <v>84.06</v>
          </cell>
          <cell r="AA857">
            <v>84.28</v>
          </cell>
          <cell r="AW857">
            <v>4</v>
          </cell>
          <cell r="AX857">
            <v>4</v>
          </cell>
          <cell r="AY857">
            <v>4</v>
          </cell>
          <cell r="AZ857">
            <v>4</v>
          </cell>
          <cell r="BA857" t="str">
            <v>CONSORCIO NOVA ETE - PARQUE NOVO MUNDO</v>
          </cell>
          <cell r="BB857">
            <v>45852</v>
          </cell>
          <cell r="BC857">
            <v>1</v>
          </cell>
          <cell r="BD857" t="str">
            <v>seg</v>
          </cell>
          <cell r="BG857">
            <v>45850</v>
          </cell>
        </row>
        <row r="858">
          <cell r="A858">
            <v>1184</v>
          </cell>
          <cell r="B858">
            <v>806</v>
          </cell>
          <cell r="C858" t="str">
            <v>PLACAS  PN-261 / PN-262</v>
          </cell>
          <cell r="D858">
            <v>7</v>
          </cell>
          <cell r="E858">
            <v>40</v>
          </cell>
          <cell r="F858">
            <v>24</v>
          </cell>
          <cell r="G858">
            <v>40</v>
          </cell>
          <cell r="H858">
            <v>0</v>
          </cell>
          <cell r="I858" t="str">
            <v>-</v>
          </cell>
          <cell r="J858" t="str">
            <v>650/660</v>
          </cell>
          <cell r="K858" t="str">
            <v xml:space="preserve">CPIII 40 RS </v>
          </cell>
          <cell r="L858" t="str">
            <v>CP V</v>
          </cell>
          <cell r="M858" t="str">
            <v>SUPER PLASTIFICANTE</v>
          </cell>
          <cell r="N858" t="str">
            <v>ETE - PARQUE NOVO MUNDO (REATORES NEREDA)</v>
          </cell>
          <cell r="O858" t="str">
            <v>FORTANKS</v>
          </cell>
          <cell r="P858">
            <v>2</v>
          </cell>
          <cell r="Q858" t="str">
            <v>Gean</v>
          </cell>
          <cell r="R858">
            <v>45850</v>
          </cell>
          <cell r="S858">
            <v>0.59722222222222221</v>
          </cell>
          <cell r="T858">
            <v>0.5872222222222222</v>
          </cell>
          <cell r="U858" t="str">
            <v>X</v>
          </cell>
          <cell r="V858">
            <v>0.2951388888888889</v>
          </cell>
          <cell r="W858">
            <v>43.536000000000001</v>
          </cell>
          <cell r="X858">
            <v>43.775999999999996</v>
          </cell>
          <cell r="Y858">
            <v>0.4201388888888889</v>
          </cell>
          <cell r="Z858">
            <v>84.131999999999991</v>
          </cell>
          <cell r="AA858">
            <v>83.231999999999999</v>
          </cell>
          <cell r="AW858">
            <v>4</v>
          </cell>
          <cell r="AX858">
            <v>4</v>
          </cell>
          <cell r="AY858">
            <v>4</v>
          </cell>
          <cell r="AZ858">
            <v>4</v>
          </cell>
          <cell r="BA858" t="str">
            <v>CONSORCIO NOVA ETE - PARQUE NOVO MUNDO</v>
          </cell>
          <cell r="BB858">
            <v>45852</v>
          </cell>
          <cell r="BC858">
            <v>1</v>
          </cell>
          <cell r="BD858" t="str">
            <v>seg</v>
          </cell>
          <cell r="BG858">
            <v>45850</v>
          </cell>
        </row>
        <row r="859">
          <cell r="A859">
            <v>1185</v>
          </cell>
          <cell r="B859">
            <v>807</v>
          </cell>
          <cell r="C859" t="str">
            <v>PLACAS PE-302(T4) / PN-260</v>
          </cell>
          <cell r="D859">
            <v>7</v>
          </cell>
          <cell r="E859">
            <v>40</v>
          </cell>
          <cell r="F859">
            <v>24</v>
          </cell>
          <cell r="G859">
            <v>40</v>
          </cell>
          <cell r="H859">
            <v>0</v>
          </cell>
          <cell r="I859" t="str">
            <v>-</v>
          </cell>
          <cell r="J859" t="str">
            <v>660/660</v>
          </cell>
          <cell r="K859" t="str">
            <v xml:space="preserve">CPIII 40 RS </v>
          </cell>
          <cell r="L859" t="str">
            <v>CP V</v>
          </cell>
          <cell r="M859" t="str">
            <v>SUPER PLASTIFICANTE</v>
          </cell>
          <cell r="N859" t="str">
            <v>ETE - PARQUE NOVO MUNDO (REATORES NEREDA)</v>
          </cell>
          <cell r="O859" t="str">
            <v>FORTANKS</v>
          </cell>
          <cell r="P859">
            <v>3</v>
          </cell>
          <cell r="Q859" t="str">
            <v>Gean</v>
          </cell>
          <cell r="R859">
            <v>45850</v>
          </cell>
          <cell r="S859">
            <v>0.625</v>
          </cell>
          <cell r="T859">
            <v>0.61499999999999999</v>
          </cell>
          <cell r="U859" t="str">
            <v>X</v>
          </cell>
          <cell r="V859">
            <v>0.2986111111111111</v>
          </cell>
          <cell r="W859">
            <v>47.771999999999998</v>
          </cell>
          <cell r="X859">
            <v>50.351999999999997</v>
          </cell>
          <cell r="Y859">
            <v>0.42222222222222222</v>
          </cell>
          <cell r="Z859">
            <v>84.023999999999987</v>
          </cell>
          <cell r="AA859">
            <v>84.383999999999986</v>
          </cell>
          <cell r="AW859">
            <v>4</v>
          </cell>
          <cell r="AX859">
            <v>4</v>
          </cell>
          <cell r="AY859">
            <v>4</v>
          </cell>
          <cell r="AZ859">
            <v>4</v>
          </cell>
          <cell r="BA859" t="str">
            <v>CONSORCIO NOVA ETE - PARQUE NOVO MUNDO</v>
          </cell>
          <cell r="BB859">
            <v>45852</v>
          </cell>
          <cell r="BC859">
            <v>1</v>
          </cell>
          <cell r="BD859" t="str">
            <v>seg</v>
          </cell>
          <cell r="BG859">
            <v>45850</v>
          </cell>
        </row>
        <row r="860">
          <cell r="A860">
            <v>1186</v>
          </cell>
          <cell r="B860">
            <v>808</v>
          </cell>
          <cell r="C860" t="str">
            <v>PLACAS PN-258 / PN-259</v>
          </cell>
          <cell r="D860">
            <v>8.5</v>
          </cell>
          <cell r="E860">
            <v>40</v>
          </cell>
          <cell r="F860">
            <v>24</v>
          </cell>
          <cell r="G860">
            <v>40</v>
          </cell>
          <cell r="H860">
            <v>0</v>
          </cell>
          <cell r="I860" t="str">
            <v>-</v>
          </cell>
          <cell r="J860" t="str">
            <v>680/680</v>
          </cell>
          <cell r="K860" t="str">
            <v xml:space="preserve">CPIII 40 RS </v>
          </cell>
          <cell r="L860" t="str">
            <v>CP V</v>
          </cell>
          <cell r="M860" t="str">
            <v>SUPER PLASTIFICANTE</v>
          </cell>
          <cell r="N860" t="str">
            <v>ETE - PARQUE NOVO MUNDO (REATORES NEREDA)</v>
          </cell>
          <cell r="O860" t="str">
            <v>FORTANKS</v>
          </cell>
          <cell r="P860">
            <v>4</v>
          </cell>
          <cell r="Q860" t="str">
            <v>Gean</v>
          </cell>
          <cell r="R860">
            <v>45850</v>
          </cell>
          <cell r="S860">
            <v>0.65972222222222221</v>
          </cell>
          <cell r="T860">
            <v>0.6497222222222222</v>
          </cell>
          <cell r="U860" t="str">
            <v>X</v>
          </cell>
          <cell r="V860">
            <v>0.30208333333333331</v>
          </cell>
          <cell r="W860">
            <v>39.527999999999999</v>
          </cell>
          <cell r="X860">
            <v>38.052</v>
          </cell>
          <cell r="Y860">
            <v>0.41944444444444445</v>
          </cell>
          <cell r="Z860">
            <v>84.64800000000001</v>
          </cell>
          <cell r="AA860">
            <v>84.347999999999999</v>
          </cell>
          <cell r="AW860">
            <v>4</v>
          </cell>
          <cell r="AX860">
            <v>4</v>
          </cell>
          <cell r="AY860">
            <v>4</v>
          </cell>
          <cell r="AZ860">
            <v>4</v>
          </cell>
          <cell r="BA860" t="str">
            <v>CONSORCIO NOVA ETE - PARQUE NOVO MUNDO</v>
          </cell>
          <cell r="BB860">
            <v>45852</v>
          </cell>
          <cell r="BC860">
            <v>1</v>
          </cell>
          <cell r="BD860" t="str">
            <v>seg</v>
          </cell>
          <cell r="BG860">
            <v>45850</v>
          </cell>
        </row>
        <row r="861">
          <cell r="A861" t="str">
            <v>1186-A</v>
          </cell>
          <cell r="B861">
            <v>808</v>
          </cell>
          <cell r="C861" t="str">
            <v>PLACAS PR_PN-104 (CANALETA)</v>
          </cell>
          <cell r="D861">
            <v>8.5</v>
          </cell>
          <cell r="E861">
            <v>40</v>
          </cell>
          <cell r="F861">
            <v>24</v>
          </cell>
          <cell r="G861">
            <v>40</v>
          </cell>
          <cell r="H861">
            <v>0</v>
          </cell>
          <cell r="I861" t="str">
            <v>-</v>
          </cell>
          <cell r="J861" t="str">
            <v>680/680</v>
          </cell>
          <cell r="K861" t="str">
            <v xml:space="preserve">CPIII 40 RS </v>
          </cell>
          <cell r="L861" t="str">
            <v>CP V</v>
          </cell>
          <cell r="M861" t="str">
            <v>SUPER PLASTIFICANTE</v>
          </cell>
          <cell r="N861" t="str">
            <v>ETE - PROJETO SUCURIÚ - CLARIFICADOR PRIMARIO</v>
          </cell>
          <cell r="O861" t="str">
            <v>FORTANKS</v>
          </cell>
          <cell r="P861">
            <v>4</v>
          </cell>
          <cell r="Q861" t="str">
            <v>Gean</v>
          </cell>
          <cell r="R861">
            <v>45850</v>
          </cell>
          <cell r="S861">
            <v>0.65972222222222221</v>
          </cell>
          <cell r="T861">
            <v>0.6497222222222222</v>
          </cell>
          <cell r="U861" t="str">
            <v>X</v>
          </cell>
          <cell r="V861">
            <v>0.30208333333333331</v>
          </cell>
          <cell r="W861">
            <v>39.527999999999999</v>
          </cell>
          <cell r="X861">
            <v>38.052</v>
          </cell>
          <cell r="Y861">
            <v>0.41944444444444445</v>
          </cell>
          <cell r="Z861">
            <v>84.65</v>
          </cell>
          <cell r="AA861">
            <v>84.35</v>
          </cell>
          <cell r="AW861">
            <v>4</v>
          </cell>
          <cell r="AX861">
            <v>4</v>
          </cell>
          <cell r="AY861">
            <v>4</v>
          </cell>
          <cell r="AZ861">
            <v>4</v>
          </cell>
          <cell r="BA861" t="str">
            <v>FORTES ENGENHARIA</v>
          </cell>
          <cell r="BB861">
            <v>45852</v>
          </cell>
          <cell r="BC861">
            <v>1</v>
          </cell>
          <cell r="BD861" t="str">
            <v>seg</v>
          </cell>
          <cell r="BG861">
            <v>45850</v>
          </cell>
        </row>
        <row r="862">
          <cell r="A862">
            <v>1187</v>
          </cell>
          <cell r="B862">
            <v>809</v>
          </cell>
          <cell r="C862" t="str">
            <v>PLACA PN-269</v>
          </cell>
          <cell r="D862">
            <v>6</v>
          </cell>
          <cell r="E862">
            <v>40</v>
          </cell>
          <cell r="F862">
            <v>24</v>
          </cell>
          <cell r="G862">
            <v>40</v>
          </cell>
          <cell r="H862">
            <v>0</v>
          </cell>
          <cell r="I862" t="str">
            <v>-</v>
          </cell>
          <cell r="J862" t="str">
            <v>650/660</v>
          </cell>
          <cell r="K862" t="str">
            <v xml:space="preserve">CPIII 40 RS </v>
          </cell>
          <cell r="L862" t="str">
            <v>CP V</v>
          </cell>
          <cell r="M862" t="str">
            <v>SUPER PLASTIFICANTE</v>
          </cell>
          <cell r="N862" t="str">
            <v>ETE - PARQUE NOVO MUNDO (REATORES NEREDA)</v>
          </cell>
          <cell r="O862" t="str">
            <v>FORTANKS</v>
          </cell>
          <cell r="P862">
            <v>1</v>
          </cell>
          <cell r="Q862" t="str">
            <v>Gean</v>
          </cell>
          <cell r="R862">
            <v>45853</v>
          </cell>
          <cell r="S862">
            <v>0.375</v>
          </cell>
          <cell r="T862">
            <v>0.36499999999999999</v>
          </cell>
          <cell r="U862" t="str">
            <v>X</v>
          </cell>
          <cell r="V862">
            <v>0.3125</v>
          </cell>
          <cell r="W862">
            <v>36.587999999999994</v>
          </cell>
          <cell r="X862">
            <v>35.687999999999995</v>
          </cell>
          <cell r="Y862">
            <v>0.41666666666666669</v>
          </cell>
          <cell r="Z862">
            <v>86.831999999999994</v>
          </cell>
          <cell r="AA862">
            <v>85.872</v>
          </cell>
          <cell r="AW862">
            <v>4</v>
          </cell>
          <cell r="AX862">
            <v>4</v>
          </cell>
          <cell r="AY862">
            <v>4</v>
          </cell>
          <cell r="AZ862">
            <v>4</v>
          </cell>
          <cell r="BA862" t="str">
            <v>CONSORCIO NOVA ETE - PARQUE NOVO MUNDO</v>
          </cell>
          <cell r="BB862">
            <v>45855</v>
          </cell>
          <cell r="BC862">
            <v>1</v>
          </cell>
          <cell r="BD862" t="str">
            <v>qui</v>
          </cell>
          <cell r="BG862">
            <v>45853</v>
          </cell>
        </row>
        <row r="863">
          <cell r="A863" t="str">
            <v>1187-A</v>
          </cell>
          <cell r="B863">
            <v>809</v>
          </cell>
          <cell r="C863" t="str">
            <v>PLACA PR_PN-106</v>
          </cell>
          <cell r="D863">
            <v>6</v>
          </cell>
          <cell r="E863">
            <v>40</v>
          </cell>
          <cell r="F863">
            <v>24</v>
          </cell>
          <cell r="G863">
            <v>40</v>
          </cell>
          <cell r="H863">
            <v>0</v>
          </cell>
          <cell r="I863" t="str">
            <v>-</v>
          </cell>
          <cell r="J863" t="str">
            <v>650/660</v>
          </cell>
          <cell r="K863" t="str">
            <v xml:space="preserve">CPIII 40 RS </v>
          </cell>
          <cell r="L863" t="str">
            <v>CP V</v>
          </cell>
          <cell r="M863" t="str">
            <v>SUPER PLASTIFICANTE</v>
          </cell>
          <cell r="N863" t="str">
            <v>ETE - PROJETO SUCURIÚ - CLARIFICADOR PRIMARIO</v>
          </cell>
          <cell r="O863" t="str">
            <v>FORTANKS</v>
          </cell>
          <cell r="P863">
            <v>1</v>
          </cell>
          <cell r="Q863" t="str">
            <v>Gean</v>
          </cell>
          <cell r="R863">
            <v>45853</v>
          </cell>
          <cell r="S863">
            <v>0.375</v>
          </cell>
          <cell r="T863">
            <v>0.36499999999999999</v>
          </cell>
          <cell r="U863" t="str">
            <v>X</v>
          </cell>
          <cell r="V863">
            <v>0.3125</v>
          </cell>
          <cell r="W863">
            <v>36.587999999999994</v>
          </cell>
          <cell r="X863">
            <v>35.687999999999995</v>
          </cell>
          <cell r="Y863">
            <v>0.41944444444444445</v>
          </cell>
          <cell r="Z863">
            <v>86.83</v>
          </cell>
          <cell r="AA863">
            <v>85.87</v>
          </cell>
          <cell r="AW863">
            <v>4</v>
          </cell>
          <cell r="AX863">
            <v>4</v>
          </cell>
          <cell r="AY863">
            <v>4</v>
          </cell>
          <cell r="AZ863">
            <v>4</v>
          </cell>
          <cell r="BA863" t="str">
            <v>FORTES ENGENHARIA</v>
          </cell>
          <cell r="BB863">
            <v>45855</v>
          </cell>
          <cell r="BC863">
            <v>1</v>
          </cell>
          <cell r="BD863" t="str">
            <v>qui</v>
          </cell>
          <cell r="BG863">
            <v>45853</v>
          </cell>
        </row>
        <row r="864">
          <cell r="A864">
            <v>1188</v>
          </cell>
          <cell r="B864">
            <v>810</v>
          </cell>
          <cell r="C864" t="str">
            <v>PLACAS PN-267 / PN-268</v>
          </cell>
          <cell r="D864">
            <v>7</v>
          </cell>
          <cell r="E864">
            <v>40</v>
          </cell>
          <cell r="F864">
            <v>24</v>
          </cell>
          <cell r="G864">
            <v>40</v>
          </cell>
          <cell r="H864">
            <v>0</v>
          </cell>
          <cell r="I864" t="str">
            <v>-</v>
          </cell>
          <cell r="J864" t="str">
            <v>650/660</v>
          </cell>
          <cell r="K864" t="str">
            <v xml:space="preserve">CPIII 40 RS </v>
          </cell>
          <cell r="L864" t="str">
            <v>CP V</v>
          </cell>
          <cell r="M864" t="str">
            <v>SUPER PLASTIFICANTE</v>
          </cell>
          <cell r="N864" t="str">
            <v>ETE - PARQUE NOVO MUNDO (REATORES NEREDA)</v>
          </cell>
          <cell r="O864" t="str">
            <v>FORTANKS</v>
          </cell>
          <cell r="P864">
            <v>2</v>
          </cell>
          <cell r="Q864" t="str">
            <v>Gean</v>
          </cell>
          <cell r="R864">
            <v>45853</v>
          </cell>
          <cell r="S864">
            <v>0.39583333333333331</v>
          </cell>
          <cell r="T864">
            <v>0.38583333333333331</v>
          </cell>
          <cell r="U864" t="str">
            <v>X</v>
          </cell>
          <cell r="V864">
            <v>0.31597222222222221</v>
          </cell>
          <cell r="W864">
            <v>36.792000000000002</v>
          </cell>
          <cell r="X864">
            <v>35.195999999999998</v>
          </cell>
          <cell r="Y864">
            <v>0.41944444444444445</v>
          </cell>
          <cell r="Z864">
            <v>84.167999999999992</v>
          </cell>
          <cell r="AA864">
            <v>84.683999999999983</v>
          </cell>
          <cell r="AW864">
            <v>4</v>
          </cell>
          <cell r="AX864">
            <v>4</v>
          </cell>
          <cell r="AY864">
            <v>4</v>
          </cell>
          <cell r="AZ864">
            <v>4</v>
          </cell>
          <cell r="BA864" t="str">
            <v>CONSORCIO NOVA ETE - PARQUE NOVO MUNDO</v>
          </cell>
          <cell r="BB864">
            <v>45855</v>
          </cell>
          <cell r="BC864">
            <v>1</v>
          </cell>
          <cell r="BD864" t="str">
            <v>qui</v>
          </cell>
          <cell r="BG864">
            <v>45853</v>
          </cell>
        </row>
        <row r="865">
          <cell r="A865">
            <v>1189</v>
          </cell>
          <cell r="B865">
            <v>811</v>
          </cell>
          <cell r="C865" t="str">
            <v>PLACAS PN-266 / PE-351(T4)</v>
          </cell>
          <cell r="D865">
            <v>7</v>
          </cell>
          <cell r="E865">
            <v>40</v>
          </cell>
          <cell r="F865">
            <v>24</v>
          </cell>
          <cell r="G865">
            <v>40</v>
          </cell>
          <cell r="H865">
            <v>0</v>
          </cell>
          <cell r="I865" t="str">
            <v>-</v>
          </cell>
          <cell r="J865" t="str">
            <v>660/650</v>
          </cell>
          <cell r="K865" t="str">
            <v xml:space="preserve">CPIII 40 RS </v>
          </cell>
          <cell r="L865" t="str">
            <v>CP V</v>
          </cell>
          <cell r="M865" t="str">
            <v>SUPER PLASTIFICANTE</v>
          </cell>
          <cell r="N865" t="str">
            <v>ETE - PARQUE NOVO MUNDO (REATORES NEREDA)</v>
          </cell>
          <cell r="O865" t="str">
            <v>FORTANKS</v>
          </cell>
          <cell r="P865">
            <v>3</v>
          </cell>
          <cell r="Q865" t="str">
            <v>Gean</v>
          </cell>
          <cell r="R865">
            <v>45853</v>
          </cell>
          <cell r="S865">
            <v>0.41666666666666669</v>
          </cell>
          <cell r="T865">
            <v>0.40666666666666668</v>
          </cell>
          <cell r="U865" t="str">
            <v>X</v>
          </cell>
          <cell r="V865">
            <v>0.31944444444444442</v>
          </cell>
          <cell r="W865">
            <v>35.676000000000002</v>
          </cell>
          <cell r="X865">
            <v>36.72</v>
          </cell>
          <cell r="Y865">
            <v>0.41666666666666669</v>
          </cell>
          <cell r="Z865">
            <v>83.34</v>
          </cell>
          <cell r="AA865">
            <v>83.1</v>
          </cell>
          <cell r="AW865">
            <v>4</v>
          </cell>
          <cell r="AX865">
            <v>4</v>
          </cell>
          <cell r="AY865">
            <v>4</v>
          </cell>
          <cell r="AZ865">
            <v>4</v>
          </cell>
          <cell r="BA865" t="str">
            <v>CONSORCIO NOVA ETE - PARQUE NOVO MUNDO</v>
          </cell>
          <cell r="BB865">
            <v>45855</v>
          </cell>
          <cell r="BC865">
            <v>1</v>
          </cell>
          <cell r="BD865" t="str">
            <v>qui</v>
          </cell>
          <cell r="BG865">
            <v>45853</v>
          </cell>
        </row>
        <row r="866">
          <cell r="A866">
            <v>1190</v>
          </cell>
          <cell r="B866">
            <v>812</v>
          </cell>
          <cell r="C866" t="str">
            <v>PLACAS PN-264 / PN-265</v>
          </cell>
          <cell r="D866">
            <v>7</v>
          </cell>
          <cell r="E866">
            <v>40</v>
          </cell>
          <cell r="F866">
            <v>24</v>
          </cell>
          <cell r="G866">
            <v>40</v>
          </cell>
          <cell r="H866">
            <v>0</v>
          </cell>
          <cell r="I866" t="str">
            <v>-</v>
          </cell>
          <cell r="J866" t="str">
            <v>680/670</v>
          </cell>
          <cell r="K866" t="str">
            <v xml:space="preserve">CPIII 40 RS </v>
          </cell>
          <cell r="L866" t="str">
            <v>CP V</v>
          </cell>
          <cell r="M866" t="str">
            <v>SUPER PLASTIFICANTE</v>
          </cell>
          <cell r="N866" t="str">
            <v>ETE - PARQUE NOVO MUNDO (REATORES NEREDA)</v>
          </cell>
          <cell r="O866" t="str">
            <v>FORTANKS</v>
          </cell>
          <cell r="P866">
            <v>4</v>
          </cell>
          <cell r="Q866" t="str">
            <v>Gean</v>
          </cell>
          <cell r="R866">
            <v>45853</v>
          </cell>
          <cell r="S866">
            <v>0.45833333333333331</v>
          </cell>
          <cell r="T866">
            <v>0.44833333333333331</v>
          </cell>
          <cell r="U866" t="str">
            <v>X</v>
          </cell>
          <cell r="V866">
            <v>0.32291666666666669</v>
          </cell>
          <cell r="W866">
            <v>35.663999999999994</v>
          </cell>
          <cell r="X866">
            <v>36.72</v>
          </cell>
          <cell r="Y866">
            <v>0.41944444444444445</v>
          </cell>
          <cell r="Z866">
            <v>84.287999999999997</v>
          </cell>
          <cell r="AA866">
            <v>84.64800000000001</v>
          </cell>
          <cell r="AW866">
            <v>4</v>
          </cell>
          <cell r="AX866">
            <v>4</v>
          </cell>
          <cell r="AY866">
            <v>4</v>
          </cell>
          <cell r="AZ866">
            <v>4</v>
          </cell>
          <cell r="BA866" t="str">
            <v>CONSORCIO NOVA ETE - PARQUE NOVO MUNDO</v>
          </cell>
          <cell r="BB866">
            <v>45855</v>
          </cell>
          <cell r="BC866">
            <v>1</v>
          </cell>
          <cell r="BD866" t="str">
            <v>qui</v>
          </cell>
          <cell r="BG866">
            <v>45853</v>
          </cell>
        </row>
        <row r="867">
          <cell r="A867">
            <v>1191</v>
          </cell>
          <cell r="B867">
            <v>813</v>
          </cell>
          <cell r="C867" t="str">
            <v>PLACA PR_PN-106 (CANALETA)</v>
          </cell>
          <cell r="D867">
            <v>1</v>
          </cell>
          <cell r="E867">
            <v>40</v>
          </cell>
          <cell r="F867">
            <v>15</v>
          </cell>
          <cell r="G867">
            <v>40</v>
          </cell>
          <cell r="H867">
            <v>0</v>
          </cell>
          <cell r="I867" t="str">
            <v>-</v>
          </cell>
          <cell r="J867" t="str">
            <v>650/650</v>
          </cell>
          <cell r="K867" t="str">
            <v xml:space="preserve">CPIII 40 RS </v>
          </cell>
          <cell r="L867" t="str">
            <v>CP V</v>
          </cell>
          <cell r="M867" t="str">
            <v>SUPER PLASTIFICANTE</v>
          </cell>
          <cell r="N867" t="str">
            <v>ETE - PROJETO SUCURIÚ - CLARIFICADOR PRIMARIO</v>
          </cell>
          <cell r="O867" t="str">
            <v>FORTANKS</v>
          </cell>
          <cell r="P867">
            <v>5</v>
          </cell>
          <cell r="Q867" t="str">
            <v>Gean</v>
          </cell>
          <cell r="R867">
            <v>45853</v>
          </cell>
          <cell r="S867">
            <v>0.625</v>
          </cell>
          <cell r="T867">
            <v>0.61499999999999999</v>
          </cell>
          <cell r="U867" t="str">
            <v>X</v>
          </cell>
          <cell r="V867">
            <v>0.3263888888888889</v>
          </cell>
          <cell r="W867">
            <v>15.96</v>
          </cell>
          <cell r="X867">
            <v>18.047999999999998</v>
          </cell>
          <cell r="Y867">
            <v>0.4201388888888889</v>
          </cell>
          <cell r="Z867">
            <v>85.355999999999995</v>
          </cell>
          <cell r="AA867">
            <v>85.128</v>
          </cell>
          <cell r="AW867">
            <v>4</v>
          </cell>
          <cell r="AX867">
            <v>4</v>
          </cell>
          <cell r="AY867">
            <v>4</v>
          </cell>
          <cell r="AZ867">
            <v>4</v>
          </cell>
          <cell r="BA867" t="str">
            <v>FORTES ENGENHARIA</v>
          </cell>
          <cell r="BB867">
            <v>45855</v>
          </cell>
          <cell r="BC867">
            <v>1</v>
          </cell>
          <cell r="BD867" t="str">
            <v>qui</v>
          </cell>
          <cell r="BG867">
            <v>45853</v>
          </cell>
        </row>
        <row r="868">
          <cell r="A868">
            <v>1192</v>
          </cell>
          <cell r="B868">
            <v>814</v>
          </cell>
          <cell r="C868" t="str">
            <v>PLACA PN-270</v>
          </cell>
          <cell r="D868">
            <v>6</v>
          </cell>
          <cell r="E868">
            <v>40</v>
          </cell>
          <cell r="F868">
            <v>24</v>
          </cell>
          <cell r="G868">
            <v>40</v>
          </cell>
          <cell r="H868">
            <v>0</v>
          </cell>
          <cell r="I868" t="str">
            <v>-</v>
          </cell>
          <cell r="J868" t="str">
            <v>650/660</v>
          </cell>
          <cell r="K868" t="str">
            <v xml:space="preserve">CPIII 40 RS </v>
          </cell>
          <cell r="L868" t="str">
            <v>CP V</v>
          </cell>
          <cell r="M868" t="str">
            <v>SUPER PLASTIFICANTE</v>
          </cell>
          <cell r="N868" t="str">
            <v>ETE - PARQUE NOVO MUNDO (REATORES NEREDA)</v>
          </cell>
          <cell r="O868" t="str">
            <v>FORTANKS</v>
          </cell>
          <cell r="P868">
            <v>1</v>
          </cell>
          <cell r="Q868" t="str">
            <v>Gean</v>
          </cell>
          <cell r="R868">
            <v>45854</v>
          </cell>
          <cell r="S868">
            <v>0.41666666666666669</v>
          </cell>
          <cell r="T868">
            <v>0.40666666666666668</v>
          </cell>
          <cell r="U868" t="str">
            <v>X</v>
          </cell>
          <cell r="V868">
            <v>0.3125</v>
          </cell>
          <cell r="W868">
            <v>31.979999999999997</v>
          </cell>
          <cell r="X868">
            <v>33.36</v>
          </cell>
          <cell r="Y868">
            <v>0.4236111111111111</v>
          </cell>
          <cell r="Z868">
            <v>84.983999999999995</v>
          </cell>
          <cell r="AA868">
            <v>84.468000000000004</v>
          </cell>
          <cell r="AW868">
            <v>4</v>
          </cell>
          <cell r="AX868">
            <v>4</v>
          </cell>
          <cell r="AY868">
            <v>4</v>
          </cell>
          <cell r="AZ868">
            <v>4</v>
          </cell>
          <cell r="BA868" t="str">
            <v>CONSORCIO NOVA ETE - PARQUE NOVO MUNDO</v>
          </cell>
          <cell r="BB868">
            <v>45855</v>
          </cell>
          <cell r="BD868" t="str">
            <v>qui</v>
          </cell>
          <cell r="BG868">
            <v>45854</v>
          </cell>
        </row>
        <row r="869">
          <cell r="A869" t="str">
            <v>1192-A</v>
          </cell>
          <cell r="B869">
            <v>814</v>
          </cell>
          <cell r="C869" t="str">
            <v>PLACA PR_PNI-81</v>
          </cell>
          <cell r="D869">
            <v>6</v>
          </cell>
          <cell r="E869">
            <v>40</v>
          </cell>
          <cell r="F869">
            <v>24</v>
          </cell>
          <cell r="G869">
            <v>40</v>
          </cell>
          <cell r="H869">
            <v>0</v>
          </cell>
          <cell r="I869" t="str">
            <v>-</v>
          </cell>
          <cell r="J869" t="str">
            <v>650/660</v>
          </cell>
          <cell r="K869" t="str">
            <v xml:space="preserve">CPIII 40 RS </v>
          </cell>
          <cell r="L869" t="str">
            <v>CP V</v>
          </cell>
          <cell r="M869" t="str">
            <v>SUPER PLASTIFICANTE</v>
          </cell>
          <cell r="N869" t="str">
            <v>ETE - PROJETO SUCURIÚ - CLARIFICADOR PRIMARIO</v>
          </cell>
          <cell r="O869" t="str">
            <v>FORTANKS</v>
          </cell>
          <cell r="P869">
            <v>1</v>
          </cell>
          <cell r="Q869" t="str">
            <v>Gean</v>
          </cell>
          <cell r="R869">
            <v>45854</v>
          </cell>
          <cell r="S869">
            <v>0.41666666666666669</v>
          </cell>
          <cell r="T869">
            <v>0.40666666666666668</v>
          </cell>
          <cell r="U869" t="str">
            <v>X</v>
          </cell>
          <cell r="V869">
            <v>0.3125</v>
          </cell>
          <cell r="W869">
            <v>31.979999999999997</v>
          </cell>
          <cell r="X869">
            <v>33.36</v>
          </cell>
          <cell r="Y869">
            <v>0.43402777777777779</v>
          </cell>
          <cell r="Z869">
            <v>84.98</v>
          </cell>
          <cell r="AA869">
            <v>84.47</v>
          </cell>
          <cell r="AW869">
            <v>4</v>
          </cell>
          <cell r="AX869">
            <v>4</v>
          </cell>
          <cell r="AY869">
            <v>4</v>
          </cell>
          <cell r="AZ869">
            <v>4</v>
          </cell>
          <cell r="BA869" t="str">
            <v>FORTES ENGENHARIA</v>
          </cell>
          <cell r="BB869">
            <v>45855</v>
          </cell>
          <cell r="BD869" t="str">
            <v>qui</v>
          </cell>
          <cell r="BG869">
            <v>45854</v>
          </cell>
        </row>
        <row r="870">
          <cell r="A870">
            <v>1193</v>
          </cell>
          <cell r="B870">
            <v>815</v>
          </cell>
          <cell r="C870" t="str">
            <v xml:space="preserve">PLACAS PN-271 / PN-272 </v>
          </cell>
          <cell r="D870">
            <v>7</v>
          </cell>
          <cell r="E870">
            <v>40</v>
          </cell>
          <cell r="F870">
            <v>24</v>
          </cell>
          <cell r="G870">
            <v>40</v>
          </cell>
          <cell r="H870">
            <v>0</v>
          </cell>
          <cell r="I870" t="str">
            <v>-</v>
          </cell>
          <cell r="J870" t="str">
            <v>670/670</v>
          </cell>
          <cell r="K870" t="str">
            <v xml:space="preserve">CPIII 40 RS </v>
          </cell>
          <cell r="L870" t="str">
            <v>CP V</v>
          </cell>
          <cell r="M870" t="str">
            <v>SUPER PLASTIFICANTE</v>
          </cell>
          <cell r="N870" t="str">
            <v>ETE - PARQUE NOVO MUNDO (REATORES NEREDA)</v>
          </cell>
          <cell r="O870" t="str">
            <v>FORTANKS</v>
          </cell>
          <cell r="P870">
            <v>2</v>
          </cell>
          <cell r="Q870" t="str">
            <v>Gean</v>
          </cell>
          <cell r="R870">
            <v>45854</v>
          </cell>
          <cell r="S870">
            <v>0.48958333333333331</v>
          </cell>
          <cell r="T870">
            <v>0.47958333333333331</v>
          </cell>
          <cell r="U870" t="str">
            <v>X</v>
          </cell>
          <cell r="V870">
            <v>0.31944444444444442</v>
          </cell>
          <cell r="W870">
            <v>26.747999999999998</v>
          </cell>
          <cell r="X870">
            <v>28.068000000000001</v>
          </cell>
          <cell r="Y870">
            <v>0.43402777777777779</v>
          </cell>
          <cell r="Z870">
            <v>84.012</v>
          </cell>
          <cell r="AA870">
            <v>84.323999999999998</v>
          </cell>
          <cell r="AW870">
            <v>4</v>
          </cell>
          <cell r="AX870">
            <v>4</v>
          </cell>
          <cell r="AY870">
            <v>4</v>
          </cell>
          <cell r="AZ870">
            <v>4</v>
          </cell>
          <cell r="BA870" t="str">
            <v>CONSORCIO NOVA ETE - PARQUE NOVO MUNDO</v>
          </cell>
          <cell r="BB870">
            <v>45855</v>
          </cell>
          <cell r="BD870" t="str">
            <v>qui</v>
          </cell>
          <cell r="BG870">
            <v>45854</v>
          </cell>
        </row>
        <row r="871">
          <cell r="A871">
            <v>1194</v>
          </cell>
          <cell r="B871">
            <v>816</v>
          </cell>
          <cell r="C871" t="str">
            <v>PLACAS PN-274 / PN-275</v>
          </cell>
          <cell r="D871">
            <v>7</v>
          </cell>
          <cell r="E871">
            <v>40</v>
          </cell>
          <cell r="F871">
            <v>24</v>
          </cell>
          <cell r="G871">
            <v>40</v>
          </cell>
          <cell r="H871">
            <v>0</v>
          </cell>
          <cell r="I871" t="str">
            <v>-</v>
          </cell>
          <cell r="J871" t="str">
            <v>660/660</v>
          </cell>
          <cell r="K871" t="str">
            <v xml:space="preserve">CPIII 40 RS </v>
          </cell>
          <cell r="L871" t="str">
            <v>CP V</v>
          </cell>
          <cell r="M871" t="str">
            <v>SUPER PLASTIFICANTE</v>
          </cell>
          <cell r="N871" t="str">
            <v>ETE - PARQUE NOVO MUNDO (REATORES NEREDA)</v>
          </cell>
          <cell r="O871" t="str">
            <v>FORTANKS</v>
          </cell>
          <cell r="P871">
            <v>3</v>
          </cell>
          <cell r="Q871" t="str">
            <v>Gean</v>
          </cell>
          <cell r="R871">
            <v>45854</v>
          </cell>
          <cell r="S871">
            <v>0.59027777777777779</v>
          </cell>
          <cell r="T871">
            <v>0.58027777777777778</v>
          </cell>
          <cell r="U871" t="str">
            <v>X</v>
          </cell>
          <cell r="V871">
            <v>0.32291666666666669</v>
          </cell>
          <cell r="W871">
            <v>32.304000000000002</v>
          </cell>
          <cell r="X871">
            <v>30.023999999999997</v>
          </cell>
          <cell r="Y871">
            <v>0.4201388888888889</v>
          </cell>
          <cell r="Z871">
            <v>85.116</v>
          </cell>
          <cell r="AA871">
            <v>84.612000000000009</v>
          </cell>
          <cell r="AW871">
            <v>4</v>
          </cell>
          <cell r="AX871">
            <v>4</v>
          </cell>
          <cell r="AY871">
            <v>4</v>
          </cell>
          <cell r="AZ871">
            <v>4</v>
          </cell>
          <cell r="BA871" t="str">
            <v>CONSORCIO NOVA ETE - PARQUE NOVO MUNDO</v>
          </cell>
          <cell r="BB871">
            <v>45855</v>
          </cell>
          <cell r="BD871" t="str">
            <v>qui</v>
          </cell>
          <cell r="BG871">
            <v>45854</v>
          </cell>
        </row>
        <row r="872">
          <cell r="A872">
            <v>1195</v>
          </cell>
          <cell r="B872">
            <v>817</v>
          </cell>
          <cell r="C872" t="str">
            <v>PLACAS PN-276 / PN-277</v>
          </cell>
          <cell r="D872">
            <v>7</v>
          </cell>
          <cell r="E872">
            <v>40</v>
          </cell>
          <cell r="F872">
            <v>24</v>
          </cell>
          <cell r="G872">
            <v>40</v>
          </cell>
          <cell r="H872">
            <v>0</v>
          </cell>
          <cell r="I872" t="str">
            <v>-</v>
          </cell>
          <cell r="J872" t="str">
            <v>650/660</v>
          </cell>
          <cell r="K872" t="str">
            <v xml:space="preserve">CPIII 40 RS </v>
          </cell>
          <cell r="L872" t="str">
            <v>CP V</v>
          </cell>
          <cell r="M872" t="str">
            <v>SUPER PLASTIFICANTE</v>
          </cell>
          <cell r="N872" t="str">
            <v>ETE - PARQUE NOVO MUNDO (REATORES NEREDA)</v>
          </cell>
          <cell r="O872" t="str">
            <v>FORTANKS</v>
          </cell>
          <cell r="P872">
            <v>4</v>
          </cell>
          <cell r="Q872" t="str">
            <v>Gean</v>
          </cell>
          <cell r="R872">
            <v>45854</v>
          </cell>
          <cell r="S872">
            <v>0.625</v>
          </cell>
          <cell r="T872">
            <v>0.61499999999999999</v>
          </cell>
          <cell r="U872" t="str">
            <v>X</v>
          </cell>
          <cell r="V872">
            <v>0.3263888888888889</v>
          </cell>
          <cell r="W872">
            <v>31.776</v>
          </cell>
          <cell r="X872">
            <v>32.268000000000001</v>
          </cell>
          <cell r="Y872">
            <v>0.42222222222222222</v>
          </cell>
          <cell r="Z872">
            <v>84.623999999999995</v>
          </cell>
          <cell r="AA872">
            <v>83.987999999999985</v>
          </cell>
          <cell r="AW872">
            <v>4</v>
          </cell>
          <cell r="AX872">
            <v>4</v>
          </cell>
          <cell r="AY872">
            <v>4</v>
          </cell>
          <cell r="AZ872">
            <v>4</v>
          </cell>
          <cell r="BA872" t="str">
            <v>CONSORCIO NOVA ETE - PARQUE NOVO MUNDO</v>
          </cell>
          <cell r="BB872">
            <v>45855</v>
          </cell>
          <cell r="BD872" t="str">
            <v>qui</v>
          </cell>
          <cell r="BG872">
            <v>45854</v>
          </cell>
        </row>
        <row r="873">
          <cell r="A873" t="str">
            <v>1195-A</v>
          </cell>
          <cell r="B873">
            <v>817</v>
          </cell>
          <cell r="C873" t="str">
            <v>PLACAS PR_PNI-89 (CANALETA)</v>
          </cell>
          <cell r="D873">
            <v>7</v>
          </cell>
          <cell r="E873">
            <v>40</v>
          </cell>
          <cell r="F873">
            <v>24</v>
          </cell>
          <cell r="G873">
            <v>40</v>
          </cell>
          <cell r="H873">
            <v>0</v>
          </cell>
          <cell r="I873" t="str">
            <v>-</v>
          </cell>
          <cell r="J873" t="str">
            <v>650/660</v>
          </cell>
          <cell r="K873" t="str">
            <v xml:space="preserve">CPIII 40 RS </v>
          </cell>
          <cell r="L873" t="str">
            <v>CP V</v>
          </cell>
          <cell r="M873" t="str">
            <v>SUPER PLASTIFICANTE</v>
          </cell>
          <cell r="N873" t="str">
            <v>ETE - PARQUE NOVO MUNDO (REATORES NEREDA)</v>
          </cell>
          <cell r="O873" t="str">
            <v>FORTANKS</v>
          </cell>
          <cell r="P873">
            <v>4</v>
          </cell>
          <cell r="Q873" t="str">
            <v>Gean</v>
          </cell>
          <cell r="R873">
            <v>45854</v>
          </cell>
          <cell r="S873">
            <v>0.625</v>
          </cell>
          <cell r="T873">
            <v>0.61499999999999999</v>
          </cell>
          <cell r="U873" t="str">
            <v>X</v>
          </cell>
          <cell r="V873">
            <v>0.3263888888888889</v>
          </cell>
          <cell r="W873">
            <v>31.776</v>
          </cell>
          <cell r="X873">
            <v>32.268000000000001</v>
          </cell>
          <cell r="Y873">
            <v>0.41944444444444445</v>
          </cell>
          <cell r="Z873">
            <v>84.62</v>
          </cell>
          <cell r="AA873">
            <v>83.99</v>
          </cell>
          <cell r="AW873">
            <v>4</v>
          </cell>
          <cell r="AX873">
            <v>4</v>
          </cell>
          <cell r="AY873">
            <v>4</v>
          </cell>
          <cell r="AZ873">
            <v>4</v>
          </cell>
          <cell r="BA873" t="str">
            <v>FORTES ENGENHARIA</v>
          </cell>
          <cell r="BB873">
            <v>45855</v>
          </cell>
          <cell r="BD873" t="str">
            <v>qui</v>
          </cell>
          <cell r="BG873">
            <v>45854</v>
          </cell>
        </row>
        <row r="874">
          <cell r="A874">
            <v>1196</v>
          </cell>
          <cell r="B874">
            <v>818</v>
          </cell>
          <cell r="C874" t="str">
            <v>PLACA PN-284</v>
          </cell>
          <cell r="D874">
            <v>6</v>
          </cell>
          <cell r="E874">
            <v>40</v>
          </cell>
          <cell r="F874">
            <v>24</v>
          </cell>
          <cell r="G874">
            <v>40</v>
          </cell>
          <cell r="H874">
            <v>0</v>
          </cell>
          <cell r="I874" t="str">
            <v>-</v>
          </cell>
          <cell r="J874" t="str">
            <v>660/660</v>
          </cell>
          <cell r="K874" t="str">
            <v xml:space="preserve">CPIII 40 RS </v>
          </cell>
          <cell r="L874" t="str">
            <v>CP V</v>
          </cell>
          <cell r="M874" t="str">
            <v>SUPER PLASTIFICANTE</v>
          </cell>
          <cell r="N874" t="str">
            <v>ETE - PARQUE NOVO MUNDO (REATORES NEREDA)</v>
          </cell>
          <cell r="O874" t="str">
            <v>FORTANKS</v>
          </cell>
          <cell r="P874">
            <v>1</v>
          </cell>
          <cell r="Q874" t="str">
            <v>Gean</v>
          </cell>
          <cell r="R874">
            <v>45855</v>
          </cell>
          <cell r="S874">
            <v>0.54861111111111116</v>
          </cell>
          <cell r="T874">
            <v>0.53861111111111115</v>
          </cell>
          <cell r="U874" t="str">
            <v>X</v>
          </cell>
          <cell r="V874">
            <v>0.33333333333333331</v>
          </cell>
          <cell r="W874">
            <v>31.523999999999997</v>
          </cell>
          <cell r="X874">
            <v>33.047999999999995</v>
          </cell>
          <cell r="Y874">
            <v>0.41944444444444445</v>
          </cell>
          <cell r="Z874">
            <v>84.036000000000001</v>
          </cell>
          <cell r="AA874">
            <v>84.695999999999998</v>
          </cell>
          <cell r="AW874">
            <v>4</v>
          </cell>
          <cell r="AX874">
            <v>4</v>
          </cell>
          <cell r="AY874">
            <v>4</v>
          </cell>
          <cell r="AZ874">
            <v>4</v>
          </cell>
          <cell r="BA874" t="str">
            <v>CONSORCIO NOVA ETE - PARQUE NOVO MUNDO</v>
          </cell>
          <cell r="BB874">
            <v>45856</v>
          </cell>
          <cell r="BD874" t="str">
            <v>sex</v>
          </cell>
          <cell r="BG874">
            <v>45855</v>
          </cell>
        </row>
        <row r="875">
          <cell r="A875" t="str">
            <v>1196-A</v>
          </cell>
          <cell r="B875">
            <v>818</v>
          </cell>
          <cell r="C875" t="str">
            <v>PLACA PR_PN-107</v>
          </cell>
          <cell r="D875">
            <v>6</v>
          </cell>
          <cell r="E875">
            <v>40</v>
          </cell>
          <cell r="F875">
            <v>24</v>
          </cell>
          <cell r="G875">
            <v>40</v>
          </cell>
          <cell r="H875">
            <v>0</v>
          </cell>
          <cell r="I875" t="str">
            <v>-</v>
          </cell>
          <cell r="J875" t="str">
            <v>660/660</v>
          </cell>
          <cell r="K875" t="str">
            <v xml:space="preserve">CPIII 40 RS </v>
          </cell>
          <cell r="L875" t="str">
            <v>CP V</v>
          </cell>
          <cell r="M875" t="str">
            <v>SUPER PLASTIFICANTE</v>
          </cell>
          <cell r="N875" t="str">
            <v>ETE - PROJETO SUCURIÚ - CLARIFICADOR PRIMARIO</v>
          </cell>
          <cell r="O875" t="str">
            <v>FORTANKS</v>
          </cell>
          <cell r="P875">
            <v>1</v>
          </cell>
          <cell r="Q875" t="str">
            <v>Gean</v>
          </cell>
          <cell r="R875">
            <v>45855</v>
          </cell>
          <cell r="S875">
            <v>0.54861111111111116</v>
          </cell>
          <cell r="T875">
            <v>0.53861111111111115</v>
          </cell>
          <cell r="U875" t="str">
            <v>X</v>
          </cell>
          <cell r="V875">
            <v>0.33333333333333331</v>
          </cell>
          <cell r="W875">
            <v>31.523999999999997</v>
          </cell>
          <cell r="X875">
            <v>33.047999999999995</v>
          </cell>
          <cell r="Y875">
            <v>0.41666666666666669</v>
          </cell>
          <cell r="Z875">
            <v>84.04</v>
          </cell>
          <cell r="AA875">
            <v>84.7</v>
          </cell>
          <cell r="AW875">
            <v>4</v>
          </cell>
          <cell r="AX875">
            <v>4</v>
          </cell>
          <cell r="AY875">
            <v>4</v>
          </cell>
          <cell r="AZ875">
            <v>4</v>
          </cell>
          <cell r="BA875" t="str">
            <v>FORTES ENGENHARIA</v>
          </cell>
          <cell r="BB875">
            <v>45856</v>
          </cell>
          <cell r="BD875" t="str">
            <v>sex</v>
          </cell>
          <cell r="BG875">
            <v>45855</v>
          </cell>
        </row>
        <row r="876">
          <cell r="A876">
            <v>1197</v>
          </cell>
          <cell r="B876">
            <v>819</v>
          </cell>
          <cell r="C876" t="str">
            <v>PLACAS PN-282 / PN-283</v>
          </cell>
          <cell r="D876">
            <v>7</v>
          </cell>
          <cell r="E876">
            <v>40</v>
          </cell>
          <cell r="F876">
            <v>24</v>
          </cell>
          <cell r="G876">
            <v>40</v>
          </cell>
          <cell r="H876">
            <v>0</v>
          </cell>
          <cell r="I876" t="str">
            <v>-</v>
          </cell>
          <cell r="J876" t="str">
            <v>650/650</v>
          </cell>
          <cell r="K876" t="str">
            <v xml:space="preserve">CPIII 40 RS </v>
          </cell>
          <cell r="L876" t="str">
            <v>CP V</v>
          </cell>
          <cell r="M876" t="str">
            <v>SUPER PLASTIFICANTE</v>
          </cell>
          <cell r="N876" t="str">
            <v>ETE - PARQUE NOVO MUNDO (REATORES NEREDA)</v>
          </cell>
          <cell r="O876" t="str">
            <v>FORTANKS</v>
          </cell>
          <cell r="P876">
            <v>2</v>
          </cell>
          <cell r="Q876" t="str">
            <v>Gean</v>
          </cell>
          <cell r="R876">
            <v>45855</v>
          </cell>
          <cell r="S876">
            <v>0.56944444444444442</v>
          </cell>
          <cell r="T876">
            <v>0.55944444444444441</v>
          </cell>
          <cell r="U876" t="str">
            <v>X</v>
          </cell>
          <cell r="V876">
            <v>0.34027777777777779</v>
          </cell>
          <cell r="W876">
            <v>34.775999999999996</v>
          </cell>
          <cell r="X876">
            <v>35.64</v>
          </cell>
          <cell r="Y876">
            <v>0.41944444444444445</v>
          </cell>
          <cell r="Z876">
            <v>88.295999999999992</v>
          </cell>
          <cell r="AA876">
            <v>89.867999999999995</v>
          </cell>
          <cell r="AW876">
            <v>4</v>
          </cell>
          <cell r="AX876">
            <v>4</v>
          </cell>
          <cell r="AY876">
            <v>4</v>
          </cell>
          <cell r="AZ876">
            <v>4</v>
          </cell>
          <cell r="BA876" t="str">
            <v>CONSORCIO NOVA ETE - PARQUE NOVO MUNDO</v>
          </cell>
          <cell r="BB876">
            <v>45856</v>
          </cell>
          <cell r="BD876" t="str">
            <v>sex</v>
          </cell>
          <cell r="BG876">
            <v>45855</v>
          </cell>
        </row>
        <row r="877">
          <cell r="A877">
            <v>1198</v>
          </cell>
          <cell r="B877">
            <v>820</v>
          </cell>
          <cell r="C877" t="str">
            <v>PLACAS PN-281 / PE-382(T4)</v>
          </cell>
          <cell r="D877">
            <v>7</v>
          </cell>
          <cell r="E877">
            <v>40</v>
          </cell>
          <cell r="F877">
            <v>24</v>
          </cell>
          <cell r="G877">
            <v>40</v>
          </cell>
          <cell r="H877">
            <v>0</v>
          </cell>
          <cell r="I877" t="str">
            <v>-</v>
          </cell>
          <cell r="J877" t="str">
            <v>650/650</v>
          </cell>
          <cell r="K877" t="str">
            <v xml:space="preserve">CPIII 40 RS </v>
          </cell>
          <cell r="L877" t="str">
            <v>CP V</v>
          </cell>
          <cell r="M877" t="str">
            <v>SUPER PLASTIFICANTE</v>
          </cell>
          <cell r="N877" t="str">
            <v>ETE - PARQUE NOVO MUNDO (REATORES NEREDA)</v>
          </cell>
          <cell r="O877" t="str">
            <v>FORTANKS</v>
          </cell>
          <cell r="P877">
            <v>3</v>
          </cell>
          <cell r="Q877" t="str">
            <v>Gean</v>
          </cell>
          <cell r="R877">
            <v>45855</v>
          </cell>
          <cell r="S877">
            <v>0.64583333333333337</v>
          </cell>
          <cell r="T877">
            <v>0.63583333333333336</v>
          </cell>
          <cell r="U877" t="str">
            <v>X</v>
          </cell>
          <cell r="V877">
            <v>0.34722222222222221</v>
          </cell>
          <cell r="W877">
            <v>34.295999999999999</v>
          </cell>
          <cell r="X877">
            <v>37.103999999999999</v>
          </cell>
          <cell r="Y877">
            <v>0.41944444444444445</v>
          </cell>
          <cell r="Z877">
            <v>85.128</v>
          </cell>
          <cell r="AA877">
            <v>84.383999999999986</v>
          </cell>
          <cell r="AW877">
            <v>4</v>
          </cell>
          <cell r="AX877">
            <v>4</v>
          </cell>
          <cell r="AY877">
            <v>4</v>
          </cell>
          <cell r="AZ877">
            <v>4</v>
          </cell>
          <cell r="BA877" t="str">
            <v>CONSORCIO NOVA ETE - PARQUE NOVO MUNDO</v>
          </cell>
          <cell r="BB877">
            <v>45856</v>
          </cell>
          <cell r="BD877" t="str">
            <v>sex</v>
          </cell>
          <cell r="BG877">
            <v>45855</v>
          </cell>
        </row>
        <row r="878">
          <cell r="A878">
            <v>1199</v>
          </cell>
          <cell r="B878">
            <v>821</v>
          </cell>
          <cell r="C878" t="str">
            <v>PLACAS PN-278 / PN-279</v>
          </cell>
          <cell r="D878">
            <v>7</v>
          </cell>
          <cell r="E878">
            <v>40</v>
          </cell>
          <cell r="F878">
            <v>24</v>
          </cell>
          <cell r="G878">
            <v>40</v>
          </cell>
          <cell r="H878">
            <v>0</v>
          </cell>
          <cell r="I878" t="str">
            <v>-</v>
          </cell>
          <cell r="J878" t="str">
            <v>680/680</v>
          </cell>
          <cell r="K878" t="str">
            <v xml:space="preserve">CPIII 40 RS </v>
          </cell>
          <cell r="L878" t="str">
            <v>CP V</v>
          </cell>
          <cell r="M878" t="str">
            <v>SUPER PLASTIFICANTE</v>
          </cell>
          <cell r="N878" t="str">
            <v>ETE - PARQUE NOVO MUNDO (REATORES NEREDA)</v>
          </cell>
          <cell r="O878" t="str">
            <v>FORTANKS</v>
          </cell>
          <cell r="P878">
            <v>4</v>
          </cell>
          <cell r="Q878" t="str">
            <v>Gean</v>
          </cell>
          <cell r="R878">
            <v>45855</v>
          </cell>
          <cell r="S878">
            <v>0.66666666666666663</v>
          </cell>
          <cell r="T878">
            <v>0.65666666666666662</v>
          </cell>
          <cell r="U878" t="str">
            <v>X</v>
          </cell>
          <cell r="V878">
            <v>0.35416666666666669</v>
          </cell>
          <cell r="W878">
            <v>26.135999999999999</v>
          </cell>
          <cell r="X878">
            <v>23.987999999999996</v>
          </cell>
          <cell r="Y878">
            <v>0.41666666666666669</v>
          </cell>
          <cell r="Z878">
            <v>83.268000000000001</v>
          </cell>
          <cell r="AA878">
            <v>83.736000000000004</v>
          </cell>
          <cell r="AW878">
            <v>4</v>
          </cell>
          <cell r="AX878">
            <v>4</v>
          </cell>
          <cell r="AY878">
            <v>4</v>
          </cell>
          <cell r="AZ878">
            <v>4</v>
          </cell>
          <cell r="BA878" t="str">
            <v>CONSORCIO NOVA ETE - PARQUE NOVO MUNDO</v>
          </cell>
          <cell r="BB878">
            <v>45856</v>
          </cell>
          <cell r="BD878" t="str">
            <v>sex</v>
          </cell>
          <cell r="BG878">
            <v>45855</v>
          </cell>
        </row>
        <row r="879">
          <cell r="A879" t="str">
            <v>1199-A</v>
          </cell>
          <cell r="B879">
            <v>821</v>
          </cell>
          <cell r="C879" t="str">
            <v>PLACA PR_PN-107 (CANALETA)</v>
          </cell>
          <cell r="D879">
            <v>7</v>
          </cell>
          <cell r="E879">
            <v>40</v>
          </cell>
          <cell r="F879">
            <v>24</v>
          </cell>
          <cell r="G879">
            <v>40</v>
          </cell>
          <cell r="H879">
            <v>0</v>
          </cell>
          <cell r="I879" t="str">
            <v>-</v>
          </cell>
          <cell r="J879" t="str">
            <v>680/680</v>
          </cell>
          <cell r="K879" t="str">
            <v xml:space="preserve">CPIII 40 RS </v>
          </cell>
          <cell r="L879" t="str">
            <v>CP V</v>
          </cell>
          <cell r="M879" t="str">
            <v>SUPER PLASTIFICANTE</v>
          </cell>
          <cell r="N879" t="str">
            <v>ETE - PROJETO SUCURIÚ - CLARIFICADOR PRIMARIO</v>
          </cell>
          <cell r="O879" t="str">
            <v>FORTANKS</v>
          </cell>
          <cell r="P879">
            <v>4</v>
          </cell>
          <cell r="Q879" t="str">
            <v>Gean</v>
          </cell>
          <cell r="R879">
            <v>45855</v>
          </cell>
          <cell r="S879">
            <v>0.66666666666666663</v>
          </cell>
          <cell r="T879">
            <v>0.65666666666666662</v>
          </cell>
          <cell r="U879" t="str">
            <v>X</v>
          </cell>
          <cell r="V879">
            <v>0.35416666666666669</v>
          </cell>
          <cell r="W879">
            <v>26.135999999999999</v>
          </cell>
          <cell r="X879">
            <v>23.987999999999996</v>
          </cell>
          <cell r="Y879">
            <v>0.41944444444444445</v>
          </cell>
          <cell r="Z879">
            <v>83.27</v>
          </cell>
          <cell r="AA879">
            <v>83.74</v>
          </cell>
          <cell r="AW879">
            <v>4</v>
          </cell>
          <cell r="AX879">
            <v>4</v>
          </cell>
          <cell r="AY879">
            <v>4</v>
          </cell>
          <cell r="AZ879">
            <v>4</v>
          </cell>
          <cell r="BA879" t="str">
            <v>FORTES ENGENHARIA</v>
          </cell>
          <cell r="BB879">
            <v>45856</v>
          </cell>
          <cell r="BD879" t="str">
            <v>sex</v>
          </cell>
          <cell r="BG879">
            <v>45855</v>
          </cell>
        </row>
        <row r="880">
          <cell r="A880">
            <v>1200</v>
          </cell>
          <cell r="B880">
            <v>822</v>
          </cell>
          <cell r="C880" t="str">
            <v>PLACA PN-285</v>
          </cell>
          <cell r="D880">
            <v>6</v>
          </cell>
          <cell r="E880">
            <v>40</v>
          </cell>
          <cell r="F880">
            <v>24</v>
          </cell>
          <cell r="G880">
            <v>40</v>
          </cell>
          <cell r="H880">
            <v>0</v>
          </cell>
          <cell r="I880" t="str">
            <v>-</v>
          </cell>
          <cell r="J880" t="str">
            <v>650/650</v>
          </cell>
          <cell r="K880" t="str">
            <v xml:space="preserve">CPIII 40 RS </v>
          </cell>
          <cell r="L880" t="str">
            <v>CP V</v>
          </cell>
          <cell r="M880" t="str">
            <v>SUPER PLASTIFICANTE</v>
          </cell>
          <cell r="N880" t="str">
            <v>ETE - PARQUE NOVO MUNDO (REATORES NEREDA)</v>
          </cell>
          <cell r="O880" t="str">
            <v>FORTANKS</v>
          </cell>
          <cell r="P880">
            <v>1</v>
          </cell>
          <cell r="Q880" t="str">
            <v>Gean</v>
          </cell>
          <cell r="R880">
            <v>45856</v>
          </cell>
          <cell r="S880">
            <v>0.54166666666666663</v>
          </cell>
          <cell r="T880">
            <v>0.53166666666666662</v>
          </cell>
          <cell r="U880" t="str">
            <v>X</v>
          </cell>
          <cell r="V880">
            <v>0.35416666666666669</v>
          </cell>
          <cell r="W880">
            <v>31.655999999999999</v>
          </cell>
          <cell r="X880">
            <v>29.315999999999999</v>
          </cell>
          <cell r="Y880">
            <v>0.4201388888888889</v>
          </cell>
          <cell r="Z880">
            <v>84.383999999999986</v>
          </cell>
          <cell r="AA880">
            <v>84.263999999999996</v>
          </cell>
          <cell r="AW880">
            <v>4</v>
          </cell>
          <cell r="AX880">
            <v>4</v>
          </cell>
          <cell r="AY880">
            <v>4</v>
          </cell>
          <cell r="AZ880">
            <v>4</v>
          </cell>
          <cell r="BA880" t="str">
            <v>CONSORCIO NOVA ETE - PARQUE NOVO MUNDO</v>
          </cell>
          <cell r="BB880">
            <v>45857</v>
          </cell>
          <cell r="BD880" t="str">
            <v>sáb</v>
          </cell>
          <cell r="BG880">
            <v>45856</v>
          </cell>
        </row>
        <row r="881">
          <cell r="A881" t="str">
            <v>1200-A</v>
          </cell>
          <cell r="B881">
            <v>822</v>
          </cell>
          <cell r="C881" t="str">
            <v>PLACA PR_PNI-87</v>
          </cell>
          <cell r="D881">
            <v>6</v>
          </cell>
          <cell r="E881">
            <v>40</v>
          </cell>
          <cell r="F881">
            <v>24</v>
          </cell>
          <cell r="G881">
            <v>40</v>
          </cell>
          <cell r="H881">
            <v>0</v>
          </cell>
          <cell r="I881" t="str">
            <v>-</v>
          </cell>
          <cell r="J881" t="str">
            <v>650/650</v>
          </cell>
          <cell r="K881" t="str">
            <v xml:space="preserve">CPIII 40 RS </v>
          </cell>
          <cell r="L881" t="str">
            <v>CP V</v>
          </cell>
          <cell r="M881" t="str">
            <v>SUPER PLASTIFICANTE</v>
          </cell>
          <cell r="N881" t="str">
            <v>ETE - PROJETO SUCURIÚ - CLARIFICADOR PRIMARIO</v>
          </cell>
          <cell r="O881" t="str">
            <v>FORTANKS</v>
          </cell>
          <cell r="P881">
            <v>1</v>
          </cell>
          <cell r="Q881" t="str">
            <v>Gean</v>
          </cell>
          <cell r="R881">
            <v>45856</v>
          </cell>
          <cell r="S881">
            <v>0.54166666666666663</v>
          </cell>
          <cell r="T881">
            <v>0.53166666666666662</v>
          </cell>
          <cell r="U881" t="str">
            <v>X</v>
          </cell>
          <cell r="V881">
            <v>0.35416666666666669</v>
          </cell>
          <cell r="W881">
            <v>31.655999999999999</v>
          </cell>
          <cell r="X881">
            <v>29.315999999999999</v>
          </cell>
          <cell r="Y881">
            <v>0.4236111111111111</v>
          </cell>
          <cell r="Z881">
            <v>84.38</v>
          </cell>
          <cell r="AA881">
            <v>84.26</v>
          </cell>
          <cell r="AW881">
            <v>4</v>
          </cell>
          <cell r="AX881">
            <v>4</v>
          </cell>
          <cell r="AY881">
            <v>4</v>
          </cell>
          <cell r="AZ881">
            <v>4</v>
          </cell>
          <cell r="BA881" t="str">
            <v>FORTES ENGENHARIA</v>
          </cell>
          <cell r="BB881">
            <v>45857</v>
          </cell>
          <cell r="BD881" t="str">
            <v>sáb</v>
          </cell>
          <cell r="BG881">
            <v>45856</v>
          </cell>
        </row>
        <row r="882">
          <cell r="A882">
            <v>1201</v>
          </cell>
          <cell r="B882">
            <v>823</v>
          </cell>
          <cell r="C882" t="str">
            <v>PLACAS PN-286 / PN-287</v>
          </cell>
          <cell r="D882">
            <v>7</v>
          </cell>
          <cell r="E882">
            <v>40</v>
          </cell>
          <cell r="F882">
            <v>24</v>
          </cell>
          <cell r="G882">
            <v>40</v>
          </cell>
          <cell r="H882">
            <v>0</v>
          </cell>
          <cell r="I882" t="str">
            <v>-</v>
          </cell>
          <cell r="J882" t="str">
            <v>660/670</v>
          </cell>
          <cell r="K882" t="str">
            <v xml:space="preserve">CPIII 40 RS </v>
          </cell>
          <cell r="L882" t="str">
            <v>CP V</v>
          </cell>
          <cell r="M882" t="str">
            <v>SUPER PLASTIFICANTE</v>
          </cell>
          <cell r="N882" t="str">
            <v>ETE - PARQUE NOVO MUNDO (REATORES NEREDA)</v>
          </cell>
          <cell r="O882" t="str">
            <v>FORTANKS</v>
          </cell>
          <cell r="P882">
            <v>2</v>
          </cell>
          <cell r="Q882" t="str">
            <v>Gean</v>
          </cell>
          <cell r="R882">
            <v>45856</v>
          </cell>
          <cell r="S882">
            <v>0.55555555555555558</v>
          </cell>
          <cell r="T882">
            <v>0.54555555555555557</v>
          </cell>
          <cell r="U882" t="str">
            <v>X</v>
          </cell>
          <cell r="V882">
            <v>0.3576388888888889</v>
          </cell>
          <cell r="W882">
            <v>29.879999999999995</v>
          </cell>
          <cell r="X882">
            <v>32.507999999999996</v>
          </cell>
          <cell r="Y882">
            <v>0.43402777777777779</v>
          </cell>
          <cell r="Z882">
            <v>83.171999999999997</v>
          </cell>
          <cell r="AA882">
            <v>84.3</v>
          </cell>
          <cell r="AW882">
            <v>4</v>
          </cell>
          <cell r="AX882">
            <v>4</v>
          </cell>
          <cell r="AY882">
            <v>4</v>
          </cell>
          <cell r="AZ882">
            <v>4</v>
          </cell>
          <cell r="BA882" t="str">
            <v>CONSORCIO NOVA ETE - PARQUE NOVO MUNDO</v>
          </cell>
          <cell r="BB882">
            <v>45857</v>
          </cell>
          <cell r="BD882" t="str">
            <v>sáb</v>
          </cell>
          <cell r="BG882">
            <v>45856</v>
          </cell>
        </row>
        <row r="883">
          <cell r="A883">
            <v>1202</v>
          </cell>
          <cell r="B883">
            <v>824</v>
          </cell>
          <cell r="C883" t="str">
            <v>PLACAS PN-289 / PN-290</v>
          </cell>
          <cell r="D883">
            <v>7</v>
          </cell>
          <cell r="E883">
            <v>40</v>
          </cell>
          <cell r="F883">
            <v>24</v>
          </cell>
          <cell r="G883">
            <v>40</v>
          </cell>
          <cell r="H883">
            <v>0</v>
          </cell>
          <cell r="I883" t="str">
            <v>-</v>
          </cell>
          <cell r="J883" t="str">
            <v>660/670</v>
          </cell>
          <cell r="K883" t="str">
            <v xml:space="preserve">CPIII 40 RS </v>
          </cell>
          <cell r="L883" t="str">
            <v>CP V</v>
          </cell>
          <cell r="M883" t="str">
            <v>SUPER PLASTIFICANTE</v>
          </cell>
          <cell r="N883" t="str">
            <v>ETE - PARQUE NOVO MUNDO (REATORES NEREDA)</v>
          </cell>
          <cell r="O883" t="str">
            <v>FORTANKS</v>
          </cell>
          <cell r="P883">
            <v>3</v>
          </cell>
          <cell r="Q883" t="str">
            <v>Gean</v>
          </cell>
          <cell r="R883">
            <v>45856</v>
          </cell>
          <cell r="S883">
            <v>0.59375</v>
          </cell>
          <cell r="T883">
            <v>0.58374999999999999</v>
          </cell>
          <cell r="U883" t="str">
            <v>X</v>
          </cell>
          <cell r="V883">
            <v>0.3611111111111111</v>
          </cell>
          <cell r="W883">
            <v>32.256</v>
          </cell>
          <cell r="X883">
            <v>32.064</v>
          </cell>
          <cell r="Y883">
            <v>0.43402777777777779</v>
          </cell>
          <cell r="Z883">
            <v>83.963999999999999</v>
          </cell>
          <cell r="AA883">
            <v>83.087999999999994</v>
          </cell>
          <cell r="AW883">
            <v>4</v>
          </cell>
          <cell r="AX883">
            <v>4</v>
          </cell>
          <cell r="AY883">
            <v>4</v>
          </cell>
          <cell r="AZ883">
            <v>4</v>
          </cell>
          <cell r="BA883" t="str">
            <v>CONSORCIO NOVA ETE - PARQUE NOVO MUNDO</v>
          </cell>
          <cell r="BB883">
            <v>45857</v>
          </cell>
          <cell r="BD883" t="str">
            <v>sáb</v>
          </cell>
          <cell r="BG883">
            <v>45856</v>
          </cell>
        </row>
        <row r="884">
          <cell r="A884">
            <v>1203</v>
          </cell>
          <cell r="B884">
            <v>825</v>
          </cell>
          <cell r="C884" t="str">
            <v>PLACAS PN-291 / PN-292</v>
          </cell>
          <cell r="D884">
            <v>7</v>
          </cell>
          <cell r="E884">
            <v>40</v>
          </cell>
          <cell r="F884">
            <v>24</v>
          </cell>
          <cell r="G884">
            <v>40</v>
          </cell>
          <cell r="H884">
            <v>0</v>
          </cell>
          <cell r="I884" t="str">
            <v>-</v>
          </cell>
          <cell r="J884" t="str">
            <v>680/680</v>
          </cell>
          <cell r="K884" t="str">
            <v xml:space="preserve">CPIII 40 RS </v>
          </cell>
          <cell r="L884" t="str">
            <v>CP V</v>
          </cell>
          <cell r="M884" t="str">
            <v>SUPER PLASTIFICANTE</v>
          </cell>
          <cell r="N884" t="str">
            <v>ETE - PARQUE NOVO MUNDO (REATORES NEREDA)</v>
          </cell>
          <cell r="O884" t="str">
            <v>FORTANKS</v>
          </cell>
          <cell r="P884">
            <v>4</v>
          </cell>
          <cell r="Q884" t="str">
            <v>Gean</v>
          </cell>
          <cell r="R884">
            <v>45856</v>
          </cell>
          <cell r="S884">
            <v>0.64583333333333337</v>
          </cell>
          <cell r="T884">
            <v>0.63583333333333336</v>
          </cell>
          <cell r="U884" t="str">
            <v>X</v>
          </cell>
          <cell r="V884">
            <v>0.36458333333333331</v>
          </cell>
          <cell r="W884">
            <v>30.047999999999998</v>
          </cell>
          <cell r="X884">
            <v>30.263999999999996</v>
          </cell>
          <cell r="Y884">
            <v>0.4201388888888889</v>
          </cell>
          <cell r="Z884">
            <v>84.18</v>
          </cell>
          <cell r="AA884">
            <v>84.347999999999999</v>
          </cell>
          <cell r="AW884">
            <v>4</v>
          </cell>
          <cell r="AX884">
            <v>4</v>
          </cell>
          <cell r="AY884">
            <v>4</v>
          </cell>
          <cell r="AZ884">
            <v>4</v>
          </cell>
          <cell r="BA884" t="str">
            <v>CONSORCIO NOVA ETE - PARQUE NOVO MUNDO</v>
          </cell>
          <cell r="BB884">
            <v>45857</v>
          </cell>
          <cell r="BD884" t="str">
            <v>sáb</v>
          </cell>
          <cell r="BG884">
            <v>45856</v>
          </cell>
        </row>
        <row r="885">
          <cell r="A885">
            <v>1204</v>
          </cell>
          <cell r="B885">
            <v>826</v>
          </cell>
          <cell r="C885" t="str">
            <v>PLACA PR_PNI-87 (CANALETA)</v>
          </cell>
          <cell r="D885">
            <v>1</v>
          </cell>
          <cell r="E885">
            <v>40</v>
          </cell>
          <cell r="F885">
            <v>15</v>
          </cell>
          <cell r="G885">
            <v>40</v>
          </cell>
          <cell r="H885">
            <v>0</v>
          </cell>
          <cell r="I885" t="str">
            <v>-</v>
          </cell>
          <cell r="J885" t="str">
            <v>690/680</v>
          </cell>
          <cell r="K885" t="str">
            <v xml:space="preserve">CPIII 40 RS </v>
          </cell>
          <cell r="L885" t="str">
            <v>CP V</v>
          </cell>
          <cell r="M885" t="str">
            <v>SUPER PLASTIFICANTE</v>
          </cell>
          <cell r="N885" t="str">
            <v>ETE - PROJETO SUCURIÚ - CLARIFICADOR PRIMARIO</v>
          </cell>
          <cell r="O885" t="str">
            <v>FORTANKS</v>
          </cell>
          <cell r="P885">
            <v>5</v>
          </cell>
          <cell r="Q885" t="str">
            <v>Gean</v>
          </cell>
          <cell r="R885">
            <v>45856</v>
          </cell>
          <cell r="S885">
            <v>0.6875</v>
          </cell>
          <cell r="T885">
            <v>0.67749999999999999</v>
          </cell>
          <cell r="U885" t="str">
            <v>X</v>
          </cell>
          <cell r="V885">
            <v>0.36805555555555558</v>
          </cell>
          <cell r="W885">
            <v>16.271999999999998</v>
          </cell>
          <cell r="X885">
            <v>17.423999999999999</v>
          </cell>
          <cell r="Y885">
            <v>0.42222222222222222</v>
          </cell>
          <cell r="Z885">
            <v>83.891999999999996</v>
          </cell>
          <cell r="AA885">
            <v>84.144000000000005</v>
          </cell>
          <cell r="AW885">
            <v>4</v>
          </cell>
          <cell r="AX885">
            <v>4</v>
          </cell>
          <cell r="AY885">
            <v>4</v>
          </cell>
          <cell r="AZ885">
            <v>4</v>
          </cell>
          <cell r="BA885" t="str">
            <v>FORTES ENGENHARIA</v>
          </cell>
          <cell r="BB885">
            <v>45857</v>
          </cell>
          <cell r="BD885" t="str">
            <v>sáb</v>
          </cell>
          <cell r="BG885">
            <v>45856</v>
          </cell>
        </row>
        <row r="886">
          <cell r="A886">
            <v>1205</v>
          </cell>
          <cell r="B886">
            <v>827</v>
          </cell>
          <cell r="C886" t="str">
            <v>PLACA PN-299</v>
          </cell>
          <cell r="D886">
            <v>6.5</v>
          </cell>
          <cell r="E886">
            <v>40</v>
          </cell>
          <cell r="F886">
            <v>24</v>
          </cell>
          <cell r="G886">
            <v>40</v>
          </cell>
          <cell r="H886">
            <v>0</v>
          </cell>
          <cell r="I886" t="str">
            <v>-</v>
          </cell>
          <cell r="J886" t="str">
            <v>650/650</v>
          </cell>
          <cell r="K886" t="str">
            <v xml:space="preserve">CPIII 40 RS </v>
          </cell>
          <cell r="L886" t="str">
            <v>CP V</v>
          </cell>
          <cell r="M886" t="str">
            <v>SUPER PLASTIFICANTE</v>
          </cell>
          <cell r="N886" t="str">
            <v>ETE - PARQUE NOVO MUNDO (REATORES NEREDA)</v>
          </cell>
          <cell r="O886" t="str">
            <v>FORTANKS</v>
          </cell>
          <cell r="P886">
            <v>1</v>
          </cell>
          <cell r="Q886" t="str">
            <v>Gean</v>
          </cell>
          <cell r="R886">
            <v>45857</v>
          </cell>
          <cell r="S886">
            <v>0.45833333333333331</v>
          </cell>
          <cell r="T886">
            <v>0.44833333333333331</v>
          </cell>
          <cell r="U886" t="str">
            <v>X</v>
          </cell>
          <cell r="V886">
            <v>0.3125</v>
          </cell>
          <cell r="W886">
            <v>50.76</v>
          </cell>
          <cell r="X886">
            <v>53.256</v>
          </cell>
          <cell r="Y886">
            <v>0.41944444444444445</v>
          </cell>
          <cell r="Z886">
            <v>84.167999999999992</v>
          </cell>
          <cell r="AA886">
            <v>84.671999999999997</v>
          </cell>
          <cell r="AW886">
            <v>4</v>
          </cell>
          <cell r="AX886">
            <v>4</v>
          </cell>
          <cell r="AY886">
            <v>4</v>
          </cell>
          <cell r="AZ886">
            <v>4</v>
          </cell>
          <cell r="BA886" t="str">
            <v>CONSORCIO NOVA ETE - PARQUE NOVO MUNDO</v>
          </cell>
          <cell r="BB886">
            <v>45859</v>
          </cell>
          <cell r="BC886">
            <v>1</v>
          </cell>
          <cell r="BD886" t="str">
            <v>seg</v>
          </cell>
          <cell r="BG886">
            <v>45857</v>
          </cell>
        </row>
        <row r="887">
          <cell r="A887" t="str">
            <v>1205-A</v>
          </cell>
          <cell r="B887">
            <v>827</v>
          </cell>
          <cell r="C887" t="str">
            <v>PLACA PR_PN-108</v>
          </cell>
          <cell r="D887">
            <v>6.5</v>
          </cell>
          <cell r="E887">
            <v>40</v>
          </cell>
          <cell r="F887">
            <v>24</v>
          </cell>
          <cell r="G887">
            <v>40</v>
          </cell>
          <cell r="H887">
            <v>0</v>
          </cell>
          <cell r="I887" t="str">
            <v>-</v>
          </cell>
          <cell r="J887" t="str">
            <v>650/650</v>
          </cell>
          <cell r="K887" t="str">
            <v xml:space="preserve">CPIII 40 RS </v>
          </cell>
          <cell r="L887" t="str">
            <v>CP V</v>
          </cell>
          <cell r="M887" t="str">
            <v>SUPER PLASTIFICANTE</v>
          </cell>
          <cell r="N887" t="str">
            <v>ETE - PROJETO SUCURIÚ - CLARIFICADOR PRIMARIO</v>
          </cell>
          <cell r="O887" t="str">
            <v>FORTANKS</v>
          </cell>
          <cell r="P887">
            <v>1</v>
          </cell>
          <cell r="Q887" t="str">
            <v>Gean</v>
          </cell>
          <cell r="R887">
            <v>45857</v>
          </cell>
          <cell r="S887">
            <v>0.45833333333333331</v>
          </cell>
          <cell r="T887">
            <v>0.44833333333333331</v>
          </cell>
          <cell r="U887" t="str">
            <v>X</v>
          </cell>
          <cell r="V887">
            <v>0.3125</v>
          </cell>
          <cell r="W887">
            <v>50.76</v>
          </cell>
          <cell r="X887">
            <v>53.256</v>
          </cell>
          <cell r="Y887">
            <v>0.41944444444444445</v>
          </cell>
          <cell r="Z887">
            <v>84.17</v>
          </cell>
          <cell r="AA887">
            <v>84.67</v>
          </cell>
          <cell r="AW887">
            <v>4</v>
          </cell>
          <cell r="AX887">
            <v>4</v>
          </cell>
          <cell r="AY887">
            <v>4</v>
          </cell>
          <cell r="AZ887">
            <v>4</v>
          </cell>
          <cell r="BA887" t="str">
            <v>FORTES ENGENHARIA</v>
          </cell>
          <cell r="BB887">
            <v>45859</v>
          </cell>
          <cell r="BC887">
            <v>1</v>
          </cell>
          <cell r="BD887" t="str">
            <v>seg</v>
          </cell>
          <cell r="BG887">
            <v>45857</v>
          </cell>
        </row>
        <row r="888">
          <cell r="A888">
            <v>1206</v>
          </cell>
          <cell r="B888">
            <v>828</v>
          </cell>
          <cell r="C888" t="str">
            <v>PLACAS PN-297 / PN-298</v>
          </cell>
          <cell r="D888">
            <v>7</v>
          </cell>
          <cell r="E888">
            <v>40</v>
          </cell>
          <cell r="F888">
            <v>24</v>
          </cell>
          <cell r="G888">
            <v>40</v>
          </cell>
          <cell r="H888">
            <v>0</v>
          </cell>
          <cell r="I888" t="str">
            <v>-</v>
          </cell>
          <cell r="J888" t="str">
            <v>660/660</v>
          </cell>
          <cell r="K888" t="str">
            <v xml:space="preserve">CPIII 40 RS </v>
          </cell>
          <cell r="L888" t="str">
            <v>CP V</v>
          </cell>
          <cell r="M888" t="str">
            <v>SUPER PLASTIFICANTE</v>
          </cell>
          <cell r="N888" t="str">
            <v>ETE - PARQUE NOVO MUNDO (REATORES NEREDA)</v>
          </cell>
          <cell r="O888" t="str">
            <v>FORTANKS</v>
          </cell>
          <cell r="P888">
            <v>2</v>
          </cell>
          <cell r="Q888" t="str">
            <v>Gean</v>
          </cell>
          <cell r="R888">
            <v>45857</v>
          </cell>
          <cell r="S888">
            <v>0.5625</v>
          </cell>
          <cell r="T888">
            <v>0.55249999999999999</v>
          </cell>
          <cell r="U888" t="str">
            <v>X</v>
          </cell>
          <cell r="V888">
            <v>0.31597222222222221</v>
          </cell>
          <cell r="W888">
            <v>45.6</v>
          </cell>
          <cell r="X888">
            <v>43.475999999999992</v>
          </cell>
          <cell r="Y888">
            <v>0.41666666666666669</v>
          </cell>
          <cell r="Z888">
            <v>86.027999999999992</v>
          </cell>
          <cell r="AA888">
            <v>85.151999999999987</v>
          </cell>
          <cell r="AW888">
            <v>4</v>
          </cell>
          <cell r="AX888">
            <v>4</v>
          </cell>
          <cell r="AY888">
            <v>4</v>
          </cell>
          <cell r="AZ888">
            <v>4</v>
          </cell>
          <cell r="BA888" t="str">
            <v>CONSORCIO NOVA ETE - PARQUE NOVO MUNDO</v>
          </cell>
          <cell r="BB888">
            <v>45859</v>
          </cell>
          <cell r="BC888">
            <v>1</v>
          </cell>
          <cell r="BD888" t="str">
            <v>seg</v>
          </cell>
          <cell r="BG888">
            <v>45857</v>
          </cell>
        </row>
        <row r="889">
          <cell r="A889">
            <v>1207</v>
          </cell>
          <cell r="B889">
            <v>829</v>
          </cell>
          <cell r="C889" t="str">
            <v>PLACAS  PN-295 / PN-296</v>
          </cell>
          <cell r="D889">
            <v>7</v>
          </cell>
          <cell r="E889">
            <v>40</v>
          </cell>
          <cell r="F889">
            <v>24</v>
          </cell>
          <cell r="G889">
            <v>40</v>
          </cell>
          <cell r="H889">
            <v>0</v>
          </cell>
          <cell r="I889" t="str">
            <v>-</v>
          </cell>
          <cell r="J889" t="str">
            <v>660/650</v>
          </cell>
          <cell r="K889" t="str">
            <v xml:space="preserve">CPIII 40 RS </v>
          </cell>
          <cell r="L889" t="str">
            <v>CP V</v>
          </cell>
          <cell r="M889" t="str">
            <v>SUPER PLASTIFICANTE</v>
          </cell>
          <cell r="N889" t="str">
            <v>ETE - PARQUE NOVO MUNDO (REATORES NEREDA)</v>
          </cell>
          <cell r="O889" t="str">
            <v>FORTANKS</v>
          </cell>
          <cell r="P889">
            <v>3</v>
          </cell>
          <cell r="Q889" t="str">
            <v>Gean</v>
          </cell>
          <cell r="R889">
            <v>45857</v>
          </cell>
          <cell r="S889">
            <v>0.58333333333333337</v>
          </cell>
          <cell r="T889">
            <v>0.57333333333333336</v>
          </cell>
          <cell r="U889" t="str">
            <v>X</v>
          </cell>
          <cell r="V889">
            <v>0.31944444444444442</v>
          </cell>
          <cell r="W889">
            <v>37.043999999999997</v>
          </cell>
          <cell r="X889">
            <v>35.687999999999995</v>
          </cell>
          <cell r="Y889">
            <v>0.41944444444444445</v>
          </cell>
          <cell r="Z889">
            <v>84.048000000000002</v>
          </cell>
          <cell r="AA889">
            <v>83.82</v>
          </cell>
          <cell r="AW889">
            <v>4</v>
          </cell>
          <cell r="AX889">
            <v>4</v>
          </cell>
          <cell r="AY889">
            <v>4</v>
          </cell>
          <cell r="AZ889">
            <v>4</v>
          </cell>
          <cell r="BA889" t="str">
            <v>CONSORCIO NOVA ETE - PARQUE NOVO MUNDO</v>
          </cell>
          <cell r="BB889">
            <v>45859</v>
          </cell>
          <cell r="BC889">
            <v>1</v>
          </cell>
          <cell r="BD889" t="str">
            <v>seg</v>
          </cell>
          <cell r="BG889">
            <v>45857</v>
          </cell>
        </row>
        <row r="890">
          <cell r="A890">
            <v>1208</v>
          </cell>
          <cell r="B890">
            <v>830</v>
          </cell>
          <cell r="C890" t="str">
            <v>PLACAS PN-293 / PN-294</v>
          </cell>
          <cell r="D890">
            <v>7</v>
          </cell>
          <cell r="E890">
            <v>40</v>
          </cell>
          <cell r="F890">
            <v>24</v>
          </cell>
          <cell r="G890">
            <v>40</v>
          </cell>
          <cell r="H890">
            <v>0</v>
          </cell>
          <cell r="I890" t="str">
            <v>-</v>
          </cell>
          <cell r="J890" t="str">
            <v>670/660</v>
          </cell>
          <cell r="K890" t="str">
            <v xml:space="preserve">CPIII 40 RS </v>
          </cell>
          <cell r="L890" t="str">
            <v>CP V</v>
          </cell>
          <cell r="M890" t="str">
            <v>SUPER PLASTIFICANTE</v>
          </cell>
          <cell r="N890" t="str">
            <v>ETE - PARQUE NOVO MUNDO (REATORES NEREDA)</v>
          </cell>
          <cell r="O890" t="str">
            <v>FORTANKS</v>
          </cell>
          <cell r="P890">
            <v>4</v>
          </cell>
          <cell r="Q890" t="str">
            <v>Gean</v>
          </cell>
          <cell r="R890">
            <v>45857</v>
          </cell>
          <cell r="S890">
            <v>0.63194444444444442</v>
          </cell>
          <cell r="T890">
            <v>0.62194444444444441</v>
          </cell>
          <cell r="U890" t="str">
            <v>X</v>
          </cell>
          <cell r="V890">
            <v>0.3263888888888889</v>
          </cell>
          <cell r="W890">
            <v>40.199999999999996</v>
          </cell>
          <cell r="X890">
            <v>41.735999999999997</v>
          </cell>
          <cell r="Y890">
            <v>0.41944444444444445</v>
          </cell>
          <cell r="Z890">
            <v>83.808000000000007</v>
          </cell>
          <cell r="AA890">
            <v>83.736000000000004</v>
          </cell>
          <cell r="AW890">
            <v>4</v>
          </cell>
          <cell r="AX890">
            <v>4</v>
          </cell>
          <cell r="AY890">
            <v>4</v>
          </cell>
          <cell r="AZ890">
            <v>4</v>
          </cell>
          <cell r="BA890" t="str">
            <v>CONSORCIO NOVA ETE - PARQUE NOVO MUNDO</v>
          </cell>
          <cell r="BB890">
            <v>45859</v>
          </cell>
          <cell r="BC890">
            <v>1</v>
          </cell>
          <cell r="BD890" t="str">
            <v>seg</v>
          </cell>
          <cell r="BG890">
            <v>45857</v>
          </cell>
        </row>
        <row r="891">
          <cell r="A891" t="str">
            <v>1208-A</v>
          </cell>
          <cell r="B891">
            <v>830</v>
          </cell>
          <cell r="C891" t="str">
            <v>PLACA PR_PN-108 (CANALETAS)</v>
          </cell>
          <cell r="D891">
            <v>7</v>
          </cell>
          <cell r="E891">
            <v>40</v>
          </cell>
          <cell r="F891">
            <v>24</v>
          </cell>
          <cell r="G891">
            <v>40</v>
          </cell>
          <cell r="H891">
            <v>0</v>
          </cell>
          <cell r="I891" t="str">
            <v>-</v>
          </cell>
          <cell r="J891" t="str">
            <v>670/660</v>
          </cell>
          <cell r="K891" t="str">
            <v xml:space="preserve">CPIII 40 RS </v>
          </cell>
          <cell r="L891" t="str">
            <v>CP V</v>
          </cell>
          <cell r="M891" t="str">
            <v>SUPER PLASTIFICANTE</v>
          </cell>
          <cell r="N891" t="str">
            <v>ETE - PROJETO SUCURIÚ - CLARIFICADOR PRIMARIO</v>
          </cell>
          <cell r="O891" t="str">
            <v>FORTANKS</v>
          </cell>
          <cell r="P891">
            <v>4</v>
          </cell>
          <cell r="Q891" t="str">
            <v>Gean</v>
          </cell>
          <cell r="R891">
            <v>45857</v>
          </cell>
          <cell r="S891">
            <v>0.63194444444444442</v>
          </cell>
          <cell r="T891">
            <v>0.62194444444444441</v>
          </cell>
          <cell r="U891" t="str">
            <v>X</v>
          </cell>
          <cell r="V891">
            <v>0.3263888888888889</v>
          </cell>
          <cell r="W891">
            <v>40.199999999999996</v>
          </cell>
          <cell r="X891">
            <v>41.735999999999997</v>
          </cell>
          <cell r="Y891">
            <v>0.41666666666666669</v>
          </cell>
          <cell r="Z891">
            <v>83.81</v>
          </cell>
          <cell r="AA891">
            <v>83.74</v>
          </cell>
          <cell r="AW891">
            <v>4</v>
          </cell>
          <cell r="AX891">
            <v>4</v>
          </cell>
          <cell r="AY891">
            <v>4</v>
          </cell>
          <cell r="AZ891">
            <v>4</v>
          </cell>
          <cell r="BA891" t="str">
            <v>FORTES ENGENHARIA</v>
          </cell>
          <cell r="BB891">
            <v>45859</v>
          </cell>
          <cell r="BC891">
            <v>1</v>
          </cell>
          <cell r="BD891" t="str">
            <v>seg</v>
          </cell>
          <cell r="BG891">
            <v>45857</v>
          </cell>
        </row>
        <row r="892">
          <cell r="A892">
            <v>1209</v>
          </cell>
          <cell r="B892">
            <v>831</v>
          </cell>
          <cell r="C892" t="str">
            <v xml:space="preserve">PLACA PF-187 </v>
          </cell>
          <cell r="D892">
            <v>5</v>
          </cell>
          <cell r="E892">
            <v>40</v>
          </cell>
          <cell r="F892">
            <v>24</v>
          </cell>
          <cell r="G892">
            <v>40</v>
          </cell>
          <cell r="H892">
            <v>0</v>
          </cell>
          <cell r="I892" t="str">
            <v>-</v>
          </cell>
          <cell r="J892" t="str">
            <v>660/660</v>
          </cell>
          <cell r="K892" t="str">
            <v xml:space="preserve">CPIII 40 RS </v>
          </cell>
          <cell r="L892" t="str">
            <v>CP V</v>
          </cell>
          <cell r="M892" t="str">
            <v>SUPER PLASTIFICANTE</v>
          </cell>
          <cell r="N892" t="str">
            <v>ETE - PARQUE NOVO MUNDO (REATORES NEREDA)</v>
          </cell>
          <cell r="O892" t="str">
            <v>FORTANKS</v>
          </cell>
          <cell r="P892">
            <v>1</v>
          </cell>
          <cell r="Q892" t="str">
            <v>Gean</v>
          </cell>
          <cell r="R892">
            <v>45859</v>
          </cell>
          <cell r="S892">
            <v>0.58333333333333337</v>
          </cell>
          <cell r="T892">
            <v>0.57333333333333336</v>
          </cell>
          <cell r="U892" t="str">
            <v>X</v>
          </cell>
          <cell r="V892">
            <v>0.33333333333333331</v>
          </cell>
          <cell r="W892">
            <v>24.012</v>
          </cell>
          <cell r="X892">
            <v>23.544</v>
          </cell>
          <cell r="Y892">
            <v>0.41944444444444445</v>
          </cell>
          <cell r="Z892">
            <v>82.367999999999995</v>
          </cell>
          <cell r="AA892">
            <v>82.427999999999997</v>
          </cell>
          <cell r="AW892">
            <v>4</v>
          </cell>
          <cell r="AX892">
            <v>4</v>
          </cell>
          <cell r="AY892">
            <v>4</v>
          </cell>
          <cell r="AZ892">
            <v>4</v>
          </cell>
          <cell r="BA892" t="str">
            <v>CONSORCIO NOVA ETE - PARQUE NOVO MUNDO</v>
          </cell>
          <cell r="BB892">
            <v>45860</v>
          </cell>
          <cell r="BD892" t="str">
            <v>ter</v>
          </cell>
          <cell r="BG892">
            <v>45859</v>
          </cell>
        </row>
        <row r="893">
          <cell r="A893">
            <v>1210</v>
          </cell>
          <cell r="B893">
            <v>832</v>
          </cell>
          <cell r="C893" t="str">
            <v>PLACA PN-300</v>
          </cell>
          <cell r="D893">
            <v>6.5</v>
          </cell>
          <cell r="E893">
            <v>40</v>
          </cell>
          <cell r="F893">
            <v>24</v>
          </cell>
          <cell r="G893">
            <v>40</v>
          </cell>
          <cell r="H893">
            <v>0</v>
          </cell>
          <cell r="I893" t="str">
            <v>-</v>
          </cell>
          <cell r="J893" t="str">
            <v>650/650</v>
          </cell>
          <cell r="K893" t="str">
            <v xml:space="preserve">CPIII 40 RS </v>
          </cell>
          <cell r="L893" t="str">
            <v>CP V</v>
          </cell>
          <cell r="M893" t="str">
            <v>SUPER PLASTIFICANTE</v>
          </cell>
          <cell r="N893" t="str">
            <v>ETE - PARQUE NOVO MUNDO (REATORES NEREDA)</v>
          </cell>
          <cell r="O893" t="str">
            <v>FORTANKS</v>
          </cell>
          <cell r="P893">
            <v>1</v>
          </cell>
          <cell r="Q893" t="str">
            <v>Gean</v>
          </cell>
          <cell r="R893">
            <v>45859</v>
          </cell>
          <cell r="S893">
            <v>0.39583333333333331</v>
          </cell>
          <cell r="T893">
            <v>0.38583333333333331</v>
          </cell>
          <cell r="U893" t="str">
            <v>X</v>
          </cell>
          <cell r="V893">
            <v>0.3125</v>
          </cell>
          <cell r="W893">
            <v>33.42</v>
          </cell>
          <cell r="X893">
            <v>31.367999999999999</v>
          </cell>
          <cell r="Y893">
            <v>0.4201388888888889</v>
          </cell>
          <cell r="Z893">
            <v>84.036000000000001</v>
          </cell>
          <cell r="AA893">
            <v>83.495999999999995</v>
          </cell>
          <cell r="AW893">
            <v>4</v>
          </cell>
          <cell r="AX893">
            <v>4</v>
          </cell>
          <cell r="AY893">
            <v>4</v>
          </cell>
          <cell r="AZ893">
            <v>4</v>
          </cell>
          <cell r="BA893" t="str">
            <v>CONSORCIO NOVA ETE - PARQUE NOVO MUNDO</v>
          </cell>
          <cell r="BB893">
            <v>45860</v>
          </cell>
          <cell r="BD893" t="str">
            <v>ter</v>
          </cell>
          <cell r="BG893">
            <v>45859</v>
          </cell>
        </row>
        <row r="894">
          <cell r="A894" t="str">
            <v>1210-A</v>
          </cell>
          <cell r="B894">
            <v>832</v>
          </cell>
          <cell r="C894" t="str">
            <v>PLACA PR_PNI-93</v>
          </cell>
          <cell r="D894">
            <v>6.5</v>
          </cell>
          <cell r="E894">
            <v>40</v>
          </cell>
          <cell r="F894">
            <v>24</v>
          </cell>
          <cell r="G894">
            <v>40</v>
          </cell>
          <cell r="H894">
            <v>0</v>
          </cell>
          <cell r="I894" t="str">
            <v>-</v>
          </cell>
          <cell r="J894" t="str">
            <v>650/650</v>
          </cell>
          <cell r="K894" t="str">
            <v xml:space="preserve">CPIII 40 RS </v>
          </cell>
          <cell r="L894" t="str">
            <v>CP V</v>
          </cell>
          <cell r="M894" t="str">
            <v>SUPER PLASTIFICANTE</v>
          </cell>
          <cell r="N894" t="str">
            <v>ETE - PROJETO SUCURIÚ - CLARIFICADOR PRIMARIO</v>
          </cell>
          <cell r="O894" t="str">
            <v>FORTANKS</v>
          </cell>
          <cell r="P894">
            <v>1</v>
          </cell>
          <cell r="Q894" t="str">
            <v>Gean</v>
          </cell>
          <cell r="R894">
            <v>45859</v>
          </cell>
          <cell r="S894">
            <v>0.39583333333333331</v>
          </cell>
          <cell r="T894">
            <v>0.38583333333333331</v>
          </cell>
          <cell r="U894" t="str">
            <v>X</v>
          </cell>
          <cell r="V894">
            <v>0.3125</v>
          </cell>
          <cell r="W894">
            <v>33.42</v>
          </cell>
          <cell r="X894">
            <v>31.367999999999999</v>
          </cell>
          <cell r="Y894">
            <v>0.4236111111111111</v>
          </cell>
          <cell r="Z894">
            <v>84.04</v>
          </cell>
          <cell r="AA894">
            <v>83.5</v>
          </cell>
          <cell r="AW894">
            <v>4</v>
          </cell>
          <cell r="AX894">
            <v>4</v>
          </cell>
          <cell r="AY894">
            <v>4</v>
          </cell>
          <cell r="AZ894">
            <v>4</v>
          </cell>
          <cell r="BA894" t="str">
            <v>FORTES ENGENHARIA</v>
          </cell>
          <cell r="BB894">
            <v>45860</v>
          </cell>
          <cell r="BD894" t="str">
            <v>ter</v>
          </cell>
          <cell r="BG894">
            <v>45859</v>
          </cell>
        </row>
        <row r="895">
          <cell r="A895">
            <v>1211</v>
          </cell>
          <cell r="B895">
            <v>833</v>
          </cell>
          <cell r="C895" t="str">
            <v>PLACAS  PN-301 / PN-306</v>
          </cell>
          <cell r="D895">
            <v>7</v>
          </cell>
          <cell r="E895">
            <v>40</v>
          </cell>
          <cell r="F895">
            <v>24</v>
          </cell>
          <cell r="G895">
            <v>40</v>
          </cell>
          <cell r="H895">
            <v>0</v>
          </cell>
          <cell r="I895" t="str">
            <v>-</v>
          </cell>
          <cell r="J895" t="str">
            <v>650/650</v>
          </cell>
          <cell r="K895" t="str">
            <v xml:space="preserve">CPIII 40 RS </v>
          </cell>
          <cell r="L895" t="str">
            <v>CP V</v>
          </cell>
          <cell r="M895" t="str">
            <v>SUPER PLASTIFICANTE</v>
          </cell>
          <cell r="N895" t="str">
            <v>ETE - PARQUE NOVO MUNDO (REATORES NEREDA)</v>
          </cell>
          <cell r="O895" t="str">
            <v>FORTANKS</v>
          </cell>
          <cell r="P895">
            <v>2</v>
          </cell>
          <cell r="Q895" t="str">
            <v>Gean</v>
          </cell>
          <cell r="R895">
            <v>45859</v>
          </cell>
          <cell r="S895">
            <v>0.41666666666666669</v>
          </cell>
          <cell r="T895">
            <v>0.40666666666666668</v>
          </cell>
          <cell r="U895" t="str">
            <v>X</v>
          </cell>
          <cell r="V895">
            <v>0.31597222222222221</v>
          </cell>
          <cell r="W895">
            <v>32.832000000000001</v>
          </cell>
          <cell r="X895">
            <v>32.543999999999997</v>
          </cell>
          <cell r="Y895">
            <v>0.43402777777777779</v>
          </cell>
          <cell r="Z895">
            <v>84.6</v>
          </cell>
          <cell r="AA895">
            <v>84.3</v>
          </cell>
          <cell r="AW895">
            <v>4</v>
          </cell>
          <cell r="AX895">
            <v>4</v>
          </cell>
          <cell r="AY895">
            <v>4</v>
          </cell>
          <cell r="AZ895">
            <v>4</v>
          </cell>
          <cell r="BA895" t="str">
            <v>CONSORCIO NOVA ETE - PARQUE NOVO MUNDO</v>
          </cell>
          <cell r="BB895">
            <v>45860</v>
          </cell>
          <cell r="BD895" t="str">
            <v>ter</v>
          </cell>
          <cell r="BG895">
            <v>45859</v>
          </cell>
        </row>
        <row r="896">
          <cell r="A896">
            <v>1212</v>
          </cell>
          <cell r="B896">
            <v>834</v>
          </cell>
          <cell r="C896" t="str">
            <v>PLACAS  PN-307 / PN-308</v>
          </cell>
          <cell r="D896">
            <v>7</v>
          </cell>
          <cell r="E896">
            <v>40</v>
          </cell>
          <cell r="F896">
            <v>24</v>
          </cell>
          <cell r="G896">
            <v>40</v>
          </cell>
          <cell r="H896">
            <v>0</v>
          </cell>
          <cell r="I896" t="str">
            <v>-</v>
          </cell>
          <cell r="J896" t="str">
            <v>660/650</v>
          </cell>
          <cell r="K896" t="str">
            <v xml:space="preserve">CPIII 40 RS </v>
          </cell>
          <cell r="L896" t="str">
            <v>CP V</v>
          </cell>
          <cell r="M896" t="str">
            <v>SUPER PLASTIFICANTE</v>
          </cell>
          <cell r="N896" t="str">
            <v>ETE - PARQUE NOVO MUNDO (REATORES NEREDA)</v>
          </cell>
          <cell r="O896" t="str">
            <v>FORTANKS</v>
          </cell>
          <cell r="P896">
            <v>3</v>
          </cell>
          <cell r="Q896" t="str">
            <v>Gean</v>
          </cell>
          <cell r="R896">
            <v>45859</v>
          </cell>
          <cell r="S896">
            <v>0.45833333333333331</v>
          </cell>
          <cell r="T896">
            <v>0.44833333333333331</v>
          </cell>
          <cell r="U896" t="str">
            <v>X</v>
          </cell>
          <cell r="V896">
            <v>0.31944444444444442</v>
          </cell>
          <cell r="W896">
            <v>33.887999999999998</v>
          </cell>
          <cell r="X896">
            <v>34.283999999999999</v>
          </cell>
          <cell r="Y896">
            <v>0.43402777777777779</v>
          </cell>
          <cell r="Z896">
            <v>84.11999999999999</v>
          </cell>
          <cell r="AA896">
            <v>85.14</v>
          </cell>
          <cell r="AW896">
            <v>4</v>
          </cell>
          <cell r="AX896">
            <v>4</v>
          </cell>
          <cell r="AY896">
            <v>4</v>
          </cell>
          <cell r="AZ896">
            <v>4</v>
          </cell>
          <cell r="BA896" t="str">
            <v>CONSORCIO NOVA ETE - PARQUE NOVO MUNDO</v>
          </cell>
          <cell r="BB896">
            <v>45860</v>
          </cell>
          <cell r="BD896" t="str">
            <v>ter</v>
          </cell>
          <cell r="BG896">
            <v>45859</v>
          </cell>
        </row>
        <row r="897">
          <cell r="A897">
            <v>1213</v>
          </cell>
          <cell r="B897">
            <v>835</v>
          </cell>
          <cell r="C897" t="str">
            <v>PLACAS PN-309 / PN-310</v>
          </cell>
          <cell r="D897">
            <v>7</v>
          </cell>
          <cell r="E897">
            <v>40</v>
          </cell>
          <cell r="F897">
            <v>24</v>
          </cell>
          <cell r="G897">
            <v>40</v>
          </cell>
          <cell r="H897">
            <v>0</v>
          </cell>
          <cell r="I897" t="str">
            <v>-</v>
          </cell>
          <cell r="J897" t="str">
            <v>680/680</v>
          </cell>
          <cell r="K897" t="str">
            <v xml:space="preserve">CPIII 40 RS </v>
          </cell>
          <cell r="L897" t="str">
            <v>CP V</v>
          </cell>
          <cell r="M897" t="str">
            <v>SUPER PLASTIFICANTE</v>
          </cell>
          <cell r="N897" t="str">
            <v>ETE - PARQUE NOVO MUNDO (REATORES NEREDA)</v>
          </cell>
          <cell r="O897" t="str">
            <v>FORTANKS</v>
          </cell>
          <cell r="P897">
            <v>4</v>
          </cell>
          <cell r="Q897" t="str">
            <v>Gean</v>
          </cell>
          <cell r="R897">
            <v>45859</v>
          </cell>
          <cell r="S897">
            <v>0.47916666666666669</v>
          </cell>
          <cell r="T897">
            <v>0.46916666666666668</v>
          </cell>
          <cell r="U897" t="str">
            <v>X</v>
          </cell>
          <cell r="V897">
            <v>0.29166666666666669</v>
          </cell>
          <cell r="W897">
            <v>33.851999999999997</v>
          </cell>
          <cell r="X897">
            <v>34.308</v>
          </cell>
          <cell r="Y897">
            <v>0.4201388888888889</v>
          </cell>
          <cell r="Z897">
            <v>84.432000000000002</v>
          </cell>
          <cell r="AA897">
            <v>85.043999999999997</v>
          </cell>
          <cell r="AW897">
            <v>4</v>
          </cell>
          <cell r="AX897">
            <v>4</v>
          </cell>
          <cell r="AY897">
            <v>4</v>
          </cell>
          <cell r="AZ897">
            <v>4</v>
          </cell>
          <cell r="BA897" t="str">
            <v>CONSORCIO NOVA ETE - PARQUE NOVO MUNDO</v>
          </cell>
          <cell r="BB897">
            <v>45860</v>
          </cell>
          <cell r="BD897" t="str">
            <v>ter</v>
          </cell>
          <cell r="BG897">
            <v>45859</v>
          </cell>
        </row>
        <row r="898">
          <cell r="A898">
            <v>1214</v>
          </cell>
          <cell r="B898">
            <v>836</v>
          </cell>
          <cell r="C898" t="str">
            <v>PLACA PN-319</v>
          </cell>
          <cell r="D898">
            <v>6.5</v>
          </cell>
          <cell r="E898">
            <v>40</v>
          </cell>
          <cell r="F898">
            <v>24</v>
          </cell>
          <cell r="G898">
            <v>40</v>
          </cell>
          <cell r="H898">
            <v>0</v>
          </cell>
          <cell r="I898" t="str">
            <v>-</v>
          </cell>
          <cell r="J898" t="str">
            <v>660/670</v>
          </cell>
          <cell r="K898" t="str">
            <v xml:space="preserve">CPIII 40 RS </v>
          </cell>
          <cell r="L898" t="str">
            <v>CP V</v>
          </cell>
          <cell r="M898" t="str">
            <v>SUPER PLASTIFICANTE</v>
          </cell>
          <cell r="N898" t="str">
            <v>ETE - PARQUE NOVO MUNDO (REATORES NEREDA)</v>
          </cell>
          <cell r="O898" t="str">
            <v>FORTANKS</v>
          </cell>
          <cell r="P898">
            <v>1</v>
          </cell>
          <cell r="Q898" t="str">
            <v>Gean</v>
          </cell>
          <cell r="R898">
            <v>45861</v>
          </cell>
          <cell r="S898">
            <v>0.39583333333333331</v>
          </cell>
          <cell r="T898">
            <v>0.38583333333333331</v>
          </cell>
          <cell r="U898" t="str">
            <v>X</v>
          </cell>
          <cell r="V898">
            <v>0.33333333333333331</v>
          </cell>
          <cell r="W898">
            <v>35.484000000000002</v>
          </cell>
          <cell r="X898">
            <v>34.44</v>
          </cell>
          <cell r="Y898">
            <v>0.42222222222222222</v>
          </cell>
          <cell r="Z898">
            <v>84.576000000000008</v>
          </cell>
          <cell r="AA898">
            <v>84.707999999999998</v>
          </cell>
          <cell r="AW898">
            <v>4</v>
          </cell>
          <cell r="AX898">
            <v>4</v>
          </cell>
          <cell r="AY898">
            <v>4</v>
          </cell>
          <cell r="AZ898">
            <v>4</v>
          </cell>
          <cell r="BA898" t="str">
            <v>CONSORCIO NOVA ETE - PARQUE NOVO MUNDO</v>
          </cell>
          <cell r="BB898">
            <v>45862</v>
          </cell>
          <cell r="BD898" t="str">
            <v>qui</v>
          </cell>
          <cell r="BG898">
            <v>45861</v>
          </cell>
        </row>
        <row r="899">
          <cell r="A899" t="str">
            <v>1214-A</v>
          </cell>
          <cell r="B899">
            <v>836</v>
          </cell>
          <cell r="C899" t="str">
            <v>PLACA PR_PN-114</v>
          </cell>
          <cell r="D899">
            <v>6.5</v>
          </cell>
          <cell r="E899">
            <v>40</v>
          </cell>
          <cell r="F899">
            <v>24</v>
          </cell>
          <cell r="G899">
            <v>40</v>
          </cell>
          <cell r="H899">
            <v>0</v>
          </cell>
          <cell r="I899" t="str">
            <v>-</v>
          </cell>
          <cell r="J899" t="str">
            <v>660/670</v>
          </cell>
          <cell r="K899" t="str">
            <v xml:space="preserve">CPIII 40 RS </v>
          </cell>
          <cell r="L899" t="str">
            <v>CP V</v>
          </cell>
          <cell r="M899" t="str">
            <v>SUPER PLASTIFICANTE</v>
          </cell>
          <cell r="N899" t="str">
            <v>ETE - PROJETO SUCURIÚ - CLARIFICADOR PRIMARIO</v>
          </cell>
          <cell r="O899" t="str">
            <v>FORTANKS</v>
          </cell>
          <cell r="P899">
            <v>1</v>
          </cell>
          <cell r="Q899" t="str">
            <v>Gean</v>
          </cell>
          <cell r="R899">
            <v>45861</v>
          </cell>
          <cell r="S899">
            <v>0.39583333333333331</v>
          </cell>
          <cell r="T899">
            <v>0.38583333333333331</v>
          </cell>
          <cell r="U899" t="str">
            <v>X</v>
          </cell>
          <cell r="V899">
            <v>0.33333333333333331</v>
          </cell>
          <cell r="W899">
            <v>35.484000000000002</v>
          </cell>
          <cell r="X899">
            <v>34.44</v>
          </cell>
          <cell r="Y899">
            <v>0.41944444444444445</v>
          </cell>
          <cell r="Z899">
            <v>84.58</v>
          </cell>
          <cell r="AA899">
            <v>84.71</v>
          </cell>
          <cell r="AW899">
            <v>4</v>
          </cell>
          <cell r="AX899">
            <v>4</v>
          </cell>
          <cell r="AY899">
            <v>4</v>
          </cell>
          <cell r="AZ899">
            <v>4</v>
          </cell>
          <cell r="BA899" t="str">
            <v>FORTES ENGENHARIA</v>
          </cell>
          <cell r="BB899">
            <v>45862</v>
          </cell>
          <cell r="BD899" t="str">
            <v>qui</v>
          </cell>
          <cell r="BG899">
            <v>45861</v>
          </cell>
        </row>
        <row r="900">
          <cell r="A900">
            <v>1215</v>
          </cell>
          <cell r="B900">
            <v>837</v>
          </cell>
          <cell r="C900" t="str">
            <v>PLACAS PN-316 / PN-317</v>
          </cell>
          <cell r="D900">
            <v>7</v>
          </cell>
          <cell r="E900">
            <v>40</v>
          </cell>
          <cell r="F900">
            <v>24</v>
          </cell>
          <cell r="G900">
            <v>40</v>
          </cell>
          <cell r="H900">
            <v>0</v>
          </cell>
          <cell r="I900" t="str">
            <v>-</v>
          </cell>
          <cell r="J900" t="str">
            <v>680/700</v>
          </cell>
          <cell r="K900" t="str">
            <v xml:space="preserve">CPIII 40 RS </v>
          </cell>
          <cell r="L900" t="str">
            <v>CP V</v>
          </cell>
          <cell r="M900" t="str">
            <v>SUPER PLASTIFICANTE</v>
          </cell>
          <cell r="N900" t="str">
            <v>ETE - PARQUE NOVO MUNDO (REATORES NEREDA)</v>
          </cell>
          <cell r="O900" t="str">
            <v>FORTANKS</v>
          </cell>
          <cell r="P900">
            <v>2</v>
          </cell>
          <cell r="Q900" t="str">
            <v>Gean</v>
          </cell>
          <cell r="R900">
            <v>45861</v>
          </cell>
          <cell r="S900">
            <v>0.41666666666666669</v>
          </cell>
          <cell r="T900">
            <v>0.40666666666666668</v>
          </cell>
          <cell r="U900" t="str">
            <v>X</v>
          </cell>
          <cell r="V900">
            <v>0.33680555555555558</v>
          </cell>
          <cell r="W900">
            <v>32.628</v>
          </cell>
          <cell r="X900">
            <v>33.851999999999997</v>
          </cell>
          <cell r="Y900">
            <v>0.41944444444444445</v>
          </cell>
          <cell r="Z900">
            <v>84.263999999999996</v>
          </cell>
          <cell r="AA900">
            <v>84.49199999999999</v>
          </cell>
          <cell r="AW900">
            <v>4</v>
          </cell>
          <cell r="AX900">
            <v>4</v>
          </cell>
          <cell r="AY900">
            <v>4</v>
          </cell>
          <cell r="AZ900">
            <v>4</v>
          </cell>
          <cell r="BA900" t="str">
            <v>CONSORCIO NOVA ETE - PARQUE NOVO MUNDO</v>
          </cell>
          <cell r="BB900">
            <v>45862</v>
          </cell>
          <cell r="BD900" t="str">
            <v>qui</v>
          </cell>
          <cell r="BG900">
            <v>45861</v>
          </cell>
        </row>
        <row r="901">
          <cell r="A901">
            <v>1216</v>
          </cell>
          <cell r="B901">
            <v>838</v>
          </cell>
          <cell r="C901" t="str">
            <v>PLACAS PN-314 / PN-315</v>
          </cell>
          <cell r="D901">
            <v>7</v>
          </cell>
          <cell r="E901">
            <v>40</v>
          </cell>
          <cell r="F901">
            <v>24</v>
          </cell>
          <cell r="G901">
            <v>40</v>
          </cell>
          <cell r="H901">
            <v>0</v>
          </cell>
          <cell r="I901" t="str">
            <v>-</v>
          </cell>
          <cell r="J901" t="str">
            <v>660/660</v>
          </cell>
          <cell r="K901" t="str">
            <v xml:space="preserve">CPIII 40 RS </v>
          </cell>
          <cell r="L901" t="str">
            <v>CP V</v>
          </cell>
          <cell r="M901" t="str">
            <v>SUPER PLASTIFICANTE</v>
          </cell>
          <cell r="N901" t="str">
            <v>ETE - PARQUE NOVO MUNDO (REATORES NEREDA)</v>
          </cell>
          <cell r="O901" t="str">
            <v>FORTANKS</v>
          </cell>
          <cell r="P901">
            <v>3</v>
          </cell>
          <cell r="Q901" t="str">
            <v>Gean</v>
          </cell>
          <cell r="R901">
            <v>45861</v>
          </cell>
          <cell r="S901">
            <v>0.45833333333333331</v>
          </cell>
          <cell r="T901">
            <v>0.44833333333333331</v>
          </cell>
          <cell r="U901" t="str">
            <v>X</v>
          </cell>
          <cell r="V901">
            <v>0.34027777777777779</v>
          </cell>
          <cell r="W901">
            <v>37.955999999999996</v>
          </cell>
          <cell r="X901">
            <v>36.779999999999994</v>
          </cell>
          <cell r="Y901">
            <v>0.41666666666666669</v>
          </cell>
          <cell r="Z901">
            <v>83.46</v>
          </cell>
          <cell r="AA901">
            <v>81.912000000000006</v>
          </cell>
          <cell r="AW901">
            <v>4</v>
          </cell>
          <cell r="AX901">
            <v>4</v>
          </cell>
          <cell r="AY901">
            <v>4</v>
          </cell>
          <cell r="AZ901">
            <v>4</v>
          </cell>
          <cell r="BA901" t="str">
            <v>CONSORCIO NOVA ETE - PARQUE NOVO MUNDO</v>
          </cell>
          <cell r="BB901">
            <v>45862</v>
          </cell>
          <cell r="BD901" t="str">
            <v>qui</v>
          </cell>
          <cell r="BG901">
            <v>45861</v>
          </cell>
        </row>
        <row r="902">
          <cell r="A902">
            <v>1217</v>
          </cell>
          <cell r="B902">
            <v>839</v>
          </cell>
          <cell r="C902" t="str">
            <v>PLACAS PN-312 / PN-313</v>
          </cell>
          <cell r="D902">
            <v>7</v>
          </cell>
          <cell r="E902">
            <v>40</v>
          </cell>
          <cell r="F902">
            <v>24</v>
          </cell>
          <cell r="G902">
            <v>40</v>
          </cell>
          <cell r="H902">
            <v>0</v>
          </cell>
          <cell r="I902" t="str">
            <v>-</v>
          </cell>
          <cell r="J902" t="str">
            <v>660/650</v>
          </cell>
          <cell r="K902" t="str">
            <v xml:space="preserve">CPIII 40 RS </v>
          </cell>
          <cell r="L902" t="str">
            <v>CP V</v>
          </cell>
          <cell r="M902" t="str">
            <v>SUPER PLASTIFICANTE</v>
          </cell>
          <cell r="N902" t="str">
            <v>ETE - PARQUE NOVO MUNDO (REATORES NEREDA)</v>
          </cell>
          <cell r="O902" t="str">
            <v>FORTANKS</v>
          </cell>
          <cell r="P902">
            <v>4</v>
          </cell>
          <cell r="Q902" t="str">
            <v>Gean</v>
          </cell>
          <cell r="R902">
            <v>45861</v>
          </cell>
          <cell r="S902">
            <v>0.47916666666666669</v>
          </cell>
          <cell r="T902">
            <v>0.46916666666666668</v>
          </cell>
          <cell r="U902" t="str">
            <v>X</v>
          </cell>
          <cell r="V902">
            <v>0.34375</v>
          </cell>
          <cell r="W902">
            <v>35.256</v>
          </cell>
          <cell r="X902">
            <v>38.112000000000002</v>
          </cell>
          <cell r="Y902">
            <v>0.41944444444444445</v>
          </cell>
          <cell r="Z902">
            <v>83.135999999999996</v>
          </cell>
          <cell r="AA902">
            <v>82.308000000000007</v>
          </cell>
          <cell r="AW902">
            <v>4</v>
          </cell>
          <cell r="AX902">
            <v>4</v>
          </cell>
          <cell r="AY902">
            <v>4</v>
          </cell>
          <cell r="AZ902">
            <v>4</v>
          </cell>
          <cell r="BA902" t="str">
            <v>CONSORCIO NOVA ETE - PARQUE NOVO MUNDO</v>
          </cell>
          <cell r="BB902">
            <v>45862</v>
          </cell>
          <cell r="BD902" t="str">
            <v>qui</v>
          </cell>
          <cell r="BG902">
            <v>45861</v>
          </cell>
        </row>
        <row r="903">
          <cell r="A903">
            <v>1218</v>
          </cell>
          <cell r="B903">
            <v>840</v>
          </cell>
          <cell r="C903" t="str">
            <v>PLACA PR_PN-114 (CANALETA)</v>
          </cell>
          <cell r="D903">
            <v>1</v>
          </cell>
          <cell r="E903">
            <v>40</v>
          </cell>
          <cell r="F903">
            <v>15</v>
          </cell>
          <cell r="G903">
            <v>40</v>
          </cell>
          <cell r="H903">
            <v>0</v>
          </cell>
          <cell r="I903" t="str">
            <v>-</v>
          </cell>
          <cell r="J903" t="str">
            <v>660/650</v>
          </cell>
          <cell r="K903" t="str">
            <v xml:space="preserve">CPIII 40 RS </v>
          </cell>
          <cell r="L903" t="str">
            <v>CP V</v>
          </cell>
          <cell r="M903" t="str">
            <v>SUPER PLASTIFICANTE</v>
          </cell>
          <cell r="N903" t="str">
            <v>ETE - PROJETO SUCURIÚ - CLARIFICADOR PRIMARIO</v>
          </cell>
          <cell r="O903" t="str">
            <v>FORTANKS</v>
          </cell>
          <cell r="P903">
            <v>5</v>
          </cell>
          <cell r="Q903" t="str">
            <v>Gean</v>
          </cell>
          <cell r="R903">
            <v>45861</v>
          </cell>
          <cell r="S903">
            <v>0.58333333333333337</v>
          </cell>
          <cell r="T903">
            <v>0.57333333333333336</v>
          </cell>
          <cell r="U903" t="str">
            <v>X</v>
          </cell>
          <cell r="V903">
            <v>0.34722222222222221</v>
          </cell>
          <cell r="W903">
            <v>26.099999999999998</v>
          </cell>
          <cell r="X903">
            <v>24.468</v>
          </cell>
          <cell r="Y903">
            <v>0.41944444444444445</v>
          </cell>
          <cell r="Z903">
            <v>84.408000000000001</v>
          </cell>
          <cell r="AA903">
            <v>84.023999999999987</v>
          </cell>
          <cell r="AW903">
            <v>4</v>
          </cell>
          <cell r="AX903">
            <v>4</v>
          </cell>
          <cell r="AY903">
            <v>4</v>
          </cell>
          <cell r="AZ903">
            <v>4</v>
          </cell>
          <cell r="BA903" t="str">
            <v>FORTES ENGENHARIA</v>
          </cell>
          <cell r="BB903">
            <v>45862</v>
          </cell>
          <cell r="BD903" t="str">
            <v>qui</v>
          </cell>
          <cell r="BG903">
            <v>45861</v>
          </cell>
        </row>
        <row r="904">
          <cell r="A904">
            <v>1219</v>
          </cell>
          <cell r="B904">
            <v>841</v>
          </cell>
          <cell r="C904" t="str">
            <v>PLACA PN-320</v>
          </cell>
          <cell r="D904">
            <v>6.5</v>
          </cell>
          <cell r="E904">
            <v>40</v>
          </cell>
          <cell r="F904">
            <v>24</v>
          </cell>
          <cell r="G904">
            <v>40</v>
          </cell>
          <cell r="H904">
            <v>0</v>
          </cell>
          <cell r="I904" t="str">
            <v>-</v>
          </cell>
          <cell r="J904" t="str">
            <v>640/650</v>
          </cell>
          <cell r="K904" t="str">
            <v xml:space="preserve">CPIII 40 RS </v>
          </cell>
          <cell r="L904" t="str">
            <v>CP V</v>
          </cell>
          <cell r="M904" t="str">
            <v>SUPER PLASTIFICANTE</v>
          </cell>
          <cell r="N904" t="str">
            <v>ETE - PARQUE NOVO MUNDO (REATORES NEREDA)</v>
          </cell>
          <cell r="O904" t="str">
            <v>FORTANKS</v>
          </cell>
          <cell r="P904">
            <v>1</v>
          </cell>
          <cell r="Q904" t="str">
            <v>Gean</v>
          </cell>
          <cell r="R904">
            <v>45862</v>
          </cell>
          <cell r="S904">
            <v>0.54513888888888884</v>
          </cell>
          <cell r="T904">
            <v>0.53513888888888883</v>
          </cell>
          <cell r="U904" t="str">
            <v>X</v>
          </cell>
          <cell r="V904">
            <v>0.3125</v>
          </cell>
          <cell r="W904">
            <v>30.791999999999998</v>
          </cell>
          <cell r="X904">
            <v>31.283999999999999</v>
          </cell>
          <cell r="Y904">
            <v>0.41666666666666669</v>
          </cell>
          <cell r="Z904">
            <v>84.048000000000002</v>
          </cell>
          <cell r="AA904">
            <v>84.64800000000001</v>
          </cell>
          <cell r="AW904">
            <v>4</v>
          </cell>
          <cell r="AX904">
            <v>4</v>
          </cell>
          <cell r="AY904">
            <v>4</v>
          </cell>
          <cell r="AZ904">
            <v>4</v>
          </cell>
          <cell r="BA904" t="str">
            <v>CONSORCIO NOVA ETE - PARQUE NOVO MUNDO</v>
          </cell>
          <cell r="BB904">
            <v>45863</v>
          </cell>
          <cell r="BD904" t="str">
            <v>sex</v>
          </cell>
          <cell r="BG904">
            <v>45862</v>
          </cell>
        </row>
        <row r="905">
          <cell r="A905" t="str">
            <v>1219-A</v>
          </cell>
          <cell r="B905">
            <v>841</v>
          </cell>
          <cell r="C905" t="str">
            <v>PLACA PR_PNI-105</v>
          </cell>
          <cell r="D905">
            <v>6.5</v>
          </cell>
          <cell r="E905">
            <v>40</v>
          </cell>
          <cell r="F905">
            <v>24</v>
          </cell>
          <cell r="G905">
            <v>40</v>
          </cell>
          <cell r="H905">
            <v>0</v>
          </cell>
          <cell r="I905" t="str">
            <v>-</v>
          </cell>
          <cell r="J905" t="str">
            <v>640/650</v>
          </cell>
          <cell r="K905" t="str">
            <v xml:space="preserve">CPIII 40 RS </v>
          </cell>
          <cell r="L905" t="str">
            <v>CP V</v>
          </cell>
          <cell r="M905" t="str">
            <v>SUPER PLASTIFICANTE</v>
          </cell>
          <cell r="N905" t="str">
            <v>ETE - PROJETO SUCURIÚ - CLARIFICADOR PRIMARIO</v>
          </cell>
          <cell r="O905" t="str">
            <v>FORTANKS</v>
          </cell>
          <cell r="P905">
            <v>1</v>
          </cell>
          <cell r="Q905" t="str">
            <v>Gean</v>
          </cell>
          <cell r="R905">
            <v>45862</v>
          </cell>
          <cell r="S905">
            <v>0.54513888888888884</v>
          </cell>
          <cell r="T905">
            <v>0.53513888888888883</v>
          </cell>
          <cell r="U905" t="str">
            <v>X</v>
          </cell>
          <cell r="V905">
            <v>0.3125</v>
          </cell>
          <cell r="W905">
            <v>30.791999999999998</v>
          </cell>
          <cell r="X905">
            <v>31.283999999999999</v>
          </cell>
          <cell r="Y905">
            <v>0.41944444444444445</v>
          </cell>
          <cell r="Z905">
            <v>84.05</v>
          </cell>
          <cell r="AA905">
            <v>84.65</v>
          </cell>
          <cell r="AW905">
            <v>4</v>
          </cell>
          <cell r="AX905">
            <v>4</v>
          </cell>
          <cell r="AY905">
            <v>4</v>
          </cell>
          <cell r="AZ905">
            <v>4</v>
          </cell>
          <cell r="BA905" t="str">
            <v>FORTES ENGENHARIA</v>
          </cell>
          <cell r="BB905">
            <v>45863</v>
          </cell>
          <cell r="BD905" t="str">
            <v>sex</v>
          </cell>
          <cell r="BG905">
            <v>45862</v>
          </cell>
        </row>
        <row r="906">
          <cell r="A906">
            <v>1220</v>
          </cell>
          <cell r="B906">
            <v>842</v>
          </cell>
          <cell r="C906" t="str">
            <v>PLACAS PN-321 / PN-322</v>
          </cell>
          <cell r="D906">
            <v>7</v>
          </cell>
          <cell r="E906">
            <v>40</v>
          </cell>
          <cell r="F906">
            <v>24</v>
          </cell>
          <cell r="G906">
            <v>40</v>
          </cell>
          <cell r="H906">
            <v>0</v>
          </cell>
          <cell r="I906" t="str">
            <v>-</v>
          </cell>
          <cell r="J906" t="str">
            <v>660/670</v>
          </cell>
          <cell r="K906" t="str">
            <v xml:space="preserve">CPIII 40 RS </v>
          </cell>
          <cell r="L906" t="str">
            <v>CP V</v>
          </cell>
          <cell r="M906" t="str">
            <v>SUPER PLASTIFICANTE</v>
          </cell>
          <cell r="N906" t="str">
            <v>ETE - PARQUE NOVO MUNDO (REATORES NEREDA)</v>
          </cell>
          <cell r="O906" t="str">
            <v>FORTANKS</v>
          </cell>
          <cell r="P906">
            <v>2</v>
          </cell>
          <cell r="Q906" t="str">
            <v>Gean</v>
          </cell>
          <cell r="R906">
            <v>45862</v>
          </cell>
          <cell r="S906">
            <v>0.5625</v>
          </cell>
          <cell r="T906">
            <v>0.55249999999999999</v>
          </cell>
          <cell r="U906" t="str">
            <v>X</v>
          </cell>
          <cell r="V906">
            <v>0.31944444444444442</v>
          </cell>
          <cell r="W906">
            <v>28.799999999999997</v>
          </cell>
          <cell r="X906">
            <v>27.515999999999998</v>
          </cell>
          <cell r="Y906">
            <v>0.4201388888888889</v>
          </cell>
          <cell r="Z906">
            <v>84.635999999999996</v>
          </cell>
          <cell r="AA906">
            <v>84.671999999999997</v>
          </cell>
          <cell r="AW906">
            <v>4</v>
          </cell>
          <cell r="AX906">
            <v>4</v>
          </cell>
          <cell r="AY906">
            <v>4</v>
          </cell>
          <cell r="AZ906">
            <v>4</v>
          </cell>
          <cell r="BA906" t="str">
            <v>CONSORCIO NOVA ETE - PARQUE NOVO MUNDO</v>
          </cell>
          <cell r="BB906">
            <v>45863</v>
          </cell>
          <cell r="BD906" t="str">
            <v>sex</v>
          </cell>
          <cell r="BG906">
            <v>45862</v>
          </cell>
        </row>
        <row r="907">
          <cell r="A907">
            <v>1221</v>
          </cell>
          <cell r="B907">
            <v>843</v>
          </cell>
          <cell r="C907" t="str">
            <v>PLACAS PN-323 / PN-324</v>
          </cell>
          <cell r="D907">
            <v>7</v>
          </cell>
          <cell r="E907">
            <v>40</v>
          </cell>
          <cell r="F907">
            <v>24</v>
          </cell>
          <cell r="G907">
            <v>40</v>
          </cell>
          <cell r="H907">
            <v>0</v>
          </cell>
          <cell r="I907" t="str">
            <v>-</v>
          </cell>
          <cell r="J907" t="str">
            <v>650/650</v>
          </cell>
          <cell r="K907" t="str">
            <v xml:space="preserve">CPIII 40 RS </v>
          </cell>
          <cell r="L907" t="str">
            <v>CP V</v>
          </cell>
          <cell r="M907" t="str">
            <v>SUPER PLASTIFICANTE</v>
          </cell>
          <cell r="N907" t="str">
            <v>ETE - PARQUE NOVO MUNDO (REATORES NEREDA)</v>
          </cell>
          <cell r="O907" t="str">
            <v>FORTANKS</v>
          </cell>
          <cell r="P907">
            <v>3</v>
          </cell>
          <cell r="Q907" t="str">
            <v>Gean</v>
          </cell>
          <cell r="R907">
            <v>45862</v>
          </cell>
          <cell r="S907">
            <v>0.58333333333333337</v>
          </cell>
          <cell r="T907">
            <v>0.57333333333333336</v>
          </cell>
          <cell r="U907" t="str">
            <v>X</v>
          </cell>
          <cell r="V907">
            <v>0.34375</v>
          </cell>
          <cell r="W907">
            <v>30.012</v>
          </cell>
          <cell r="X907">
            <v>28.884</v>
          </cell>
          <cell r="Y907">
            <v>0.4236111111111111</v>
          </cell>
          <cell r="Z907">
            <v>84.11999999999999</v>
          </cell>
          <cell r="AA907">
            <v>84.612000000000009</v>
          </cell>
          <cell r="AW907">
            <v>4</v>
          </cell>
          <cell r="AX907">
            <v>4</v>
          </cell>
          <cell r="AY907">
            <v>4</v>
          </cell>
          <cell r="AZ907">
            <v>4</v>
          </cell>
          <cell r="BA907" t="str">
            <v>CONSORCIO NOVA ETE - PARQUE NOVO MUNDO</v>
          </cell>
          <cell r="BB907">
            <v>45863</v>
          </cell>
          <cell r="BD907" t="str">
            <v>sex</v>
          </cell>
          <cell r="BG907">
            <v>45862</v>
          </cell>
        </row>
        <row r="908">
          <cell r="A908">
            <v>1222</v>
          </cell>
          <cell r="B908">
            <v>844</v>
          </cell>
          <cell r="C908" t="str">
            <v>PLACAS PN-325 / PN-326</v>
          </cell>
          <cell r="D908">
            <v>7</v>
          </cell>
          <cell r="E908">
            <v>40</v>
          </cell>
          <cell r="F908">
            <v>24</v>
          </cell>
          <cell r="G908">
            <v>40</v>
          </cell>
          <cell r="H908">
            <v>0</v>
          </cell>
          <cell r="I908" t="str">
            <v>-</v>
          </cell>
          <cell r="J908" t="str">
            <v>660/660</v>
          </cell>
          <cell r="K908" t="str">
            <v xml:space="preserve">CPIII 40 RS </v>
          </cell>
          <cell r="L908" t="str">
            <v>CP V</v>
          </cell>
          <cell r="M908" t="str">
            <v>SUPER PLASTIFICANTE</v>
          </cell>
          <cell r="N908" t="str">
            <v>ETE - PARQUE NOVO MUNDO (REATORES NEREDA)</v>
          </cell>
          <cell r="O908" t="str">
            <v>FORTANKS</v>
          </cell>
          <cell r="P908">
            <v>4</v>
          </cell>
          <cell r="Q908" t="str">
            <v>Gean</v>
          </cell>
          <cell r="R908">
            <v>45862</v>
          </cell>
          <cell r="S908">
            <v>0.64583333333333337</v>
          </cell>
          <cell r="T908">
            <v>0.63583333333333336</v>
          </cell>
          <cell r="U908" t="str">
            <v>X</v>
          </cell>
          <cell r="V908">
            <v>0.32291666666666669</v>
          </cell>
          <cell r="W908">
            <v>29.567999999999998</v>
          </cell>
          <cell r="X908">
            <v>32.351999999999997</v>
          </cell>
          <cell r="Y908">
            <v>0.43402777777777779</v>
          </cell>
          <cell r="Z908">
            <v>84.3</v>
          </cell>
          <cell r="AA908">
            <v>83.94</v>
          </cell>
          <cell r="AW908">
            <v>4</v>
          </cell>
          <cell r="AX908">
            <v>4</v>
          </cell>
          <cell r="AY908">
            <v>4</v>
          </cell>
          <cell r="AZ908">
            <v>4</v>
          </cell>
          <cell r="BA908" t="str">
            <v>CONSORCIO NOVA ETE - PARQUE NOVO MUNDO</v>
          </cell>
          <cell r="BB908">
            <v>45863</v>
          </cell>
          <cell r="BD908" t="str">
            <v>sex</v>
          </cell>
          <cell r="BG908">
            <v>45862</v>
          </cell>
        </row>
        <row r="909">
          <cell r="A909">
            <v>1223</v>
          </cell>
          <cell r="B909">
            <v>845</v>
          </cell>
          <cell r="C909" t="str">
            <v>PLACA PR_PNI-105 (CANALETA)</v>
          </cell>
          <cell r="D909">
            <v>1</v>
          </cell>
          <cell r="E909">
            <v>40</v>
          </cell>
          <cell r="F909">
            <v>15</v>
          </cell>
          <cell r="G909">
            <v>40</v>
          </cell>
          <cell r="H909">
            <v>0</v>
          </cell>
          <cell r="I909" t="str">
            <v>-</v>
          </cell>
          <cell r="J909" t="str">
            <v>680/680</v>
          </cell>
          <cell r="K909" t="str">
            <v xml:space="preserve">CPIII 40 RS </v>
          </cell>
          <cell r="L909" t="str">
            <v>CP V</v>
          </cell>
          <cell r="M909" t="str">
            <v>SUPER PLASTIFICANTE</v>
          </cell>
          <cell r="N909" t="str">
            <v>ETE - PROJETO SUCURIÚ - CLARIFICADOR PRIMARIO</v>
          </cell>
          <cell r="O909" t="str">
            <v>FORTANKS</v>
          </cell>
          <cell r="P909">
            <v>5</v>
          </cell>
          <cell r="Q909" t="str">
            <v>Gean</v>
          </cell>
          <cell r="R909">
            <v>45862</v>
          </cell>
          <cell r="S909">
            <v>0.64583333333333337</v>
          </cell>
          <cell r="T909">
            <v>0.63583333333333336</v>
          </cell>
          <cell r="U909" t="str">
            <v>X</v>
          </cell>
          <cell r="V909">
            <v>0.3263888888888889</v>
          </cell>
          <cell r="W909">
            <v>29.063999999999997</v>
          </cell>
          <cell r="X909">
            <v>31.704000000000001</v>
          </cell>
          <cell r="Y909">
            <v>0.43402777777777779</v>
          </cell>
          <cell r="Z909">
            <v>84.887999999999991</v>
          </cell>
          <cell r="AA909">
            <v>84.3</v>
          </cell>
          <cell r="AW909">
            <v>4</v>
          </cell>
          <cell r="AX909">
            <v>4</v>
          </cell>
          <cell r="AY909">
            <v>4</v>
          </cell>
          <cell r="AZ909">
            <v>4</v>
          </cell>
          <cell r="BA909" t="str">
            <v>FORTES ENGENHARIA</v>
          </cell>
          <cell r="BB909">
            <v>45863</v>
          </cell>
          <cell r="BD909" t="str">
            <v>sex</v>
          </cell>
          <cell r="BG909">
            <v>45862</v>
          </cell>
        </row>
        <row r="910">
          <cell r="A910">
            <v>1224</v>
          </cell>
          <cell r="B910">
            <v>846</v>
          </cell>
          <cell r="C910" t="str">
            <v>PLACA PN-333</v>
          </cell>
          <cell r="D910">
            <v>6.5</v>
          </cell>
          <cell r="E910">
            <v>40</v>
          </cell>
          <cell r="F910">
            <v>24</v>
          </cell>
          <cell r="G910">
            <v>40</v>
          </cell>
          <cell r="H910">
            <v>0</v>
          </cell>
          <cell r="I910" t="str">
            <v>-</v>
          </cell>
          <cell r="J910" t="str">
            <v>650/660</v>
          </cell>
          <cell r="K910" t="str">
            <v xml:space="preserve">CPIII 40 RS </v>
          </cell>
          <cell r="L910" t="str">
            <v>CP V</v>
          </cell>
          <cell r="M910" t="str">
            <v>SUPER PLASTIFICANTE</v>
          </cell>
          <cell r="N910" t="str">
            <v>ETE - PARQUE NOVO MUNDO (REATORES NEREDA)</v>
          </cell>
          <cell r="O910" t="str">
            <v>FORTANKS</v>
          </cell>
          <cell r="P910">
            <v>1</v>
          </cell>
          <cell r="Q910" t="str">
            <v>Gean</v>
          </cell>
          <cell r="R910">
            <v>45863</v>
          </cell>
          <cell r="S910">
            <v>0.54861111111111116</v>
          </cell>
          <cell r="T910">
            <v>0.53861111111111115</v>
          </cell>
          <cell r="U910" t="str">
            <v>X</v>
          </cell>
          <cell r="V910">
            <v>0.3125</v>
          </cell>
          <cell r="W910">
            <v>34.704000000000001</v>
          </cell>
          <cell r="X910">
            <v>35.975999999999999</v>
          </cell>
          <cell r="Y910">
            <v>0.4201388888888889</v>
          </cell>
          <cell r="Z910">
            <v>85.691999999999993</v>
          </cell>
          <cell r="AA910">
            <v>85.548000000000002</v>
          </cell>
          <cell r="AW910">
            <v>4</v>
          </cell>
          <cell r="AX910">
            <v>4</v>
          </cell>
          <cell r="AY910">
            <v>4</v>
          </cell>
          <cell r="AZ910">
            <v>4</v>
          </cell>
          <cell r="BA910" t="str">
            <v>CONSORCIO NOVA ETE - PARQUE NOVO MUNDO</v>
          </cell>
          <cell r="BB910">
            <v>45864</v>
          </cell>
          <cell r="BD910" t="str">
            <v>sáb</v>
          </cell>
          <cell r="BG910">
            <v>45863</v>
          </cell>
        </row>
        <row r="911">
          <cell r="A911" t="str">
            <v>1224-A</v>
          </cell>
          <cell r="B911">
            <v>846</v>
          </cell>
          <cell r="C911" t="str">
            <v>PLACA PR_PN-115</v>
          </cell>
          <cell r="D911">
            <v>6.5</v>
          </cell>
          <cell r="E911">
            <v>40</v>
          </cell>
          <cell r="F911">
            <v>24</v>
          </cell>
          <cell r="G911">
            <v>40</v>
          </cell>
          <cell r="H911">
            <v>0</v>
          </cell>
          <cell r="I911" t="str">
            <v>-</v>
          </cell>
          <cell r="J911" t="str">
            <v>650/660</v>
          </cell>
          <cell r="K911" t="str">
            <v xml:space="preserve">CPIII 40 RS </v>
          </cell>
          <cell r="L911" t="str">
            <v>CP V</v>
          </cell>
          <cell r="M911" t="str">
            <v>SUPER PLASTIFICANTE</v>
          </cell>
          <cell r="N911" t="str">
            <v>ETE - PROJETO SUCURIÚ - CLARIFICADOR PRIMARIO</v>
          </cell>
          <cell r="O911" t="str">
            <v>FORTANKS</v>
          </cell>
          <cell r="P911">
            <v>1</v>
          </cell>
          <cell r="Q911" t="str">
            <v>Gean</v>
          </cell>
          <cell r="R911">
            <v>45863</v>
          </cell>
          <cell r="S911">
            <v>0.54861111111111116</v>
          </cell>
          <cell r="T911">
            <v>0.53861111111111115</v>
          </cell>
          <cell r="U911" t="str">
            <v>X</v>
          </cell>
          <cell r="V911">
            <v>0.3125</v>
          </cell>
          <cell r="W911">
            <v>34.704000000000001</v>
          </cell>
          <cell r="X911">
            <v>35.975999999999999</v>
          </cell>
          <cell r="Y911">
            <v>0.42222222222222222</v>
          </cell>
          <cell r="Z911" t="e">
            <v>#N/A</v>
          </cell>
          <cell r="AA911" t="e">
            <v>#N/A</v>
          </cell>
          <cell r="AW911">
            <v>4</v>
          </cell>
          <cell r="AX911">
            <v>4</v>
          </cell>
          <cell r="AY911">
            <v>4</v>
          </cell>
          <cell r="AZ911">
            <v>4</v>
          </cell>
          <cell r="BA911" t="str">
            <v>FORTES ENGENHARIA</v>
          </cell>
          <cell r="BB911">
            <v>45864</v>
          </cell>
          <cell r="BD911" t="str">
            <v>sáb</v>
          </cell>
          <cell r="BG911">
            <v>45863</v>
          </cell>
        </row>
        <row r="912">
          <cell r="A912">
            <v>1225</v>
          </cell>
          <cell r="B912">
            <v>847</v>
          </cell>
          <cell r="C912" t="str">
            <v>PLACAS PN-331 / PN-332</v>
          </cell>
          <cell r="D912">
            <v>7</v>
          </cell>
          <cell r="E912">
            <v>40</v>
          </cell>
          <cell r="F912">
            <v>24</v>
          </cell>
          <cell r="G912">
            <v>40</v>
          </cell>
          <cell r="H912">
            <v>0</v>
          </cell>
          <cell r="I912" t="str">
            <v>-</v>
          </cell>
          <cell r="J912" t="str">
            <v>660/670</v>
          </cell>
          <cell r="K912" t="str">
            <v xml:space="preserve">CPIII 40 RS </v>
          </cell>
          <cell r="L912" t="str">
            <v>CP V</v>
          </cell>
          <cell r="M912" t="str">
            <v>SUPER PLASTIFICANTE</v>
          </cell>
          <cell r="N912" t="str">
            <v>ETE - PARQUE NOVO MUNDO (REATORES NEREDA)</v>
          </cell>
          <cell r="O912" t="str">
            <v>FORTANKS</v>
          </cell>
          <cell r="P912">
            <v>2</v>
          </cell>
          <cell r="Q912" t="str">
            <v>Gean</v>
          </cell>
          <cell r="R912">
            <v>45863</v>
          </cell>
          <cell r="S912">
            <v>0.57291666666666663</v>
          </cell>
          <cell r="T912">
            <v>0.56291666666666662</v>
          </cell>
          <cell r="U912" t="str">
            <v>X</v>
          </cell>
          <cell r="V912">
            <v>0.31944444444444442</v>
          </cell>
          <cell r="W912">
            <v>35.699999999999996</v>
          </cell>
          <cell r="X912">
            <v>34.128</v>
          </cell>
          <cell r="Y912">
            <v>0.41944444444444445</v>
          </cell>
          <cell r="Z912">
            <v>84.275999999999996</v>
          </cell>
          <cell r="AA912">
            <v>84.3</v>
          </cell>
          <cell r="AW912">
            <v>4</v>
          </cell>
          <cell r="AX912">
            <v>4</v>
          </cell>
          <cell r="AY912">
            <v>4</v>
          </cell>
          <cell r="AZ912">
            <v>4</v>
          </cell>
          <cell r="BA912" t="str">
            <v>CONSORCIO NOVA ETE - PARQUE NOVO MUNDO</v>
          </cell>
          <cell r="BB912">
            <v>45864</v>
          </cell>
          <cell r="BD912" t="str">
            <v>sáb</v>
          </cell>
          <cell r="BG912">
            <v>45863</v>
          </cell>
        </row>
        <row r="913">
          <cell r="A913">
            <v>1226</v>
          </cell>
          <cell r="B913">
            <v>848</v>
          </cell>
          <cell r="C913" t="str">
            <v>PLACAS PN-329 / PN-330</v>
          </cell>
          <cell r="D913">
            <v>7</v>
          </cell>
          <cell r="E913">
            <v>40</v>
          </cell>
          <cell r="F913">
            <v>24</v>
          </cell>
          <cell r="G913">
            <v>40</v>
          </cell>
          <cell r="H913">
            <v>0</v>
          </cell>
          <cell r="I913" t="str">
            <v>-</v>
          </cell>
          <cell r="J913" t="str">
            <v>670/670</v>
          </cell>
          <cell r="K913" t="str">
            <v xml:space="preserve">CPIII 40 RS </v>
          </cell>
          <cell r="L913" t="str">
            <v>CP V</v>
          </cell>
          <cell r="M913" t="str">
            <v>SUPER PLASTIFICANTE</v>
          </cell>
          <cell r="N913" t="str">
            <v>ETE - PARQUE NOVO MUNDO (REATORES NEREDA)</v>
          </cell>
          <cell r="O913" t="str">
            <v>FORTANKS</v>
          </cell>
          <cell r="P913">
            <v>3</v>
          </cell>
          <cell r="Q913" t="str">
            <v>Gean</v>
          </cell>
          <cell r="R913">
            <v>45863</v>
          </cell>
          <cell r="S913">
            <v>0.60416666666666663</v>
          </cell>
          <cell r="T913">
            <v>0.59416666666666662</v>
          </cell>
          <cell r="U913" t="str">
            <v>X</v>
          </cell>
          <cell r="V913">
            <v>0.32291666666666669</v>
          </cell>
          <cell r="W913">
            <v>33.252000000000002</v>
          </cell>
          <cell r="X913">
            <v>34.116</v>
          </cell>
          <cell r="Y913">
            <v>0.41944444444444445</v>
          </cell>
          <cell r="Z913">
            <v>83.88000000000001</v>
          </cell>
          <cell r="AA913">
            <v>84.78</v>
          </cell>
          <cell r="AW913">
            <v>4</v>
          </cell>
          <cell r="AX913">
            <v>4</v>
          </cell>
          <cell r="AY913">
            <v>4</v>
          </cell>
          <cell r="AZ913">
            <v>4</v>
          </cell>
          <cell r="BA913" t="str">
            <v>CONSORCIO NOVA ETE - PARQUE NOVO MUNDO</v>
          </cell>
          <cell r="BB913">
            <v>45864</v>
          </cell>
          <cell r="BD913" t="str">
            <v>sáb</v>
          </cell>
          <cell r="BG913">
            <v>45863</v>
          </cell>
        </row>
        <row r="914">
          <cell r="A914">
            <v>1227</v>
          </cell>
          <cell r="B914">
            <v>849</v>
          </cell>
          <cell r="C914" t="str">
            <v>PLACAS PN-327 / PN-328</v>
          </cell>
          <cell r="D914">
            <v>7</v>
          </cell>
          <cell r="E914">
            <v>40</v>
          </cell>
          <cell r="F914">
            <v>24</v>
          </cell>
          <cell r="G914">
            <v>40</v>
          </cell>
          <cell r="H914">
            <v>0</v>
          </cell>
          <cell r="I914" t="str">
            <v>-</v>
          </cell>
          <cell r="J914" t="str">
            <v>680/670</v>
          </cell>
          <cell r="K914" t="str">
            <v xml:space="preserve">CPIII 40 RS </v>
          </cell>
          <cell r="L914" t="str">
            <v>CP V</v>
          </cell>
          <cell r="M914" t="str">
            <v>SUPER PLASTIFICANTE</v>
          </cell>
          <cell r="N914" t="str">
            <v>ETE - PARQUE NOVO MUNDO (REATORES NEREDA)</v>
          </cell>
          <cell r="O914" t="str">
            <v>FORTANKS</v>
          </cell>
          <cell r="P914">
            <v>4</v>
          </cell>
          <cell r="Q914" t="str">
            <v>Gean</v>
          </cell>
          <cell r="R914">
            <v>45863</v>
          </cell>
          <cell r="S914">
            <v>0.63541666666666663</v>
          </cell>
          <cell r="T914">
            <v>0.62541666666666662</v>
          </cell>
          <cell r="U914" t="str">
            <v>X</v>
          </cell>
          <cell r="V914">
            <v>0.3263888888888889</v>
          </cell>
          <cell r="W914">
            <v>27.671999999999997</v>
          </cell>
          <cell r="X914">
            <v>27.323999999999998</v>
          </cell>
          <cell r="Y914">
            <v>0.41666666666666669</v>
          </cell>
          <cell r="Z914">
            <v>84.671999999999997</v>
          </cell>
          <cell r="AA914">
            <v>84.707999999999998</v>
          </cell>
          <cell r="AW914">
            <v>4</v>
          </cell>
          <cell r="AX914">
            <v>4</v>
          </cell>
          <cell r="AY914">
            <v>4</v>
          </cell>
          <cell r="AZ914">
            <v>4</v>
          </cell>
          <cell r="BA914" t="str">
            <v>CONSORCIO NOVA ETE - PARQUE NOVO MUNDO</v>
          </cell>
          <cell r="BB914">
            <v>45864</v>
          </cell>
          <cell r="BD914" t="str">
            <v>sáb</v>
          </cell>
          <cell r="BG914">
            <v>45863</v>
          </cell>
        </row>
        <row r="915">
          <cell r="A915">
            <v>1228</v>
          </cell>
          <cell r="B915">
            <v>850</v>
          </cell>
          <cell r="C915" t="str">
            <v>PLACA PR_PN-115 (CANALETA)</v>
          </cell>
          <cell r="D915">
            <v>1</v>
          </cell>
          <cell r="E915">
            <v>40</v>
          </cell>
          <cell r="F915">
            <v>15</v>
          </cell>
          <cell r="G915">
            <v>40</v>
          </cell>
          <cell r="H915">
            <v>0</v>
          </cell>
          <cell r="I915" t="str">
            <v>-</v>
          </cell>
          <cell r="J915" t="str">
            <v>670/670</v>
          </cell>
          <cell r="K915" t="str">
            <v xml:space="preserve">CPIII 40 RS </v>
          </cell>
          <cell r="L915" t="str">
            <v>CP V</v>
          </cell>
          <cell r="M915" t="str">
            <v>SUPER PLASTIFICANTE</v>
          </cell>
          <cell r="N915" t="str">
            <v>ETE - PROJETO SUCURIÚ - CLARIFICADOR PRIMARIO</v>
          </cell>
          <cell r="O915" t="str">
            <v>FORTANKS</v>
          </cell>
          <cell r="P915">
            <v>5</v>
          </cell>
          <cell r="Q915" t="str">
            <v>Gean</v>
          </cell>
          <cell r="R915">
            <v>45863</v>
          </cell>
          <cell r="S915">
            <v>0.66666666666666663</v>
          </cell>
          <cell r="T915">
            <v>0.65666666666666662</v>
          </cell>
          <cell r="U915" t="str">
            <v>X</v>
          </cell>
          <cell r="V915">
            <v>0.33333333333333331</v>
          </cell>
          <cell r="W915">
            <v>27.887999999999998</v>
          </cell>
          <cell r="X915">
            <v>26.771999999999998</v>
          </cell>
          <cell r="Y915">
            <v>0.41944444444444445</v>
          </cell>
          <cell r="Z915">
            <v>85.487999999999985</v>
          </cell>
          <cell r="AA915">
            <v>85.128</v>
          </cell>
          <cell r="AW915">
            <v>4</v>
          </cell>
          <cell r="AX915">
            <v>4</v>
          </cell>
          <cell r="AY915">
            <v>4</v>
          </cell>
          <cell r="AZ915">
            <v>4</v>
          </cell>
          <cell r="BA915" t="str">
            <v>CONSORCIO NOVA ETE - PARQUE NOVO MUNDO</v>
          </cell>
          <cell r="BB915">
            <v>45864</v>
          </cell>
          <cell r="BD915" t="str">
            <v>sáb</v>
          </cell>
          <cell r="BG915">
            <v>45863</v>
          </cell>
        </row>
        <row r="916">
          <cell r="A916">
            <v>1229</v>
          </cell>
          <cell r="B916">
            <v>851</v>
          </cell>
          <cell r="C916" t="str">
            <v>PLACA PN-335</v>
          </cell>
          <cell r="D916">
            <v>6.5</v>
          </cell>
          <cell r="E916">
            <v>40</v>
          </cell>
          <cell r="F916">
            <v>24</v>
          </cell>
          <cell r="G916">
            <v>40</v>
          </cell>
          <cell r="H916">
            <v>0</v>
          </cell>
          <cell r="I916" t="str">
            <v>-</v>
          </cell>
          <cell r="J916" t="str">
            <v>660/670</v>
          </cell>
          <cell r="K916" t="str">
            <v xml:space="preserve">CPIII 40 RS </v>
          </cell>
          <cell r="L916" t="str">
            <v>CP V</v>
          </cell>
          <cell r="M916" t="str">
            <v>SUPER PLASTIFICANTE</v>
          </cell>
          <cell r="N916" t="str">
            <v>ETE - PARQUE NOVO MUNDO (REATORES NEREDA)</v>
          </cell>
          <cell r="O916" t="str">
            <v>FORTANKS</v>
          </cell>
          <cell r="P916">
            <v>1</v>
          </cell>
          <cell r="Q916" t="str">
            <v>Gean</v>
          </cell>
          <cell r="R916">
            <v>45864</v>
          </cell>
          <cell r="S916">
            <v>0.54861111111111116</v>
          </cell>
          <cell r="T916">
            <v>0.53861111111111115</v>
          </cell>
          <cell r="U916" t="str">
            <v>X</v>
          </cell>
          <cell r="V916">
            <v>0.29166666666666669</v>
          </cell>
          <cell r="W916">
            <v>47.16</v>
          </cell>
          <cell r="X916">
            <v>49.08</v>
          </cell>
          <cell r="Y916">
            <v>0.41944444444444445</v>
          </cell>
          <cell r="Z916">
            <v>85.416000000000011</v>
          </cell>
          <cell r="AA916">
            <v>84.983999999999995</v>
          </cell>
          <cell r="AW916">
            <v>4</v>
          </cell>
          <cell r="AX916">
            <v>4</v>
          </cell>
          <cell r="AY916">
            <v>4</v>
          </cell>
          <cell r="AZ916">
            <v>4</v>
          </cell>
          <cell r="BA916" t="str">
            <v>CONSORCIO NOVA ETE - PARQUE NOVO MUNDO</v>
          </cell>
          <cell r="BB916">
            <v>45866</v>
          </cell>
          <cell r="BC916">
            <v>1</v>
          </cell>
          <cell r="BD916" t="str">
            <v>seg</v>
          </cell>
          <cell r="BG916">
            <v>45864</v>
          </cell>
        </row>
        <row r="917">
          <cell r="A917" t="str">
            <v>1229-A</v>
          </cell>
          <cell r="B917">
            <v>851</v>
          </cell>
          <cell r="C917" t="str">
            <v>PLACA PR_PNI-113</v>
          </cell>
          <cell r="D917">
            <v>6.5</v>
          </cell>
          <cell r="E917">
            <v>40</v>
          </cell>
          <cell r="F917">
            <v>24</v>
          </cell>
          <cell r="G917">
            <v>40</v>
          </cell>
          <cell r="H917">
            <v>0</v>
          </cell>
          <cell r="I917" t="str">
            <v>-</v>
          </cell>
          <cell r="J917" t="str">
            <v>660/670</v>
          </cell>
          <cell r="K917" t="str">
            <v xml:space="preserve">CPIII 40 RS </v>
          </cell>
          <cell r="L917" t="str">
            <v>CP V</v>
          </cell>
          <cell r="M917" t="str">
            <v>SUPER PLASTIFICANTE</v>
          </cell>
          <cell r="N917" t="str">
            <v>ETE - PROJETO SUCURIÚ - CLARIFICADOR PRIMARIO</v>
          </cell>
          <cell r="O917" t="str">
            <v>FORTANKS</v>
          </cell>
          <cell r="P917">
            <v>1</v>
          </cell>
          <cell r="Q917" t="str">
            <v>Gean</v>
          </cell>
          <cell r="R917">
            <v>45864</v>
          </cell>
          <cell r="S917">
            <v>0.54861111111111116</v>
          </cell>
          <cell r="T917">
            <v>0.53861111111111115</v>
          </cell>
          <cell r="U917" t="str">
            <v>X</v>
          </cell>
          <cell r="V917">
            <v>0.29166666666666669</v>
          </cell>
          <cell r="W917">
            <v>47.16</v>
          </cell>
          <cell r="X917">
            <v>49.08</v>
          </cell>
          <cell r="Y917">
            <v>0.41666666666666669</v>
          </cell>
          <cell r="Z917" t="e">
            <v>#N/A</v>
          </cell>
          <cell r="AA917" t="e">
            <v>#N/A</v>
          </cell>
          <cell r="AW917">
            <v>4</v>
          </cell>
          <cell r="AX917">
            <v>4</v>
          </cell>
          <cell r="AY917">
            <v>4</v>
          </cell>
          <cell r="AZ917">
            <v>4</v>
          </cell>
          <cell r="BA917" t="str">
            <v>FORTES ENGENHARIA</v>
          </cell>
          <cell r="BB917">
            <v>45866</v>
          </cell>
          <cell r="BC917">
            <v>1</v>
          </cell>
          <cell r="BD917" t="str">
            <v>seg</v>
          </cell>
          <cell r="BG917">
            <v>45864</v>
          </cell>
        </row>
        <row r="918">
          <cell r="A918">
            <v>1230</v>
          </cell>
          <cell r="B918">
            <v>852</v>
          </cell>
          <cell r="C918" t="str">
            <v>PLACAS PN-336 / PN-337</v>
          </cell>
          <cell r="D918">
            <v>7</v>
          </cell>
          <cell r="E918">
            <v>40</v>
          </cell>
          <cell r="F918">
            <v>24</v>
          </cell>
          <cell r="G918">
            <v>40</v>
          </cell>
          <cell r="H918">
            <v>0</v>
          </cell>
          <cell r="I918" t="str">
            <v>-</v>
          </cell>
          <cell r="J918" t="str">
            <v>670/670</v>
          </cell>
          <cell r="K918" t="str">
            <v xml:space="preserve">CPIII 40 RS </v>
          </cell>
          <cell r="L918" t="str">
            <v>CP V</v>
          </cell>
          <cell r="M918" t="str">
            <v>SUPER PLASTIFICANTE</v>
          </cell>
          <cell r="N918" t="str">
            <v>ETE - PARQUE NOVO MUNDO (REATORES NEREDA)</v>
          </cell>
          <cell r="O918" t="str">
            <v>FORTANKS</v>
          </cell>
          <cell r="P918">
            <v>2</v>
          </cell>
          <cell r="Q918" t="str">
            <v>Gean</v>
          </cell>
          <cell r="R918">
            <v>45864</v>
          </cell>
          <cell r="S918">
            <v>0.57638888888888884</v>
          </cell>
          <cell r="T918">
            <v>0.56638888888888883</v>
          </cell>
          <cell r="U918" t="str">
            <v>X</v>
          </cell>
          <cell r="V918">
            <v>0.2986111111111111</v>
          </cell>
          <cell r="W918">
            <v>43.247999999999998</v>
          </cell>
          <cell r="X918">
            <v>42.624000000000002</v>
          </cell>
          <cell r="Y918">
            <v>0.41944444444444445</v>
          </cell>
          <cell r="Z918">
            <v>83.951999999999984</v>
          </cell>
          <cell r="AA918">
            <v>83.34</v>
          </cell>
          <cell r="AW918">
            <v>4</v>
          </cell>
          <cell r="AX918">
            <v>4</v>
          </cell>
          <cell r="AY918">
            <v>4</v>
          </cell>
          <cell r="AZ918">
            <v>4</v>
          </cell>
          <cell r="BA918" t="str">
            <v>CONSORCIO NOVA ETE - PARQUE NOVO MUNDO</v>
          </cell>
          <cell r="BB918">
            <v>45866</v>
          </cell>
          <cell r="BC918">
            <v>1</v>
          </cell>
          <cell r="BD918" t="str">
            <v>seg</v>
          </cell>
          <cell r="BG918">
            <v>45864</v>
          </cell>
        </row>
        <row r="919">
          <cell r="A919">
            <v>1231</v>
          </cell>
          <cell r="B919">
            <v>853</v>
          </cell>
          <cell r="C919" t="str">
            <v>PLACAS PN-338 / PN-339</v>
          </cell>
          <cell r="D919">
            <v>7</v>
          </cell>
          <cell r="E919">
            <v>40</v>
          </cell>
          <cell r="F919">
            <v>24</v>
          </cell>
          <cell r="G919">
            <v>40</v>
          </cell>
          <cell r="H919">
            <v>0</v>
          </cell>
          <cell r="I919" t="str">
            <v>-</v>
          </cell>
          <cell r="J919" t="str">
            <v>680/680</v>
          </cell>
          <cell r="K919" t="str">
            <v xml:space="preserve">CPIII 40 RS </v>
          </cell>
          <cell r="L919" t="str">
            <v>CP V</v>
          </cell>
          <cell r="M919" t="str">
            <v>SUPER PLASTIFICANTE</v>
          </cell>
          <cell r="N919" t="str">
            <v>ETE - PARQUE NOVO MUNDO (REATORES NEREDA)</v>
          </cell>
          <cell r="O919" t="str">
            <v>FORTANKS</v>
          </cell>
          <cell r="P919">
            <v>3</v>
          </cell>
          <cell r="Q919" t="str">
            <v>Gean</v>
          </cell>
          <cell r="R919">
            <v>45864</v>
          </cell>
          <cell r="S919">
            <v>0.60069444444444442</v>
          </cell>
          <cell r="T919">
            <v>0.59069444444444441</v>
          </cell>
          <cell r="U919" t="str">
            <v>X</v>
          </cell>
          <cell r="V919">
            <v>0.30208333333333331</v>
          </cell>
          <cell r="W919">
            <v>44.591999999999992</v>
          </cell>
          <cell r="X919">
            <v>44.472000000000001</v>
          </cell>
          <cell r="Y919">
            <v>0.4201388888888889</v>
          </cell>
          <cell r="Z919">
            <v>82.896000000000001</v>
          </cell>
          <cell r="AA919">
            <v>83.987999999999985</v>
          </cell>
          <cell r="AW919">
            <v>4</v>
          </cell>
          <cell r="AX919">
            <v>4</v>
          </cell>
          <cell r="AY919">
            <v>4</v>
          </cell>
          <cell r="AZ919">
            <v>4</v>
          </cell>
          <cell r="BA919" t="str">
            <v>CONSORCIO NOVA ETE - PARQUE NOVO MUNDO</v>
          </cell>
          <cell r="BB919">
            <v>45866</v>
          </cell>
          <cell r="BC919">
            <v>1</v>
          </cell>
          <cell r="BD919" t="str">
            <v>seg</v>
          </cell>
          <cell r="BG919">
            <v>45864</v>
          </cell>
        </row>
        <row r="920">
          <cell r="A920">
            <v>1232</v>
          </cell>
          <cell r="B920">
            <v>854</v>
          </cell>
          <cell r="C920" t="str">
            <v>PLACAS PN-340 / PN-341</v>
          </cell>
          <cell r="D920">
            <v>7</v>
          </cell>
          <cell r="E920">
            <v>40</v>
          </cell>
          <cell r="F920">
            <v>24</v>
          </cell>
          <cell r="G920">
            <v>40</v>
          </cell>
          <cell r="H920">
            <v>0</v>
          </cell>
          <cell r="I920" t="str">
            <v>-</v>
          </cell>
          <cell r="J920" t="str">
            <v>680/680</v>
          </cell>
          <cell r="K920" t="str">
            <v xml:space="preserve">CPIII 40 RS </v>
          </cell>
          <cell r="L920" t="str">
            <v>CP V</v>
          </cell>
          <cell r="M920" t="str">
            <v>SUPER PLASTIFICANTE</v>
          </cell>
          <cell r="N920" t="str">
            <v>ETE - PARQUE NOVO MUNDO (REATORES NEREDA)</v>
          </cell>
          <cell r="O920" t="str">
            <v>FORTANKS</v>
          </cell>
          <cell r="P920">
            <v>4</v>
          </cell>
          <cell r="Q920" t="str">
            <v>Gean</v>
          </cell>
          <cell r="R920">
            <v>45864</v>
          </cell>
          <cell r="S920">
            <v>0.64583333333333337</v>
          </cell>
          <cell r="T920">
            <v>0.63583333333333336</v>
          </cell>
          <cell r="U920" t="str">
            <v>X</v>
          </cell>
          <cell r="V920">
            <v>0.30555555555555558</v>
          </cell>
          <cell r="W920">
            <v>41.735999999999997</v>
          </cell>
          <cell r="X920">
            <v>42.756</v>
          </cell>
          <cell r="Y920">
            <v>0.4236111111111111</v>
          </cell>
          <cell r="Z920">
            <v>85.44</v>
          </cell>
          <cell r="AA920">
            <v>86.7</v>
          </cell>
          <cell r="AW920">
            <v>4</v>
          </cell>
          <cell r="AX920">
            <v>4</v>
          </cell>
          <cell r="AY920">
            <v>4</v>
          </cell>
          <cell r="AZ920">
            <v>4</v>
          </cell>
          <cell r="BA920" t="str">
            <v>CONSORCIO NOVA ETE - PARQUE NOVO MUNDO</v>
          </cell>
          <cell r="BB920">
            <v>45866</v>
          </cell>
          <cell r="BC920">
            <v>1</v>
          </cell>
          <cell r="BD920" t="str">
            <v>seg</v>
          </cell>
          <cell r="BG920">
            <v>45864</v>
          </cell>
        </row>
        <row r="921">
          <cell r="A921" t="str">
            <v>1232-A</v>
          </cell>
          <cell r="B921">
            <v>854</v>
          </cell>
          <cell r="C921" t="str">
            <v>PLACA PR_PNI-113 (CANALETA)</v>
          </cell>
          <cell r="D921">
            <v>7</v>
          </cell>
          <cell r="E921">
            <v>40</v>
          </cell>
          <cell r="F921">
            <v>24</v>
          </cell>
          <cell r="G921">
            <v>40</v>
          </cell>
          <cell r="H921">
            <v>0</v>
          </cell>
          <cell r="I921" t="str">
            <v>-</v>
          </cell>
          <cell r="J921" t="str">
            <v>680/680</v>
          </cell>
          <cell r="K921" t="str">
            <v xml:space="preserve">CPIII 40 RS </v>
          </cell>
          <cell r="L921" t="str">
            <v>CP V</v>
          </cell>
          <cell r="M921" t="str">
            <v>SUPER PLASTIFICANTE</v>
          </cell>
          <cell r="N921" t="str">
            <v>ETE - PROJETO SUCURIÚ - CLARIFICADOR PRIMARIO</v>
          </cell>
          <cell r="O921" t="str">
            <v>FORTANKS</v>
          </cell>
          <cell r="P921">
            <v>4</v>
          </cell>
          <cell r="Q921" t="str">
            <v>Gean</v>
          </cell>
          <cell r="R921">
            <v>45864</v>
          </cell>
          <cell r="S921">
            <v>0.64583333333333337</v>
          </cell>
          <cell r="T921">
            <v>0.63583333333333336</v>
          </cell>
          <cell r="U921" t="str">
            <v>X</v>
          </cell>
          <cell r="V921">
            <v>0.30555555555555558</v>
          </cell>
          <cell r="W921">
            <v>41.735999999999997</v>
          </cell>
          <cell r="X921">
            <v>42.756</v>
          </cell>
          <cell r="Y921">
            <v>0.43402777777777779</v>
          </cell>
          <cell r="Z921" t="e">
            <v>#N/A</v>
          </cell>
          <cell r="AA921" t="e">
            <v>#N/A</v>
          </cell>
          <cell r="AW921">
            <v>4</v>
          </cell>
          <cell r="AX921">
            <v>4</v>
          </cell>
          <cell r="AY921">
            <v>4</v>
          </cell>
          <cell r="AZ921">
            <v>4</v>
          </cell>
          <cell r="BA921" t="str">
            <v>FORTES ENGENHARIA</v>
          </cell>
          <cell r="BB921">
            <v>45866</v>
          </cell>
          <cell r="BC921">
            <v>1</v>
          </cell>
          <cell r="BD921" t="str">
            <v>seg</v>
          </cell>
          <cell r="BG921">
            <v>45864</v>
          </cell>
        </row>
        <row r="922">
          <cell r="A922">
            <v>1233</v>
          </cell>
          <cell r="B922">
            <v>855</v>
          </cell>
          <cell r="C922" t="str">
            <v>PLACA PN-353</v>
          </cell>
          <cell r="D922">
            <v>6.5</v>
          </cell>
          <cell r="E922">
            <v>40</v>
          </cell>
          <cell r="F922">
            <v>24</v>
          </cell>
          <cell r="G922">
            <v>40</v>
          </cell>
          <cell r="H922">
            <v>0</v>
          </cell>
          <cell r="I922" t="str">
            <v>-</v>
          </cell>
          <cell r="J922" t="str">
            <v>650/660</v>
          </cell>
          <cell r="K922" t="str">
            <v xml:space="preserve">CPIII 40 RS </v>
          </cell>
          <cell r="L922" t="str">
            <v>CP V</v>
          </cell>
          <cell r="M922" t="str">
            <v>SUPER PLASTIFICANTE</v>
          </cell>
          <cell r="N922" t="str">
            <v>ETE - PARQUE NOVO MUNDO (REATORES NEREDA)</v>
          </cell>
          <cell r="O922" t="str">
            <v>FORTANKS</v>
          </cell>
          <cell r="P922">
            <v>1</v>
          </cell>
          <cell r="Q922" t="str">
            <v>Gean</v>
          </cell>
          <cell r="R922">
            <v>45867</v>
          </cell>
          <cell r="S922">
            <v>0.42708333333333331</v>
          </cell>
          <cell r="T922">
            <v>0.41708333333333331</v>
          </cell>
          <cell r="U922" t="str">
            <v>X</v>
          </cell>
          <cell r="V922">
            <v>0.3125</v>
          </cell>
          <cell r="W922">
            <v>35.448</v>
          </cell>
          <cell r="X922">
            <v>35.507999999999996</v>
          </cell>
          <cell r="Y922">
            <v>0.43402777777777779</v>
          </cell>
          <cell r="Z922">
            <v>85.067999999999998</v>
          </cell>
          <cell r="AA922">
            <v>85.22399999999999</v>
          </cell>
          <cell r="AW922">
            <v>4</v>
          </cell>
          <cell r="AX922">
            <v>4</v>
          </cell>
          <cell r="AY922">
            <v>4</v>
          </cell>
          <cell r="AZ922">
            <v>4</v>
          </cell>
          <cell r="BA922" t="str">
            <v>CONSORCIO NOVA ETE - PARQUE NOVO MUNDO</v>
          </cell>
          <cell r="BB922">
            <v>45868</v>
          </cell>
          <cell r="BD922" t="str">
            <v>qua</v>
          </cell>
          <cell r="BG922">
            <v>45867</v>
          </cell>
        </row>
        <row r="923">
          <cell r="A923" t="str">
            <v>1233-A</v>
          </cell>
          <cell r="B923">
            <v>855</v>
          </cell>
          <cell r="C923" t="str">
            <v>PLACA PR_PN-116</v>
          </cell>
          <cell r="D923">
            <v>6.5</v>
          </cell>
          <cell r="E923">
            <v>40</v>
          </cell>
          <cell r="F923">
            <v>24</v>
          </cell>
          <cell r="G923">
            <v>40</v>
          </cell>
          <cell r="H923">
            <v>0</v>
          </cell>
          <cell r="I923" t="str">
            <v>-</v>
          </cell>
          <cell r="J923" t="str">
            <v>650/660</v>
          </cell>
          <cell r="K923" t="str">
            <v xml:space="preserve">CPIII 40 RS </v>
          </cell>
          <cell r="L923" t="str">
            <v>CP V</v>
          </cell>
          <cell r="M923" t="str">
            <v>SUPER PLASTIFICANTE</v>
          </cell>
          <cell r="N923" t="str">
            <v>ETE - PROJETO SUCURIÚ - CLARIFICADOR PRIMARIO</v>
          </cell>
          <cell r="O923" t="str">
            <v>FORTANKS</v>
          </cell>
          <cell r="P923">
            <v>1</v>
          </cell>
          <cell r="Q923" t="str">
            <v>Gean</v>
          </cell>
          <cell r="R923">
            <v>45867</v>
          </cell>
          <cell r="S923">
            <v>0.42708333333333331</v>
          </cell>
          <cell r="T923">
            <v>0.41708333333333331</v>
          </cell>
          <cell r="U923" t="str">
            <v>X</v>
          </cell>
          <cell r="V923">
            <v>0.3125</v>
          </cell>
          <cell r="W923">
            <v>35.448</v>
          </cell>
          <cell r="X923">
            <v>35.507999999999996</v>
          </cell>
          <cell r="Y923">
            <v>0.4201388888888889</v>
          </cell>
          <cell r="Z923" t="e">
            <v>#N/A</v>
          </cell>
          <cell r="AA923" t="e">
            <v>#N/A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W923">
            <v>4</v>
          </cell>
          <cell r="AX923">
            <v>4</v>
          </cell>
          <cell r="AY923">
            <v>4</v>
          </cell>
          <cell r="AZ923">
            <v>4</v>
          </cell>
          <cell r="BA923" t="str">
            <v>FORTES ENGENHARIA</v>
          </cell>
          <cell r="BB923">
            <v>45868</v>
          </cell>
          <cell r="BD923" t="str">
            <v>qua</v>
          </cell>
          <cell r="BG923">
            <v>45867</v>
          </cell>
        </row>
        <row r="924">
          <cell r="A924">
            <v>1234</v>
          </cell>
          <cell r="B924">
            <v>856</v>
          </cell>
          <cell r="C924" t="str">
            <v>PLACAS PN-347 / PN-352</v>
          </cell>
          <cell r="D924">
            <v>7</v>
          </cell>
          <cell r="E924">
            <v>40</v>
          </cell>
          <cell r="F924">
            <v>24</v>
          </cell>
          <cell r="G924">
            <v>40</v>
          </cell>
          <cell r="H924">
            <v>0</v>
          </cell>
          <cell r="I924" t="str">
            <v>-</v>
          </cell>
          <cell r="J924" t="str">
            <v>680/680</v>
          </cell>
          <cell r="K924" t="str">
            <v xml:space="preserve">CPIII 40 RS </v>
          </cell>
          <cell r="L924" t="str">
            <v>CP V</v>
          </cell>
          <cell r="M924" t="str">
            <v>SUPER PLASTIFICANTE</v>
          </cell>
          <cell r="N924" t="str">
            <v>ETE - PARQUE NOVO MUNDO (REATORES NEREDA)</v>
          </cell>
          <cell r="O924" t="str">
            <v>FORTANKS</v>
          </cell>
          <cell r="P924">
            <v>2</v>
          </cell>
          <cell r="Q924" t="str">
            <v>Gean</v>
          </cell>
          <cell r="R924">
            <v>45867</v>
          </cell>
          <cell r="S924">
            <v>0.4375</v>
          </cell>
          <cell r="T924">
            <v>0.42749999999999999</v>
          </cell>
          <cell r="U924" t="str">
            <v>X</v>
          </cell>
          <cell r="V924">
            <v>0.31597222222222221</v>
          </cell>
          <cell r="W924">
            <v>33</v>
          </cell>
          <cell r="X924">
            <v>31.451999999999998</v>
          </cell>
          <cell r="Y924">
            <v>0.42222222222222222</v>
          </cell>
          <cell r="Z924">
            <v>84.707999999999998</v>
          </cell>
          <cell r="AA924">
            <v>84.64800000000001</v>
          </cell>
          <cell r="AW924">
            <v>4</v>
          </cell>
          <cell r="AX924">
            <v>4</v>
          </cell>
          <cell r="AY924">
            <v>4</v>
          </cell>
          <cell r="AZ924">
            <v>4</v>
          </cell>
          <cell r="BA924" t="str">
            <v>CONSORCIO NOVA ETE - PARQUE NOVO MUNDO</v>
          </cell>
          <cell r="BB924">
            <v>45868</v>
          </cell>
          <cell r="BD924" t="str">
            <v>qua</v>
          </cell>
          <cell r="BG924">
            <v>45867</v>
          </cell>
        </row>
        <row r="925">
          <cell r="A925">
            <v>1235</v>
          </cell>
          <cell r="B925">
            <v>857</v>
          </cell>
          <cell r="C925" t="str">
            <v>PLACAS PN-345 / PN-346</v>
          </cell>
          <cell r="D925">
            <v>7</v>
          </cell>
          <cell r="E925">
            <v>40</v>
          </cell>
          <cell r="F925">
            <v>24</v>
          </cell>
          <cell r="G925">
            <v>40</v>
          </cell>
          <cell r="H925">
            <v>0</v>
          </cell>
          <cell r="I925" t="str">
            <v>-</v>
          </cell>
          <cell r="J925" t="str">
            <v>660/670</v>
          </cell>
          <cell r="K925" t="str">
            <v xml:space="preserve">CPIII 40 RS </v>
          </cell>
          <cell r="L925" t="str">
            <v>CP V</v>
          </cell>
          <cell r="M925" t="str">
            <v>SUPER PLASTIFICANTE</v>
          </cell>
          <cell r="N925" t="str">
            <v>ETE - PARQUE NOVO MUNDO (REATORES NEREDA)</v>
          </cell>
          <cell r="O925" t="str">
            <v>FORTANKS</v>
          </cell>
          <cell r="P925">
            <v>3</v>
          </cell>
          <cell r="Q925" t="str">
            <v>Gean</v>
          </cell>
          <cell r="R925">
            <v>45867</v>
          </cell>
          <cell r="S925">
            <v>0.47222222222222221</v>
          </cell>
          <cell r="T925">
            <v>0.4622222222222222</v>
          </cell>
          <cell r="U925" t="str">
            <v>X</v>
          </cell>
          <cell r="V925">
            <v>0.31944444444444442</v>
          </cell>
          <cell r="W925">
            <v>30.12</v>
          </cell>
          <cell r="X925">
            <v>28.536000000000001</v>
          </cell>
          <cell r="Y925">
            <v>0.41944444444444445</v>
          </cell>
          <cell r="Z925">
            <v>83.927999999999997</v>
          </cell>
          <cell r="AA925">
            <v>84.3</v>
          </cell>
          <cell r="AW925">
            <v>4</v>
          </cell>
          <cell r="AX925">
            <v>4</v>
          </cell>
          <cell r="AY925">
            <v>4</v>
          </cell>
          <cell r="AZ925">
            <v>4</v>
          </cell>
          <cell r="BA925" t="str">
            <v>CONSORCIO NOVA ETE - PARQUE NOVO MUNDO</v>
          </cell>
          <cell r="BB925">
            <v>45868</v>
          </cell>
          <cell r="BD925" t="str">
            <v>qua</v>
          </cell>
          <cell r="BG925">
            <v>45867</v>
          </cell>
        </row>
        <row r="926">
          <cell r="A926">
            <v>1236</v>
          </cell>
          <cell r="B926">
            <v>858</v>
          </cell>
          <cell r="C926" t="str">
            <v>PLACAS PN-343 / PN-344</v>
          </cell>
          <cell r="D926">
            <v>7</v>
          </cell>
          <cell r="E926">
            <v>40</v>
          </cell>
          <cell r="F926">
            <v>24</v>
          </cell>
          <cell r="G926">
            <v>40</v>
          </cell>
          <cell r="H926">
            <v>0</v>
          </cell>
          <cell r="I926" t="str">
            <v>-</v>
          </cell>
          <cell r="J926" t="str">
            <v>690/690</v>
          </cell>
          <cell r="K926" t="str">
            <v xml:space="preserve">CPIII 40 RS </v>
          </cell>
          <cell r="L926" t="str">
            <v>CP V</v>
          </cell>
          <cell r="M926" t="str">
            <v>SUPER PLASTIFICANTE</v>
          </cell>
          <cell r="N926" t="str">
            <v>ETE - PARQUE NOVO MUNDO (REATORES NEREDA)</v>
          </cell>
          <cell r="O926" t="str">
            <v>FORTANKS</v>
          </cell>
          <cell r="P926">
            <v>4</v>
          </cell>
          <cell r="Q926" t="str">
            <v>Gean</v>
          </cell>
          <cell r="R926">
            <v>45867</v>
          </cell>
          <cell r="S926">
            <v>0.5</v>
          </cell>
          <cell r="T926">
            <v>0.49</v>
          </cell>
          <cell r="U926" t="str">
            <v>X</v>
          </cell>
          <cell r="V926">
            <v>0.3263888888888889</v>
          </cell>
          <cell r="W926">
            <v>24.889700000000001</v>
          </cell>
          <cell r="X926">
            <v>24.552</v>
          </cell>
          <cell r="Y926">
            <v>0.41944444444444445</v>
          </cell>
          <cell r="Z926">
            <v>85.055999999999997</v>
          </cell>
          <cell r="AA926">
            <v>84.707999999999998</v>
          </cell>
          <cell r="AW926">
            <v>4</v>
          </cell>
          <cell r="AX926">
            <v>4</v>
          </cell>
          <cell r="AY926">
            <v>4</v>
          </cell>
          <cell r="AZ926">
            <v>4</v>
          </cell>
          <cell r="BA926" t="str">
            <v>CONSORCIO NOVA ETE - PARQUE NOVO MUNDO</v>
          </cell>
          <cell r="BB926">
            <v>45868</v>
          </cell>
          <cell r="BD926" t="str">
            <v>qua</v>
          </cell>
          <cell r="BG926">
            <v>45867</v>
          </cell>
        </row>
        <row r="927">
          <cell r="A927">
            <v>1237</v>
          </cell>
          <cell r="B927">
            <v>859</v>
          </cell>
          <cell r="C927" t="str">
            <v>PLACA PR_PN-116 (CANALETA)</v>
          </cell>
          <cell r="D927">
            <v>1</v>
          </cell>
          <cell r="E927">
            <v>40</v>
          </cell>
          <cell r="F927">
            <v>15</v>
          </cell>
          <cell r="G927">
            <v>40</v>
          </cell>
          <cell r="H927">
            <v>0</v>
          </cell>
          <cell r="I927" t="str">
            <v>-</v>
          </cell>
          <cell r="J927" t="str">
            <v>660/670</v>
          </cell>
          <cell r="K927" t="str">
            <v xml:space="preserve">CPIII 40 RS </v>
          </cell>
          <cell r="L927" t="str">
            <v>CP V</v>
          </cell>
          <cell r="M927" t="str">
            <v>SUPER PLASTIFICANTE</v>
          </cell>
          <cell r="N927" t="str">
            <v>ETE - PROJETO SUCURIÚ - CLARIFICADOR PRIMARIO</v>
          </cell>
          <cell r="O927" t="str">
            <v>FORTANKS</v>
          </cell>
          <cell r="P927">
            <v>5</v>
          </cell>
          <cell r="Q927" t="str">
            <v>Gean</v>
          </cell>
          <cell r="R927">
            <v>45867</v>
          </cell>
          <cell r="S927">
            <v>0.66666666666666663</v>
          </cell>
          <cell r="T927">
            <v>0.65666666666666662</v>
          </cell>
          <cell r="U927" t="str">
            <v>X</v>
          </cell>
          <cell r="V927">
            <v>0.3298611111111111</v>
          </cell>
          <cell r="W927">
            <v>24.563999999999997</v>
          </cell>
          <cell r="X927">
            <v>24.468</v>
          </cell>
          <cell r="Y927">
            <v>0.41666666666666669</v>
          </cell>
          <cell r="Z927">
            <v>83.903999999999996</v>
          </cell>
          <cell r="AA927">
            <v>84.671999999999997</v>
          </cell>
          <cell r="AW927">
            <v>4</v>
          </cell>
          <cell r="AX927">
            <v>4</v>
          </cell>
          <cell r="AY927">
            <v>4</v>
          </cell>
          <cell r="AZ927">
            <v>4</v>
          </cell>
          <cell r="BA927" t="str">
            <v>FORTES ENGENHARIA</v>
          </cell>
          <cell r="BB927">
            <v>45868</v>
          </cell>
          <cell r="BD927" t="str">
            <v>qua</v>
          </cell>
          <cell r="BG927">
            <v>45867</v>
          </cell>
        </row>
        <row r="928">
          <cell r="A928">
            <v>1238</v>
          </cell>
          <cell r="B928">
            <v>860</v>
          </cell>
          <cell r="C928" t="str">
            <v>PLACA PN-354</v>
          </cell>
          <cell r="D928">
            <v>6.5</v>
          </cell>
          <cell r="E928">
            <v>40</v>
          </cell>
          <cell r="F928">
            <v>24</v>
          </cell>
          <cell r="G928">
            <v>40</v>
          </cell>
          <cell r="H928">
            <v>0</v>
          </cell>
          <cell r="I928" t="str">
            <v>-</v>
          </cell>
          <cell r="J928" t="str">
            <v>690/670</v>
          </cell>
          <cell r="K928" t="str">
            <v xml:space="preserve">CPIII 40 RS </v>
          </cell>
          <cell r="L928" t="str">
            <v>CP V</v>
          </cell>
          <cell r="M928" t="str">
            <v>SUPER PLASTIFICANTE</v>
          </cell>
          <cell r="N928" t="str">
            <v>ETE - PARQUE NOVO MUNDO (REATORES NEREDA)</v>
          </cell>
          <cell r="O928" t="str">
            <v>FORTANKS</v>
          </cell>
          <cell r="P928">
            <v>1</v>
          </cell>
          <cell r="Q928" t="str">
            <v>Gean</v>
          </cell>
          <cell r="R928">
            <v>45868</v>
          </cell>
          <cell r="S928">
            <v>0.44791666666666669</v>
          </cell>
          <cell r="T928">
            <v>0.43791666666666668</v>
          </cell>
          <cell r="U928" t="str">
            <v>X</v>
          </cell>
          <cell r="V928">
            <v>0.33333333333333331</v>
          </cell>
          <cell r="W928">
            <v>28.163999999999998</v>
          </cell>
          <cell r="X928">
            <v>27.648</v>
          </cell>
          <cell r="Y928">
            <v>0.41944444444444445</v>
          </cell>
          <cell r="Z928">
            <v>84.912000000000006</v>
          </cell>
          <cell r="AA928">
            <v>84.899999999999991</v>
          </cell>
          <cell r="AW928">
            <v>4</v>
          </cell>
          <cell r="AX928">
            <v>4</v>
          </cell>
          <cell r="AY928">
            <v>4</v>
          </cell>
          <cell r="AZ928">
            <v>4</v>
          </cell>
          <cell r="BA928" t="str">
            <v>CONSORCIO NOVA ETE - PARQUE NOVO MUNDO</v>
          </cell>
          <cell r="BB928">
            <v>45869</v>
          </cell>
          <cell r="BD928" t="str">
            <v>qui</v>
          </cell>
          <cell r="BG928">
            <v>45868</v>
          </cell>
        </row>
        <row r="929">
          <cell r="A929" t="str">
            <v>1238-A</v>
          </cell>
          <cell r="B929">
            <v>860</v>
          </cell>
          <cell r="C929" t="str">
            <v>PLACA PR_PNI-119</v>
          </cell>
          <cell r="D929">
            <v>6.5</v>
          </cell>
          <cell r="E929">
            <v>40</v>
          </cell>
          <cell r="F929">
            <v>24</v>
          </cell>
          <cell r="G929">
            <v>40</v>
          </cell>
          <cell r="H929">
            <v>0</v>
          </cell>
          <cell r="I929" t="str">
            <v>-</v>
          </cell>
          <cell r="J929" t="str">
            <v>690/670</v>
          </cell>
          <cell r="K929" t="str">
            <v xml:space="preserve">CPIII 40 RS </v>
          </cell>
          <cell r="L929" t="str">
            <v>CP V</v>
          </cell>
          <cell r="M929" t="str">
            <v>SUPER PLASTIFICANTE</v>
          </cell>
          <cell r="N929" t="str">
            <v>ETE - PROJETO SUCURIÚ - CLARIFICADOR PRIMARIO</v>
          </cell>
          <cell r="O929" t="str">
            <v>FORTANKS</v>
          </cell>
          <cell r="P929">
            <v>1</v>
          </cell>
          <cell r="Q929" t="str">
            <v>Gean</v>
          </cell>
          <cell r="R929">
            <v>45868</v>
          </cell>
          <cell r="S929">
            <v>0.44791666666666669</v>
          </cell>
          <cell r="T929">
            <v>0.43791666666666668</v>
          </cell>
          <cell r="U929" t="str">
            <v>X</v>
          </cell>
          <cell r="V929">
            <v>0.33333333333333331</v>
          </cell>
          <cell r="W929">
            <v>28.163999999999998</v>
          </cell>
          <cell r="X929">
            <v>27.648</v>
          </cell>
          <cell r="Y929">
            <v>0.41944444444444445</v>
          </cell>
          <cell r="Z929" t="e">
            <v>#N/A</v>
          </cell>
          <cell r="AA929" t="e">
            <v>#N/A</v>
          </cell>
          <cell r="AW929">
            <v>4</v>
          </cell>
          <cell r="AX929">
            <v>4</v>
          </cell>
          <cell r="AY929">
            <v>4</v>
          </cell>
          <cell r="AZ929">
            <v>4</v>
          </cell>
          <cell r="BA929" t="str">
            <v>FORTES ENGENHARIA</v>
          </cell>
          <cell r="BB929">
            <v>45869</v>
          </cell>
          <cell r="BD929" t="str">
            <v>qui</v>
          </cell>
          <cell r="BG929">
            <v>45868</v>
          </cell>
        </row>
        <row r="930">
          <cell r="A930">
            <v>1239</v>
          </cell>
          <cell r="B930">
            <v>861</v>
          </cell>
          <cell r="C930" t="str">
            <v>PLACAS  PN-355 / PN-356</v>
          </cell>
          <cell r="D930">
            <v>7</v>
          </cell>
          <cell r="E930">
            <v>40</v>
          </cell>
          <cell r="F930">
            <v>24</v>
          </cell>
          <cell r="G930">
            <v>40</v>
          </cell>
          <cell r="H930">
            <v>0</v>
          </cell>
          <cell r="I930" t="str">
            <v>-</v>
          </cell>
          <cell r="J930" t="str">
            <v>650/660</v>
          </cell>
          <cell r="K930" t="str">
            <v xml:space="preserve">CPIII 40 RS </v>
          </cell>
          <cell r="L930" t="str">
            <v>CP V</v>
          </cell>
          <cell r="M930" t="str">
            <v>SUPER PLASTIFICANTE</v>
          </cell>
          <cell r="N930" t="str">
            <v>ETE - PARQUE NOVO MUNDO (REATORES NEREDA)</v>
          </cell>
          <cell r="O930" t="str">
            <v>FORTANKS</v>
          </cell>
          <cell r="P930">
            <v>2</v>
          </cell>
          <cell r="Q930" t="str">
            <v>Gean</v>
          </cell>
          <cell r="R930">
            <v>45868</v>
          </cell>
          <cell r="S930">
            <v>0.45833333333333331</v>
          </cell>
          <cell r="T930">
            <v>0.44833333333333331</v>
          </cell>
          <cell r="U930" t="str">
            <v>X</v>
          </cell>
          <cell r="V930">
            <v>0.34027777777777779</v>
          </cell>
          <cell r="W930">
            <v>30.0564</v>
          </cell>
          <cell r="X930">
            <v>29.783999999999999</v>
          </cell>
          <cell r="Y930">
            <v>0.41666666666666669</v>
          </cell>
          <cell r="Z930">
            <v>85.176000000000002</v>
          </cell>
          <cell r="AA930">
            <v>85.847999999999999</v>
          </cell>
          <cell r="AW930">
            <v>4</v>
          </cell>
          <cell r="AX930">
            <v>4</v>
          </cell>
          <cell r="AY930">
            <v>4</v>
          </cell>
          <cell r="AZ930">
            <v>4</v>
          </cell>
          <cell r="BA930" t="str">
            <v>CONSORCIO NOVA ETE - PARQUE NOVO MUNDO</v>
          </cell>
          <cell r="BB930">
            <v>45869</v>
          </cell>
          <cell r="BD930" t="str">
            <v>qui</v>
          </cell>
          <cell r="BG930">
            <v>45868</v>
          </cell>
        </row>
        <row r="931">
          <cell r="A931">
            <v>1240</v>
          </cell>
          <cell r="B931">
            <v>862</v>
          </cell>
          <cell r="C931" t="str">
            <v>PLACAS PN-357 / PN-358</v>
          </cell>
          <cell r="D931">
            <v>7</v>
          </cell>
          <cell r="E931">
            <v>40</v>
          </cell>
          <cell r="F931">
            <v>24</v>
          </cell>
          <cell r="G931">
            <v>40</v>
          </cell>
          <cell r="H931">
            <v>0</v>
          </cell>
          <cell r="I931" t="str">
            <v>-</v>
          </cell>
          <cell r="J931" t="str">
            <v>680/670</v>
          </cell>
          <cell r="K931" t="str">
            <v xml:space="preserve">CPIII 40 RS </v>
          </cell>
          <cell r="L931" t="str">
            <v>CP V</v>
          </cell>
          <cell r="M931" t="str">
            <v>SUPER PLASTIFICANTE</v>
          </cell>
          <cell r="N931" t="str">
            <v>ETE - PARQUE NOVO MUNDO (REATORES NEREDA)</v>
          </cell>
          <cell r="O931" t="str">
            <v>FORTANKS</v>
          </cell>
          <cell r="P931">
            <v>3</v>
          </cell>
          <cell r="Q931" t="str">
            <v>Gean</v>
          </cell>
          <cell r="R931">
            <v>45868</v>
          </cell>
          <cell r="S931">
            <v>0.48958333333333331</v>
          </cell>
          <cell r="T931">
            <v>0.47958333333333331</v>
          </cell>
          <cell r="U931" t="str">
            <v>X</v>
          </cell>
          <cell r="V931">
            <v>0.34375</v>
          </cell>
          <cell r="W931">
            <v>27.204000000000001</v>
          </cell>
          <cell r="X931">
            <v>26.495999999999999</v>
          </cell>
          <cell r="Y931">
            <v>0.41944444444444445</v>
          </cell>
          <cell r="Z931">
            <v>84.11999999999999</v>
          </cell>
          <cell r="AA931">
            <v>84.144000000000005</v>
          </cell>
          <cell r="AW931">
            <v>4</v>
          </cell>
          <cell r="AX931">
            <v>4</v>
          </cell>
          <cell r="AY931">
            <v>4</v>
          </cell>
          <cell r="AZ931">
            <v>4</v>
          </cell>
          <cell r="BA931" t="str">
            <v>CONSORCIO NOVA ETE - PARQUE NOVO MUNDO</v>
          </cell>
          <cell r="BB931">
            <v>45869</v>
          </cell>
          <cell r="BD931" t="str">
            <v>qui</v>
          </cell>
          <cell r="BG931">
            <v>45868</v>
          </cell>
        </row>
        <row r="932">
          <cell r="A932">
            <v>1241</v>
          </cell>
          <cell r="B932">
            <v>863</v>
          </cell>
          <cell r="C932" t="str">
            <v>PLACAS PN-359 / PN-360</v>
          </cell>
          <cell r="D932">
            <v>8</v>
          </cell>
          <cell r="E932">
            <v>40</v>
          </cell>
          <cell r="F932">
            <v>24</v>
          </cell>
          <cell r="G932">
            <v>40</v>
          </cell>
          <cell r="H932">
            <v>0</v>
          </cell>
          <cell r="I932" t="str">
            <v>-</v>
          </cell>
          <cell r="J932" t="str">
            <v>660/650</v>
          </cell>
          <cell r="K932" t="str">
            <v xml:space="preserve">CPIII 40 RS </v>
          </cell>
          <cell r="L932" t="str">
            <v>CP V</v>
          </cell>
          <cell r="M932" t="str">
            <v>SUPER PLASTIFICANTE</v>
          </cell>
          <cell r="N932" t="str">
            <v>ETE - PARQUE NOVO MUNDO (REATORES NEREDA)</v>
          </cell>
          <cell r="O932" t="str">
            <v>FORTANKS</v>
          </cell>
          <cell r="P932">
            <v>4</v>
          </cell>
          <cell r="Q932" t="str">
            <v>Gean</v>
          </cell>
          <cell r="R932">
            <v>45868</v>
          </cell>
          <cell r="S932">
            <v>0.625</v>
          </cell>
          <cell r="T932">
            <v>0.61499999999999999</v>
          </cell>
          <cell r="U932" t="str">
            <v>X</v>
          </cell>
          <cell r="V932">
            <v>0.35416666666666669</v>
          </cell>
          <cell r="W932">
            <v>28.236000000000001</v>
          </cell>
          <cell r="X932">
            <v>28.512</v>
          </cell>
          <cell r="Y932">
            <v>0.4201388888888889</v>
          </cell>
          <cell r="Z932">
            <v>84.935999999999993</v>
          </cell>
          <cell r="AA932">
            <v>84.311999999999998</v>
          </cell>
          <cell r="AW932">
            <v>4</v>
          </cell>
          <cell r="AX932">
            <v>4</v>
          </cell>
          <cell r="AY932">
            <v>4</v>
          </cell>
          <cell r="AZ932">
            <v>4</v>
          </cell>
          <cell r="BA932" t="str">
            <v>CONSORCIO NOVA ETE - PARQUE NOVO MUNDO</v>
          </cell>
          <cell r="BB932">
            <v>45869</v>
          </cell>
          <cell r="BD932" t="str">
            <v>qui</v>
          </cell>
          <cell r="BG932">
            <v>45868</v>
          </cell>
        </row>
        <row r="933">
          <cell r="A933" t="str">
            <v>1241-A</v>
          </cell>
          <cell r="B933">
            <v>863</v>
          </cell>
          <cell r="C933" t="str">
            <v>PLACA PR_PNI-119 (CANALETA)</v>
          </cell>
          <cell r="D933">
            <v>8</v>
          </cell>
          <cell r="E933">
            <v>40</v>
          </cell>
          <cell r="F933">
            <v>24</v>
          </cell>
          <cell r="G933">
            <v>40</v>
          </cell>
          <cell r="H933">
            <v>0</v>
          </cell>
          <cell r="I933" t="str">
            <v>-</v>
          </cell>
          <cell r="J933" t="str">
            <v>660/650</v>
          </cell>
          <cell r="K933" t="str">
            <v xml:space="preserve">CPIII 40 RS </v>
          </cell>
          <cell r="L933" t="str">
            <v>CP V</v>
          </cell>
          <cell r="M933" t="str">
            <v>SUPER PLASTIFICANTE</v>
          </cell>
          <cell r="N933" t="str">
            <v>ETE - PROJETO SUCURIÚ - CLARIFICADOR PRIMARIO</v>
          </cell>
          <cell r="O933" t="str">
            <v>FORTANKS</v>
          </cell>
          <cell r="P933">
            <v>4</v>
          </cell>
          <cell r="Q933" t="str">
            <v>Gean</v>
          </cell>
          <cell r="R933">
            <v>45868</v>
          </cell>
          <cell r="S933">
            <v>0.625</v>
          </cell>
          <cell r="T933">
            <v>0.61499999999999999</v>
          </cell>
          <cell r="U933" t="str">
            <v>X</v>
          </cell>
          <cell r="V933">
            <v>0.35416666666666669</v>
          </cell>
          <cell r="W933">
            <v>28.236000000000001</v>
          </cell>
          <cell r="X933">
            <v>28.512</v>
          </cell>
          <cell r="Y933">
            <v>0.4236111111111111</v>
          </cell>
          <cell r="Z933" t="e">
            <v>#N/A</v>
          </cell>
          <cell r="AA933" t="e">
            <v>#N/A</v>
          </cell>
          <cell r="AW933">
            <v>4</v>
          </cell>
          <cell r="AX933">
            <v>4</v>
          </cell>
          <cell r="AY933">
            <v>4</v>
          </cell>
          <cell r="AZ933">
            <v>4</v>
          </cell>
          <cell r="BA933" t="str">
            <v>FORTES ENGENHARIA</v>
          </cell>
          <cell r="BB933">
            <v>45869</v>
          </cell>
          <cell r="BD933" t="str">
            <v>qui</v>
          </cell>
          <cell r="BG933">
            <v>45868</v>
          </cell>
        </row>
        <row r="934">
          <cell r="A934">
            <v>1242</v>
          </cell>
          <cell r="B934">
            <v>864</v>
          </cell>
          <cell r="C934" t="str">
            <v>PLACAS  PN-361 / PN-362</v>
          </cell>
          <cell r="D934">
            <v>6.5</v>
          </cell>
          <cell r="E934">
            <v>40</v>
          </cell>
          <cell r="F934">
            <v>24</v>
          </cell>
          <cell r="G934">
            <v>40</v>
          </cell>
          <cell r="H934">
            <v>0</v>
          </cell>
          <cell r="I934" t="str">
            <v>-</v>
          </cell>
          <cell r="J934" t="str">
            <v>660/670</v>
          </cell>
          <cell r="K934" t="str">
            <v xml:space="preserve">CPIII 40 RS </v>
          </cell>
          <cell r="L934" t="str">
            <v>CP V</v>
          </cell>
          <cell r="M934" t="str">
            <v>SUPER PLASTIFICANTE</v>
          </cell>
          <cell r="N934" t="str">
            <v>ETE - PARQUE NOVO MUNDO (REATORES NEREDA)</v>
          </cell>
          <cell r="O934" t="str">
            <v>FORTANKS</v>
          </cell>
          <cell r="P934">
            <v>1</v>
          </cell>
          <cell r="Q934" t="str">
            <v>Gean</v>
          </cell>
          <cell r="R934">
            <v>45870</v>
          </cell>
          <cell r="S934">
            <v>0.39583333333333331</v>
          </cell>
          <cell r="T934">
            <v>0.38583333333333331</v>
          </cell>
          <cell r="U934" t="str">
            <v>X</v>
          </cell>
          <cell r="V934">
            <v>0.33333333333333331</v>
          </cell>
          <cell r="W934">
            <v>30.995999999999995</v>
          </cell>
          <cell r="X934">
            <v>31.212</v>
          </cell>
          <cell r="Y934">
            <v>0.43402777777777779</v>
          </cell>
          <cell r="Z934">
            <v>86.844000000000008</v>
          </cell>
          <cell r="AA934">
            <v>86.376000000000005</v>
          </cell>
          <cell r="AW934">
            <v>4</v>
          </cell>
          <cell r="AX934">
            <v>4</v>
          </cell>
          <cell r="AY934">
            <v>4</v>
          </cell>
          <cell r="AZ934">
            <v>4</v>
          </cell>
          <cell r="BA934" t="str">
            <v>CONSORCIO NOVA ETE - PARQUE NOVO MUNDO</v>
          </cell>
          <cell r="BB934">
            <v>45871</v>
          </cell>
          <cell r="BD934" t="str">
            <v>sáb</v>
          </cell>
          <cell r="BG934">
            <v>45870</v>
          </cell>
        </row>
        <row r="935">
          <cell r="A935">
            <v>1243</v>
          </cell>
          <cell r="B935">
            <v>865</v>
          </cell>
          <cell r="C935" t="str">
            <v>PLACA PN-368</v>
          </cell>
          <cell r="D935">
            <v>7</v>
          </cell>
          <cell r="E935">
            <v>40</v>
          </cell>
          <cell r="F935">
            <v>24</v>
          </cell>
          <cell r="G935">
            <v>40</v>
          </cell>
          <cell r="H935">
            <v>0</v>
          </cell>
          <cell r="I935" t="str">
            <v>-</v>
          </cell>
          <cell r="J935" t="str">
            <v>680/670</v>
          </cell>
          <cell r="K935" t="str">
            <v xml:space="preserve">CPIII 40 RS </v>
          </cell>
          <cell r="L935" t="str">
            <v>CP V</v>
          </cell>
          <cell r="M935" t="str">
            <v>SUPER PLASTIFICANTE</v>
          </cell>
          <cell r="N935" t="str">
            <v>ETE - PARQUE NOVO MUNDO (REATORES NEREDA)</v>
          </cell>
          <cell r="O935" t="str">
            <v>FORTANKS</v>
          </cell>
          <cell r="P935">
            <v>2</v>
          </cell>
          <cell r="Q935" t="str">
            <v>Gean</v>
          </cell>
          <cell r="R935">
            <v>45870</v>
          </cell>
          <cell r="S935">
            <v>0.41666666666666669</v>
          </cell>
          <cell r="T935">
            <v>0.40666666666666668</v>
          </cell>
          <cell r="U935" t="str">
            <v>X</v>
          </cell>
          <cell r="V935">
            <v>0.33680555555555558</v>
          </cell>
          <cell r="W935">
            <v>26.675999999999998</v>
          </cell>
          <cell r="X935">
            <v>25.895999999999997</v>
          </cell>
          <cell r="Y935">
            <v>0.43402777777777779</v>
          </cell>
          <cell r="Z935">
            <v>86.063999999999993</v>
          </cell>
          <cell r="AA935">
            <v>85.908000000000001</v>
          </cell>
          <cell r="AW935">
            <v>4</v>
          </cell>
          <cell r="AX935">
            <v>4</v>
          </cell>
          <cell r="AY935">
            <v>4</v>
          </cell>
          <cell r="AZ935">
            <v>4</v>
          </cell>
          <cell r="BA935" t="str">
            <v>CONSORCIO NOVA ETE - PARQUE NOVO MUNDO</v>
          </cell>
          <cell r="BB935">
            <v>45871</v>
          </cell>
          <cell r="BD935" t="str">
            <v>sáb</v>
          </cell>
          <cell r="BG935">
            <v>45870</v>
          </cell>
        </row>
        <row r="936">
          <cell r="A936" t="str">
            <v>1243-A</v>
          </cell>
          <cell r="B936">
            <v>865</v>
          </cell>
          <cell r="C936" t="str">
            <v>PLACA PR_PN-117</v>
          </cell>
          <cell r="D936">
            <v>7</v>
          </cell>
          <cell r="E936">
            <v>40</v>
          </cell>
          <cell r="F936">
            <v>24</v>
          </cell>
          <cell r="G936">
            <v>40</v>
          </cell>
          <cell r="H936">
            <v>0</v>
          </cell>
          <cell r="I936" t="str">
            <v>-</v>
          </cell>
          <cell r="J936" t="str">
            <v>680/670</v>
          </cell>
          <cell r="K936" t="str">
            <v xml:space="preserve">CPIII 40 RS </v>
          </cell>
          <cell r="L936" t="str">
            <v>CP V</v>
          </cell>
          <cell r="M936" t="str">
            <v>SUPER PLASTIFICANTE</v>
          </cell>
          <cell r="N936" t="str">
            <v>ETE - PROJETO SUCURIÚ - CLARIFICADOR PRIMARIO</v>
          </cell>
          <cell r="O936" t="str">
            <v>FORTANKS</v>
          </cell>
          <cell r="P936">
            <v>2</v>
          </cell>
          <cell r="Q936" t="str">
            <v>Gean</v>
          </cell>
          <cell r="R936">
            <v>45870</v>
          </cell>
          <cell r="S936">
            <v>0.41666666666666669</v>
          </cell>
          <cell r="T936">
            <v>0.40666666666666668</v>
          </cell>
          <cell r="U936" t="str">
            <v>X</v>
          </cell>
          <cell r="V936">
            <v>0.33680555555555558</v>
          </cell>
          <cell r="W936">
            <v>26.675999999999998</v>
          </cell>
          <cell r="X936">
            <v>25.895999999999997</v>
          </cell>
          <cell r="Y936">
            <v>0.4201388888888889</v>
          </cell>
          <cell r="Z936" t="e">
            <v>#N/A</v>
          </cell>
          <cell r="AA936" t="e">
            <v>#N/A</v>
          </cell>
          <cell r="AW936">
            <v>4</v>
          </cell>
          <cell r="AX936">
            <v>4</v>
          </cell>
          <cell r="AY936">
            <v>4</v>
          </cell>
          <cell r="AZ936">
            <v>4</v>
          </cell>
          <cell r="BA936" t="str">
            <v>FORTES ENGENHARIA</v>
          </cell>
          <cell r="BB936">
            <v>45871</v>
          </cell>
          <cell r="BD936" t="str">
            <v>sáb</v>
          </cell>
          <cell r="BG936">
            <v>45870</v>
          </cell>
        </row>
        <row r="937">
          <cell r="A937">
            <v>1244</v>
          </cell>
          <cell r="B937">
            <v>866</v>
          </cell>
          <cell r="C937" t="str">
            <v>PLACAS PN-366 / PN-367</v>
          </cell>
          <cell r="D937">
            <v>7</v>
          </cell>
          <cell r="E937">
            <v>40</v>
          </cell>
          <cell r="F937">
            <v>24</v>
          </cell>
          <cell r="G937">
            <v>40</v>
          </cell>
          <cell r="H937">
            <v>0</v>
          </cell>
          <cell r="I937" t="str">
            <v>-</v>
          </cell>
          <cell r="J937" t="str">
            <v>650/660</v>
          </cell>
          <cell r="K937" t="str">
            <v xml:space="preserve">CPIII 40 RS </v>
          </cell>
          <cell r="L937" t="str">
            <v>CP V</v>
          </cell>
          <cell r="M937" t="str">
            <v>SUPER PLASTIFICANTE</v>
          </cell>
          <cell r="N937" t="str">
            <v>ETE - PARQUE NOVO MUNDO (REATORES NEREDA)</v>
          </cell>
          <cell r="O937" t="str">
            <v>FORTANKS</v>
          </cell>
          <cell r="P937">
            <v>3</v>
          </cell>
          <cell r="Q937" t="str">
            <v>Gean</v>
          </cell>
          <cell r="R937">
            <v>45870</v>
          </cell>
          <cell r="S937">
            <v>0.45833333333333331</v>
          </cell>
          <cell r="T937">
            <v>0.44833333333333331</v>
          </cell>
          <cell r="U937" t="str">
            <v>X</v>
          </cell>
          <cell r="V937">
            <v>0.34027777777777779</v>
          </cell>
          <cell r="W937">
            <v>27.312000000000001</v>
          </cell>
          <cell r="X937">
            <v>28.104000000000003</v>
          </cell>
          <cell r="Y937">
            <v>0.41666666666666702</v>
          </cell>
          <cell r="Z937">
            <v>85.703999999999994</v>
          </cell>
          <cell r="AA937">
            <v>85.007999999999996</v>
          </cell>
          <cell r="AW937">
            <v>4</v>
          </cell>
          <cell r="AX937">
            <v>4</v>
          </cell>
          <cell r="AY937">
            <v>4</v>
          </cell>
          <cell r="AZ937">
            <v>4</v>
          </cell>
          <cell r="BA937" t="str">
            <v>CONSORCIO NOVA ETE - PARQUE NOVO MUNDO</v>
          </cell>
          <cell r="BB937">
            <v>45871</v>
          </cell>
          <cell r="BD937" t="str">
            <v>sáb</v>
          </cell>
          <cell r="BG937">
            <v>45870</v>
          </cell>
        </row>
        <row r="938">
          <cell r="A938">
            <v>1245</v>
          </cell>
          <cell r="B938">
            <v>867</v>
          </cell>
          <cell r="C938" t="str">
            <v>PLACAS PN-363 / PN-364</v>
          </cell>
          <cell r="D938">
            <v>7</v>
          </cell>
          <cell r="E938">
            <v>40</v>
          </cell>
          <cell r="F938">
            <v>24</v>
          </cell>
          <cell r="G938">
            <v>40</v>
          </cell>
          <cell r="H938">
            <v>0</v>
          </cell>
          <cell r="I938" t="str">
            <v>-</v>
          </cell>
          <cell r="J938" t="str">
            <v>670/660</v>
          </cell>
          <cell r="K938" t="str">
            <v xml:space="preserve">CPIII 40 RS </v>
          </cell>
          <cell r="L938" t="str">
            <v>CP V</v>
          </cell>
          <cell r="M938" t="str">
            <v>SUPER PLASTIFICANTE</v>
          </cell>
          <cell r="N938" t="str">
            <v>ETE - PARQUE NOVO MUNDO (REATORES NEREDA)</v>
          </cell>
          <cell r="O938" t="str">
            <v>FORTANKS</v>
          </cell>
          <cell r="P938">
            <v>4</v>
          </cell>
          <cell r="Q938" t="str">
            <v>Gean</v>
          </cell>
          <cell r="R938">
            <v>45870</v>
          </cell>
          <cell r="S938">
            <v>0.47916666666666669</v>
          </cell>
          <cell r="T938">
            <v>0.46916666666666668</v>
          </cell>
          <cell r="U938" t="str">
            <v>X</v>
          </cell>
          <cell r="V938">
            <v>0.34375</v>
          </cell>
          <cell r="W938">
            <v>25.86</v>
          </cell>
          <cell r="X938">
            <v>24.323999999999998</v>
          </cell>
          <cell r="Y938">
            <v>0.41666666666666702</v>
          </cell>
          <cell r="Z938">
            <v>83.46</v>
          </cell>
          <cell r="AA938">
            <v>84.64800000000001</v>
          </cell>
          <cell r="AW938">
            <v>4</v>
          </cell>
          <cell r="AX938">
            <v>4</v>
          </cell>
          <cell r="AY938">
            <v>4</v>
          </cell>
          <cell r="AZ938">
            <v>4</v>
          </cell>
          <cell r="BA938" t="str">
            <v>CONSORCIO NOVA ETE - PARQUE NOVO MUNDO</v>
          </cell>
          <cell r="BB938">
            <v>45871</v>
          </cell>
          <cell r="BD938" t="str">
            <v>sáb</v>
          </cell>
          <cell r="BG938">
            <v>45870</v>
          </cell>
        </row>
        <row r="939">
          <cell r="A939">
            <v>1246</v>
          </cell>
          <cell r="B939">
            <v>868</v>
          </cell>
          <cell r="C939" t="str">
            <v>PLACA PR_PN-117 (CANALETA)</v>
          </cell>
          <cell r="D939">
            <v>1</v>
          </cell>
          <cell r="E939">
            <v>40</v>
          </cell>
          <cell r="F939">
            <v>15</v>
          </cell>
          <cell r="G939">
            <v>40</v>
          </cell>
          <cell r="H939">
            <v>0</v>
          </cell>
          <cell r="I939" t="str">
            <v>-</v>
          </cell>
          <cell r="J939" t="str">
            <v>660/660</v>
          </cell>
          <cell r="K939" t="str">
            <v xml:space="preserve">CPIII 40 RS </v>
          </cell>
          <cell r="L939" t="str">
            <v>CP V</v>
          </cell>
          <cell r="M939" t="str">
            <v>SUPER PLASTIFICANTE</v>
          </cell>
          <cell r="N939" t="str">
            <v>ETE - PROJETO SUCURIÚ - CLARIFICADOR PRIMARIO</v>
          </cell>
          <cell r="O939" t="str">
            <v>FORTANKS</v>
          </cell>
          <cell r="P939">
            <v>5</v>
          </cell>
          <cell r="Q939" t="str">
            <v>Gean</v>
          </cell>
          <cell r="R939">
            <v>45870</v>
          </cell>
          <cell r="S939">
            <v>0.625</v>
          </cell>
          <cell r="T939">
            <v>0.61499999999999999</v>
          </cell>
          <cell r="U939" t="str">
            <v>X</v>
          </cell>
          <cell r="V939">
            <v>0.34722222222222221</v>
          </cell>
          <cell r="W939">
            <v>23.88</v>
          </cell>
          <cell r="X939">
            <v>24</v>
          </cell>
          <cell r="Y939">
            <v>0.41666666666666702</v>
          </cell>
          <cell r="Z939">
            <v>84.971999999999994</v>
          </cell>
          <cell r="AA939">
            <v>84.707999999999998</v>
          </cell>
          <cell r="AW939">
            <v>4</v>
          </cell>
          <cell r="AX939">
            <v>4</v>
          </cell>
          <cell r="AY939">
            <v>4</v>
          </cell>
          <cell r="AZ939">
            <v>4</v>
          </cell>
          <cell r="BA939" t="str">
            <v>FORTES ENGENHARIA</v>
          </cell>
          <cell r="BB939">
            <v>45871</v>
          </cell>
          <cell r="BD939" t="str">
            <v>sáb</v>
          </cell>
          <cell r="BG939">
            <v>45870</v>
          </cell>
        </row>
        <row r="940">
          <cell r="A940">
            <v>1247</v>
          </cell>
          <cell r="B940">
            <v>869</v>
          </cell>
          <cell r="C940" t="str">
            <v>PLACA PN-369</v>
          </cell>
          <cell r="D940">
            <v>6</v>
          </cell>
          <cell r="E940">
            <v>40</v>
          </cell>
          <cell r="F940">
            <v>24</v>
          </cell>
          <cell r="G940">
            <v>40</v>
          </cell>
          <cell r="H940">
            <v>0</v>
          </cell>
          <cell r="I940" t="str">
            <v>-</v>
          </cell>
          <cell r="J940" t="str">
            <v>660/660</v>
          </cell>
          <cell r="K940" t="str">
            <v xml:space="preserve">CPIII 40 RS </v>
          </cell>
          <cell r="L940" t="str">
            <v>CP V</v>
          </cell>
          <cell r="M940" t="str">
            <v>SUPER PLASTIFICANTE</v>
          </cell>
          <cell r="N940" t="str">
            <v>ETE - PARQUE NOVO MUNDO (REATORES NEREDA)</v>
          </cell>
          <cell r="O940" t="str">
            <v>FORTANKS</v>
          </cell>
          <cell r="P940">
            <v>1</v>
          </cell>
          <cell r="Q940" t="str">
            <v>Gean</v>
          </cell>
          <cell r="R940">
            <v>45871</v>
          </cell>
          <cell r="S940">
            <v>0.41666666666666669</v>
          </cell>
          <cell r="T940">
            <v>0.40666666666666668</v>
          </cell>
          <cell r="U940" t="str">
            <v>X</v>
          </cell>
          <cell r="V940">
            <v>0.3125</v>
          </cell>
          <cell r="W940">
            <v>51.811199999999999</v>
          </cell>
          <cell r="X940">
            <v>52.32</v>
          </cell>
          <cell r="Y940">
            <v>0.41666666666666702</v>
          </cell>
          <cell r="Z940">
            <v>86.14800000000001</v>
          </cell>
          <cell r="AA940">
            <v>85.128</v>
          </cell>
          <cell r="AW940">
            <v>4</v>
          </cell>
          <cell r="AX940">
            <v>4</v>
          </cell>
          <cell r="AY940">
            <v>4</v>
          </cell>
          <cell r="AZ940">
            <v>4</v>
          </cell>
          <cell r="BA940" t="str">
            <v>CONSORCIO NOVA ETE - PARQUE NOVO MUNDO</v>
          </cell>
          <cell r="BB940">
            <v>45873</v>
          </cell>
          <cell r="BC940">
            <v>1</v>
          </cell>
          <cell r="BD940" t="str">
            <v>seg</v>
          </cell>
          <cell r="BG940">
            <v>45871</v>
          </cell>
        </row>
        <row r="941">
          <cell r="A941" t="str">
            <v>1247-A</v>
          </cell>
          <cell r="B941">
            <v>869</v>
          </cell>
          <cell r="C941" t="str">
            <v>PLACA PR_PNI-125</v>
          </cell>
          <cell r="D941">
            <v>6</v>
          </cell>
          <cell r="E941">
            <v>40</v>
          </cell>
          <cell r="F941">
            <v>24</v>
          </cell>
          <cell r="G941">
            <v>40</v>
          </cell>
          <cell r="H941">
            <v>0</v>
          </cell>
          <cell r="I941" t="str">
            <v>-</v>
          </cell>
          <cell r="J941" t="str">
            <v>660/660</v>
          </cell>
          <cell r="K941" t="str">
            <v xml:space="preserve">CPIII 40 RS </v>
          </cell>
          <cell r="L941" t="str">
            <v>CP V</v>
          </cell>
          <cell r="M941" t="str">
            <v>SUPER PLASTIFICANTE</v>
          </cell>
          <cell r="N941" t="str">
            <v>ETE - PROJETO SUCURIÚ - CLARIFICADOR PRIMARIO</v>
          </cell>
          <cell r="O941" t="str">
            <v>FORTANKS</v>
          </cell>
          <cell r="P941">
            <v>1</v>
          </cell>
          <cell r="Q941" t="str">
            <v>Gean</v>
          </cell>
          <cell r="R941">
            <v>45871</v>
          </cell>
          <cell r="S941">
            <v>0.41666666666666669</v>
          </cell>
          <cell r="T941">
            <v>0.40666666666666668</v>
          </cell>
          <cell r="U941" t="str">
            <v>X</v>
          </cell>
          <cell r="V941">
            <v>0.3125</v>
          </cell>
          <cell r="W941">
            <v>51.811199999999999</v>
          </cell>
          <cell r="X941">
            <v>52.32</v>
          </cell>
          <cell r="Y941">
            <v>0.41666666666666702</v>
          </cell>
          <cell r="Z941" t="e">
            <v>#N/A</v>
          </cell>
          <cell r="AA941" t="e">
            <v>#N/A</v>
          </cell>
          <cell r="AW941">
            <v>4</v>
          </cell>
          <cell r="AX941">
            <v>4</v>
          </cell>
          <cell r="AY941">
            <v>4</v>
          </cell>
          <cell r="AZ941">
            <v>4</v>
          </cell>
          <cell r="BA941" t="str">
            <v>FORTES ENGENHARIA</v>
          </cell>
          <cell r="BB941">
            <v>45873</v>
          </cell>
          <cell r="BC941">
            <v>1</v>
          </cell>
          <cell r="BD941" t="str">
            <v>seg</v>
          </cell>
          <cell r="BG941">
            <v>45871</v>
          </cell>
        </row>
        <row r="942">
          <cell r="A942">
            <v>1248</v>
          </cell>
          <cell r="B942">
            <v>870</v>
          </cell>
          <cell r="C942" t="str">
            <v>PLACAS PN-370 / PN-371</v>
          </cell>
          <cell r="D942">
            <v>7</v>
          </cell>
          <cell r="E942">
            <v>40</v>
          </cell>
          <cell r="F942">
            <v>24</v>
          </cell>
          <cell r="G942">
            <v>40</v>
          </cell>
          <cell r="H942">
            <v>0</v>
          </cell>
          <cell r="I942" t="str">
            <v>-</v>
          </cell>
          <cell r="J942" t="str">
            <v>670/670</v>
          </cell>
          <cell r="K942" t="str">
            <v xml:space="preserve">CPIII 40 RS </v>
          </cell>
          <cell r="L942" t="str">
            <v>CP V</v>
          </cell>
          <cell r="M942" t="str">
            <v>SUPER PLASTIFICANTE</v>
          </cell>
          <cell r="N942" t="str">
            <v>ETE - PARQUE NOVO MUNDO (REATORES NEREDA)</v>
          </cell>
          <cell r="O942" t="str">
            <v>FORTANKS</v>
          </cell>
          <cell r="P942">
            <v>2</v>
          </cell>
          <cell r="Q942" t="str">
            <v>Gean</v>
          </cell>
          <cell r="R942">
            <v>45871</v>
          </cell>
          <cell r="S942">
            <v>0.4375</v>
          </cell>
          <cell r="T942">
            <v>0.42749999999999999</v>
          </cell>
          <cell r="U942" t="str">
            <v>X</v>
          </cell>
          <cell r="V942">
            <v>0.31597222222222221</v>
          </cell>
          <cell r="W942">
            <v>46.152000000000001</v>
          </cell>
          <cell r="X942">
            <v>46.547999999999995</v>
          </cell>
          <cell r="Y942">
            <v>0.41666666666666702</v>
          </cell>
          <cell r="Z942">
            <v>85.944000000000003</v>
          </cell>
          <cell r="AA942">
            <v>86.46</v>
          </cell>
          <cell r="AW942">
            <v>4</v>
          </cell>
          <cell r="AX942">
            <v>4</v>
          </cell>
          <cell r="AY942">
            <v>4</v>
          </cell>
          <cell r="AZ942">
            <v>4</v>
          </cell>
          <cell r="BA942" t="str">
            <v>CONSORCIO NOVA ETE - PARQUE NOVO MUNDO</v>
          </cell>
          <cell r="BB942">
            <v>45873</v>
          </cell>
          <cell r="BC942">
            <v>1</v>
          </cell>
          <cell r="BD942" t="str">
            <v>seg</v>
          </cell>
          <cell r="BG942">
            <v>45871</v>
          </cell>
        </row>
        <row r="943">
          <cell r="A943">
            <v>1249</v>
          </cell>
          <cell r="B943">
            <v>871</v>
          </cell>
          <cell r="C943" t="str">
            <v>PLACAS PN-372 / PN-374</v>
          </cell>
          <cell r="D943">
            <v>7</v>
          </cell>
          <cell r="E943">
            <v>40</v>
          </cell>
          <cell r="F943">
            <v>24</v>
          </cell>
          <cell r="G943">
            <v>40</v>
          </cell>
          <cell r="H943">
            <v>0</v>
          </cell>
          <cell r="I943" t="str">
            <v>-</v>
          </cell>
          <cell r="J943" t="str">
            <v>660/670</v>
          </cell>
          <cell r="K943" t="str">
            <v xml:space="preserve">CPIII 40 RS </v>
          </cell>
          <cell r="L943" t="str">
            <v>CP V</v>
          </cell>
          <cell r="M943" t="str">
            <v>SUPER PLASTIFICANTE</v>
          </cell>
          <cell r="N943" t="str">
            <v>ETE - PARQUE NOVO MUNDO (REATORES NEREDA)</v>
          </cell>
          <cell r="O943" t="str">
            <v>FORTANKS</v>
          </cell>
          <cell r="P943">
            <v>3</v>
          </cell>
          <cell r="Q943" t="str">
            <v>Gean</v>
          </cell>
          <cell r="R943">
            <v>45871</v>
          </cell>
          <cell r="S943">
            <v>0.47916666666666669</v>
          </cell>
          <cell r="T943">
            <v>0.46916666666666668</v>
          </cell>
          <cell r="U943" t="str">
            <v>X</v>
          </cell>
          <cell r="V943">
            <v>0.31944444444444442</v>
          </cell>
          <cell r="W943">
            <v>49.247999999999998</v>
          </cell>
          <cell r="X943">
            <v>49.271999999999998</v>
          </cell>
          <cell r="Y943">
            <v>0.41666666666666702</v>
          </cell>
          <cell r="Z943">
            <v>85.74</v>
          </cell>
          <cell r="AA943">
            <v>85.872</v>
          </cell>
          <cell r="AW943">
            <v>4</v>
          </cell>
          <cell r="AX943">
            <v>4</v>
          </cell>
          <cell r="AY943">
            <v>4</v>
          </cell>
          <cell r="AZ943">
            <v>4</v>
          </cell>
          <cell r="BA943" t="str">
            <v>CONSORCIO NOVA ETE - PARQUE NOVO MUNDO</v>
          </cell>
          <cell r="BB943">
            <v>45873</v>
          </cell>
          <cell r="BC943">
            <v>1</v>
          </cell>
          <cell r="BD943" t="str">
            <v>seg</v>
          </cell>
          <cell r="BG943">
            <v>45871</v>
          </cell>
        </row>
        <row r="944">
          <cell r="A944">
            <v>1250</v>
          </cell>
          <cell r="B944">
            <v>872</v>
          </cell>
          <cell r="C944" t="str">
            <v>PLACAS PN-375 / PN-376</v>
          </cell>
          <cell r="D944">
            <v>8</v>
          </cell>
          <cell r="E944">
            <v>40</v>
          </cell>
          <cell r="F944">
            <v>24</v>
          </cell>
          <cell r="G944">
            <v>40</v>
          </cell>
          <cell r="H944">
            <v>0</v>
          </cell>
          <cell r="I944" t="str">
            <v>-</v>
          </cell>
          <cell r="J944" t="str">
            <v>660/670</v>
          </cell>
          <cell r="K944" t="str">
            <v xml:space="preserve">CPIII 40 RS </v>
          </cell>
          <cell r="L944" t="str">
            <v>CP V</v>
          </cell>
          <cell r="M944" t="str">
            <v>SUPER PLASTIFICANTE</v>
          </cell>
          <cell r="N944" t="str">
            <v>ETE - PARQUE NOVO MUNDO (REATORES NEREDA)</v>
          </cell>
          <cell r="O944" t="str">
            <v>FORTANKS</v>
          </cell>
          <cell r="P944">
            <v>4</v>
          </cell>
          <cell r="Q944" t="str">
            <v>Gean</v>
          </cell>
          <cell r="R944">
            <v>45871</v>
          </cell>
          <cell r="S944">
            <v>0.58333333333333337</v>
          </cell>
          <cell r="T944">
            <v>0.57333333333333336</v>
          </cell>
          <cell r="U944" t="str">
            <v>X</v>
          </cell>
          <cell r="V944">
            <v>0.3263888888888889</v>
          </cell>
          <cell r="W944">
            <v>33.491999999999997</v>
          </cell>
          <cell r="X944">
            <v>33.323999999999998</v>
          </cell>
          <cell r="Y944">
            <v>0.41666666666666702</v>
          </cell>
          <cell r="Z944">
            <v>84.551999999999992</v>
          </cell>
          <cell r="AA944">
            <v>86.35199999999999</v>
          </cell>
          <cell r="AW944">
            <v>4</v>
          </cell>
          <cell r="AX944">
            <v>4</v>
          </cell>
          <cell r="AY944">
            <v>4</v>
          </cell>
          <cell r="AZ944">
            <v>4</v>
          </cell>
          <cell r="BA944" t="str">
            <v>CONSORCIO NOVA ETE - PARQUE NOVO MUNDO</v>
          </cell>
          <cell r="BB944">
            <v>45873</v>
          </cell>
          <cell r="BC944">
            <v>1</v>
          </cell>
          <cell r="BD944" t="str">
            <v>seg</v>
          </cell>
          <cell r="BG944">
            <v>45871</v>
          </cell>
        </row>
        <row r="945">
          <cell r="A945" t="str">
            <v>1250-A</v>
          </cell>
          <cell r="B945">
            <v>872</v>
          </cell>
          <cell r="C945" t="str">
            <v>PLACA PR_PNI-125 (CANALETA)</v>
          </cell>
          <cell r="D945">
            <v>8</v>
          </cell>
          <cell r="E945">
            <v>40</v>
          </cell>
          <cell r="F945">
            <v>24</v>
          </cell>
          <cell r="G945">
            <v>40</v>
          </cell>
          <cell r="H945">
            <v>0</v>
          </cell>
          <cell r="I945" t="str">
            <v>-</v>
          </cell>
          <cell r="J945" t="str">
            <v>660/670</v>
          </cell>
          <cell r="K945" t="str">
            <v xml:space="preserve">CPIII 40 RS </v>
          </cell>
          <cell r="L945" t="str">
            <v>CP V</v>
          </cell>
          <cell r="M945" t="str">
            <v>SUPER PLASTIFICANTE</v>
          </cell>
          <cell r="N945" t="str">
            <v>ETE - PROJETO SUCURIÚ - CLARIFICADOR PRIMARIO</v>
          </cell>
          <cell r="O945" t="str">
            <v>FORTANKS</v>
          </cell>
          <cell r="P945">
            <v>4</v>
          </cell>
          <cell r="Q945" t="str">
            <v>Gean</v>
          </cell>
          <cell r="R945">
            <v>45871</v>
          </cell>
          <cell r="S945">
            <v>0.58333333333333337</v>
          </cell>
          <cell r="T945">
            <v>0.57333333333333336</v>
          </cell>
          <cell r="U945" t="str">
            <v>X</v>
          </cell>
          <cell r="V945">
            <v>0.3263888888888889</v>
          </cell>
          <cell r="W945">
            <v>33.491999999999997</v>
          </cell>
          <cell r="X945">
            <v>33.323999999999998</v>
          </cell>
          <cell r="Y945">
            <v>0.41666666666666702</v>
          </cell>
          <cell r="Z945">
            <v>84.6</v>
          </cell>
          <cell r="AA945">
            <v>86.35</v>
          </cell>
          <cell r="AW945">
            <v>4</v>
          </cell>
          <cell r="AX945">
            <v>4</v>
          </cell>
          <cell r="AY945">
            <v>4</v>
          </cell>
          <cell r="AZ945">
            <v>4</v>
          </cell>
          <cell r="BA945" t="str">
            <v>FORTES ENGENHARIA</v>
          </cell>
          <cell r="BB945">
            <v>45873</v>
          </cell>
          <cell r="BC945">
            <v>1</v>
          </cell>
          <cell r="BD945" t="str">
            <v>seg</v>
          </cell>
          <cell r="BG945">
            <v>45871</v>
          </cell>
        </row>
        <row r="946">
          <cell r="A946">
            <v>1251</v>
          </cell>
          <cell r="B946">
            <v>873</v>
          </cell>
          <cell r="C946" t="str">
            <v>PLACA PN-386</v>
          </cell>
          <cell r="D946">
            <v>6</v>
          </cell>
          <cell r="E946">
            <v>40</v>
          </cell>
          <cell r="F946">
            <v>24</v>
          </cell>
          <cell r="G946">
            <v>40</v>
          </cell>
          <cell r="H946">
            <v>0</v>
          </cell>
          <cell r="I946" t="str">
            <v>-</v>
          </cell>
          <cell r="J946" t="str">
            <v>650/660</v>
          </cell>
          <cell r="K946" t="str">
            <v xml:space="preserve">CPIII 40 RS </v>
          </cell>
          <cell r="L946" t="str">
            <v>CP V</v>
          </cell>
          <cell r="M946" t="str">
            <v>SUPER PLASTIFICANTE</v>
          </cell>
          <cell r="N946" t="str">
            <v>ETE - PARQUE NOVO MUNDO (REATORES NEREDA)</v>
          </cell>
          <cell r="O946" t="str">
            <v>FORTANKS</v>
          </cell>
          <cell r="P946">
            <v>1</v>
          </cell>
          <cell r="Q946" t="str">
            <v>Gean</v>
          </cell>
          <cell r="R946">
            <v>45873</v>
          </cell>
          <cell r="S946">
            <v>0.58333333333333337</v>
          </cell>
          <cell r="T946">
            <v>0.57333333333333336</v>
          </cell>
          <cell r="U946" t="str">
            <v>X</v>
          </cell>
          <cell r="V946">
            <v>0.3125</v>
          </cell>
          <cell r="W946">
            <v>27.731999999999999</v>
          </cell>
          <cell r="X946">
            <v>25.823999999999998</v>
          </cell>
          <cell r="Y946">
            <v>0.41666666666666702</v>
          </cell>
          <cell r="Z946">
            <v>84.191999999999993</v>
          </cell>
          <cell r="AA946">
            <v>84.78</v>
          </cell>
          <cell r="AW946">
            <v>4</v>
          </cell>
          <cell r="AX946">
            <v>4</v>
          </cell>
          <cell r="AY946">
            <v>4</v>
          </cell>
          <cell r="AZ946">
            <v>4</v>
          </cell>
          <cell r="BA946" t="str">
            <v>CONSORCIO NOVA ETE - PARQUE NOVO MUNDO</v>
          </cell>
          <cell r="BB946">
            <v>45874</v>
          </cell>
          <cell r="BD946" t="str">
            <v>ter</v>
          </cell>
          <cell r="BG946">
            <v>45873</v>
          </cell>
        </row>
        <row r="947">
          <cell r="A947" t="str">
            <v>1251-A</v>
          </cell>
          <cell r="B947">
            <v>873</v>
          </cell>
          <cell r="C947" t="str">
            <v>PLACA PR-PN-118</v>
          </cell>
          <cell r="D947">
            <v>6</v>
          </cell>
          <cell r="E947">
            <v>40</v>
          </cell>
          <cell r="F947">
            <v>24</v>
          </cell>
          <cell r="G947">
            <v>40</v>
          </cell>
          <cell r="H947">
            <v>0</v>
          </cell>
          <cell r="I947" t="str">
            <v>-</v>
          </cell>
          <cell r="J947" t="str">
            <v>650/660</v>
          </cell>
          <cell r="K947" t="str">
            <v xml:space="preserve">CPIII 40 RS </v>
          </cell>
          <cell r="L947" t="str">
            <v>CP V</v>
          </cell>
          <cell r="M947" t="str">
            <v>SUPER PLASTIFICANTE</v>
          </cell>
          <cell r="N947" t="str">
            <v>ETE - PROJETO SUCURIÚ - CLARIFICADOR PRIMARIO</v>
          </cell>
          <cell r="O947" t="str">
            <v>FORTANKS</v>
          </cell>
          <cell r="P947">
            <v>1</v>
          </cell>
          <cell r="Q947" t="str">
            <v>Gean</v>
          </cell>
          <cell r="R947">
            <v>45873</v>
          </cell>
          <cell r="S947">
            <v>0.58333333333333337</v>
          </cell>
          <cell r="T947">
            <v>0.57333333333333336</v>
          </cell>
          <cell r="U947" t="str">
            <v>X</v>
          </cell>
          <cell r="V947">
            <v>0.3125</v>
          </cell>
          <cell r="W947">
            <v>27.731999999999999</v>
          </cell>
          <cell r="X947">
            <v>25.823999999999998</v>
          </cell>
          <cell r="Y947">
            <v>0.41666666666666702</v>
          </cell>
          <cell r="Z947">
            <v>84.2</v>
          </cell>
          <cell r="AA947">
            <v>84.787000000000006</v>
          </cell>
          <cell r="AW947">
            <v>4</v>
          </cell>
          <cell r="AX947">
            <v>4</v>
          </cell>
          <cell r="AY947">
            <v>4</v>
          </cell>
          <cell r="AZ947">
            <v>4</v>
          </cell>
          <cell r="BA947" t="str">
            <v>FORTES ENGENHARIA</v>
          </cell>
          <cell r="BB947">
            <v>45874</v>
          </cell>
          <cell r="BD947" t="str">
            <v>ter</v>
          </cell>
          <cell r="BG947">
            <v>45873</v>
          </cell>
        </row>
        <row r="948">
          <cell r="A948">
            <v>1252</v>
          </cell>
          <cell r="B948">
            <v>874</v>
          </cell>
          <cell r="C948" t="str">
            <v>PLACAS PN-384 / PN-385</v>
          </cell>
          <cell r="D948">
            <v>7</v>
          </cell>
          <cell r="E948">
            <v>40</v>
          </cell>
          <cell r="F948">
            <v>24</v>
          </cell>
          <cell r="G948">
            <v>40</v>
          </cell>
          <cell r="H948">
            <v>0</v>
          </cell>
          <cell r="I948" t="str">
            <v>-</v>
          </cell>
          <cell r="J948" t="str">
            <v>660/670</v>
          </cell>
          <cell r="K948" t="str">
            <v xml:space="preserve">CPIII 40 RS </v>
          </cell>
          <cell r="L948" t="str">
            <v>CP V</v>
          </cell>
          <cell r="M948" t="str">
            <v>SUPER PLASTIFICANTE</v>
          </cell>
          <cell r="N948" t="str">
            <v>ETE - PARQUE NOVO MUNDO (REATORES NEREDA)</v>
          </cell>
          <cell r="O948" t="str">
            <v>FORTANKS</v>
          </cell>
          <cell r="P948">
            <v>2</v>
          </cell>
          <cell r="Q948" t="str">
            <v>Gean</v>
          </cell>
          <cell r="R948">
            <v>45873</v>
          </cell>
          <cell r="S948">
            <v>0.60416666666666663</v>
          </cell>
          <cell r="T948">
            <v>0.59416666666666662</v>
          </cell>
          <cell r="U948" t="str">
            <v>X</v>
          </cell>
          <cell r="V948">
            <v>0.31597222222222221</v>
          </cell>
          <cell r="W948">
            <v>31.907999999999998</v>
          </cell>
          <cell r="X948">
            <v>32.136000000000003</v>
          </cell>
          <cell r="Y948">
            <v>0.41666666666666702</v>
          </cell>
          <cell r="Z948">
            <v>84.227999999999994</v>
          </cell>
          <cell r="AA948">
            <v>84.396000000000001</v>
          </cell>
          <cell r="AW948">
            <v>4</v>
          </cell>
          <cell r="AX948">
            <v>4</v>
          </cell>
          <cell r="AY948">
            <v>4</v>
          </cell>
          <cell r="AZ948">
            <v>4</v>
          </cell>
          <cell r="BA948" t="str">
            <v>CONSORCIO NOVA ETE - PARQUE NOVO MUNDO</v>
          </cell>
          <cell r="BB948">
            <v>45874</v>
          </cell>
          <cell r="BD948" t="str">
            <v>ter</v>
          </cell>
          <cell r="BG948">
            <v>45873</v>
          </cell>
        </row>
        <row r="949">
          <cell r="A949">
            <v>1253</v>
          </cell>
          <cell r="B949">
            <v>875</v>
          </cell>
          <cell r="C949" t="str">
            <v>PLACAS PN-378 / PN-383</v>
          </cell>
          <cell r="D949">
            <v>7</v>
          </cell>
          <cell r="E949">
            <v>40</v>
          </cell>
          <cell r="F949">
            <v>24</v>
          </cell>
          <cell r="G949">
            <v>40</v>
          </cell>
          <cell r="H949">
            <v>0</v>
          </cell>
          <cell r="I949" t="str">
            <v>-</v>
          </cell>
          <cell r="J949" t="str">
            <v>670/660</v>
          </cell>
          <cell r="K949" t="str">
            <v xml:space="preserve">CPIII 40 RS </v>
          </cell>
          <cell r="L949" t="str">
            <v>CP V</v>
          </cell>
          <cell r="M949" t="str">
            <v>SUPER PLASTIFICANTE</v>
          </cell>
          <cell r="N949" t="str">
            <v>ETE - PARQUE NOVO MUNDO (REATORES NEREDA)</v>
          </cell>
          <cell r="O949" t="str">
            <v>FORTANKS</v>
          </cell>
          <cell r="P949">
            <v>3</v>
          </cell>
          <cell r="Q949" t="str">
            <v>Gean</v>
          </cell>
          <cell r="R949">
            <v>45873</v>
          </cell>
          <cell r="S949">
            <v>0.64583333333333337</v>
          </cell>
          <cell r="T949">
            <v>0.63583333333333336</v>
          </cell>
          <cell r="U949" t="str">
            <v>X</v>
          </cell>
          <cell r="V949">
            <v>0.31944444444444442</v>
          </cell>
          <cell r="W949">
            <v>26.891999999999999</v>
          </cell>
          <cell r="X949">
            <v>26.268000000000001</v>
          </cell>
          <cell r="Y949">
            <v>0.41666666666666702</v>
          </cell>
          <cell r="Z949">
            <v>84.167999999999992</v>
          </cell>
          <cell r="AA949">
            <v>84.347999999999999</v>
          </cell>
          <cell r="AW949">
            <v>4</v>
          </cell>
          <cell r="AX949">
            <v>4</v>
          </cell>
          <cell r="AY949">
            <v>4</v>
          </cell>
          <cell r="AZ949">
            <v>4</v>
          </cell>
          <cell r="BA949" t="str">
            <v>CONSORCIO NOVA ETE - PARQUE NOVO MUNDO</v>
          </cell>
          <cell r="BB949">
            <v>45874</v>
          </cell>
          <cell r="BD949" t="str">
            <v>ter</v>
          </cell>
          <cell r="BG949">
            <v>45873</v>
          </cell>
        </row>
        <row r="950">
          <cell r="A950">
            <v>1254</v>
          </cell>
          <cell r="B950">
            <v>876</v>
          </cell>
          <cell r="C950" t="str">
            <v>PLACAS PE-303(T3) / PN-377</v>
          </cell>
          <cell r="D950">
            <v>7.5</v>
          </cell>
          <cell r="E950">
            <v>40</v>
          </cell>
          <cell r="F950">
            <v>24</v>
          </cell>
          <cell r="G950">
            <v>40</v>
          </cell>
          <cell r="H950">
            <v>0</v>
          </cell>
          <cell r="I950" t="str">
            <v>-</v>
          </cell>
          <cell r="J950" t="str">
            <v>670/660</v>
          </cell>
          <cell r="K950" t="str">
            <v xml:space="preserve">CPIII 40 RS </v>
          </cell>
          <cell r="L950" t="str">
            <v>CP V</v>
          </cell>
          <cell r="M950" t="str">
            <v>SUPER PLASTIFICANTE</v>
          </cell>
          <cell r="N950" t="str">
            <v>ETE - PARQUE NOVO MUNDO (REATORES NEREDA)</v>
          </cell>
          <cell r="O950" t="str">
            <v>FORTANKS</v>
          </cell>
          <cell r="P950">
            <v>4</v>
          </cell>
          <cell r="Q950" t="str">
            <v>Gean</v>
          </cell>
          <cell r="R950">
            <v>45873</v>
          </cell>
          <cell r="S950">
            <v>0.66666666666666663</v>
          </cell>
          <cell r="T950">
            <v>0.65666666666666662</v>
          </cell>
          <cell r="U950" t="str">
            <v>X</v>
          </cell>
          <cell r="V950">
            <v>0.32291666666666669</v>
          </cell>
          <cell r="W950">
            <v>24.563999999999997</v>
          </cell>
          <cell r="X950">
            <v>24</v>
          </cell>
          <cell r="Y950">
            <v>0.41666666666666702</v>
          </cell>
          <cell r="Z950">
            <v>84.3</v>
          </cell>
          <cell r="AA950">
            <v>85.176000000000002</v>
          </cell>
          <cell r="AW950">
            <v>4</v>
          </cell>
          <cell r="AX950">
            <v>4</v>
          </cell>
          <cell r="AY950">
            <v>4</v>
          </cell>
          <cell r="AZ950">
            <v>4</v>
          </cell>
          <cell r="BA950" t="str">
            <v>CONSORCIO NOVA ETE - PARQUE NOVO MUNDO</v>
          </cell>
          <cell r="BB950">
            <v>45874</v>
          </cell>
          <cell r="BD950" t="str">
            <v>ter</v>
          </cell>
          <cell r="BG950">
            <v>45873</v>
          </cell>
        </row>
        <row r="951">
          <cell r="A951" t="str">
            <v>1254-A</v>
          </cell>
          <cell r="B951">
            <v>876</v>
          </cell>
          <cell r="C951" t="str">
            <v>PLACA PR-PN-118 (CANALETA)</v>
          </cell>
          <cell r="D951">
            <v>7.5</v>
          </cell>
          <cell r="E951">
            <v>40</v>
          </cell>
          <cell r="F951">
            <v>24</v>
          </cell>
          <cell r="G951">
            <v>40</v>
          </cell>
          <cell r="H951">
            <v>0</v>
          </cell>
          <cell r="I951" t="str">
            <v>-</v>
          </cell>
          <cell r="J951" t="str">
            <v>670/660</v>
          </cell>
          <cell r="K951" t="str">
            <v xml:space="preserve">CPIII 40 RS </v>
          </cell>
          <cell r="L951" t="str">
            <v>CP V</v>
          </cell>
          <cell r="M951" t="str">
            <v>SUPER PLASTIFICANTE</v>
          </cell>
          <cell r="N951" t="str">
            <v>ETE - PROJETO SUCURIÚ - CLARIFICADOR PRIMARIO</v>
          </cell>
          <cell r="O951" t="str">
            <v>FORTANKS</v>
          </cell>
          <cell r="P951">
            <v>4</v>
          </cell>
          <cell r="Q951" t="str">
            <v>Gean</v>
          </cell>
          <cell r="R951">
            <v>45873</v>
          </cell>
          <cell r="S951">
            <v>0.66666666666666663</v>
          </cell>
          <cell r="T951">
            <v>0.65666666666666662</v>
          </cell>
          <cell r="U951" t="str">
            <v>X</v>
          </cell>
          <cell r="V951">
            <v>0.32291666666666669</v>
          </cell>
          <cell r="W951">
            <v>24.563999999999997</v>
          </cell>
          <cell r="X951">
            <v>24</v>
          </cell>
          <cell r="Y951">
            <v>0.41666666666666702</v>
          </cell>
          <cell r="Z951">
            <v>84.3</v>
          </cell>
          <cell r="AA951">
            <v>85.17</v>
          </cell>
          <cell r="AW951">
            <v>4</v>
          </cell>
          <cell r="AX951">
            <v>4</v>
          </cell>
          <cell r="AY951">
            <v>4</v>
          </cell>
          <cell r="AZ951">
            <v>4</v>
          </cell>
          <cell r="BA951" t="str">
            <v>FORTES ENGENHARIA</v>
          </cell>
          <cell r="BB951">
            <v>45874</v>
          </cell>
          <cell r="BD951" t="str">
            <v>ter</v>
          </cell>
          <cell r="BG951">
            <v>45873</v>
          </cell>
        </row>
        <row r="952">
          <cell r="A952">
            <v>1255</v>
          </cell>
          <cell r="B952">
            <v>877</v>
          </cell>
          <cell r="C952" t="str">
            <v>PLACA PN-387</v>
          </cell>
          <cell r="D952">
            <v>6</v>
          </cell>
          <cell r="E952">
            <v>40</v>
          </cell>
          <cell r="F952">
            <v>24</v>
          </cell>
          <cell r="G952">
            <v>40</v>
          </cell>
          <cell r="H952">
            <v>0</v>
          </cell>
          <cell r="I952" t="str">
            <v>-</v>
          </cell>
          <cell r="J952" t="str">
            <v>660/680</v>
          </cell>
          <cell r="K952" t="str">
            <v xml:space="preserve">CPIII 40 RS </v>
          </cell>
          <cell r="L952" t="str">
            <v>CP V</v>
          </cell>
          <cell r="M952" t="str">
            <v>SUPER PLASTIFICANTE</v>
          </cell>
          <cell r="N952" t="str">
            <v>ETE - PARQUE NOVO MUNDO (REATORES NEREDA)</v>
          </cell>
          <cell r="O952" t="str">
            <v>FORTANKS</v>
          </cell>
          <cell r="P952">
            <v>1</v>
          </cell>
          <cell r="Q952" t="str">
            <v>Gean</v>
          </cell>
          <cell r="R952">
            <v>45874</v>
          </cell>
          <cell r="S952">
            <v>0.375</v>
          </cell>
          <cell r="T952">
            <v>0.36499999999999999</v>
          </cell>
          <cell r="U952" t="str">
            <v>X</v>
          </cell>
          <cell r="V952">
            <v>0.34722222222222221</v>
          </cell>
          <cell r="W952">
            <v>29.16</v>
          </cell>
          <cell r="X952">
            <v>29.483999999999998</v>
          </cell>
          <cell r="Y952">
            <v>0.41666666666666702</v>
          </cell>
          <cell r="Z952">
            <v>85.22399999999999</v>
          </cell>
          <cell r="AA952">
            <v>84.995999999999995</v>
          </cell>
          <cell r="AW952">
            <v>4</v>
          </cell>
          <cell r="AX952">
            <v>4</v>
          </cell>
          <cell r="AY952">
            <v>4</v>
          </cell>
          <cell r="AZ952">
            <v>4</v>
          </cell>
          <cell r="BA952" t="str">
            <v>CONSORCIO NOVA ETE - PARQUE NOVO MUNDO</v>
          </cell>
          <cell r="BB952">
            <v>45875</v>
          </cell>
          <cell r="BD952" t="str">
            <v>qua</v>
          </cell>
          <cell r="BG952">
            <v>45874</v>
          </cell>
        </row>
        <row r="953">
          <cell r="A953" t="str">
            <v>1255-A</v>
          </cell>
          <cell r="B953">
            <v>877</v>
          </cell>
          <cell r="C953" t="str">
            <v>PLACA PR_PNI-131</v>
          </cell>
          <cell r="D953">
            <v>6</v>
          </cell>
          <cell r="E953">
            <v>40</v>
          </cell>
          <cell r="F953">
            <v>24</v>
          </cell>
          <cell r="G953">
            <v>40</v>
          </cell>
          <cell r="H953">
            <v>0</v>
          </cell>
          <cell r="I953" t="str">
            <v>-</v>
          </cell>
          <cell r="J953" t="str">
            <v>660/680</v>
          </cell>
          <cell r="K953" t="str">
            <v xml:space="preserve">CPIII 40 RS </v>
          </cell>
          <cell r="L953" t="str">
            <v>CP V</v>
          </cell>
          <cell r="M953" t="str">
            <v>SUPER PLASTIFICANTE</v>
          </cell>
          <cell r="N953" t="str">
            <v>ETE - PROJETO SUCURIÚ - CLARIFICADOR PRIMARIO</v>
          </cell>
          <cell r="O953" t="str">
            <v>FORTANKS</v>
          </cell>
          <cell r="P953">
            <v>1</v>
          </cell>
          <cell r="Q953" t="str">
            <v>Gean</v>
          </cell>
          <cell r="R953">
            <v>45874</v>
          </cell>
          <cell r="S953">
            <v>0.375</v>
          </cell>
          <cell r="T953">
            <v>0.36499999999999999</v>
          </cell>
          <cell r="U953" t="str">
            <v>X</v>
          </cell>
          <cell r="V953">
            <v>0.34722222222222221</v>
          </cell>
          <cell r="W953">
            <v>29.16</v>
          </cell>
          <cell r="X953">
            <v>29.483999999999998</v>
          </cell>
          <cell r="Y953">
            <v>0.41666666666666702</v>
          </cell>
          <cell r="Z953">
            <v>85.2</v>
          </cell>
          <cell r="AA953">
            <v>84.99</v>
          </cell>
          <cell r="AW953">
            <v>4</v>
          </cell>
          <cell r="AX953">
            <v>4</v>
          </cell>
          <cell r="AY953">
            <v>4</v>
          </cell>
          <cell r="AZ953">
            <v>4</v>
          </cell>
          <cell r="BA953" t="str">
            <v>FORTES ENGENHARIA</v>
          </cell>
          <cell r="BB953">
            <v>45875</v>
          </cell>
          <cell r="BD953" t="str">
            <v>qua</v>
          </cell>
          <cell r="BG953">
            <v>45874</v>
          </cell>
        </row>
        <row r="954">
          <cell r="A954">
            <v>1256</v>
          </cell>
          <cell r="B954">
            <v>878</v>
          </cell>
          <cell r="C954" t="str">
            <v>PLACAS PN-388 / PN-389</v>
          </cell>
          <cell r="D954">
            <v>7</v>
          </cell>
          <cell r="E954">
            <v>40</v>
          </cell>
          <cell r="F954">
            <v>24</v>
          </cell>
          <cell r="G954">
            <v>40</v>
          </cell>
          <cell r="H954">
            <v>0</v>
          </cell>
          <cell r="I954" t="str">
            <v>-</v>
          </cell>
          <cell r="J954" t="str">
            <v>680/670</v>
          </cell>
          <cell r="K954" t="str">
            <v xml:space="preserve">CPIII 40 RS </v>
          </cell>
          <cell r="L954" t="str">
            <v>CP V</v>
          </cell>
          <cell r="M954" t="str">
            <v>SUPER PLASTIFICANTE</v>
          </cell>
          <cell r="N954" t="str">
            <v>ETE - PARQUE NOVO MUNDO (REATORES NEREDA)</v>
          </cell>
          <cell r="O954" t="str">
            <v>FORTANKS</v>
          </cell>
          <cell r="P954">
            <v>2</v>
          </cell>
          <cell r="Q954" t="str">
            <v>Gean</v>
          </cell>
          <cell r="R954">
            <v>45874</v>
          </cell>
          <cell r="S954">
            <v>0.39583333333333331</v>
          </cell>
          <cell r="T954">
            <v>0.38583333333333331</v>
          </cell>
          <cell r="U954" t="str">
            <v>X</v>
          </cell>
          <cell r="V954">
            <v>0.35069444444444442</v>
          </cell>
          <cell r="W954">
            <v>24.24</v>
          </cell>
          <cell r="X954">
            <v>24.791999999999998</v>
          </cell>
          <cell r="Y954">
            <v>0.41666666666666702</v>
          </cell>
          <cell r="Z954">
            <v>82.548000000000002</v>
          </cell>
          <cell r="AA954">
            <v>83.448000000000008</v>
          </cell>
          <cell r="AW954">
            <v>4</v>
          </cell>
          <cell r="AX954">
            <v>4</v>
          </cell>
          <cell r="AY954">
            <v>4</v>
          </cell>
          <cell r="AZ954">
            <v>4</v>
          </cell>
          <cell r="BA954" t="str">
            <v>CONSORCIO NOVA ETE - PARQUE NOVO MUNDO</v>
          </cell>
          <cell r="BB954">
            <v>45875</v>
          </cell>
          <cell r="BD954" t="str">
            <v>qua</v>
          </cell>
          <cell r="BG954">
            <v>45874</v>
          </cell>
        </row>
        <row r="955">
          <cell r="A955">
            <v>1257</v>
          </cell>
          <cell r="B955">
            <v>879</v>
          </cell>
          <cell r="C955" t="str">
            <v>PLACAS PN-390 / PN-391</v>
          </cell>
          <cell r="D955">
            <v>7</v>
          </cell>
          <cell r="E955">
            <v>40</v>
          </cell>
          <cell r="F955">
            <v>24</v>
          </cell>
          <cell r="G955">
            <v>40</v>
          </cell>
          <cell r="H955">
            <v>0</v>
          </cell>
          <cell r="I955" t="str">
            <v>-</v>
          </cell>
          <cell r="J955" t="str">
            <v>670/670</v>
          </cell>
          <cell r="K955" t="str">
            <v xml:space="preserve">CPIII 40 RS </v>
          </cell>
          <cell r="L955" t="str">
            <v>CP V</v>
          </cell>
          <cell r="M955" t="str">
            <v>SUPER PLASTIFICANTE</v>
          </cell>
          <cell r="N955" t="str">
            <v>ETE - PARQUE NOVO MUNDO (REATORES NEREDA)</v>
          </cell>
          <cell r="O955" t="str">
            <v>FORTANKS</v>
          </cell>
          <cell r="P955">
            <v>3</v>
          </cell>
          <cell r="Q955" t="str">
            <v>Gean</v>
          </cell>
          <cell r="R955">
            <v>45874</v>
          </cell>
          <cell r="S955">
            <v>0.4375</v>
          </cell>
          <cell r="T955">
            <v>0.42749999999999999</v>
          </cell>
          <cell r="U955" t="str">
            <v>X</v>
          </cell>
          <cell r="V955">
            <v>0.35416666666666669</v>
          </cell>
          <cell r="W955">
            <v>25.62</v>
          </cell>
          <cell r="X955">
            <v>25.608000000000001</v>
          </cell>
          <cell r="Y955">
            <v>0.41666666666666702</v>
          </cell>
          <cell r="Z955">
            <v>85.355999999999995</v>
          </cell>
          <cell r="AA955">
            <v>84.587999999999994</v>
          </cell>
          <cell r="AW955">
            <v>4</v>
          </cell>
          <cell r="AX955">
            <v>4</v>
          </cell>
          <cell r="AY955">
            <v>4</v>
          </cell>
          <cell r="AZ955">
            <v>4</v>
          </cell>
          <cell r="BA955" t="str">
            <v>CONSORCIO NOVA ETE - PARQUE NOVO MUNDO</v>
          </cell>
          <cell r="BB955">
            <v>45875</v>
          </cell>
          <cell r="BD955" t="str">
            <v>qua</v>
          </cell>
          <cell r="BG955">
            <v>45874</v>
          </cell>
        </row>
        <row r="956">
          <cell r="A956">
            <v>1258</v>
          </cell>
          <cell r="B956">
            <v>880</v>
          </cell>
          <cell r="C956" t="str">
            <v>PLACAS PN-392 / PN-393</v>
          </cell>
          <cell r="D956">
            <v>6.5</v>
          </cell>
          <cell r="E956">
            <v>40</v>
          </cell>
          <cell r="F956">
            <v>24</v>
          </cell>
          <cell r="G956">
            <v>40</v>
          </cell>
          <cell r="H956">
            <v>0</v>
          </cell>
          <cell r="I956" t="str">
            <v>-</v>
          </cell>
          <cell r="J956" t="str">
            <v>680/680</v>
          </cell>
          <cell r="K956" t="str">
            <v xml:space="preserve">CPIII 40 RS </v>
          </cell>
          <cell r="L956" t="str">
            <v>CP V</v>
          </cell>
          <cell r="M956" t="str">
            <v>SUPER PLASTIFICANTE</v>
          </cell>
          <cell r="N956" t="str">
            <v>ETE - PARQUE NOVO MUNDO (REATORES NEREDA)</v>
          </cell>
          <cell r="O956" t="str">
            <v>FORTANKS</v>
          </cell>
          <cell r="P956">
            <v>4</v>
          </cell>
          <cell r="Q956" t="str">
            <v>Gean</v>
          </cell>
          <cell r="R956">
            <v>45874</v>
          </cell>
          <cell r="S956">
            <v>0.47222222222222221</v>
          </cell>
          <cell r="T956">
            <v>0.4622222222222222</v>
          </cell>
          <cell r="U956" t="str">
            <v>X</v>
          </cell>
          <cell r="V956">
            <v>0.3576388888888889</v>
          </cell>
          <cell r="W956">
            <v>30.023999999999997</v>
          </cell>
          <cell r="X956">
            <v>28.247999999999998</v>
          </cell>
          <cell r="Y956">
            <v>0.41666666666666702</v>
          </cell>
          <cell r="Z956">
            <v>89.16</v>
          </cell>
          <cell r="AA956">
            <v>87.899999999999991</v>
          </cell>
          <cell r="AW956">
            <v>4</v>
          </cell>
          <cell r="AX956">
            <v>4</v>
          </cell>
          <cell r="AY956">
            <v>4</v>
          </cell>
          <cell r="AZ956">
            <v>4</v>
          </cell>
          <cell r="BA956" t="str">
            <v>CONSORCIO NOVA ETE - PARQUE NOVO MUNDO</v>
          </cell>
          <cell r="BB956">
            <v>45875</v>
          </cell>
          <cell r="BD956" t="str">
            <v>qua</v>
          </cell>
          <cell r="BG956">
            <v>45874</v>
          </cell>
        </row>
        <row r="957">
          <cell r="A957">
            <v>1259</v>
          </cell>
          <cell r="B957">
            <v>881</v>
          </cell>
          <cell r="C957" t="str">
            <v>PLACA PR_PNI-131 (CANALETA)</v>
          </cell>
          <cell r="D957">
            <v>1</v>
          </cell>
          <cell r="E957">
            <v>40</v>
          </cell>
          <cell r="F957">
            <v>15</v>
          </cell>
          <cell r="G957">
            <v>40</v>
          </cell>
          <cell r="H957">
            <v>0</v>
          </cell>
          <cell r="I957" t="str">
            <v>-</v>
          </cell>
          <cell r="J957" t="str">
            <v>650/660</v>
          </cell>
          <cell r="K957" t="str">
            <v xml:space="preserve">CPIII 40 RS </v>
          </cell>
          <cell r="L957" t="str">
            <v>CP V</v>
          </cell>
          <cell r="M957" t="str">
            <v>SUPER PLASTIFICANTE</v>
          </cell>
          <cell r="N957" t="str">
            <v>ETE - PROJETO SUCURIÚ - CLARIFICADOR PRIMARIO</v>
          </cell>
          <cell r="O957" t="str">
            <v>FORTANKS</v>
          </cell>
          <cell r="P957">
            <v>5</v>
          </cell>
          <cell r="Q957" t="str">
            <v>Gean</v>
          </cell>
          <cell r="R957">
            <v>45874</v>
          </cell>
          <cell r="S957">
            <v>0.63194444444444442</v>
          </cell>
          <cell r="T957">
            <v>0.62194444444444441</v>
          </cell>
          <cell r="U957" t="str">
            <v>X</v>
          </cell>
          <cell r="V957">
            <v>0.3611111111111111</v>
          </cell>
          <cell r="W957">
            <v>21.24</v>
          </cell>
          <cell r="X957">
            <v>20.376000000000001</v>
          </cell>
          <cell r="Y957">
            <v>0.41666666666666702</v>
          </cell>
          <cell r="Z957">
            <v>85.272000000000006</v>
          </cell>
          <cell r="AA957">
            <v>85.007999999999996</v>
          </cell>
          <cell r="AW957">
            <v>4</v>
          </cell>
          <cell r="AX957">
            <v>4</v>
          </cell>
          <cell r="AY957">
            <v>4</v>
          </cell>
          <cell r="AZ957">
            <v>4</v>
          </cell>
          <cell r="BA957" t="str">
            <v>FORTES ENGENHARIA</v>
          </cell>
          <cell r="BB957">
            <v>45875</v>
          </cell>
          <cell r="BD957" t="str">
            <v>qua</v>
          </cell>
          <cell r="BG957">
            <v>45874</v>
          </cell>
        </row>
        <row r="958">
          <cell r="A958">
            <v>1260</v>
          </cell>
          <cell r="B958">
            <v>882</v>
          </cell>
          <cell r="C958" t="str">
            <v>PLACA PN-400</v>
          </cell>
          <cell r="D958">
            <v>6</v>
          </cell>
          <cell r="E958">
            <v>40</v>
          </cell>
          <cell r="F958">
            <v>24</v>
          </cell>
          <cell r="G958">
            <v>40</v>
          </cell>
          <cell r="H958">
            <v>0</v>
          </cell>
          <cell r="I958" t="str">
            <v>-</v>
          </cell>
          <cell r="J958" t="str">
            <v>660/660</v>
          </cell>
          <cell r="K958" t="str">
            <v xml:space="preserve">CPIII 40 RS </v>
          </cell>
          <cell r="L958" t="str">
            <v>CP V</v>
          </cell>
          <cell r="M958" t="str">
            <v>SUPER PLASTIFICANTE</v>
          </cell>
          <cell r="N958" t="str">
            <v>ETE - PARQUE NOVO MUNDO (REATORES NEREDA)</v>
          </cell>
          <cell r="O958" t="str">
            <v>FORTANKS</v>
          </cell>
          <cell r="P958">
            <v>1</v>
          </cell>
          <cell r="Q958" t="str">
            <v>Gean</v>
          </cell>
          <cell r="R958">
            <v>45876</v>
          </cell>
          <cell r="S958">
            <v>0.56597222222222221</v>
          </cell>
          <cell r="T958">
            <v>0.5559722222222222</v>
          </cell>
          <cell r="U958" t="str">
            <v>X</v>
          </cell>
          <cell r="V958">
            <v>0.3125</v>
          </cell>
          <cell r="W958">
            <v>29.783999999999999</v>
          </cell>
          <cell r="X958">
            <v>32.015999999999998</v>
          </cell>
          <cell r="Y958">
            <v>0.41666666666666702</v>
          </cell>
          <cell r="Z958">
            <v>85.272000000000006</v>
          </cell>
          <cell r="AA958">
            <v>84.563999999999993</v>
          </cell>
          <cell r="AW958">
            <v>4</v>
          </cell>
          <cell r="AX958">
            <v>4</v>
          </cell>
          <cell r="AY958">
            <v>4</v>
          </cell>
          <cell r="AZ958">
            <v>4</v>
          </cell>
          <cell r="BA958" t="str">
            <v>CONSORCIO NOVA ETE - PARQUE NOVO MUNDO</v>
          </cell>
          <cell r="BB958">
            <v>45877</v>
          </cell>
          <cell r="BD958" t="str">
            <v>sex</v>
          </cell>
          <cell r="BG958">
            <v>45876</v>
          </cell>
        </row>
        <row r="959">
          <cell r="A959" t="str">
            <v>1260-A</v>
          </cell>
          <cell r="B959">
            <v>882</v>
          </cell>
          <cell r="C959" t="str">
            <v>PLACA PR_PN-121</v>
          </cell>
          <cell r="D959">
            <v>6</v>
          </cell>
          <cell r="E959">
            <v>40</v>
          </cell>
          <cell r="F959">
            <v>24</v>
          </cell>
          <cell r="G959">
            <v>40</v>
          </cell>
          <cell r="H959">
            <v>0</v>
          </cell>
          <cell r="I959" t="str">
            <v>-</v>
          </cell>
          <cell r="J959" t="str">
            <v>660/660</v>
          </cell>
          <cell r="K959" t="str">
            <v xml:space="preserve">CPIII 40 RS </v>
          </cell>
          <cell r="L959" t="str">
            <v>CP V</v>
          </cell>
          <cell r="M959" t="str">
            <v>SUPER PLASTIFICANTE</v>
          </cell>
          <cell r="N959" t="str">
            <v>ETE - PROJETO SUCURIÚ - CLARIFICADOR PRIMARIO</v>
          </cell>
          <cell r="O959" t="str">
            <v>FORTANKS</v>
          </cell>
          <cell r="P959">
            <v>1</v>
          </cell>
          <cell r="Q959" t="str">
            <v>Gean</v>
          </cell>
          <cell r="R959">
            <v>45876</v>
          </cell>
          <cell r="S959">
            <v>0.56597222222222221</v>
          </cell>
          <cell r="T959">
            <v>0.5559722222222222</v>
          </cell>
          <cell r="U959" t="str">
            <v>X</v>
          </cell>
          <cell r="V959">
            <v>0.3125</v>
          </cell>
          <cell r="W959">
            <v>29.783999999999999</v>
          </cell>
          <cell r="X959">
            <v>32.015999999999998</v>
          </cell>
          <cell r="Y959">
            <v>0.41666666666666702</v>
          </cell>
          <cell r="Z959">
            <v>85.3</v>
          </cell>
          <cell r="AA959">
            <v>84.56</v>
          </cell>
          <cell r="AW959">
            <v>4</v>
          </cell>
          <cell r="AX959">
            <v>4</v>
          </cell>
          <cell r="AY959">
            <v>4</v>
          </cell>
          <cell r="AZ959">
            <v>4</v>
          </cell>
          <cell r="BA959" t="str">
            <v>FORTES ENGENHARIA</v>
          </cell>
          <cell r="BB959">
            <v>45877</v>
          </cell>
          <cell r="BD959" t="str">
            <v>sex</v>
          </cell>
          <cell r="BG959">
            <v>45876</v>
          </cell>
        </row>
        <row r="960">
          <cell r="A960">
            <v>1261</v>
          </cell>
          <cell r="B960">
            <v>883</v>
          </cell>
          <cell r="C960" t="str">
            <v>PLACAS PE-273(T2) / PN-399</v>
          </cell>
          <cell r="D960">
            <v>7</v>
          </cell>
          <cell r="E960">
            <v>40</v>
          </cell>
          <cell r="F960">
            <v>24</v>
          </cell>
          <cell r="G960">
            <v>40</v>
          </cell>
          <cell r="H960">
            <v>0</v>
          </cell>
          <cell r="I960" t="str">
            <v>-</v>
          </cell>
          <cell r="J960" t="str">
            <v>670/670</v>
          </cell>
          <cell r="K960" t="str">
            <v xml:space="preserve">CPIII 40 RS </v>
          </cell>
          <cell r="L960" t="str">
            <v>CP V</v>
          </cell>
          <cell r="M960" t="str">
            <v>SUPER PLASTIFICANTE</v>
          </cell>
          <cell r="N960" t="str">
            <v>ETE - PARQUE NOVO MUNDO (REATORES NEREDA)</v>
          </cell>
          <cell r="O960" t="str">
            <v>FORTANKS</v>
          </cell>
          <cell r="P960">
            <v>2</v>
          </cell>
          <cell r="Q960" t="str">
            <v>Gean</v>
          </cell>
          <cell r="R960">
            <v>45876</v>
          </cell>
          <cell r="S960">
            <v>0.59375</v>
          </cell>
          <cell r="T960">
            <v>0.58374999999999999</v>
          </cell>
          <cell r="U960" t="str">
            <v>X</v>
          </cell>
          <cell r="V960">
            <v>0.31597222222222221</v>
          </cell>
          <cell r="W960">
            <v>23.291999999999998</v>
          </cell>
          <cell r="X960">
            <v>24.863999999999997</v>
          </cell>
          <cell r="Y960">
            <v>0.41666666666666702</v>
          </cell>
          <cell r="Z960">
            <v>84.671999999999997</v>
          </cell>
          <cell r="AA960">
            <v>84.144000000000005</v>
          </cell>
          <cell r="AW960">
            <v>4</v>
          </cell>
          <cell r="AX960">
            <v>4</v>
          </cell>
          <cell r="AY960">
            <v>4</v>
          </cell>
          <cell r="AZ960">
            <v>4</v>
          </cell>
          <cell r="BA960" t="str">
            <v>CONSORCIO NOVA ETE - PARQUE NOVO MUNDO</v>
          </cell>
          <cell r="BB960">
            <v>45877</v>
          </cell>
          <cell r="BD960" t="str">
            <v>sex</v>
          </cell>
          <cell r="BG960">
            <v>45876</v>
          </cell>
        </row>
        <row r="961">
          <cell r="A961">
            <v>1262</v>
          </cell>
          <cell r="B961">
            <v>884</v>
          </cell>
          <cell r="C961" t="str">
            <v>PLACAS PN-397 / PN-398</v>
          </cell>
          <cell r="D961">
            <v>7</v>
          </cell>
          <cell r="E961">
            <v>40</v>
          </cell>
          <cell r="F961">
            <v>24</v>
          </cell>
          <cell r="G961">
            <v>40</v>
          </cell>
          <cell r="H961">
            <v>0</v>
          </cell>
          <cell r="I961" t="str">
            <v>-</v>
          </cell>
          <cell r="J961" t="str">
            <v>670/660</v>
          </cell>
          <cell r="K961" t="str">
            <v xml:space="preserve">CPIII 40 RS </v>
          </cell>
          <cell r="L961" t="str">
            <v>CP V</v>
          </cell>
          <cell r="M961" t="str">
            <v>SUPER PLASTIFICANTE</v>
          </cell>
          <cell r="N961" t="str">
            <v>ETE - PARQUE NOVO MUNDO (REATORES NEREDA)</v>
          </cell>
          <cell r="O961" t="str">
            <v>FORTANKS</v>
          </cell>
          <cell r="P961">
            <v>3</v>
          </cell>
          <cell r="Q961" t="str">
            <v>Gean</v>
          </cell>
          <cell r="R961">
            <v>45876</v>
          </cell>
          <cell r="S961">
            <v>0.625</v>
          </cell>
          <cell r="T961">
            <v>0.61499999999999999</v>
          </cell>
          <cell r="U961" t="str">
            <v>X</v>
          </cell>
          <cell r="V961">
            <v>0.31944444444444442</v>
          </cell>
          <cell r="W961">
            <v>26.255999999999997</v>
          </cell>
          <cell r="X961">
            <v>28.104000000000003</v>
          </cell>
          <cell r="Y961">
            <v>0.41666666666666702</v>
          </cell>
          <cell r="Z961">
            <v>86.112000000000009</v>
          </cell>
          <cell r="AA961">
            <v>85.14</v>
          </cell>
          <cell r="AW961">
            <v>4</v>
          </cell>
          <cell r="AX961">
            <v>4</v>
          </cell>
          <cell r="AY961">
            <v>4</v>
          </cell>
          <cell r="AZ961">
            <v>4</v>
          </cell>
          <cell r="BA961" t="str">
            <v>CONSORCIO NOVA ETE - PARQUE NOVO MUNDO</v>
          </cell>
          <cell r="BB961">
            <v>45877</v>
          </cell>
          <cell r="BD961" t="str">
            <v>sex</v>
          </cell>
          <cell r="BG961">
            <v>45876</v>
          </cell>
        </row>
        <row r="962">
          <cell r="A962">
            <v>1263</v>
          </cell>
          <cell r="B962">
            <v>885</v>
          </cell>
          <cell r="C962" t="str">
            <v>PLACAS PN-394 / PN-395</v>
          </cell>
          <cell r="D962">
            <v>7</v>
          </cell>
          <cell r="E962">
            <v>40</v>
          </cell>
          <cell r="F962">
            <v>24</v>
          </cell>
          <cell r="G962">
            <v>40</v>
          </cell>
          <cell r="H962">
            <v>0</v>
          </cell>
          <cell r="I962" t="str">
            <v>-</v>
          </cell>
          <cell r="J962" t="str">
            <v>680/680</v>
          </cell>
          <cell r="K962" t="str">
            <v xml:space="preserve">CPIII 40 RS </v>
          </cell>
          <cell r="L962" t="str">
            <v>CP V</v>
          </cell>
          <cell r="M962" t="str">
            <v>SUPER PLASTIFICANTE</v>
          </cell>
          <cell r="N962" t="str">
            <v>ETE - PARQUE NOVO MUNDO (REATORES NEREDA)</v>
          </cell>
          <cell r="O962" t="str">
            <v>FORTANKS</v>
          </cell>
          <cell r="P962">
            <v>4</v>
          </cell>
          <cell r="Q962" t="str">
            <v>Gean</v>
          </cell>
          <cell r="R962">
            <v>45876</v>
          </cell>
          <cell r="S962">
            <v>0.65972222222222221</v>
          </cell>
          <cell r="T962">
            <v>0.6497222222222222</v>
          </cell>
          <cell r="U962" t="str">
            <v>X</v>
          </cell>
          <cell r="V962">
            <v>0.32291666666666669</v>
          </cell>
          <cell r="W962">
            <v>26.291999999999998</v>
          </cell>
          <cell r="X962">
            <v>25.715999999999998</v>
          </cell>
          <cell r="Y962">
            <v>0.41666666666666702</v>
          </cell>
          <cell r="Z962">
            <v>84.396000000000001</v>
          </cell>
          <cell r="AA962">
            <v>84.144000000000005</v>
          </cell>
          <cell r="AW962">
            <v>4</v>
          </cell>
          <cell r="AX962">
            <v>4</v>
          </cell>
          <cell r="AY962">
            <v>4</v>
          </cell>
          <cell r="AZ962">
            <v>4</v>
          </cell>
          <cell r="BA962" t="str">
            <v>CONSORCIO NOVA ETE - PARQUE NOVO MUNDO</v>
          </cell>
          <cell r="BB962">
            <v>45877</v>
          </cell>
          <cell r="BD962" t="str">
            <v>sex</v>
          </cell>
          <cell r="BG962">
            <v>45876</v>
          </cell>
        </row>
        <row r="963">
          <cell r="A963" t="str">
            <v>1263-A</v>
          </cell>
          <cell r="B963">
            <v>885</v>
          </cell>
          <cell r="C963" t="str">
            <v>PLACA PR_PN-121 (CANALETA)</v>
          </cell>
          <cell r="D963">
            <v>7</v>
          </cell>
          <cell r="E963">
            <v>40</v>
          </cell>
          <cell r="F963">
            <v>24</v>
          </cell>
          <cell r="G963">
            <v>40</v>
          </cell>
          <cell r="H963">
            <v>0</v>
          </cell>
          <cell r="I963" t="str">
            <v>-</v>
          </cell>
          <cell r="J963" t="str">
            <v>680/680</v>
          </cell>
          <cell r="K963" t="str">
            <v xml:space="preserve">CPIII 40 RS </v>
          </cell>
          <cell r="L963" t="str">
            <v>CP V</v>
          </cell>
          <cell r="M963" t="str">
            <v>SUPER PLASTIFICANTE</v>
          </cell>
          <cell r="N963" t="str">
            <v>ETE - PROJETO SUCURIÚ - CLARIFICADOR PRIMARIO</v>
          </cell>
          <cell r="O963" t="str">
            <v>FORTANKS</v>
          </cell>
          <cell r="P963">
            <v>4</v>
          </cell>
          <cell r="Q963" t="str">
            <v>Gean</v>
          </cell>
          <cell r="R963">
            <v>45876</v>
          </cell>
          <cell r="S963">
            <v>0.65972222222222221</v>
          </cell>
          <cell r="T963">
            <v>0.6497222222222222</v>
          </cell>
          <cell r="U963" t="str">
            <v>X</v>
          </cell>
          <cell r="V963">
            <v>0.32291666666666669</v>
          </cell>
          <cell r="W963">
            <v>26.291999999999998</v>
          </cell>
          <cell r="X963">
            <v>25.715999999999998</v>
          </cell>
          <cell r="Y963">
            <v>0.41666666666666702</v>
          </cell>
          <cell r="Z963">
            <v>84.4</v>
          </cell>
          <cell r="AA963">
            <v>84.14</v>
          </cell>
          <cell r="AW963">
            <v>4</v>
          </cell>
          <cell r="AX963">
            <v>4</v>
          </cell>
          <cell r="AY963">
            <v>4</v>
          </cell>
          <cell r="AZ963">
            <v>4</v>
          </cell>
          <cell r="BA963" t="str">
            <v>FORTES ENGENHARIA</v>
          </cell>
          <cell r="BB963">
            <v>45877</v>
          </cell>
          <cell r="BD963" t="str">
            <v>sex</v>
          </cell>
          <cell r="BG963">
            <v>45876</v>
          </cell>
        </row>
        <row r="964">
          <cell r="A964">
            <v>1264</v>
          </cell>
          <cell r="B964">
            <v>886</v>
          </cell>
          <cell r="C964" t="str">
            <v>PLACA PN-401</v>
          </cell>
          <cell r="D964">
            <v>6</v>
          </cell>
          <cell r="E964">
            <v>40</v>
          </cell>
          <cell r="F964">
            <v>24</v>
          </cell>
          <cell r="G964">
            <v>40</v>
          </cell>
          <cell r="H964">
            <v>0</v>
          </cell>
          <cell r="I964" t="str">
            <v>-</v>
          </cell>
          <cell r="J964" t="str">
            <v>650/650</v>
          </cell>
          <cell r="K964" t="str">
            <v xml:space="preserve">CPIII 40 RS </v>
          </cell>
          <cell r="L964" t="str">
            <v>CP V</v>
          </cell>
          <cell r="M964" t="str">
            <v>SUPER PLASTIFICANTE</v>
          </cell>
          <cell r="N964" t="str">
            <v>ETE - PARQUE NOVO MUNDO (REATORES NEREDA)</v>
          </cell>
          <cell r="O964" t="str">
            <v>FORTANKS</v>
          </cell>
          <cell r="P964">
            <v>1</v>
          </cell>
          <cell r="Q964" t="str">
            <v>Gean</v>
          </cell>
          <cell r="R964">
            <v>45877</v>
          </cell>
          <cell r="S964">
            <v>0.5625</v>
          </cell>
          <cell r="T964">
            <v>0.55249999999999999</v>
          </cell>
          <cell r="U964" t="str">
            <v>X</v>
          </cell>
          <cell r="V964">
            <v>0.41666666666666669</v>
          </cell>
          <cell r="W964">
            <v>36.948</v>
          </cell>
          <cell r="X964">
            <v>37.199999999999996</v>
          </cell>
          <cell r="Y964">
            <v>0.41666666666666702</v>
          </cell>
          <cell r="Z964">
            <v>88.38000000000001</v>
          </cell>
          <cell r="AA964">
            <v>87.155999999999992</v>
          </cell>
          <cell r="AW964">
            <v>4</v>
          </cell>
          <cell r="AX964">
            <v>4</v>
          </cell>
          <cell r="AY964">
            <v>4</v>
          </cell>
          <cell r="AZ964">
            <v>4</v>
          </cell>
          <cell r="BA964" t="str">
            <v>CONSORCIO NOVA ETE - PARQUE NOVO MUNDO</v>
          </cell>
          <cell r="BB964">
            <v>45878</v>
          </cell>
          <cell r="BD964" t="str">
            <v>sáb</v>
          </cell>
          <cell r="BG964">
            <v>45877</v>
          </cell>
        </row>
        <row r="965">
          <cell r="A965" t="str">
            <v>1264-A</v>
          </cell>
          <cell r="B965">
            <v>886</v>
          </cell>
          <cell r="C965" t="str">
            <v xml:space="preserve">PLACAS PR_PNI-137 </v>
          </cell>
          <cell r="D965">
            <v>6</v>
          </cell>
          <cell r="E965">
            <v>40</v>
          </cell>
          <cell r="F965">
            <v>24</v>
          </cell>
          <cell r="G965">
            <v>40</v>
          </cell>
          <cell r="H965">
            <v>0</v>
          </cell>
          <cell r="I965" t="str">
            <v>-</v>
          </cell>
          <cell r="J965" t="str">
            <v>650/650</v>
          </cell>
          <cell r="K965" t="str">
            <v xml:space="preserve">CPIII 40 RS </v>
          </cell>
          <cell r="L965" t="str">
            <v>CP V</v>
          </cell>
          <cell r="M965" t="str">
            <v>SUPER PLASTIFICANTE</v>
          </cell>
          <cell r="N965" t="str">
            <v>ETE - PROJETO SUCURIÚ - CLARIFICADOR PRIMARIO</v>
          </cell>
          <cell r="O965" t="str">
            <v>FORTANKS</v>
          </cell>
          <cell r="P965">
            <v>1</v>
          </cell>
          <cell r="Q965" t="str">
            <v>Gean</v>
          </cell>
          <cell r="R965">
            <v>45877</v>
          </cell>
          <cell r="S965">
            <v>0.5625</v>
          </cell>
          <cell r="T965">
            <v>0.55249999999999999</v>
          </cell>
          <cell r="U965" t="str">
            <v>X</v>
          </cell>
          <cell r="V965">
            <v>0.41666666666666669</v>
          </cell>
          <cell r="W965">
            <v>36.948</v>
          </cell>
          <cell r="X965">
            <v>37.199999999999996</v>
          </cell>
          <cell r="Y965">
            <v>0.41666666666666702</v>
          </cell>
          <cell r="Z965" t="e">
            <v>#N/A</v>
          </cell>
          <cell r="AA965" t="e">
            <v>#N/A</v>
          </cell>
          <cell r="AW965">
            <v>4</v>
          </cell>
          <cell r="AX965">
            <v>4</v>
          </cell>
          <cell r="AY965">
            <v>4</v>
          </cell>
          <cell r="AZ965">
            <v>4</v>
          </cell>
          <cell r="BA965" t="str">
            <v>FORTES ENGENHARIA</v>
          </cell>
          <cell r="BB965">
            <v>45878</v>
          </cell>
          <cell r="BD965" t="str">
            <v>sáb</v>
          </cell>
          <cell r="BG965">
            <v>45877</v>
          </cell>
        </row>
        <row r="966">
          <cell r="A966">
            <v>1265</v>
          </cell>
          <cell r="B966">
            <v>887</v>
          </cell>
          <cell r="C966" t="str">
            <v>PLACAS PN-402 / PN-403</v>
          </cell>
          <cell r="D966">
            <v>6.5</v>
          </cell>
          <cell r="E966">
            <v>40</v>
          </cell>
          <cell r="F966">
            <v>24</v>
          </cell>
          <cell r="G966">
            <v>40</v>
          </cell>
          <cell r="H966">
            <v>0</v>
          </cell>
          <cell r="I966" t="str">
            <v>-</v>
          </cell>
          <cell r="J966" t="str">
            <v>660/670</v>
          </cell>
          <cell r="K966" t="str">
            <v xml:space="preserve">CPIII 40 RS </v>
          </cell>
          <cell r="L966" t="str">
            <v>CP V</v>
          </cell>
          <cell r="M966" t="str">
            <v>SUPER PLASTIFICANTE</v>
          </cell>
          <cell r="N966" t="str">
            <v>ETE - PARQUE NOVO MUNDO (REATORES NEREDA)</v>
          </cell>
          <cell r="O966" t="str">
            <v>FORTANKS</v>
          </cell>
          <cell r="P966">
            <v>2</v>
          </cell>
          <cell r="Q966" t="str">
            <v>Gean</v>
          </cell>
          <cell r="R966">
            <v>45877</v>
          </cell>
          <cell r="S966">
            <v>0.58333333333333337</v>
          </cell>
          <cell r="T966">
            <v>0.57333333333333336</v>
          </cell>
          <cell r="U966" t="str">
            <v>X</v>
          </cell>
          <cell r="V966">
            <v>0.4236111111111111</v>
          </cell>
          <cell r="W966">
            <v>30.612000000000002</v>
          </cell>
          <cell r="X966">
            <v>31.812000000000001</v>
          </cell>
          <cell r="Y966">
            <v>0.41666666666666702</v>
          </cell>
          <cell r="Z966">
            <v>84.971999999999994</v>
          </cell>
          <cell r="AA966">
            <v>84.707999999999998</v>
          </cell>
          <cell r="AW966">
            <v>4</v>
          </cell>
          <cell r="AX966">
            <v>4</v>
          </cell>
          <cell r="AY966">
            <v>4</v>
          </cell>
          <cell r="AZ966">
            <v>4</v>
          </cell>
          <cell r="BA966" t="str">
            <v>CONSORCIO NOVA ETE - PARQUE NOVO MUNDO</v>
          </cell>
          <cell r="BB966">
            <v>45878</v>
          </cell>
          <cell r="BD966" t="str">
            <v>sáb</v>
          </cell>
          <cell r="BG966">
            <v>45877</v>
          </cell>
        </row>
        <row r="967">
          <cell r="A967">
            <v>1266</v>
          </cell>
          <cell r="B967">
            <v>888</v>
          </cell>
          <cell r="C967" t="str">
            <v>PLACAS PN-405 / PN-406</v>
          </cell>
          <cell r="D967">
            <v>6.5</v>
          </cell>
          <cell r="E967">
            <v>40</v>
          </cell>
          <cell r="F967">
            <v>24</v>
          </cell>
          <cell r="G967">
            <v>40</v>
          </cell>
          <cell r="H967">
            <v>0</v>
          </cell>
          <cell r="I967" t="str">
            <v>-</v>
          </cell>
          <cell r="J967" t="str">
            <v>670/680</v>
          </cell>
          <cell r="K967" t="str">
            <v xml:space="preserve">CPIII 40 RS </v>
          </cell>
          <cell r="L967" t="str">
            <v>CP V</v>
          </cell>
          <cell r="M967" t="str">
            <v>SUPER PLASTIFICANTE</v>
          </cell>
          <cell r="N967" t="str">
            <v>ETE - PARQUE NOVO MUNDO (REATORES NEREDA)</v>
          </cell>
          <cell r="O967" t="str">
            <v>FORTANKS</v>
          </cell>
          <cell r="P967">
            <v>3</v>
          </cell>
          <cell r="Q967" t="str">
            <v>Gean</v>
          </cell>
          <cell r="R967">
            <v>45877</v>
          </cell>
          <cell r="S967">
            <v>0.625</v>
          </cell>
          <cell r="T967">
            <v>0.61499999999999999</v>
          </cell>
          <cell r="U967" t="str">
            <v>X</v>
          </cell>
          <cell r="V967">
            <v>0.42708333333333331</v>
          </cell>
          <cell r="W967">
            <v>31.763999999999996</v>
          </cell>
          <cell r="X967">
            <v>32.46</v>
          </cell>
          <cell r="Y967">
            <v>0.41666666666666702</v>
          </cell>
          <cell r="Z967">
            <v>85.416000000000011</v>
          </cell>
          <cell r="AA967">
            <v>84.683999999999983</v>
          </cell>
          <cell r="AW967">
            <v>4</v>
          </cell>
          <cell r="AX967">
            <v>4</v>
          </cell>
          <cell r="AY967">
            <v>4</v>
          </cell>
          <cell r="AZ967">
            <v>4</v>
          </cell>
          <cell r="BA967" t="str">
            <v>CONSORCIO NOVA ETE - PARQUE NOVO MUNDO</v>
          </cell>
          <cell r="BB967">
            <v>45878</v>
          </cell>
          <cell r="BD967" t="str">
            <v>sáb</v>
          </cell>
          <cell r="BG967">
            <v>45877</v>
          </cell>
        </row>
        <row r="968">
          <cell r="A968">
            <v>1267</v>
          </cell>
          <cell r="B968">
            <v>889</v>
          </cell>
          <cell r="C968" t="str">
            <v>PLACAS PN-407 / PN-408</v>
          </cell>
          <cell r="D968">
            <v>7</v>
          </cell>
          <cell r="E968">
            <v>40</v>
          </cell>
          <cell r="F968">
            <v>24</v>
          </cell>
          <cell r="G968">
            <v>40</v>
          </cell>
          <cell r="H968">
            <v>0</v>
          </cell>
          <cell r="I968" t="str">
            <v>-</v>
          </cell>
          <cell r="J968" t="str">
            <v>660/670</v>
          </cell>
          <cell r="K968" t="str">
            <v xml:space="preserve">CPIII 40 RS </v>
          </cell>
          <cell r="L968" t="str">
            <v>CP V</v>
          </cell>
          <cell r="M968" t="str">
            <v>SUPER PLASTIFICANTE</v>
          </cell>
          <cell r="N968" t="str">
            <v>ETE - PARQUE NOVO MUNDO (REATORES NEREDA)</v>
          </cell>
          <cell r="O968" t="str">
            <v>FORTANKS</v>
          </cell>
          <cell r="P968">
            <v>4</v>
          </cell>
          <cell r="Q968" t="str">
            <v>Gean</v>
          </cell>
          <cell r="R968">
            <v>45877</v>
          </cell>
          <cell r="S968">
            <v>0.66666666666666663</v>
          </cell>
          <cell r="T968">
            <v>0.65666666666666662</v>
          </cell>
          <cell r="U968" t="str">
            <v>X</v>
          </cell>
          <cell r="V968">
            <v>0.43055555555555558</v>
          </cell>
          <cell r="W968">
            <v>35.915999999999997</v>
          </cell>
          <cell r="X968">
            <v>32.855999999999995</v>
          </cell>
          <cell r="Y968">
            <v>0.41666666666666702</v>
          </cell>
          <cell r="Z968">
            <v>86.567999999999998</v>
          </cell>
          <cell r="AA968">
            <v>86.376000000000005</v>
          </cell>
          <cell r="AW968">
            <v>4</v>
          </cell>
          <cell r="AX968">
            <v>4</v>
          </cell>
          <cell r="AY968">
            <v>4</v>
          </cell>
          <cell r="AZ968">
            <v>4</v>
          </cell>
          <cell r="BA968" t="str">
            <v>CONSORCIO NOVA ETE - PARQUE NOVO MUNDO</v>
          </cell>
          <cell r="BB968">
            <v>45878</v>
          </cell>
          <cell r="BD968" t="str">
            <v>sáb</v>
          </cell>
          <cell r="BG968">
            <v>45877</v>
          </cell>
        </row>
        <row r="969">
          <cell r="A969" t="str">
            <v>1267-A</v>
          </cell>
          <cell r="B969">
            <v>889</v>
          </cell>
          <cell r="C969" t="str">
            <v>PLACAS PR_PNI-137 (CANALETAS)</v>
          </cell>
          <cell r="D969">
            <v>7</v>
          </cell>
          <cell r="E969">
            <v>40</v>
          </cell>
          <cell r="F969">
            <v>24</v>
          </cell>
          <cell r="G969">
            <v>40</v>
          </cell>
          <cell r="H969">
            <v>0</v>
          </cell>
          <cell r="I969" t="str">
            <v>-</v>
          </cell>
          <cell r="J969" t="str">
            <v>660/670</v>
          </cell>
          <cell r="K969" t="str">
            <v xml:space="preserve">CPIII 40 RS </v>
          </cell>
          <cell r="L969" t="str">
            <v>CP V</v>
          </cell>
          <cell r="M969" t="str">
            <v>SUPER PLASTIFICANTE</v>
          </cell>
          <cell r="N969" t="str">
            <v>ETE - PROJETO SUCURIÚ - CLARIFICADOR PRIMARIO</v>
          </cell>
          <cell r="O969" t="str">
            <v>FORTANKS</v>
          </cell>
          <cell r="P969">
            <v>4</v>
          </cell>
          <cell r="Q969" t="str">
            <v>Gean</v>
          </cell>
          <cell r="R969">
            <v>45877</v>
          </cell>
          <cell r="S969">
            <v>0.66666666666666663</v>
          </cell>
          <cell r="T969">
            <v>0.65666666666666662</v>
          </cell>
          <cell r="U969" t="str">
            <v>X</v>
          </cell>
          <cell r="V969">
            <v>0.43055555555555558</v>
          </cell>
          <cell r="W969">
            <v>35.915999999999997</v>
          </cell>
          <cell r="X969">
            <v>32.855999999999995</v>
          </cell>
          <cell r="Y969">
            <v>0.41666666666666702</v>
          </cell>
          <cell r="Z969">
            <v>86.6</v>
          </cell>
          <cell r="AA969">
            <v>86.37</v>
          </cell>
          <cell r="AW969">
            <v>4</v>
          </cell>
          <cell r="AX969">
            <v>4</v>
          </cell>
          <cell r="AY969">
            <v>4</v>
          </cell>
          <cell r="AZ969">
            <v>4</v>
          </cell>
          <cell r="BA969" t="str">
            <v>FORTES ENGENHARIA</v>
          </cell>
          <cell r="BB969">
            <v>45878</v>
          </cell>
          <cell r="BD969" t="str">
            <v>sáb</v>
          </cell>
          <cell r="BG969">
            <v>45877</v>
          </cell>
        </row>
        <row r="970">
          <cell r="A970">
            <v>1268</v>
          </cell>
          <cell r="B970">
            <v>890</v>
          </cell>
          <cell r="C970" t="str">
            <v>PLACA PN-416</v>
          </cell>
          <cell r="D970">
            <v>6</v>
          </cell>
          <cell r="E970">
            <v>40</v>
          </cell>
          <cell r="F970">
            <v>24</v>
          </cell>
          <cell r="G970">
            <v>40</v>
          </cell>
          <cell r="H970">
            <v>0</v>
          </cell>
          <cell r="I970" t="str">
            <v>-</v>
          </cell>
          <cell r="J970" t="str">
            <v>660/670</v>
          </cell>
          <cell r="K970" t="str">
            <v xml:space="preserve">CPIII 40 RS </v>
          </cell>
          <cell r="L970" t="str">
            <v>CP V</v>
          </cell>
          <cell r="M970" t="str">
            <v>SUPER PLASTIFICANTE</v>
          </cell>
          <cell r="N970" t="str">
            <v>ETE - PARQUE NOVO MUNDO (REATORES NEREDA)</v>
          </cell>
          <cell r="O970" t="str">
            <v>FORTANKS</v>
          </cell>
          <cell r="P970">
            <v>1</v>
          </cell>
          <cell r="Q970" t="str">
            <v>Gean</v>
          </cell>
          <cell r="R970">
            <v>45878</v>
          </cell>
          <cell r="S970">
            <v>0.57291666666666663</v>
          </cell>
          <cell r="T970">
            <v>0.56291666666666662</v>
          </cell>
          <cell r="U970" t="str">
            <v>X</v>
          </cell>
          <cell r="V970">
            <v>0.3263888888888889</v>
          </cell>
          <cell r="W970">
            <v>51.959999999999994</v>
          </cell>
          <cell r="X970">
            <v>52.824000000000005</v>
          </cell>
          <cell r="Y970">
            <v>0.41666666666666702</v>
          </cell>
          <cell r="Z970">
            <v>85.523999999999987</v>
          </cell>
          <cell r="AA970">
            <v>84.623999999999995</v>
          </cell>
          <cell r="AW970">
            <v>4</v>
          </cell>
          <cell r="AX970">
            <v>4</v>
          </cell>
          <cell r="AY970">
            <v>4</v>
          </cell>
          <cell r="AZ970">
            <v>4</v>
          </cell>
          <cell r="BA970" t="str">
            <v>CONSORCIO NOVA ETE - PARQUE NOVO MUNDO</v>
          </cell>
          <cell r="BB970">
            <v>45880</v>
          </cell>
          <cell r="BC970">
            <v>1</v>
          </cell>
          <cell r="BD970" t="str">
            <v>seg</v>
          </cell>
          <cell r="BG970">
            <v>45878</v>
          </cell>
        </row>
        <row r="971">
          <cell r="A971" t="str">
            <v>1268-A</v>
          </cell>
          <cell r="B971">
            <v>890</v>
          </cell>
          <cell r="C971" t="str">
            <v>PLACA PR_PN-122</v>
          </cell>
          <cell r="D971">
            <v>6</v>
          </cell>
          <cell r="E971">
            <v>40</v>
          </cell>
          <cell r="F971">
            <v>24</v>
          </cell>
          <cell r="G971">
            <v>40</v>
          </cell>
          <cell r="H971">
            <v>0</v>
          </cell>
          <cell r="I971" t="str">
            <v>-</v>
          </cell>
          <cell r="J971" t="str">
            <v>660/670</v>
          </cell>
          <cell r="K971" t="str">
            <v xml:space="preserve">CPIII 40 RS </v>
          </cell>
          <cell r="L971" t="str">
            <v>CP V</v>
          </cell>
          <cell r="M971" t="str">
            <v>SUPER PLASTIFICANTE</v>
          </cell>
          <cell r="N971" t="str">
            <v>ETE - PROJETO SUCURIÚ - CLARIFICADOR PRIMARIO</v>
          </cell>
          <cell r="O971" t="str">
            <v>FORTANKS</v>
          </cell>
          <cell r="P971">
            <v>1</v>
          </cell>
          <cell r="Q971" t="str">
            <v>Gean</v>
          </cell>
          <cell r="R971">
            <v>45878</v>
          </cell>
          <cell r="S971">
            <v>0.57291666666666663</v>
          </cell>
          <cell r="T971">
            <v>0.56291666666666662</v>
          </cell>
          <cell r="U971" t="str">
            <v>X</v>
          </cell>
          <cell r="V971">
            <v>0.3263888888888889</v>
          </cell>
          <cell r="W971">
            <v>51.959999999999994</v>
          </cell>
          <cell r="X971">
            <v>52.824000000000005</v>
          </cell>
          <cell r="Y971">
            <v>0.41666666666666702</v>
          </cell>
          <cell r="Z971">
            <v>85.5</v>
          </cell>
          <cell r="AA971">
            <v>84.62</v>
          </cell>
          <cell r="AW971">
            <v>4</v>
          </cell>
          <cell r="AX971">
            <v>4</v>
          </cell>
          <cell r="AY971">
            <v>4</v>
          </cell>
          <cell r="AZ971">
            <v>4</v>
          </cell>
          <cell r="BA971" t="str">
            <v>FORTES ENGENHARIA</v>
          </cell>
          <cell r="BB971">
            <v>45880</v>
          </cell>
          <cell r="BC971">
            <v>1</v>
          </cell>
          <cell r="BD971" t="str">
            <v>seg</v>
          </cell>
          <cell r="BG971">
            <v>45878</v>
          </cell>
        </row>
        <row r="972">
          <cell r="A972">
            <v>1269</v>
          </cell>
          <cell r="B972">
            <v>891</v>
          </cell>
          <cell r="C972" t="str">
            <v>PLACA PN-414 / PN-415</v>
          </cell>
          <cell r="D972">
            <v>7</v>
          </cell>
          <cell r="E972">
            <v>40</v>
          </cell>
          <cell r="F972">
            <v>24</v>
          </cell>
          <cell r="G972">
            <v>40</v>
          </cell>
          <cell r="H972">
            <v>0</v>
          </cell>
          <cell r="I972" t="str">
            <v>-</v>
          </cell>
          <cell r="J972" t="str">
            <v>670/660</v>
          </cell>
          <cell r="K972" t="str">
            <v xml:space="preserve">CPIII 40 RS </v>
          </cell>
          <cell r="L972" t="str">
            <v>CP V</v>
          </cell>
          <cell r="M972" t="str">
            <v>SUPER PLASTIFICANTE</v>
          </cell>
          <cell r="N972" t="str">
            <v>ETE - PARQUE NOVO MUNDO (REATORES NEREDA)</v>
          </cell>
          <cell r="O972" t="str">
            <v>FORTANKS</v>
          </cell>
          <cell r="P972">
            <v>2</v>
          </cell>
          <cell r="Q972" t="str">
            <v>Gean</v>
          </cell>
          <cell r="R972">
            <v>45878</v>
          </cell>
          <cell r="S972">
            <v>0.59722222222222221</v>
          </cell>
          <cell r="T972">
            <v>0.5872222222222222</v>
          </cell>
          <cell r="U972" t="str">
            <v>X</v>
          </cell>
          <cell r="V972">
            <v>0.3298611111111111</v>
          </cell>
          <cell r="W972">
            <v>39.155999999999999</v>
          </cell>
          <cell r="X972">
            <v>39.275999999999996</v>
          </cell>
          <cell r="Y972">
            <v>0.41666666666666702</v>
          </cell>
          <cell r="Z972">
            <v>84.707999999999998</v>
          </cell>
          <cell r="AA972">
            <v>83.927999999999997</v>
          </cell>
          <cell r="AW972">
            <v>4</v>
          </cell>
          <cell r="AX972">
            <v>4</v>
          </cell>
          <cell r="AY972">
            <v>4</v>
          </cell>
          <cell r="AZ972">
            <v>4</v>
          </cell>
          <cell r="BA972" t="str">
            <v>CONSORCIO NOVA ETE - PARQUE NOVO MUNDO</v>
          </cell>
          <cell r="BB972">
            <v>45880</v>
          </cell>
          <cell r="BC972">
            <v>1</v>
          </cell>
          <cell r="BD972" t="str">
            <v>seg</v>
          </cell>
          <cell r="BG972">
            <v>45878</v>
          </cell>
        </row>
        <row r="973">
          <cell r="A973">
            <v>1270</v>
          </cell>
          <cell r="B973">
            <v>892</v>
          </cell>
          <cell r="C973" t="str">
            <v>PLACAS PN-412 / PN-413</v>
          </cell>
          <cell r="D973">
            <v>7</v>
          </cell>
          <cell r="E973">
            <v>40</v>
          </cell>
          <cell r="F973">
            <v>24</v>
          </cell>
          <cell r="G973">
            <v>40</v>
          </cell>
          <cell r="H973">
            <v>0</v>
          </cell>
          <cell r="I973" t="str">
            <v>-</v>
          </cell>
          <cell r="J973" t="str">
            <v>660/680</v>
          </cell>
          <cell r="K973" t="str">
            <v xml:space="preserve">CPIII 40 RS </v>
          </cell>
          <cell r="L973" t="str">
            <v>CP V</v>
          </cell>
          <cell r="M973" t="str">
            <v>SUPER PLASTIFICANTE</v>
          </cell>
          <cell r="N973" t="str">
            <v>ETE - PARQUE NOVO MUNDO (REATORES NEREDA)</v>
          </cell>
          <cell r="O973" t="str">
            <v>FORTANKS</v>
          </cell>
          <cell r="P973">
            <v>3</v>
          </cell>
          <cell r="Q973" t="str">
            <v>Gean</v>
          </cell>
          <cell r="R973">
            <v>45878</v>
          </cell>
          <cell r="S973">
            <v>0.63194444444444442</v>
          </cell>
          <cell r="T973">
            <v>0.62194444444444441</v>
          </cell>
          <cell r="U973" t="str">
            <v>X</v>
          </cell>
          <cell r="V973">
            <v>0.33333333333333331</v>
          </cell>
          <cell r="W973">
            <v>38.472000000000001</v>
          </cell>
          <cell r="X973">
            <v>36.744</v>
          </cell>
          <cell r="Y973">
            <v>0.41666666666666702</v>
          </cell>
          <cell r="Z973">
            <v>90.587999999999994</v>
          </cell>
          <cell r="AA973">
            <v>89.507999999999996</v>
          </cell>
          <cell r="AW973">
            <v>4</v>
          </cell>
          <cell r="AX973">
            <v>4</v>
          </cell>
          <cell r="AY973">
            <v>4</v>
          </cell>
          <cell r="AZ973">
            <v>4</v>
          </cell>
          <cell r="BA973" t="str">
            <v>CONSORCIO NOVA ETE - PARQUE NOVO MUNDO</v>
          </cell>
          <cell r="BB973">
            <v>45880</v>
          </cell>
          <cell r="BC973">
            <v>1</v>
          </cell>
          <cell r="BD973" t="str">
            <v>seg</v>
          </cell>
          <cell r="BG973">
            <v>45878</v>
          </cell>
        </row>
        <row r="974">
          <cell r="A974">
            <v>1271</v>
          </cell>
          <cell r="B974">
            <v>893</v>
          </cell>
          <cell r="C974" t="str">
            <v>PLACAS  PN-409 / PN-410</v>
          </cell>
          <cell r="D974">
            <v>7</v>
          </cell>
          <cell r="E974">
            <v>40</v>
          </cell>
          <cell r="F974">
            <v>24</v>
          </cell>
          <cell r="G974">
            <v>40</v>
          </cell>
          <cell r="H974">
            <v>0</v>
          </cell>
          <cell r="I974" t="str">
            <v>-</v>
          </cell>
          <cell r="J974" t="str">
            <v>680/680</v>
          </cell>
          <cell r="K974" t="str">
            <v xml:space="preserve">CPIII 40 RS </v>
          </cell>
          <cell r="L974" t="str">
            <v>CP V</v>
          </cell>
          <cell r="M974" t="str">
            <v>SUPER PLASTIFICANTE</v>
          </cell>
          <cell r="N974" t="str">
            <v>ETE - PARQUE NOVO MUNDO (REATORES NEREDA)</v>
          </cell>
          <cell r="O974" t="str">
            <v>FORTANKS</v>
          </cell>
          <cell r="P974">
            <v>4</v>
          </cell>
          <cell r="Q974" t="str">
            <v>Gean</v>
          </cell>
          <cell r="R974">
            <v>45878</v>
          </cell>
          <cell r="S974">
            <v>0.65972222222222221</v>
          </cell>
          <cell r="T974">
            <v>0.6497222222222222</v>
          </cell>
          <cell r="U974" t="str">
            <v>X</v>
          </cell>
          <cell r="V974">
            <v>0.33680555555555558</v>
          </cell>
          <cell r="W974">
            <v>36.107999999999997</v>
          </cell>
          <cell r="X974">
            <v>37.415999999999997</v>
          </cell>
          <cell r="Y974">
            <v>0.41666666666666702</v>
          </cell>
          <cell r="Z974">
            <v>84.3</v>
          </cell>
          <cell r="AA974">
            <v>84.419999999999987</v>
          </cell>
          <cell r="AW974">
            <v>4</v>
          </cell>
          <cell r="AX974">
            <v>4</v>
          </cell>
          <cell r="AY974">
            <v>4</v>
          </cell>
          <cell r="AZ974">
            <v>4</v>
          </cell>
          <cell r="BA974" t="str">
            <v>CONSORCIO NOVA ETE - PARQUE NOVO MUNDO</v>
          </cell>
          <cell r="BB974">
            <v>45880</v>
          </cell>
          <cell r="BC974">
            <v>1</v>
          </cell>
          <cell r="BD974" t="str">
            <v>seg</v>
          </cell>
          <cell r="BG974">
            <v>45878</v>
          </cell>
        </row>
        <row r="975">
          <cell r="A975" t="str">
            <v>1271-A</v>
          </cell>
          <cell r="B975">
            <v>893</v>
          </cell>
          <cell r="C975" t="str">
            <v>PLACA PR_PN-122 (CANALETA)</v>
          </cell>
          <cell r="D975">
            <v>7</v>
          </cell>
          <cell r="E975">
            <v>40</v>
          </cell>
          <cell r="F975">
            <v>24</v>
          </cell>
          <cell r="G975">
            <v>40</v>
          </cell>
          <cell r="H975">
            <v>0</v>
          </cell>
          <cell r="I975" t="str">
            <v>-</v>
          </cell>
          <cell r="J975" t="str">
            <v>680/680</v>
          </cell>
          <cell r="K975" t="str">
            <v xml:space="preserve">CPIII 40 RS </v>
          </cell>
          <cell r="L975" t="str">
            <v>CP V</v>
          </cell>
          <cell r="M975" t="str">
            <v>SUPER PLASTIFICANTE</v>
          </cell>
          <cell r="N975" t="str">
            <v>ETE - PROJETO SUCURIÚ - CLARIFICADOR PRIMARIO</v>
          </cell>
          <cell r="O975" t="str">
            <v>FORTANKS</v>
          </cell>
          <cell r="P975">
            <v>4</v>
          </cell>
          <cell r="Q975" t="str">
            <v>Gean</v>
          </cell>
          <cell r="R975">
            <v>45878</v>
          </cell>
          <cell r="S975">
            <v>0.65972222222222221</v>
          </cell>
          <cell r="T975">
            <v>0.6497222222222222</v>
          </cell>
          <cell r="U975" t="str">
            <v>X</v>
          </cell>
          <cell r="V975">
            <v>0.33680555555555558</v>
          </cell>
          <cell r="W975">
            <v>36.107999999999997</v>
          </cell>
          <cell r="X975">
            <v>37.415999999999997</v>
          </cell>
          <cell r="Y975">
            <v>0.41666666666666702</v>
          </cell>
          <cell r="Z975">
            <v>84.3</v>
          </cell>
          <cell r="AA975">
            <v>84.42</v>
          </cell>
          <cell r="AW975">
            <v>4</v>
          </cell>
          <cell r="AX975">
            <v>4</v>
          </cell>
          <cell r="AY975">
            <v>4</v>
          </cell>
          <cell r="AZ975">
            <v>4</v>
          </cell>
          <cell r="BA975" t="str">
            <v>FORTES ENGENHARIA</v>
          </cell>
          <cell r="BB975">
            <v>45880</v>
          </cell>
          <cell r="BC975">
            <v>1</v>
          </cell>
          <cell r="BD975" t="str">
            <v>seg</v>
          </cell>
          <cell r="BG975">
            <v>45878</v>
          </cell>
        </row>
        <row r="976">
          <cell r="A976">
            <v>1272</v>
          </cell>
          <cell r="B976">
            <v>894</v>
          </cell>
          <cell r="C976" t="str">
            <v>PLACA PF-218</v>
          </cell>
          <cell r="D976">
            <v>7.5</v>
          </cell>
          <cell r="E976">
            <v>40</v>
          </cell>
          <cell r="F976">
            <v>24</v>
          </cell>
          <cell r="G976">
            <v>40</v>
          </cell>
          <cell r="H976">
            <v>0</v>
          </cell>
          <cell r="I976" t="str">
            <v>-</v>
          </cell>
          <cell r="J976" t="str">
            <v>670/670</v>
          </cell>
          <cell r="K976" t="str">
            <v xml:space="preserve">CPIII 40 RS </v>
          </cell>
          <cell r="L976" t="str">
            <v>CP V</v>
          </cell>
          <cell r="M976" t="str">
            <v>SUPER PLASTIFICANTE</v>
          </cell>
          <cell r="N976" t="str">
            <v>ETE - PARQUE NOVO MUNDO (REATORES NEREDA)</v>
          </cell>
          <cell r="O976" t="str">
            <v>FORTANKS</v>
          </cell>
          <cell r="P976">
            <v>1</v>
          </cell>
          <cell r="Q976" t="str">
            <v>Gean</v>
          </cell>
          <cell r="R976">
            <v>45881</v>
          </cell>
          <cell r="S976">
            <v>0.54861111111111116</v>
          </cell>
          <cell r="T976">
            <v>0.53861111111111115</v>
          </cell>
          <cell r="U976" t="str">
            <v>X</v>
          </cell>
          <cell r="V976">
            <v>0.54166666666666663</v>
          </cell>
          <cell r="W976">
            <v>26.736000000000001</v>
          </cell>
          <cell r="X976">
            <v>25.416</v>
          </cell>
          <cell r="Y976">
            <v>0.41666666666666702</v>
          </cell>
          <cell r="Z976">
            <v>84.671999999999997</v>
          </cell>
          <cell r="AA976">
            <v>84.64800000000001</v>
          </cell>
          <cell r="AW976" t="e">
            <v>#REF!</v>
          </cell>
          <cell r="AX976" t="e">
            <v>#REF!</v>
          </cell>
          <cell r="AY976">
            <v>4</v>
          </cell>
          <cell r="AZ976">
            <v>4</v>
          </cell>
          <cell r="BA976" t="str">
            <v>CONSORCIO NOVA ETE - PARQUE NOVO MUNDO</v>
          </cell>
          <cell r="BB976">
            <v>45882</v>
          </cell>
          <cell r="BD976" t="str">
            <v>qua</v>
          </cell>
          <cell r="BG976">
            <v>45881</v>
          </cell>
        </row>
        <row r="977">
          <cell r="A977" t="str">
            <v>1272-A</v>
          </cell>
          <cell r="B977">
            <v>894</v>
          </cell>
          <cell r="C977" t="str">
            <v>PLACA PR_PNI-143</v>
          </cell>
          <cell r="D977">
            <v>7.5</v>
          </cell>
          <cell r="E977">
            <v>40</v>
          </cell>
          <cell r="F977">
            <v>24</v>
          </cell>
          <cell r="G977">
            <v>40</v>
          </cell>
          <cell r="H977">
            <v>0</v>
          </cell>
          <cell r="I977" t="str">
            <v>-</v>
          </cell>
          <cell r="J977" t="str">
            <v>670/670</v>
          </cell>
          <cell r="K977" t="str">
            <v xml:space="preserve">CPIII 40 RS </v>
          </cell>
          <cell r="L977" t="str">
            <v>CP V</v>
          </cell>
          <cell r="M977" t="str">
            <v>SUPER PLASTIFICANTE</v>
          </cell>
          <cell r="N977" t="str">
            <v>ETE - PROJETO SUCURIÚ - CLARIFICADOR PRIMARIO</v>
          </cell>
          <cell r="O977" t="str">
            <v>FORTANKS</v>
          </cell>
          <cell r="P977">
            <v>1</v>
          </cell>
          <cell r="Q977" t="str">
            <v>Gean</v>
          </cell>
          <cell r="R977">
            <v>45881</v>
          </cell>
          <cell r="S977">
            <v>0.54861111111111116</v>
          </cell>
          <cell r="T977">
            <v>0.53861111111111115</v>
          </cell>
          <cell r="U977" t="str">
            <v>X</v>
          </cell>
          <cell r="V977">
            <v>0.54166666666666663</v>
          </cell>
          <cell r="W977">
            <v>26.74</v>
          </cell>
          <cell r="X977">
            <v>25.42</v>
          </cell>
          <cell r="Y977">
            <v>0.41666666666666702</v>
          </cell>
          <cell r="Z977">
            <v>84.7</v>
          </cell>
          <cell r="AA977">
            <v>84.64</v>
          </cell>
          <cell r="AW977">
            <v>4</v>
          </cell>
          <cell r="AX977">
            <v>4</v>
          </cell>
          <cell r="AY977">
            <v>4</v>
          </cell>
          <cell r="AZ977">
            <v>4</v>
          </cell>
          <cell r="BA977" t="str">
            <v>FORTES ENGENHARIA</v>
          </cell>
          <cell r="BB977">
            <v>45882</v>
          </cell>
          <cell r="BD977" t="str">
            <v>qua</v>
          </cell>
          <cell r="BG977">
            <v>45881</v>
          </cell>
        </row>
        <row r="978">
          <cell r="A978">
            <v>1273</v>
          </cell>
          <cell r="B978">
            <v>895</v>
          </cell>
          <cell r="C978" t="str">
            <v>PLACAS PN-417 / PN-418 / PN-419 (20%)</v>
          </cell>
          <cell r="D978">
            <v>8</v>
          </cell>
          <cell r="E978">
            <v>40</v>
          </cell>
          <cell r="F978">
            <v>24</v>
          </cell>
          <cell r="G978">
            <v>40</v>
          </cell>
          <cell r="H978">
            <v>0</v>
          </cell>
          <cell r="I978" t="str">
            <v>-</v>
          </cell>
          <cell r="J978" t="str">
            <v>680/670</v>
          </cell>
          <cell r="K978" t="str">
            <v xml:space="preserve">CPIII 40 RS </v>
          </cell>
          <cell r="L978" t="str">
            <v>CP V</v>
          </cell>
          <cell r="M978" t="str">
            <v>SUPER PLASTIFICANTE</v>
          </cell>
          <cell r="N978" t="str">
            <v>ETE - PARQUE NOVO MUNDO (REATORES NEREDA)</v>
          </cell>
          <cell r="O978" t="str">
            <v>FORTANKS</v>
          </cell>
          <cell r="P978">
            <v>2</v>
          </cell>
          <cell r="Q978" t="str">
            <v>Gean</v>
          </cell>
          <cell r="R978">
            <v>45881</v>
          </cell>
          <cell r="S978">
            <v>0.59027777777777779</v>
          </cell>
          <cell r="T978">
            <v>0.58027777777777778</v>
          </cell>
          <cell r="U978" t="str">
            <v>X</v>
          </cell>
          <cell r="V978">
            <v>0.54513888888888884</v>
          </cell>
          <cell r="W978">
            <v>24.504000000000001</v>
          </cell>
          <cell r="X978">
            <v>24.047999999999998</v>
          </cell>
          <cell r="Y978">
            <v>0.41666666666666702</v>
          </cell>
          <cell r="Z978">
            <v>86.076000000000008</v>
          </cell>
          <cell r="AA978">
            <v>85.14</v>
          </cell>
          <cell r="AW978">
            <v>4</v>
          </cell>
          <cell r="AX978">
            <v>4</v>
          </cell>
          <cell r="AY978">
            <v>4</v>
          </cell>
          <cell r="AZ978">
            <v>4</v>
          </cell>
          <cell r="BA978" t="str">
            <v>CONSORCIO NOVA ETE - PARQUE NOVO MUNDO</v>
          </cell>
          <cell r="BB978">
            <v>45882</v>
          </cell>
          <cell r="BD978" t="str">
            <v>qua</v>
          </cell>
          <cell r="BG978">
            <v>45881</v>
          </cell>
        </row>
        <row r="979">
          <cell r="A979">
            <v>1274</v>
          </cell>
          <cell r="B979">
            <v>896</v>
          </cell>
          <cell r="C979" t="str">
            <v>PLACAS PN-419(80%) / PN-420 / PN-421</v>
          </cell>
          <cell r="D979">
            <v>8</v>
          </cell>
          <cell r="E979">
            <v>40</v>
          </cell>
          <cell r="F979">
            <v>24</v>
          </cell>
          <cell r="G979">
            <v>40</v>
          </cell>
          <cell r="H979">
            <v>0</v>
          </cell>
          <cell r="I979" t="str">
            <v>-</v>
          </cell>
          <cell r="J979" t="str">
            <v>670/670</v>
          </cell>
          <cell r="K979" t="str">
            <v xml:space="preserve">CPIII 40 RS </v>
          </cell>
          <cell r="L979" t="str">
            <v>CP V</v>
          </cell>
          <cell r="M979" t="str">
            <v>SUPER PLASTIFICANTE</v>
          </cell>
          <cell r="N979" t="str">
            <v>ETE - PARQUE NOVO MUNDO (REATORES NEREDA)</v>
          </cell>
          <cell r="O979" t="str">
            <v>FORTANKS</v>
          </cell>
          <cell r="P979">
            <v>3</v>
          </cell>
          <cell r="Q979" t="str">
            <v>Gean</v>
          </cell>
          <cell r="R979">
            <v>45881</v>
          </cell>
          <cell r="S979">
            <v>0.64583333333333337</v>
          </cell>
          <cell r="T979">
            <v>0.63583333333333336</v>
          </cell>
          <cell r="U979" t="str">
            <v>X</v>
          </cell>
          <cell r="V979">
            <v>0.54861111111111116</v>
          </cell>
          <cell r="W979">
            <v>27.468</v>
          </cell>
          <cell r="X979">
            <v>27.695999999999998</v>
          </cell>
          <cell r="Y979">
            <v>0.41666666666666702</v>
          </cell>
          <cell r="Z979">
            <v>85.128</v>
          </cell>
          <cell r="AA979">
            <v>84.275999999999996</v>
          </cell>
          <cell r="AW979">
            <v>4</v>
          </cell>
          <cell r="AX979">
            <v>4</v>
          </cell>
          <cell r="AY979">
            <v>4</v>
          </cell>
          <cell r="AZ979">
            <v>4</v>
          </cell>
          <cell r="BA979" t="str">
            <v>CONSORCIO NOVA ETE - PARQUE NOVO MUNDO</v>
          </cell>
          <cell r="BB979">
            <v>45882</v>
          </cell>
          <cell r="BD979" t="str">
            <v>qua</v>
          </cell>
          <cell r="BG979">
            <v>45881</v>
          </cell>
        </row>
        <row r="980">
          <cell r="A980">
            <v>1275</v>
          </cell>
          <cell r="B980">
            <v>897</v>
          </cell>
          <cell r="C980" t="str">
            <v>PLACAS PN-422 / PN-423</v>
          </cell>
          <cell r="D980">
            <v>7.5</v>
          </cell>
          <cell r="E980">
            <v>40</v>
          </cell>
          <cell r="F980">
            <v>24</v>
          </cell>
          <cell r="G980">
            <v>40</v>
          </cell>
          <cell r="H980">
            <v>0</v>
          </cell>
          <cell r="I980" t="str">
            <v>-</v>
          </cell>
          <cell r="J980" t="str">
            <v>680/680</v>
          </cell>
          <cell r="K980" t="str">
            <v xml:space="preserve">CPIII 40 RS </v>
          </cell>
          <cell r="L980" t="str">
            <v>CP V</v>
          </cell>
          <cell r="M980" t="str">
            <v>SUPER PLASTIFICANTE</v>
          </cell>
          <cell r="N980" t="str">
            <v>ETE - PARQUE NOVO MUNDO (REATORES NEREDA)</v>
          </cell>
          <cell r="O980" t="str">
            <v>FORTANKS</v>
          </cell>
          <cell r="P980">
            <v>4</v>
          </cell>
          <cell r="Q980" t="str">
            <v>Gean</v>
          </cell>
          <cell r="R980">
            <v>45881</v>
          </cell>
          <cell r="S980">
            <v>0.6875</v>
          </cell>
          <cell r="T980">
            <v>0.67749999999999999</v>
          </cell>
          <cell r="U980" t="str">
            <v>X</v>
          </cell>
          <cell r="V980">
            <v>0.55208333333333337</v>
          </cell>
          <cell r="W980">
            <v>27.155999999999999</v>
          </cell>
          <cell r="X980">
            <v>26.376000000000001</v>
          </cell>
          <cell r="Y980">
            <v>0.41666666666666702</v>
          </cell>
          <cell r="Z980">
            <v>85.14</v>
          </cell>
          <cell r="AA980">
            <v>84.695999999999998</v>
          </cell>
          <cell r="AW980">
            <v>4</v>
          </cell>
          <cell r="AX980">
            <v>4</v>
          </cell>
          <cell r="AY980">
            <v>4</v>
          </cell>
          <cell r="AZ980">
            <v>4</v>
          </cell>
          <cell r="BA980" t="str">
            <v>CONSORCIO NOVA ETE - PARQUE NOVO MUNDO</v>
          </cell>
          <cell r="BB980">
            <v>45882</v>
          </cell>
          <cell r="BD980" t="str">
            <v>qua</v>
          </cell>
          <cell r="BG980">
            <v>45881</v>
          </cell>
        </row>
        <row r="981">
          <cell r="A981" t="str">
            <v>1275-A</v>
          </cell>
          <cell r="B981">
            <v>897</v>
          </cell>
          <cell r="C981" t="str">
            <v>PLACA PR_PNI-143 (CANALETA)</v>
          </cell>
          <cell r="D981">
            <v>7.5</v>
          </cell>
          <cell r="E981">
            <v>40</v>
          </cell>
          <cell r="F981">
            <v>24</v>
          </cell>
          <cell r="G981">
            <v>40</v>
          </cell>
          <cell r="H981">
            <v>0</v>
          </cell>
          <cell r="I981" t="str">
            <v>-</v>
          </cell>
          <cell r="J981" t="str">
            <v>680/680</v>
          </cell>
          <cell r="K981" t="str">
            <v xml:space="preserve">CPIII 40 RS </v>
          </cell>
          <cell r="L981" t="str">
            <v>CP V</v>
          </cell>
          <cell r="M981" t="str">
            <v>SUPER PLASTIFICANTE</v>
          </cell>
          <cell r="N981" t="str">
            <v>ETE - PROJETO SUCURIÚ - CLARIFICADOR PRIMARIO</v>
          </cell>
          <cell r="O981" t="str">
            <v>FORTANKS</v>
          </cell>
          <cell r="P981">
            <v>4</v>
          </cell>
          <cell r="Q981" t="str">
            <v>Gean</v>
          </cell>
          <cell r="R981">
            <v>45881</v>
          </cell>
          <cell r="S981">
            <v>0.6875</v>
          </cell>
          <cell r="T981">
            <v>0.67749999999999999</v>
          </cell>
          <cell r="U981" t="str">
            <v>X</v>
          </cell>
          <cell r="V981">
            <v>0.55208333333333337</v>
          </cell>
          <cell r="W981">
            <v>27.16</v>
          </cell>
          <cell r="X981">
            <v>26.38</v>
          </cell>
          <cell r="Y981">
            <v>0.41666666666666702</v>
          </cell>
          <cell r="Z981">
            <v>85.1</v>
          </cell>
          <cell r="AA981">
            <v>84.69</v>
          </cell>
          <cell r="AW981">
            <v>4</v>
          </cell>
          <cell r="AX981">
            <v>4</v>
          </cell>
          <cell r="AY981">
            <v>4</v>
          </cell>
          <cell r="AZ981">
            <v>4</v>
          </cell>
          <cell r="BA981" t="str">
            <v>FORTES ENGENHARIA</v>
          </cell>
          <cell r="BB981">
            <v>45882</v>
          </cell>
          <cell r="BD981" t="str">
            <v>qua</v>
          </cell>
          <cell r="BG981">
            <v>45881</v>
          </cell>
        </row>
        <row r="982">
          <cell r="A982">
            <v>1276</v>
          </cell>
          <cell r="B982">
            <v>898</v>
          </cell>
          <cell r="C982" t="str">
            <v xml:space="preserve">PLACA PN-431 </v>
          </cell>
          <cell r="D982">
            <v>6</v>
          </cell>
          <cell r="E982">
            <v>40</v>
          </cell>
          <cell r="F982">
            <v>24</v>
          </cell>
          <cell r="G982">
            <v>40</v>
          </cell>
          <cell r="H982">
            <v>0</v>
          </cell>
          <cell r="I982" t="str">
            <v>-</v>
          </cell>
          <cell r="J982" t="str">
            <v>660/670</v>
          </cell>
          <cell r="K982" t="str">
            <v xml:space="preserve">CPIII 40 RS </v>
          </cell>
          <cell r="L982" t="str">
            <v>CP V</v>
          </cell>
          <cell r="M982" t="str">
            <v>SUPER PLASTIFICANTE</v>
          </cell>
          <cell r="N982" t="str">
            <v>ETE - PARQUE NOVO MUNDO (REATORES NEREDA)</v>
          </cell>
          <cell r="O982" t="str">
            <v>FORTANKS</v>
          </cell>
          <cell r="P982">
            <v>1</v>
          </cell>
          <cell r="Q982" t="str">
            <v>Gean</v>
          </cell>
          <cell r="R982">
            <v>45883</v>
          </cell>
          <cell r="S982">
            <v>0.54861111111111116</v>
          </cell>
          <cell r="T982">
            <v>0.53861111111111115</v>
          </cell>
          <cell r="U982" t="str">
            <v>X</v>
          </cell>
          <cell r="V982">
            <v>0.3263888888888889</v>
          </cell>
          <cell r="W982">
            <v>25.116</v>
          </cell>
          <cell r="X982">
            <v>25.428000000000001</v>
          </cell>
          <cell r="Y982">
            <v>0.41666666666666702</v>
          </cell>
          <cell r="Z982">
            <v>83.987999999999985</v>
          </cell>
          <cell r="AA982">
            <v>84.3</v>
          </cell>
          <cell r="AW982">
            <v>4</v>
          </cell>
          <cell r="AX982">
            <v>4</v>
          </cell>
          <cell r="AY982">
            <v>4</v>
          </cell>
          <cell r="AZ982">
            <v>4</v>
          </cell>
          <cell r="BA982" t="str">
            <v>CONSORCIO NOVA ETE - PARQUE NOVO MUNDO</v>
          </cell>
          <cell r="BB982">
            <v>45884</v>
          </cell>
          <cell r="BD982" t="str">
            <v>sex</v>
          </cell>
          <cell r="BG982">
            <v>45883</v>
          </cell>
        </row>
        <row r="983">
          <cell r="A983" t="str">
            <v>1276-A</v>
          </cell>
          <cell r="B983">
            <v>898</v>
          </cell>
          <cell r="C983" t="str">
            <v>PLACA PR_PN-123</v>
          </cell>
          <cell r="D983">
            <v>6</v>
          </cell>
          <cell r="E983">
            <v>40</v>
          </cell>
          <cell r="F983">
            <v>24</v>
          </cell>
          <cell r="G983">
            <v>40</v>
          </cell>
          <cell r="H983">
            <v>0</v>
          </cell>
          <cell r="I983" t="str">
            <v>-</v>
          </cell>
          <cell r="J983" t="str">
            <v>660/670</v>
          </cell>
          <cell r="K983" t="str">
            <v xml:space="preserve">CPIII 40 RS </v>
          </cell>
          <cell r="L983" t="str">
            <v>CP V</v>
          </cell>
          <cell r="M983" t="str">
            <v>SUPER PLASTIFICANTE</v>
          </cell>
          <cell r="N983" t="str">
            <v>ETE - PROJETO SUCURIÚ - CLARIFICADOR PRIMARIO</v>
          </cell>
          <cell r="O983" t="str">
            <v>FORTANKS</v>
          </cell>
          <cell r="P983">
            <v>1</v>
          </cell>
          <cell r="Q983" t="str">
            <v>Gean</v>
          </cell>
          <cell r="R983">
            <v>45883</v>
          </cell>
          <cell r="S983">
            <v>0.54861111111111116</v>
          </cell>
          <cell r="T983">
            <v>0.53861111111111115</v>
          </cell>
          <cell r="U983" t="str">
            <v>X</v>
          </cell>
          <cell r="V983">
            <v>0.3263888888888889</v>
          </cell>
          <cell r="W983">
            <v>25.12</v>
          </cell>
          <cell r="X983">
            <v>25.43</v>
          </cell>
          <cell r="Y983">
            <v>0.41666666666666702</v>
          </cell>
          <cell r="Z983">
            <v>84</v>
          </cell>
          <cell r="AA983">
            <v>84.3</v>
          </cell>
          <cell r="AW983">
            <v>4</v>
          </cell>
          <cell r="AX983">
            <v>4</v>
          </cell>
          <cell r="AY983">
            <v>4</v>
          </cell>
          <cell r="AZ983">
            <v>4</v>
          </cell>
          <cell r="BA983" t="str">
            <v>FORTES ENGENHARIA</v>
          </cell>
          <cell r="BB983">
            <v>45884</v>
          </cell>
          <cell r="BD983" t="str">
            <v>sex</v>
          </cell>
          <cell r="BG983">
            <v>45883</v>
          </cell>
        </row>
        <row r="984">
          <cell r="A984">
            <v>1277</v>
          </cell>
          <cell r="B984">
            <v>899</v>
          </cell>
          <cell r="C984" t="str">
            <v>PLACAS PN-429 / PN-430</v>
          </cell>
          <cell r="D984">
            <v>7</v>
          </cell>
          <cell r="E984">
            <v>40</v>
          </cell>
          <cell r="F984">
            <v>24</v>
          </cell>
          <cell r="G984">
            <v>40</v>
          </cell>
          <cell r="H984">
            <v>0</v>
          </cell>
          <cell r="I984" t="str">
            <v>-</v>
          </cell>
          <cell r="J984" t="str">
            <v>660/670</v>
          </cell>
          <cell r="K984" t="str">
            <v xml:space="preserve">CPIII 40 RS </v>
          </cell>
          <cell r="L984" t="str">
            <v>CP V</v>
          </cell>
          <cell r="M984" t="str">
            <v>SUPER PLASTIFICANTE</v>
          </cell>
          <cell r="N984" t="str">
            <v>ETE - PARQUE NOVO MUNDO (REATORES NEREDA)</v>
          </cell>
          <cell r="O984" t="str">
            <v>FORTANKS</v>
          </cell>
          <cell r="P984">
            <v>2</v>
          </cell>
          <cell r="Q984" t="str">
            <v>Gean</v>
          </cell>
          <cell r="R984">
            <v>45883</v>
          </cell>
          <cell r="S984">
            <v>0.58333333333333337</v>
          </cell>
          <cell r="T984">
            <v>0.57333333333333336</v>
          </cell>
          <cell r="U984" t="str">
            <v>X</v>
          </cell>
          <cell r="V984">
            <v>0.3298611111111111</v>
          </cell>
          <cell r="W984">
            <v>25.5</v>
          </cell>
          <cell r="X984">
            <v>24.599999999999998</v>
          </cell>
          <cell r="Y984">
            <v>0.41666666666666702</v>
          </cell>
          <cell r="Z984">
            <v>72.36</v>
          </cell>
          <cell r="AA984">
            <v>73.584000000000003</v>
          </cell>
          <cell r="AW984">
            <v>4</v>
          </cell>
          <cell r="AX984">
            <v>4</v>
          </cell>
          <cell r="AY984">
            <v>4</v>
          </cell>
          <cell r="AZ984">
            <v>4</v>
          </cell>
          <cell r="BA984" t="str">
            <v>CONSORCIO NOVA ETE - PARQUE NOVO MUNDO</v>
          </cell>
          <cell r="BB984">
            <v>45884</v>
          </cell>
          <cell r="BD984" t="str">
            <v>sex</v>
          </cell>
          <cell r="BG984">
            <v>45883</v>
          </cell>
        </row>
        <row r="985">
          <cell r="A985">
            <v>1278</v>
          </cell>
          <cell r="B985">
            <v>900</v>
          </cell>
          <cell r="C985" t="str">
            <v>PLACAS PN-426 / PN-428</v>
          </cell>
          <cell r="D985">
            <v>7</v>
          </cell>
          <cell r="E985">
            <v>40</v>
          </cell>
          <cell r="F985">
            <v>24</v>
          </cell>
          <cell r="G985">
            <v>40</v>
          </cell>
          <cell r="H985">
            <v>0</v>
          </cell>
          <cell r="I985" t="str">
            <v>-</v>
          </cell>
          <cell r="J985" t="str">
            <v>670/680</v>
          </cell>
          <cell r="K985" t="str">
            <v xml:space="preserve">CPIII 40 RS </v>
          </cell>
          <cell r="L985" t="str">
            <v>CP V</v>
          </cell>
          <cell r="M985" t="str">
            <v>SUPER PLASTIFICANTE</v>
          </cell>
          <cell r="N985" t="str">
            <v>ETE - PARQUE NOVO MUNDO (REATORES NEREDA)</v>
          </cell>
          <cell r="O985" t="str">
            <v>FORTANKS</v>
          </cell>
          <cell r="P985">
            <v>3</v>
          </cell>
          <cell r="Q985" t="str">
            <v>Gean</v>
          </cell>
          <cell r="R985">
            <v>45883</v>
          </cell>
          <cell r="S985">
            <v>0.58333333333333337</v>
          </cell>
          <cell r="T985">
            <v>0.57333333333333336</v>
          </cell>
          <cell r="U985" t="str">
            <v>X</v>
          </cell>
          <cell r="V985">
            <v>0.33333333333333331</v>
          </cell>
          <cell r="W985">
            <v>25.463999999999999</v>
          </cell>
          <cell r="X985">
            <v>28.044</v>
          </cell>
          <cell r="Y985">
            <v>0.41666666666666702</v>
          </cell>
          <cell r="Z985">
            <v>83.831999999999994</v>
          </cell>
          <cell r="AA985">
            <v>81.983999999999995</v>
          </cell>
          <cell r="AW985">
            <v>4</v>
          </cell>
          <cell r="AX985">
            <v>4</v>
          </cell>
          <cell r="AY985">
            <v>4</v>
          </cell>
          <cell r="AZ985">
            <v>4</v>
          </cell>
          <cell r="BA985" t="str">
            <v>CONSORCIO NOVA ETE - PARQUE NOVO MUNDO</v>
          </cell>
          <cell r="BB985">
            <v>45884</v>
          </cell>
          <cell r="BD985" t="str">
            <v>sex</v>
          </cell>
          <cell r="BG985">
            <v>45883</v>
          </cell>
        </row>
        <row r="986">
          <cell r="A986">
            <v>1279</v>
          </cell>
          <cell r="B986">
            <v>901</v>
          </cell>
          <cell r="C986" t="str">
            <v>PLACAS PN-424 / PN-425</v>
          </cell>
          <cell r="D986">
            <v>7</v>
          </cell>
          <cell r="E986">
            <v>40</v>
          </cell>
          <cell r="F986">
            <v>24</v>
          </cell>
          <cell r="G986">
            <v>40</v>
          </cell>
          <cell r="H986">
            <v>0</v>
          </cell>
          <cell r="I986" t="str">
            <v>-</v>
          </cell>
          <cell r="J986" t="str">
            <v>680/680</v>
          </cell>
          <cell r="K986" t="str">
            <v xml:space="preserve">CPIII 40 RS </v>
          </cell>
          <cell r="L986" t="str">
            <v>CP V</v>
          </cell>
          <cell r="M986" t="str">
            <v>SUPER PLASTIFICANTE</v>
          </cell>
          <cell r="N986" t="str">
            <v>ETE - PARQUE NOVO MUNDO (REATORES NEREDA)</v>
          </cell>
          <cell r="O986" t="str">
            <v>FORTANKS</v>
          </cell>
          <cell r="P986">
            <v>4</v>
          </cell>
          <cell r="Q986" t="str">
            <v>Gean</v>
          </cell>
          <cell r="R986">
            <v>45883</v>
          </cell>
          <cell r="S986">
            <v>0.63541666666666663</v>
          </cell>
          <cell r="T986">
            <v>0.62541666666666662</v>
          </cell>
          <cell r="U986" t="str">
            <v>X</v>
          </cell>
          <cell r="V986">
            <v>0.33680555555555558</v>
          </cell>
          <cell r="W986">
            <v>26.04</v>
          </cell>
          <cell r="X986">
            <v>24</v>
          </cell>
          <cell r="Y986">
            <v>0.41666666666666702</v>
          </cell>
          <cell r="Z986">
            <v>82.595999999999989</v>
          </cell>
          <cell r="AA986">
            <v>81.587999999999994</v>
          </cell>
          <cell r="AW986">
            <v>4</v>
          </cell>
          <cell r="AX986">
            <v>4</v>
          </cell>
          <cell r="AY986">
            <v>4</v>
          </cell>
          <cell r="AZ986">
            <v>4</v>
          </cell>
          <cell r="BA986" t="str">
            <v>CONSORCIO NOVA ETE - PARQUE NOVO MUNDO</v>
          </cell>
          <cell r="BB986">
            <v>45884</v>
          </cell>
          <cell r="BD986" t="str">
            <v>sex</v>
          </cell>
          <cell r="BG986">
            <v>45883</v>
          </cell>
        </row>
        <row r="987">
          <cell r="A987" t="str">
            <v>1279-A</v>
          </cell>
          <cell r="B987">
            <v>901</v>
          </cell>
          <cell r="C987" t="str">
            <v>PLACA PR_PN-123 (CANELETA)</v>
          </cell>
          <cell r="D987">
            <v>7</v>
          </cell>
          <cell r="E987">
            <v>40</v>
          </cell>
          <cell r="F987">
            <v>24</v>
          </cell>
          <cell r="G987">
            <v>40</v>
          </cell>
          <cell r="H987">
            <v>0</v>
          </cell>
          <cell r="I987" t="str">
            <v>-</v>
          </cell>
          <cell r="J987" t="str">
            <v>680/680</v>
          </cell>
          <cell r="K987" t="str">
            <v xml:space="preserve">CPIII 40 RS </v>
          </cell>
          <cell r="L987" t="str">
            <v>CP V</v>
          </cell>
          <cell r="M987" t="str">
            <v>SUPER PLASTIFICANTE</v>
          </cell>
          <cell r="N987" t="str">
            <v>ETE - PROJETO SUCURIÚ - CLARIFICADOR PRIMARIO</v>
          </cell>
          <cell r="O987" t="str">
            <v>FORTANKS</v>
          </cell>
          <cell r="P987">
            <v>4</v>
          </cell>
          <cell r="Q987" t="str">
            <v>Gean</v>
          </cell>
          <cell r="R987">
            <v>45883</v>
          </cell>
          <cell r="S987">
            <v>0.63541666666666663</v>
          </cell>
          <cell r="T987">
            <v>0.62541666666666662</v>
          </cell>
          <cell r="U987" t="str">
            <v>X</v>
          </cell>
          <cell r="V987">
            <v>0.33680555555555558</v>
          </cell>
          <cell r="W987">
            <v>26.04</v>
          </cell>
          <cell r="X987">
            <v>24</v>
          </cell>
          <cell r="Y987">
            <v>0.41666666666666702</v>
          </cell>
          <cell r="Z987">
            <v>82.6</v>
          </cell>
          <cell r="AA987">
            <v>81.58</v>
          </cell>
          <cell r="AW987">
            <v>4</v>
          </cell>
          <cell r="AX987">
            <v>4</v>
          </cell>
          <cell r="AY987">
            <v>4</v>
          </cell>
          <cell r="AZ987">
            <v>4</v>
          </cell>
          <cell r="BA987" t="str">
            <v>FORTES ENGENHARIA</v>
          </cell>
          <cell r="BB987">
            <v>45884</v>
          </cell>
          <cell r="BD987" t="str">
            <v>sex</v>
          </cell>
          <cell r="BG987">
            <v>45883</v>
          </cell>
        </row>
        <row r="988">
          <cell r="A988">
            <v>1280</v>
          </cell>
          <cell r="B988">
            <v>902</v>
          </cell>
          <cell r="C988" t="str">
            <v>PLACA PN-432</v>
          </cell>
          <cell r="D988">
            <v>6.5</v>
          </cell>
          <cell r="E988">
            <v>40</v>
          </cell>
          <cell r="F988">
            <v>24</v>
          </cell>
          <cell r="G988">
            <v>40</v>
          </cell>
          <cell r="H988">
            <v>0</v>
          </cell>
          <cell r="I988" t="str">
            <v>-</v>
          </cell>
          <cell r="J988" t="str">
            <v>660/670</v>
          </cell>
          <cell r="K988" t="str">
            <v xml:space="preserve">CPIII 40 RS </v>
          </cell>
          <cell r="L988" t="str">
            <v>CP V</v>
          </cell>
          <cell r="M988" t="str">
            <v>SUPER PLASTIFICANTE</v>
          </cell>
          <cell r="N988" t="str">
            <v>ETE - PARQUE NOVO MUNDO (REATORES NEREDA)</v>
          </cell>
          <cell r="O988" t="str">
            <v>FORTANKS</v>
          </cell>
          <cell r="P988">
            <v>1</v>
          </cell>
          <cell r="Q988" t="str">
            <v>Gean</v>
          </cell>
          <cell r="R988">
            <v>45884</v>
          </cell>
          <cell r="S988">
            <v>0.54861111111111116</v>
          </cell>
          <cell r="T988">
            <v>0.53861111111111115</v>
          </cell>
          <cell r="U988" t="str">
            <v>X</v>
          </cell>
          <cell r="V988">
            <v>0.35416666666666669</v>
          </cell>
          <cell r="W988">
            <v>38.052</v>
          </cell>
          <cell r="X988">
            <v>35.687999999999995</v>
          </cell>
          <cell r="Y988">
            <v>0.41666666666666702</v>
          </cell>
          <cell r="Z988">
            <v>85.043999999999997</v>
          </cell>
          <cell r="AA988">
            <v>85.475999999999999</v>
          </cell>
          <cell r="AW988">
            <v>4</v>
          </cell>
          <cell r="AX988">
            <v>4</v>
          </cell>
          <cell r="AY988">
            <v>4</v>
          </cell>
          <cell r="AZ988">
            <v>4</v>
          </cell>
          <cell r="BA988" t="str">
            <v>CONSORCIO NOVA ETE - PARQUE NOVO MUNDO</v>
          </cell>
          <cell r="BB988">
            <v>45885</v>
          </cell>
          <cell r="BD988" t="str">
            <v>sáb</v>
          </cell>
          <cell r="BG988">
            <v>45884</v>
          </cell>
        </row>
        <row r="989">
          <cell r="A989" t="str">
            <v>1280-A</v>
          </cell>
          <cell r="B989">
            <v>902</v>
          </cell>
          <cell r="C989" t="str">
            <v>PLACA PR_PN-124</v>
          </cell>
          <cell r="D989">
            <v>6.5</v>
          </cell>
          <cell r="E989">
            <v>40</v>
          </cell>
          <cell r="F989">
            <v>24</v>
          </cell>
          <cell r="G989">
            <v>40</v>
          </cell>
          <cell r="H989">
            <v>0</v>
          </cell>
          <cell r="I989" t="str">
            <v>-</v>
          </cell>
          <cell r="J989" t="str">
            <v>660/670</v>
          </cell>
          <cell r="K989" t="str">
            <v xml:space="preserve">CPIII 40 RS </v>
          </cell>
          <cell r="L989" t="str">
            <v>CP V</v>
          </cell>
          <cell r="M989" t="str">
            <v>SUPER PLASTIFICANTE</v>
          </cell>
          <cell r="N989" t="str">
            <v>ETE - PARQUE NOVO MUNDO (REATORES NEREDA)</v>
          </cell>
          <cell r="O989" t="str">
            <v>FORTANKS</v>
          </cell>
          <cell r="P989">
            <v>1</v>
          </cell>
          <cell r="Q989" t="str">
            <v>Gean</v>
          </cell>
          <cell r="R989">
            <v>45884</v>
          </cell>
          <cell r="S989">
            <v>0.54861111111111116</v>
          </cell>
          <cell r="T989">
            <v>0.53861111111111115</v>
          </cell>
          <cell r="U989" t="str">
            <v>X</v>
          </cell>
          <cell r="V989">
            <v>0.35416666666666669</v>
          </cell>
          <cell r="W989">
            <v>38.049999999999997</v>
          </cell>
          <cell r="X989">
            <v>35.69</v>
          </cell>
          <cell r="Y989">
            <v>0.41666666666666702</v>
          </cell>
          <cell r="Z989">
            <v>85</v>
          </cell>
          <cell r="AA989">
            <v>85.47</v>
          </cell>
          <cell r="AW989">
            <v>4</v>
          </cell>
          <cell r="AX989">
            <v>4</v>
          </cell>
          <cell r="AY989">
            <v>4</v>
          </cell>
          <cell r="AZ989">
            <v>4</v>
          </cell>
          <cell r="BA989" t="str">
            <v>CONSORCIO NOVA ETE - PARQUE NOVO MUNDO</v>
          </cell>
          <cell r="BB989">
            <v>45885</v>
          </cell>
          <cell r="BD989" t="str">
            <v>sáb</v>
          </cell>
          <cell r="BG989">
            <v>45884</v>
          </cell>
        </row>
        <row r="990">
          <cell r="A990">
            <v>1281</v>
          </cell>
          <cell r="B990">
            <v>903</v>
          </cell>
          <cell r="C990" t="str">
            <v>PLACAS PN-433 / PN-434</v>
          </cell>
          <cell r="D990">
            <v>6.5</v>
          </cell>
          <cell r="E990">
            <v>40</v>
          </cell>
          <cell r="F990">
            <v>24</v>
          </cell>
          <cell r="G990">
            <v>40</v>
          </cell>
          <cell r="H990">
            <v>0</v>
          </cell>
          <cell r="I990" t="str">
            <v>-</v>
          </cell>
          <cell r="J990" t="str">
            <v>680/670</v>
          </cell>
          <cell r="K990" t="str">
            <v xml:space="preserve">CPIII 40 RS </v>
          </cell>
          <cell r="L990" t="str">
            <v>CP V</v>
          </cell>
          <cell r="M990" t="str">
            <v>SUPER PLASTIFICANTE</v>
          </cell>
          <cell r="N990" t="str">
            <v>ETE - PARQUE NOVO MUNDO (REATORES NEREDA)</v>
          </cell>
          <cell r="O990" t="str">
            <v>FORTANKS</v>
          </cell>
          <cell r="P990">
            <v>2</v>
          </cell>
          <cell r="Q990" t="str">
            <v>Gean</v>
          </cell>
          <cell r="R990">
            <v>45884</v>
          </cell>
          <cell r="S990">
            <v>0.58333333333333337</v>
          </cell>
          <cell r="T990">
            <v>0.57333333333333336</v>
          </cell>
          <cell r="U990" t="str">
            <v>X</v>
          </cell>
          <cell r="V990">
            <v>0.3576388888888889</v>
          </cell>
          <cell r="W990">
            <v>31.907999999999998</v>
          </cell>
          <cell r="X990">
            <v>30.887999999999998</v>
          </cell>
          <cell r="Y990">
            <v>0.41666666666666702</v>
          </cell>
          <cell r="Z990">
            <v>84.36</v>
          </cell>
          <cell r="AA990">
            <v>84.3</v>
          </cell>
          <cell r="AW990">
            <v>4</v>
          </cell>
          <cell r="AX990">
            <v>4</v>
          </cell>
          <cell r="AY990">
            <v>4</v>
          </cell>
          <cell r="AZ990">
            <v>4</v>
          </cell>
          <cell r="BA990" t="str">
            <v>CONSORCIO NOVA ETE - PARQUE NOVO MUNDO</v>
          </cell>
          <cell r="BB990">
            <v>45885</v>
          </cell>
          <cell r="BD990" t="str">
            <v>sáb</v>
          </cell>
          <cell r="BG990">
            <v>45884</v>
          </cell>
        </row>
        <row r="991">
          <cell r="A991">
            <v>1282</v>
          </cell>
          <cell r="B991">
            <v>904</v>
          </cell>
          <cell r="C991" t="str">
            <v>PLACAS PN-436 / PN-437</v>
          </cell>
          <cell r="D991">
            <v>7</v>
          </cell>
          <cell r="E991">
            <v>40</v>
          </cell>
          <cell r="F991">
            <v>24</v>
          </cell>
          <cell r="G991">
            <v>40</v>
          </cell>
          <cell r="H991">
            <v>0</v>
          </cell>
          <cell r="I991" t="str">
            <v>-</v>
          </cell>
          <cell r="J991" t="str">
            <v>670/670</v>
          </cell>
          <cell r="K991" t="str">
            <v xml:space="preserve">CPIII 40 RS </v>
          </cell>
          <cell r="L991" t="str">
            <v>CP V</v>
          </cell>
          <cell r="M991" t="str">
            <v>SUPER PLASTIFICANTE</v>
          </cell>
          <cell r="N991" t="str">
            <v>ETE - PARQUE NOVO MUNDO (REATORES NEREDA)</v>
          </cell>
          <cell r="O991" t="str">
            <v>FORTANKS</v>
          </cell>
          <cell r="P991">
            <v>3</v>
          </cell>
          <cell r="Q991" t="str">
            <v>Gean</v>
          </cell>
          <cell r="R991">
            <v>45884</v>
          </cell>
          <cell r="S991">
            <v>0.63194444444444442</v>
          </cell>
          <cell r="T991">
            <v>0.62194444444444441</v>
          </cell>
          <cell r="U991" t="str">
            <v>X</v>
          </cell>
          <cell r="V991">
            <v>0.3611111111111111</v>
          </cell>
          <cell r="W991">
            <v>27.827999999999999</v>
          </cell>
          <cell r="X991">
            <v>28.331999999999997</v>
          </cell>
          <cell r="Y991">
            <v>0.41666666666666702</v>
          </cell>
          <cell r="Z991">
            <v>85.091999999999999</v>
          </cell>
          <cell r="AA991">
            <v>84.816000000000003</v>
          </cell>
          <cell r="AW991">
            <v>4</v>
          </cell>
          <cell r="AX991">
            <v>4</v>
          </cell>
          <cell r="AY991">
            <v>4</v>
          </cell>
          <cell r="AZ991">
            <v>4</v>
          </cell>
          <cell r="BA991" t="str">
            <v>CONSORCIO NOVA ETE - PARQUE NOVO MUNDO</v>
          </cell>
          <cell r="BB991">
            <v>45885</v>
          </cell>
          <cell r="BD991" t="str">
            <v>sáb</v>
          </cell>
          <cell r="BG991">
            <v>45884</v>
          </cell>
        </row>
        <row r="992">
          <cell r="A992">
            <v>1283</v>
          </cell>
          <cell r="B992">
            <v>905</v>
          </cell>
          <cell r="C992" t="str">
            <v>PLACAS PN-438 / PN-439</v>
          </cell>
          <cell r="D992">
            <v>7</v>
          </cell>
          <cell r="E992">
            <v>40</v>
          </cell>
          <cell r="F992">
            <v>24</v>
          </cell>
          <cell r="G992">
            <v>40</v>
          </cell>
          <cell r="H992">
            <v>0</v>
          </cell>
          <cell r="I992" t="str">
            <v>-</v>
          </cell>
          <cell r="J992" t="str">
            <v>680/680</v>
          </cell>
          <cell r="K992" t="str">
            <v xml:space="preserve">CPIII 40 RS </v>
          </cell>
          <cell r="L992" t="str">
            <v>CP V</v>
          </cell>
          <cell r="M992" t="str">
            <v>SUPER PLASTIFICANTE</v>
          </cell>
          <cell r="N992" t="str">
            <v>ETE - PARQUE NOVO MUNDO (REATORES NEREDA)</v>
          </cell>
          <cell r="O992" t="str">
            <v>FORTANKS</v>
          </cell>
          <cell r="P992">
            <v>4</v>
          </cell>
          <cell r="Q992" t="str">
            <v>Gean</v>
          </cell>
          <cell r="R992">
            <v>45884</v>
          </cell>
          <cell r="S992">
            <v>0.64583333333333337</v>
          </cell>
          <cell r="T992">
            <v>0.63583333333333336</v>
          </cell>
          <cell r="U992" t="str">
            <v>X</v>
          </cell>
          <cell r="V992">
            <v>0.36458333333333331</v>
          </cell>
          <cell r="W992">
            <v>29.052</v>
          </cell>
          <cell r="X992">
            <v>29.352</v>
          </cell>
          <cell r="Y992">
            <v>0.41666666666666702</v>
          </cell>
          <cell r="Z992">
            <v>84.3</v>
          </cell>
          <cell r="AA992">
            <v>84.347999999999999</v>
          </cell>
          <cell r="AW992">
            <v>4</v>
          </cell>
          <cell r="AX992">
            <v>4</v>
          </cell>
          <cell r="AY992">
            <v>4</v>
          </cell>
          <cell r="AZ992">
            <v>4</v>
          </cell>
          <cell r="BA992" t="str">
            <v>CONSORCIO NOVA ETE - PARQUE NOVO MUNDO</v>
          </cell>
          <cell r="BB992">
            <v>45885</v>
          </cell>
          <cell r="BD992" t="str">
            <v>sáb</v>
          </cell>
          <cell r="BG992">
            <v>45884</v>
          </cell>
        </row>
        <row r="993">
          <cell r="A993" t="str">
            <v>1283-A</v>
          </cell>
          <cell r="B993">
            <v>905</v>
          </cell>
          <cell r="C993" t="str">
            <v>PLACAS PN-438 / PN-439</v>
          </cell>
          <cell r="D993">
            <v>7</v>
          </cell>
          <cell r="E993">
            <v>40</v>
          </cell>
          <cell r="F993">
            <v>24</v>
          </cell>
          <cell r="G993">
            <v>40</v>
          </cell>
          <cell r="H993">
            <v>0</v>
          </cell>
          <cell r="I993" t="str">
            <v>-</v>
          </cell>
          <cell r="J993" t="str">
            <v>680/680</v>
          </cell>
          <cell r="K993" t="str">
            <v xml:space="preserve">CPIII 40 RS </v>
          </cell>
          <cell r="L993" t="str">
            <v>CP V</v>
          </cell>
          <cell r="M993" t="str">
            <v>SUPER PLASTIFICANTE</v>
          </cell>
          <cell r="N993" t="str">
            <v>ETE - PROJETO SUCURIÚ - CLARIFICADOR PRIMARIO</v>
          </cell>
          <cell r="O993" t="str">
            <v>FORTANKS</v>
          </cell>
          <cell r="P993">
            <v>4</v>
          </cell>
          <cell r="Q993" t="str">
            <v>Gean</v>
          </cell>
          <cell r="R993">
            <v>45884</v>
          </cell>
          <cell r="S993">
            <v>0.64583333333333337</v>
          </cell>
          <cell r="T993">
            <v>0.63583333333333336</v>
          </cell>
          <cell r="U993" t="str">
            <v>X</v>
          </cell>
          <cell r="V993">
            <v>0.36458333333333331</v>
          </cell>
          <cell r="W993">
            <v>29.05</v>
          </cell>
          <cell r="X993">
            <v>29.35</v>
          </cell>
          <cell r="Y993">
            <v>0.41666666666666702</v>
          </cell>
          <cell r="Z993">
            <v>84.3</v>
          </cell>
          <cell r="AA993">
            <v>84.34</v>
          </cell>
          <cell r="AW993">
            <v>4</v>
          </cell>
          <cell r="AX993">
            <v>4</v>
          </cell>
          <cell r="AY993">
            <v>4</v>
          </cell>
          <cell r="AZ993">
            <v>4</v>
          </cell>
          <cell r="BA993" t="str">
            <v>FORTES ENGENHARIA</v>
          </cell>
          <cell r="BB993">
            <v>45885</v>
          </cell>
          <cell r="BD993" t="str">
            <v>sáb</v>
          </cell>
          <cell r="BG993">
            <v>45884</v>
          </cell>
        </row>
        <row r="994">
          <cell r="A994">
            <v>1284</v>
          </cell>
          <cell r="B994">
            <v>906</v>
          </cell>
          <cell r="C994" t="str">
            <v>PLACA PN-447</v>
          </cell>
          <cell r="D994">
            <v>6</v>
          </cell>
          <cell r="E994">
            <v>40</v>
          </cell>
          <cell r="F994">
            <v>24</v>
          </cell>
          <cell r="G994">
            <v>40</v>
          </cell>
          <cell r="H994">
            <v>0</v>
          </cell>
          <cell r="I994" t="str">
            <v>-</v>
          </cell>
          <cell r="J994" t="str">
            <v>660/650</v>
          </cell>
          <cell r="K994" t="str">
            <v xml:space="preserve">CPIII 40 RS </v>
          </cell>
          <cell r="L994" t="str">
            <v>CP V</v>
          </cell>
          <cell r="M994" t="str">
            <v>SUPER PLASTIFICANTE</v>
          </cell>
          <cell r="N994" t="str">
            <v>ETE - PARQUE NOVO MUNDO (REATORES NEREDA)</v>
          </cell>
          <cell r="O994" t="str">
            <v>FORTANKS</v>
          </cell>
          <cell r="P994">
            <v>1</v>
          </cell>
          <cell r="Q994" t="str">
            <v>Gean</v>
          </cell>
          <cell r="R994">
            <v>45885</v>
          </cell>
          <cell r="S994">
            <v>0.55555555555555558</v>
          </cell>
          <cell r="T994">
            <v>0.54555555555555557</v>
          </cell>
          <cell r="U994" t="str">
            <v>X</v>
          </cell>
          <cell r="V994">
            <v>0.55555555555555558</v>
          </cell>
          <cell r="W994">
            <v>47.771999999999998</v>
          </cell>
          <cell r="X994">
            <v>48.48</v>
          </cell>
          <cell r="Y994">
            <v>0.41666666666666702</v>
          </cell>
          <cell r="Z994">
            <v>84.755999999999986</v>
          </cell>
          <cell r="AA994">
            <v>84.227999999999994</v>
          </cell>
          <cell r="AW994">
            <v>4</v>
          </cell>
          <cell r="AX994">
            <v>4</v>
          </cell>
          <cell r="AY994">
            <v>4</v>
          </cell>
          <cell r="AZ994">
            <v>4</v>
          </cell>
          <cell r="BA994" t="str">
            <v>CONSORCIO NOVA ETE - PARQUE NOVO MUNDO</v>
          </cell>
          <cell r="BB994">
            <v>45887</v>
          </cell>
          <cell r="BC994">
            <v>1</v>
          </cell>
          <cell r="BD994" t="str">
            <v>seg</v>
          </cell>
          <cell r="BG994">
            <v>45885</v>
          </cell>
        </row>
        <row r="995">
          <cell r="A995" t="str">
            <v>1284-A</v>
          </cell>
          <cell r="B995">
            <v>906</v>
          </cell>
          <cell r="C995" t="str">
            <v>PLACA PR_PN-126</v>
          </cell>
          <cell r="D995">
            <v>6</v>
          </cell>
          <cell r="E995">
            <v>40</v>
          </cell>
          <cell r="F995">
            <v>24</v>
          </cell>
          <cell r="G995">
            <v>40</v>
          </cell>
          <cell r="H995">
            <v>0</v>
          </cell>
          <cell r="I995" t="str">
            <v>-</v>
          </cell>
          <cell r="J995" t="str">
            <v>660/650</v>
          </cell>
          <cell r="K995" t="str">
            <v xml:space="preserve">CPIII 40 RS </v>
          </cell>
          <cell r="L995" t="str">
            <v>CP V</v>
          </cell>
          <cell r="M995" t="str">
            <v>SUPER PLASTIFICANTE</v>
          </cell>
          <cell r="N995" t="str">
            <v>ETE - PROJETO SUCURIÚ - CLARIFICADOR PRIMARIO</v>
          </cell>
          <cell r="O995" t="str">
            <v>FORTANKS</v>
          </cell>
          <cell r="P995">
            <v>1</v>
          </cell>
          <cell r="Q995" t="str">
            <v>Gean</v>
          </cell>
          <cell r="R995">
            <v>45885</v>
          </cell>
          <cell r="S995">
            <v>0.55555555555555558</v>
          </cell>
          <cell r="T995">
            <v>0.54555555555555557</v>
          </cell>
          <cell r="U995" t="str">
            <v>X</v>
          </cell>
          <cell r="V995">
            <v>0.55555555555555558</v>
          </cell>
          <cell r="W995">
            <v>47.77</v>
          </cell>
          <cell r="X995">
            <v>48.48</v>
          </cell>
          <cell r="Y995">
            <v>0.41666666666666702</v>
          </cell>
          <cell r="Z995">
            <v>84.8</v>
          </cell>
          <cell r="AA995">
            <v>84.22</v>
          </cell>
          <cell r="AW995">
            <v>4</v>
          </cell>
          <cell r="AX995">
            <v>4</v>
          </cell>
          <cell r="AY995">
            <v>4</v>
          </cell>
          <cell r="AZ995">
            <v>4</v>
          </cell>
          <cell r="BA995" t="str">
            <v>FORTES ENGENHARIA</v>
          </cell>
          <cell r="BB995">
            <v>45887</v>
          </cell>
          <cell r="BC995">
            <v>1</v>
          </cell>
          <cell r="BD995" t="str">
            <v>seg</v>
          </cell>
          <cell r="BG995">
            <v>45885</v>
          </cell>
        </row>
        <row r="996">
          <cell r="A996">
            <v>1285</v>
          </cell>
          <cell r="B996">
            <v>907</v>
          </cell>
          <cell r="C996" t="str">
            <v>PLACAS PN-445 / PN-446</v>
          </cell>
          <cell r="D996">
            <v>7</v>
          </cell>
          <cell r="E996">
            <v>40</v>
          </cell>
          <cell r="F996">
            <v>24</v>
          </cell>
          <cell r="G996">
            <v>40</v>
          </cell>
          <cell r="H996">
            <v>0</v>
          </cell>
          <cell r="I996" t="str">
            <v>-</v>
          </cell>
          <cell r="J996" t="str">
            <v>660/670</v>
          </cell>
          <cell r="K996" t="str">
            <v xml:space="preserve">CPIII 40 RS </v>
          </cell>
          <cell r="L996" t="str">
            <v>CP V</v>
          </cell>
          <cell r="M996" t="str">
            <v>SUPER PLASTIFICANTE</v>
          </cell>
          <cell r="N996" t="str">
            <v>ETE - PARQUE NOVO MUNDO (REATORES NEREDA)</v>
          </cell>
          <cell r="O996" t="str">
            <v>FORTANKS</v>
          </cell>
          <cell r="P996">
            <v>2</v>
          </cell>
          <cell r="Q996" t="str">
            <v>Gean</v>
          </cell>
          <cell r="R996">
            <v>45885</v>
          </cell>
          <cell r="S996">
            <v>0.58333333333333337</v>
          </cell>
          <cell r="T996">
            <v>0.57333333333333336</v>
          </cell>
          <cell r="U996" t="str">
            <v>X</v>
          </cell>
          <cell r="V996">
            <v>0.55902777777777779</v>
          </cell>
          <cell r="W996">
            <v>45.588000000000001</v>
          </cell>
          <cell r="X996">
            <v>47.603999999999999</v>
          </cell>
          <cell r="Y996">
            <v>0.41666666666666702</v>
          </cell>
          <cell r="Z996">
            <v>85.74</v>
          </cell>
          <cell r="AA996">
            <v>85.883999999999986</v>
          </cell>
          <cell r="AW996">
            <v>4</v>
          </cell>
          <cell r="AX996">
            <v>4</v>
          </cell>
          <cell r="AY996">
            <v>4</v>
          </cell>
          <cell r="AZ996">
            <v>4</v>
          </cell>
          <cell r="BA996" t="str">
            <v>CONSORCIO NOVA ETE - PARQUE NOVO MUNDO</v>
          </cell>
          <cell r="BB996">
            <v>45887</v>
          </cell>
          <cell r="BC996">
            <v>1</v>
          </cell>
          <cell r="BD996" t="str">
            <v>seg</v>
          </cell>
          <cell r="BG996">
            <v>45885</v>
          </cell>
        </row>
        <row r="997">
          <cell r="A997">
            <v>1286</v>
          </cell>
          <cell r="B997">
            <v>908</v>
          </cell>
          <cell r="C997" t="str">
            <v>PLACAS PN-442 / PN-444</v>
          </cell>
          <cell r="D997">
            <v>7</v>
          </cell>
          <cell r="E997">
            <v>40</v>
          </cell>
          <cell r="F997">
            <v>24</v>
          </cell>
          <cell r="G997">
            <v>40</v>
          </cell>
          <cell r="H997">
            <v>0</v>
          </cell>
          <cell r="I997" t="str">
            <v>-</v>
          </cell>
          <cell r="J997" t="str">
            <v>670/670</v>
          </cell>
          <cell r="K997" t="str">
            <v xml:space="preserve">CPIII 40 RS </v>
          </cell>
          <cell r="L997" t="str">
            <v>CP V</v>
          </cell>
          <cell r="M997" t="str">
            <v>SUPER PLASTIFICANTE</v>
          </cell>
          <cell r="N997" t="str">
            <v>ETE - PARQUE NOVO MUNDO (REATORES NEREDA)</v>
          </cell>
          <cell r="O997" t="str">
            <v>FORTANKS</v>
          </cell>
          <cell r="P997">
            <v>3</v>
          </cell>
          <cell r="Q997" t="str">
            <v>Gean</v>
          </cell>
          <cell r="R997">
            <v>45885</v>
          </cell>
          <cell r="S997">
            <v>0.625</v>
          </cell>
          <cell r="T997">
            <v>0.61499999999999999</v>
          </cell>
          <cell r="U997" t="str">
            <v>X</v>
          </cell>
          <cell r="V997">
            <v>0.5625</v>
          </cell>
          <cell r="W997">
            <v>40.691999999999993</v>
          </cell>
          <cell r="X997">
            <v>39.095999999999997</v>
          </cell>
          <cell r="Y997">
            <v>0.41666666666666702</v>
          </cell>
          <cell r="Z997">
            <v>81.85199999999999</v>
          </cell>
          <cell r="AA997">
            <v>83.123999999999995</v>
          </cell>
          <cell r="AW997">
            <v>4</v>
          </cell>
          <cell r="AX997">
            <v>4</v>
          </cell>
          <cell r="AY997">
            <v>4</v>
          </cell>
          <cell r="AZ997">
            <v>4</v>
          </cell>
          <cell r="BA997" t="str">
            <v>CONSORCIO NOVA ETE - PARQUE NOVO MUNDO</v>
          </cell>
          <cell r="BB997">
            <v>45887</v>
          </cell>
          <cell r="BC997">
            <v>1</v>
          </cell>
          <cell r="BD997" t="str">
            <v>seg</v>
          </cell>
          <cell r="BG997">
            <v>45885</v>
          </cell>
        </row>
        <row r="998">
          <cell r="A998">
            <v>1287</v>
          </cell>
          <cell r="B998">
            <v>909</v>
          </cell>
          <cell r="C998" t="str">
            <v>PLACAS PN-440 / PN-441</v>
          </cell>
          <cell r="D998">
            <v>6.5</v>
          </cell>
          <cell r="E998">
            <v>40</v>
          </cell>
          <cell r="F998">
            <v>24</v>
          </cell>
          <cell r="G998">
            <v>40</v>
          </cell>
          <cell r="H998">
            <v>0</v>
          </cell>
          <cell r="I998" t="str">
            <v>-</v>
          </cell>
          <cell r="J998" t="str">
            <v>660/670</v>
          </cell>
          <cell r="K998" t="str">
            <v xml:space="preserve">CPIII 40 RS </v>
          </cell>
          <cell r="L998" t="str">
            <v>CP V</v>
          </cell>
          <cell r="M998" t="str">
            <v>SUPER PLASTIFICANTE</v>
          </cell>
          <cell r="N998" t="str">
            <v>ETE - PARQUE NOVO MUNDO (REATORES NEREDA)</v>
          </cell>
          <cell r="O998" t="str">
            <v>FORTANKS</v>
          </cell>
          <cell r="P998">
            <v>4</v>
          </cell>
          <cell r="Q998" t="str">
            <v>Gean</v>
          </cell>
          <cell r="R998">
            <v>45885</v>
          </cell>
          <cell r="S998">
            <v>0.65625</v>
          </cell>
          <cell r="T998">
            <v>0.64624999999999999</v>
          </cell>
          <cell r="U998" t="str">
            <v>X</v>
          </cell>
          <cell r="V998">
            <v>0.56597222222222221</v>
          </cell>
          <cell r="W998">
            <v>43.091999999999992</v>
          </cell>
          <cell r="X998">
            <v>44.688000000000002</v>
          </cell>
          <cell r="Y998">
            <v>0.41666666666666702</v>
          </cell>
          <cell r="Z998">
            <v>85.248000000000005</v>
          </cell>
          <cell r="AA998">
            <v>84.995999999999995</v>
          </cell>
          <cell r="AW998">
            <v>4</v>
          </cell>
          <cell r="AX998">
            <v>4</v>
          </cell>
          <cell r="AY998">
            <v>4</v>
          </cell>
          <cell r="AZ998">
            <v>4</v>
          </cell>
          <cell r="BA998" t="str">
            <v>CONSORCIO NOVA ETE - PARQUE NOVO MUNDO</v>
          </cell>
          <cell r="BB998">
            <v>45887</v>
          </cell>
          <cell r="BC998">
            <v>1</v>
          </cell>
          <cell r="BD998" t="str">
            <v>seg</v>
          </cell>
          <cell r="BG998">
            <v>45885</v>
          </cell>
        </row>
        <row r="999">
          <cell r="A999" t="str">
            <v>1287-A</v>
          </cell>
          <cell r="B999">
            <v>909</v>
          </cell>
          <cell r="C999" t="str">
            <v>PLACA PR_PN-126 (CANALETA)</v>
          </cell>
          <cell r="D999">
            <v>6.5</v>
          </cell>
          <cell r="E999">
            <v>40</v>
          </cell>
          <cell r="F999">
            <v>24</v>
          </cell>
          <cell r="G999">
            <v>40</v>
          </cell>
          <cell r="H999">
            <v>0</v>
          </cell>
          <cell r="I999" t="str">
            <v>-</v>
          </cell>
          <cell r="J999" t="str">
            <v>660/670</v>
          </cell>
          <cell r="K999" t="str">
            <v xml:space="preserve">CPIII 40 RS </v>
          </cell>
          <cell r="L999" t="str">
            <v>CP V</v>
          </cell>
          <cell r="M999" t="str">
            <v>SUPER PLASTIFICANTE</v>
          </cell>
          <cell r="N999" t="str">
            <v>ETE - PROJETO SUCURIÚ - CLARIFICADOR PRIMARIO</v>
          </cell>
          <cell r="O999" t="str">
            <v>FORTANKS</v>
          </cell>
          <cell r="P999">
            <v>4</v>
          </cell>
          <cell r="Q999" t="str">
            <v>Gean</v>
          </cell>
          <cell r="R999">
            <v>45885</v>
          </cell>
          <cell r="S999">
            <v>0.65625</v>
          </cell>
          <cell r="T999">
            <v>0.64624999999999999</v>
          </cell>
          <cell r="U999" t="str">
            <v>X</v>
          </cell>
          <cell r="V999">
            <v>0.56597222222222221</v>
          </cell>
          <cell r="W999">
            <v>43.09</v>
          </cell>
          <cell r="X999">
            <v>44.69</v>
          </cell>
          <cell r="Y999">
            <v>0.41666666666666702</v>
          </cell>
          <cell r="Z999">
            <v>85.2</v>
          </cell>
          <cell r="AA999">
            <v>84.99</v>
          </cell>
          <cell r="AW999">
            <v>4</v>
          </cell>
          <cell r="AX999">
            <v>4</v>
          </cell>
          <cell r="AY999">
            <v>4</v>
          </cell>
          <cell r="AZ999">
            <v>4</v>
          </cell>
          <cell r="BA999" t="str">
            <v>FORTES ENGENHARIA</v>
          </cell>
          <cell r="BB999">
            <v>45887</v>
          </cell>
          <cell r="BC999">
            <v>1</v>
          </cell>
          <cell r="BD999" t="str">
            <v>seg</v>
          </cell>
          <cell r="BG999">
            <v>45885</v>
          </cell>
        </row>
        <row r="1000">
          <cell r="A1000">
            <v>1288</v>
          </cell>
          <cell r="B1000">
            <v>910</v>
          </cell>
          <cell r="C1000" t="str">
            <v>PLACA PF-249</v>
          </cell>
          <cell r="D1000">
            <v>5</v>
          </cell>
          <cell r="E1000">
            <v>40</v>
          </cell>
          <cell r="F1000">
            <v>24</v>
          </cell>
          <cell r="G1000">
            <v>40</v>
          </cell>
          <cell r="H1000">
            <v>0</v>
          </cell>
          <cell r="I1000" t="str">
            <v>-</v>
          </cell>
          <cell r="J1000" t="str">
            <v>680/670</v>
          </cell>
          <cell r="K1000" t="str">
            <v xml:space="preserve">CPIII 40 RS </v>
          </cell>
          <cell r="L1000" t="str">
            <v>CP V</v>
          </cell>
          <cell r="M1000" t="str">
            <v>SUPER PLASTIFICANTE</v>
          </cell>
          <cell r="N1000" t="str">
            <v>ETE - PARQUE NOVO MUNDO (REATORES NEREDA)</v>
          </cell>
          <cell r="O1000" t="str">
            <v>FORTANKS</v>
          </cell>
          <cell r="P1000">
            <v>1</v>
          </cell>
          <cell r="Q1000" t="str">
            <v>Gean</v>
          </cell>
          <cell r="R1000">
            <v>45887</v>
          </cell>
          <cell r="S1000">
            <v>0.54166666666666663</v>
          </cell>
          <cell r="T1000">
            <v>0.53166666666666662</v>
          </cell>
          <cell r="U1000" t="str">
            <v>X</v>
          </cell>
          <cell r="V1000">
            <v>0.35416666666666669</v>
          </cell>
          <cell r="W1000">
            <v>25.5</v>
          </cell>
          <cell r="X1000">
            <v>27.42</v>
          </cell>
          <cell r="Y1000">
            <v>0.41666666666666702</v>
          </cell>
          <cell r="Z1000">
            <v>83.88000000000001</v>
          </cell>
          <cell r="AA1000">
            <v>83.951999999999984</v>
          </cell>
          <cell r="AW1000">
            <v>4</v>
          </cell>
          <cell r="AX1000">
            <v>4</v>
          </cell>
          <cell r="AY1000">
            <v>4</v>
          </cell>
          <cell r="AZ1000">
            <v>4</v>
          </cell>
          <cell r="BA1000" t="str">
            <v>CONSORCIO NOVA ETE - PARQUE NOVO MUNDO</v>
          </cell>
          <cell r="BB1000">
            <v>45888</v>
          </cell>
          <cell r="BD1000" t="str">
            <v>ter</v>
          </cell>
          <cell r="BG1000">
            <v>45887</v>
          </cell>
        </row>
        <row r="1001">
          <cell r="A1001">
            <v>1289</v>
          </cell>
          <cell r="B1001">
            <v>911</v>
          </cell>
          <cell r="C1001" t="str">
            <v>PLACA PN-448</v>
          </cell>
          <cell r="D1001">
            <v>6</v>
          </cell>
          <cell r="E1001">
            <v>40</v>
          </cell>
          <cell r="F1001">
            <v>24</v>
          </cell>
          <cell r="G1001">
            <v>40</v>
          </cell>
          <cell r="H1001">
            <v>0</v>
          </cell>
          <cell r="I1001" t="str">
            <v>-</v>
          </cell>
          <cell r="J1001" t="str">
            <v>660/660</v>
          </cell>
          <cell r="K1001" t="str">
            <v xml:space="preserve">CPIII 40 RS </v>
          </cell>
          <cell r="L1001" t="str">
            <v>CP V</v>
          </cell>
          <cell r="M1001" t="str">
            <v>SUPER PLASTIFICANTE</v>
          </cell>
          <cell r="N1001" t="str">
            <v>ETE - PARQUE NOVO MUNDO (REATORES NEREDA)</v>
          </cell>
          <cell r="O1001" t="str">
            <v>FORTANKS</v>
          </cell>
          <cell r="P1001">
            <v>1</v>
          </cell>
          <cell r="Q1001" t="str">
            <v>Gean</v>
          </cell>
          <cell r="R1001">
            <v>45888</v>
          </cell>
          <cell r="S1001">
            <v>0.38194444444444442</v>
          </cell>
          <cell r="T1001">
            <v>0.37194444444444441</v>
          </cell>
          <cell r="U1001" t="str">
            <v>X</v>
          </cell>
          <cell r="V1001">
            <v>0.33333333333333331</v>
          </cell>
          <cell r="W1001">
            <v>25.823999999999998</v>
          </cell>
          <cell r="X1001">
            <v>25.439999999999998</v>
          </cell>
          <cell r="Y1001">
            <v>0.41666666666666702</v>
          </cell>
          <cell r="Z1001">
            <v>84.3</v>
          </cell>
          <cell r="AA1001">
            <v>84.707999999999998</v>
          </cell>
          <cell r="AW1001">
            <v>4</v>
          </cell>
          <cell r="AX1001">
            <v>4</v>
          </cell>
          <cell r="AY1001">
            <v>4</v>
          </cell>
          <cell r="AZ1001">
            <v>4</v>
          </cell>
          <cell r="BA1001" t="str">
            <v>CONSORCIO NOVA ETE - PARQUE NOVO MUNDO</v>
          </cell>
          <cell r="BB1001">
            <v>45889</v>
          </cell>
          <cell r="BD1001" t="str">
            <v>qua</v>
          </cell>
          <cell r="BG1001">
            <v>45888</v>
          </cell>
        </row>
        <row r="1002">
          <cell r="A1002" t="str">
            <v>1289-A</v>
          </cell>
          <cell r="B1002">
            <v>911</v>
          </cell>
          <cell r="C1002" t="str">
            <v>PLACA PR_PN-127</v>
          </cell>
          <cell r="D1002">
            <v>6</v>
          </cell>
          <cell r="E1002">
            <v>40</v>
          </cell>
          <cell r="F1002">
            <v>24</v>
          </cell>
          <cell r="G1002">
            <v>40</v>
          </cell>
          <cell r="H1002">
            <v>0</v>
          </cell>
          <cell r="I1002" t="str">
            <v>-</v>
          </cell>
          <cell r="J1002" t="str">
            <v>660/660</v>
          </cell>
          <cell r="K1002" t="str">
            <v xml:space="preserve">CPIII 40 RS </v>
          </cell>
          <cell r="L1002" t="str">
            <v>CP V</v>
          </cell>
          <cell r="M1002" t="str">
            <v>SUPER PLASTIFICANTE</v>
          </cell>
          <cell r="N1002" t="str">
            <v>ETE - PROJETO SUCURIÚ - CLARIFICADOR PRIMARIO</v>
          </cell>
          <cell r="O1002" t="str">
            <v>FORTANKS</v>
          </cell>
          <cell r="P1002">
            <v>1</v>
          </cell>
          <cell r="Q1002" t="str">
            <v>Gean</v>
          </cell>
          <cell r="R1002">
            <v>45888</v>
          </cell>
          <cell r="S1002">
            <v>0.38194444444444442</v>
          </cell>
          <cell r="T1002">
            <v>0.37194444444444441</v>
          </cell>
          <cell r="U1002" t="str">
            <v>X</v>
          </cell>
          <cell r="V1002">
            <v>0.33333333333333331</v>
          </cell>
          <cell r="W1002">
            <v>25.82</v>
          </cell>
          <cell r="X1002">
            <v>25.44</v>
          </cell>
          <cell r="Y1002">
            <v>0.41666666666666702</v>
          </cell>
          <cell r="Z1002">
            <v>84.3</v>
          </cell>
          <cell r="AA1002">
            <v>84.7</v>
          </cell>
          <cell r="AW1002">
            <v>4</v>
          </cell>
          <cell r="AX1002">
            <v>4</v>
          </cell>
          <cell r="AY1002">
            <v>4</v>
          </cell>
          <cell r="AZ1002">
            <v>4</v>
          </cell>
          <cell r="BA1002" t="str">
            <v>FORTES ENGENHARIA</v>
          </cell>
          <cell r="BB1002">
            <v>45889</v>
          </cell>
          <cell r="BD1002" t="str">
            <v>qua</v>
          </cell>
          <cell r="BG1002">
            <v>45888</v>
          </cell>
        </row>
        <row r="1003">
          <cell r="A1003">
            <v>1290</v>
          </cell>
          <cell r="B1003">
            <v>912</v>
          </cell>
          <cell r="C1003" t="str">
            <v>PLACAS PN-449 / PN-450</v>
          </cell>
          <cell r="D1003">
            <v>6.5</v>
          </cell>
          <cell r="E1003">
            <v>40</v>
          </cell>
          <cell r="F1003">
            <v>24</v>
          </cell>
          <cell r="G1003">
            <v>40</v>
          </cell>
          <cell r="H1003">
            <v>0</v>
          </cell>
          <cell r="I1003" t="str">
            <v>-</v>
          </cell>
          <cell r="J1003" t="str">
            <v>670/670</v>
          </cell>
          <cell r="K1003" t="str">
            <v xml:space="preserve">CPIII 40 RS </v>
          </cell>
          <cell r="L1003" t="str">
            <v>CP V</v>
          </cell>
          <cell r="M1003" t="str">
            <v>SUPER PLASTIFICANTE</v>
          </cell>
          <cell r="N1003" t="str">
            <v>ETE - PARQUE NOVO MUNDO (REATORES NEREDA)</v>
          </cell>
          <cell r="O1003" t="str">
            <v>FORTANKS</v>
          </cell>
          <cell r="P1003">
            <v>2</v>
          </cell>
          <cell r="Q1003" t="str">
            <v>Gean</v>
          </cell>
          <cell r="R1003">
            <v>45888</v>
          </cell>
          <cell r="S1003">
            <v>0.41666666666666669</v>
          </cell>
          <cell r="T1003">
            <v>0.40666666666666668</v>
          </cell>
          <cell r="U1003" t="str">
            <v>X</v>
          </cell>
          <cell r="V1003">
            <v>0.34027777777777779</v>
          </cell>
          <cell r="W1003">
            <v>33.612000000000002</v>
          </cell>
          <cell r="X1003">
            <v>33.216000000000001</v>
          </cell>
          <cell r="Y1003">
            <v>0.41666666666666702</v>
          </cell>
          <cell r="Z1003">
            <v>84.744</v>
          </cell>
          <cell r="AA1003">
            <v>84.64800000000001</v>
          </cell>
          <cell r="AW1003">
            <v>4</v>
          </cell>
          <cell r="AX1003">
            <v>4</v>
          </cell>
          <cell r="AY1003">
            <v>4</v>
          </cell>
          <cell r="AZ1003">
            <v>4</v>
          </cell>
          <cell r="BA1003" t="str">
            <v>CONSORCIO NOVA ETE - PARQUE NOVO MUNDO</v>
          </cell>
          <cell r="BB1003">
            <v>45890</v>
          </cell>
          <cell r="BC1003">
            <v>1</v>
          </cell>
          <cell r="BD1003" t="str">
            <v>qui</v>
          </cell>
          <cell r="BG1003">
            <v>45888</v>
          </cell>
        </row>
        <row r="1004">
          <cell r="A1004">
            <v>1291</v>
          </cell>
          <cell r="B1004">
            <v>913</v>
          </cell>
          <cell r="C1004" t="str">
            <v>PLACAS PN-451 / PN-452</v>
          </cell>
          <cell r="D1004">
            <v>6.5</v>
          </cell>
          <cell r="E1004">
            <v>40</v>
          </cell>
          <cell r="F1004">
            <v>24</v>
          </cell>
          <cell r="G1004">
            <v>40</v>
          </cell>
          <cell r="H1004">
            <v>0</v>
          </cell>
          <cell r="I1004" t="str">
            <v>-</v>
          </cell>
          <cell r="J1004" t="str">
            <v>680/670</v>
          </cell>
          <cell r="K1004" t="str">
            <v xml:space="preserve">CPIII 40 RS </v>
          </cell>
          <cell r="L1004" t="str">
            <v>CP V</v>
          </cell>
          <cell r="M1004" t="str">
            <v>SUPER PLASTIFICANTE</v>
          </cell>
          <cell r="N1004" t="str">
            <v>ETE - PARQUE NOVO MUNDO (REATORES NEREDA)</v>
          </cell>
          <cell r="O1004" t="str">
            <v>FORTANKS</v>
          </cell>
          <cell r="P1004">
            <v>3</v>
          </cell>
          <cell r="Q1004" t="str">
            <v>Gean</v>
          </cell>
          <cell r="R1004">
            <v>45888</v>
          </cell>
          <cell r="S1004">
            <v>0.45833333333333331</v>
          </cell>
          <cell r="T1004">
            <v>0.44833333333333331</v>
          </cell>
          <cell r="U1004" t="str">
            <v>X</v>
          </cell>
          <cell r="V1004">
            <v>0.34375</v>
          </cell>
          <cell r="W1004">
            <v>29.628</v>
          </cell>
          <cell r="X1004">
            <v>30.911999999999999</v>
          </cell>
          <cell r="Y1004">
            <v>0.41666666666666702</v>
          </cell>
          <cell r="Z1004">
            <v>84.695999999999998</v>
          </cell>
          <cell r="AA1004">
            <v>84.78</v>
          </cell>
          <cell r="AW1004">
            <v>4</v>
          </cell>
          <cell r="AX1004">
            <v>4</v>
          </cell>
          <cell r="AY1004">
            <v>4</v>
          </cell>
          <cell r="AZ1004">
            <v>4</v>
          </cell>
          <cell r="BA1004" t="str">
            <v>CONSORCIO NOVA ETE - PARQUE NOVO MUNDO</v>
          </cell>
          <cell r="BB1004">
            <v>45889</v>
          </cell>
          <cell r="BD1004" t="str">
            <v>qua</v>
          </cell>
          <cell r="BG1004">
            <v>45888</v>
          </cell>
        </row>
        <row r="1005">
          <cell r="A1005">
            <v>1292</v>
          </cell>
          <cell r="B1005">
            <v>914</v>
          </cell>
          <cell r="C1005" t="str">
            <v>PLACAS PN-453 / PN-454</v>
          </cell>
          <cell r="D1005">
            <v>6.5</v>
          </cell>
          <cell r="E1005">
            <v>40</v>
          </cell>
          <cell r="F1005">
            <v>24</v>
          </cell>
          <cell r="G1005">
            <v>40</v>
          </cell>
          <cell r="H1005">
            <v>0</v>
          </cell>
          <cell r="I1005" t="str">
            <v>-</v>
          </cell>
          <cell r="J1005" t="str">
            <v>650/660</v>
          </cell>
          <cell r="K1005" t="str">
            <v xml:space="preserve">CPIII 40 RS </v>
          </cell>
          <cell r="L1005" t="str">
            <v>CP V</v>
          </cell>
          <cell r="M1005" t="str">
            <v>SUPER PLASTIFICANTE</v>
          </cell>
          <cell r="N1005" t="str">
            <v>ETE - PARQUE NOVO MUNDO (REATORES NEREDA)</v>
          </cell>
          <cell r="O1005" t="str">
            <v>FORTANKS</v>
          </cell>
          <cell r="P1005">
            <v>4</v>
          </cell>
          <cell r="Q1005" t="str">
            <v>Gean</v>
          </cell>
          <cell r="R1005">
            <v>45888</v>
          </cell>
          <cell r="S1005">
            <v>0.48958333333333331</v>
          </cell>
          <cell r="T1005">
            <v>0.47958333333333331</v>
          </cell>
          <cell r="U1005" t="str">
            <v>X</v>
          </cell>
          <cell r="V1005">
            <v>0.34722222222222221</v>
          </cell>
          <cell r="W1005">
            <v>25.428000000000001</v>
          </cell>
          <cell r="X1005">
            <v>26.687999999999999</v>
          </cell>
          <cell r="Y1005">
            <v>0.41666666666666702</v>
          </cell>
          <cell r="Z1005">
            <v>84.707999999999998</v>
          </cell>
          <cell r="AA1005">
            <v>85.091999999999999</v>
          </cell>
          <cell r="AW1005">
            <v>4</v>
          </cell>
          <cell r="AX1005">
            <v>4</v>
          </cell>
          <cell r="AY1005">
            <v>4</v>
          </cell>
          <cell r="AZ1005">
            <v>4</v>
          </cell>
          <cell r="BA1005" t="str">
            <v>CONSORCIO NOVA ETE - PARQUE NOVO MUNDO</v>
          </cell>
          <cell r="BB1005">
            <v>45889</v>
          </cell>
          <cell r="BD1005" t="str">
            <v>qua</v>
          </cell>
          <cell r="BG1005">
            <v>45888</v>
          </cell>
        </row>
        <row r="1006">
          <cell r="A1006" t="str">
            <v>1292-A</v>
          </cell>
          <cell r="B1006">
            <v>914</v>
          </cell>
          <cell r="C1006" t="str">
            <v>PLACA PR_PN-127</v>
          </cell>
          <cell r="D1006">
            <v>6.5</v>
          </cell>
          <cell r="E1006">
            <v>40</v>
          </cell>
          <cell r="F1006">
            <v>24</v>
          </cell>
          <cell r="G1006">
            <v>40</v>
          </cell>
          <cell r="H1006">
            <v>0</v>
          </cell>
          <cell r="I1006" t="str">
            <v>-</v>
          </cell>
          <cell r="J1006" t="str">
            <v>650/660</v>
          </cell>
          <cell r="K1006" t="str">
            <v xml:space="preserve">CPIII 40 RS </v>
          </cell>
          <cell r="L1006" t="str">
            <v>CP V</v>
          </cell>
          <cell r="M1006" t="str">
            <v>SUPER PLASTIFICANTE</v>
          </cell>
          <cell r="N1006" t="str">
            <v>ETE - PROJETO SUCURIÚ - CLARIFICADOR PRIMARIO</v>
          </cell>
          <cell r="O1006" t="str">
            <v>FORTANKS</v>
          </cell>
          <cell r="P1006">
            <v>4</v>
          </cell>
          <cell r="Q1006" t="str">
            <v>Gean</v>
          </cell>
          <cell r="R1006">
            <v>45888</v>
          </cell>
          <cell r="S1006">
            <v>0.48958333333333331</v>
          </cell>
          <cell r="T1006">
            <v>0.47958333333333331</v>
          </cell>
          <cell r="U1006" t="str">
            <v>X</v>
          </cell>
          <cell r="V1006">
            <v>0.34722222222222221</v>
          </cell>
          <cell r="W1006">
            <v>25.43</v>
          </cell>
          <cell r="X1006">
            <v>26.69</v>
          </cell>
          <cell r="Y1006">
            <v>0.41666666666666702</v>
          </cell>
          <cell r="Z1006">
            <v>84.7</v>
          </cell>
          <cell r="AA1006">
            <v>85.09</v>
          </cell>
          <cell r="AW1006">
            <v>4</v>
          </cell>
          <cell r="AX1006">
            <v>4</v>
          </cell>
          <cell r="AY1006">
            <v>4</v>
          </cell>
          <cell r="AZ1006">
            <v>4</v>
          </cell>
          <cell r="BA1006" t="str">
            <v>FORTES ENGENHARIA</v>
          </cell>
          <cell r="BB1006">
            <v>45889</v>
          </cell>
          <cell r="BD1006" t="str">
            <v>qua</v>
          </cell>
          <cell r="BG1006">
            <v>45888</v>
          </cell>
        </row>
        <row r="1007">
          <cell r="A1007">
            <v>1293</v>
          </cell>
          <cell r="B1007">
            <v>915</v>
          </cell>
          <cell r="C1007" t="str">
            <v>PLACA PN-464</v>
          </cell>
          <cell r="D1007">
            <v>6</v>
          </cell>
          <cell r="E1007">
            <v>40</v>
          </cell>
          <cell r="F1007">
            <v>24</v>
          </cell>
          <cell r="G1007">
            <v>40</v>
          </cell>
          <cell r="H1007">
            <v>0</v>
          </cell>
          <cell r="I1007" t="str">
            <v>-</v>
          </cell>
          <cell r="J1007" t="str">
            <v>650/660</v>
          </cell>
          <cell r="K1007" t="str">
            <v xml:space="preserve">CPIII 40 RS </v>
          </cell>
          <cell r="L1007" t="str">
            <v>CP V</v>
          </cell>
          <cell r="M1007" t="str">
            <v>SUPER PLASTIFICANTE</v>
          </cell>
          <cell r="N1007" t="str">
            <v>ETE - PARQUE NOVO MUNDO (REATORES NEREDA)</v>
          </cell>
          <cell r="O1007" t="str">
            <v>FORTANKS</v>
          </cell>
          <cell r="P1007">
            <v>1</v>
          </cell>
          <cell r="Q1007" t="str">
            <v>Gean</v>
          </cell>
          <cell r="R1007">
            <v>45889</v>
          </cell>
          <cell r="S1007">
            <v>0.41666666666666669</v>
          </cell>
          <cell r="T1007">
            <v>0.40666666666666668</v>
          </cell>
          <cell r="U1007" t="str">
            <v>X</v>
          </cell>
          <cell r="V1007">
            <v>0.35416666666666669</v>
          </cell>
          <cell r="W1007">
            <v>25.895999999999997</v>
          </cell>
          <cell r="X1007">
            <v>24.179999999999996</v>
          </cell>
          <cell r="Y1007">
            <v>0.41666666666666702</v>
          </cell>
          <cell r="Z1007">
            <v>78.744</v>
          </cell>
          <cell r="AA1007">
            <v>79.583999999999989</v>
          </cell>
          <cell r="AW1007">
            <v>4</v>
          </cell>
          <cell r="AX1007">
            <v>4</v>
          </cell>
          <cell r="AY1007">
            <v>4</v>
          </cell>
          <cell r="AZ1007">
            <v>4</v>
          </cell>
          <cell r="BA1007" t="str">
            <v>CONSORCIO NOVA ETE - PARQUE NOVO MUNDO</v>
          </cell>
          <cell r="BB1007">
            <v>45890</v>
          </cell>
          <cell r="BD1007" t="str">
            <v>qui</v>
          </cell>
          <cell r="BG1007">
            <v>45889</v>
          </cell>
        </row>
        <row r="1008">
          <cell r="A1008" t="str">
            <v>1293-A</v>
          </cell>
          <cell r="B1008">
            <v>915</v>
          </cell>
          <cell r="C1008" t="str">
            <v>PLACA PR_PN-128</v>
          </cell>
          <cell r="D1008">
            <v>6</v>
          </cell>
          <cell r="E1008">
            <v>40</v>
          </cell>
          <cell r="F1008">
            <v>24</v>
          </cell>
          <cell r="G1008">
            <v>40</v>
          </cell>
          <cell r="H1008">
            <v>0</v>
          </cell>
          <cell r="I1008" t="str">
            <v>-</v>
          </cell>
          <cell r="J1008" t="str">
            <v>650/660</v>
          </cell>
          <cell r="K1008" t="str">
            <v xml:space="preserve">CPIII 40 RS </v>
          </cell>
          <cell r="L1008" t="str">
            <v>CP V</v>
          </cell>
          <cell r="M1008" t="str">
            <v>SUPER PLASTIFICANTE</v>
          </cell>
          <cell r="N1008" t="str">
            <v>ETE - PROJETO SUCURIÚ - CLARIFICADOR PRIMARIO</v>
          </cell>
          <cell r="O1008" t="str">
            <v>FORTANKS</v>
          </cell>
          <cell r="P1008">
            <v>1</v>
          </cell>
          <cell r="Q1008" t="str">
            <v>Gean</v>
          </cell>
          <cell r="R1008">
            <v>45889</v>
          </cell>
          <cell r="S1008">
            <v>0.41666666666666669</v>
          </cell>
          <cell r="T1008">
            <v>0.40666666666666668</v>
          </cell>
          <cell r="U1008" t="str">
            <v>X</v>
          </cell>
          <cell r="V1008">
            <v>0.35416666666666669</v>
          </cell>
          <cell r="W1008">
            <v>25.9</v>
          </cell>
          <cell r="X1008">
            <v>24.18</v>
          </cell>
          <cell r="Y1008">
            <v>0.41666666666666702</v>
          </cell>
          <cell r="Z1008">
            <v>78.7</v>
          </cell>
          <cell r="AA1008">
            <v>79.58</v>
          </cell>
          <cell r="AW1008">
            <v>4</v>
          </cell>
          <cell r="AX1008">
            <v>4</v>
          </cell>
          <cell r="AY1008">
            <v>4</v>
          </cell>
          <cell r="AZ1008">
            <v>4</v>
          </cell>
          <cell r="BA1008" t="str">
            <v>FORTES ENGENHARIA</v>
          </cell>
          <cell r="BB1008">
            <v>45890</v>
          </cell>
          <cell r="BD1008" t="str">
            <v>qui</v>
          </cell>
          <cell r="BG1008">
            <v>45889</v>
          </cell>
        </row>
        <row r="1009">
          <cell r="A1009">
            <v>1294</v>
          </cell>
          <cell r="B1009">
            <v>916</v>
          </cell>
          <cell r="C1009" t="str">
            <v>PLACAS PN-463 / PE-305(T2)</v>
          </cell>
          <cell r="D1009">
            <v>7</v>
          </cell>
          <cell r="E1009">
            <v>40</v>
          </cell>
          <cell r="F1009">
            <v>24</v>
          </cell>
          <cell r="G1009">
            <v>40</v>
          </cell>
          <cell r="H1009">
            <v>0</v>
          </cell>
          <cell r="I1009" t="str">
            <v>-</v>
          </cell>
          <cell r="J1009" t="str">
            <v>660/670</v>
          </cell>
          <cell r="K1009" t="str">
            <v xml:space="preserve">CPIII 40 RS </v>
          </cell>
          <cell r="L1009" t="str">
            <v>CP V</v>
          </cell>
          <cell r="M1009" t="str">
            <v>SUPER PLASTIFICANTE</v>
          </cell>
          <cell r="N1009" t="str">
            <v>ETE - PARQUE NOVO MUNDO (REATORES NEREDA)</v>
          </cell>
          <cell r="O1009" t="str">
            <v>FORTANKS</v>
          </cell>
          <cell r="P1009">
            <v>2</v>
          </cell>
          <cell r="Q1009" t="str">
            <v>Gean</v>
          </cell>
          <cell r="R1009">
            <v>45889</v>
          </cell>
          <cell r="S1009">
            <v>0.4375</v>
          </cell>
          <cell r="T1009">
            <v>0.42749999999999999</v>
          </cell>
          <cell r="U1009" t="str">
            <v>X</v>
          </cell>
          <cell r="V1009">
            <v>0.3576388888888889</v>
          </cell>
          <cell r="W1009">
            <v>31.607999999999997</v>
          </cell>
          <cell r="X1009">
            <v>31.367999999999999</v>
          </cell>
          <cell r="Y1009">
            <v>0.41666666666666702</v>
          </cell>
          <cell r="Z1009">
            <v>83.16</v>
          </cell>
          <cell r="AA1009">
            <v>81.983999999999995</v>
          </cell>
          <cell r="AW1009">
            <v>4</v>
          </cell>
          <cell r="AX1009">
            <v>4</v>
          </cell>
          <cell r="AY1009">
            <v>4</v>
          </cell>
          <cell r="AZ1009">
            <v>4</v>
          </cell>
          <cell r="BA1009" t="str">
            <v>CONSORCIO NOVA ETE - PARQUE NOVO MUNDO</v>
          </cell>
          <cell r="BB1009">
            <v>45890</v>
          </cell>
          <cell r="BD1009" t="str">
            <v>qui</v>
          </cell>
          <cell r="BG1009">
            <v>45889</v>
          </cell>
        </row>
        <row r="1010">
          <cell r="A1010">
            <v>1295</v>
          </cell>
          <cell r="B1010">
            <v>917</v>
          </cell>
          <cell r="C1010" t="str">
            <v>PLACAS PN-461 / PN-462</v>
          </cell>
          <cell r="D1010">
            <v>7</v>
          </cell>
          <cell r="E1010">
            <v>40</v>
          </cell>
          <cell r="F1010">
            <v>24</v>
          </cell>
          <cell r="G1010">
            <v>40</v>
          </cell>
          <cell r="H1010">
            <v>0</v>
          </cell>
          <cell r="I1010" t="str">
            <v>-</v>
          </cell>
          <cell r="J1010" t="str">
            <v>680/680</v>
          </cell>
          <cell r="K1010" t="str">
            <v xml:space="preserve">CPIII 40 RS </v>
          </cell>
          <cell r="L1010" t="str">
            <v>CP V</v>
          </cell>
          <cell r="M1010" t="str">
            <v>SUPER PLASTIFICANTE</v>
          </cell>
          <cell r="N1010" t="str">
            <v>ETE - PARQUE NOVO MUNDO (REATORES NEREDA)</v>
          </cell>
          <cell r="O1010" t="str">
            <v>FORTANKS</v>
          </cell>
          <cell r="P1010">
            <v>3</v>
          </cell>
          <cell r="Q1010" t="str">
            <v>Gean</v>
          </cell>
          <cell r="R1010">
            <v>45889</v>
          </cell>
          <cell r="S1010">
            <v>0.4861111111111111</v>
          </cell>
          <cell r="T1010">
            <v>0.4761111111111111</v>
          </cell>
          <cell r="U1010" t="str">
            <v>X</v>
          </cell>
          <cell r="V1010">
            <v>0.3611111111111111</v>
          </cell>
          <cell r="W1010">
            <v>29.808</v>
          </cell>
          <cell r="X1010">
            <v>30.468</v>
          </cell>
          <cell r="Y1010">
            <v>0.41666666666666702</v>
          </cell>
          <cell r="Z1010">
            <v>84.744</v>
          </cell>
          <cell r="AA1010">
            <v>84.144000000000005</v>
          </cell>
          <cell r="AW1010">
            <v>4</v>
          </cell>
          <cell r="AX1010">
            <v>4</v>
          </cell>
          <cell r="AY1010">
            <v>4</v>
          </cell>
          <cell r="AZ1010">
            <v>4</v>
          </cell>
          <cell r="BA1010" t="str">
            <v>CONSORCIO NOVA ETE - PARQUE NOVO MUNDO</v>
          </cell>
          <cell r="BB1010">
            <v>45890</v>
          </cell>
          <cell r="BD1010" t="str">
            <v>qui</v>
          </cell>
          <cell r="BG1010">
            <v>45889</v>
          </cell>
        </row>
        <row r="1011">
          <cell r="A1011">
            <v>1296</v>
          </cell>
          <cell r="B1011">
            <v>918</v>
          </cell>
          <cell r="C1011" t="str">
            <v>PLACAS PN-455 / PN-456</v>
          </cell>
          <cell r="D1011">
            <v>6.5</v>
          </cell>
          <cell r="E1011">
            <v>40</v>
          </cell>
          <cell r="F1011">
            <v>24</v>
          </cell>
          <cell r="G1011">
            <v>40</v>
          </cell>
          <cell r="H1011">
            <v>0</v>
          </cell>
          <cell r="I1011" t="str">
            <v>-</v>
          </cell>
          <cell r="J1011" t="str">
            <v>660/670</v>
          </cell>
          <cell r="K1011" t="str">
            <v xml:space="preserve">CPIII 40 RS </v>
          </cell>
          <cell r="L1011" t="str">
            <v>CP V</v>
          </cell>
          <cell r="M1011" t="str">
            <v>SUPER PLASTIFICANTE</v>
          </cell>
          <cell r="N1011" t="str">
            <v>ETE - PARQUE NOVO MUNDO (REATORES NEREDA)</v>
          </cell>
          <cell r="O1011" t="str">
            <v>FORTANKS</v>
          </cell>
          <cell r="P1011">
            <v>4</v>
          </cell>
          <cell r="Q1011" t="str">
            <v>Gean</v>
          </cell>
          <cell r="R1011">
            <v>45889</v>
          </cell>
          <cell r="S1011">
            <v>0.5</v>
          </cell>
          <cell r="T1011">
            <v>0.49</v>
          </cell>
          <cell r="U1011" t="str">
            <v>X</v>
          </cell>
          <cell r="V1011">
            <v>0.36458333333333331</v>
          </cell>
          <cell r="W1011">
            <v>34.547999999999995</v>
          </cell>
          <cell r="X1011">
            <v>32.699999999999996</v>
          </cell>
          <cell r="Y1011">
            <v>0.41666666666666702</v>
          </cell>
          <cell r="Z1011">
            <v>84.923999999999992</v>
          </cell>
          <cell r="AA1011">
            <v>83.975999999999999</v>
          </cell>
          <cell r="AW1011">
            <v>4</v>
          </cell>
          <cell r="AX1011">
            <v>4</v>
          </cell>
          <cell r="AY1011">
            <v>4</v>
          </cell>
          <cell r="AZ1011">
            <v>4</v>
          </cell>
          <cell r="BA1011" t="str">
            <v>CONSORCIO NOVA ETE - PARQUE NOVO MUNDO</v>
          </cell>
          <cell r="BB1011">
            <v>45890</v>
          </cell>
          <cell r="BD1011" t="str">
            <v>qui</v>
          </cell>
          <cell r="BG1011">
            <v>45889</v>
          </cell>
        </row>
        <row r="1012">
          <cell r="A1012">
            <v>1297</v>
          </cell>
          <cell r="B1012">
            <v>919</v>
          </cell>
          <cell r="C1012" t="str">
            <v>PLACA PR_PN-128 (CANALETA)</v>
          </cell>
          <cell r="D1012">
            <v>1</v>
          </cell>
          <cell r="E1012">
            <v>40</v>
          </cell>
          <cell r="F1012">
            <v>24</v>
          </cell>
          <cell r="G1012">
            <v>40</v>
          </cell>
          <cell r="H1012">
            <v>0</v>
          </cell>
          <cell r="I1012" t="str">
            <v>-</v>
          </cell>
          <cell r="J1012" t="str">
            <v>660/670</v>
          </cell>
          <cell r="K1012" t="str">
            <v xml:space="preserve">CPIII 40 RS </v>
          </cell>
          <cell r="L1012" t="str">
            <v>CP V</v>
          </cell>
          <cell r="M1012" t="str">
            <v>SUPER PLASTIFICANTE</v>
          </cell>
          <cell r="N1012" t="str">
            <v>ETE - PARQUE NOVO MUNDO (REATORES NEREDA)</v>
          </cell>
          <cell r="O1012" t="str">
            <v>FORTANKS</v>
          </cell>
          <cell r="P1012">
            <v>5</v>
          </cell>
          <cell r="Q1012" t="str">
            <v>Gean</v>
          </cell>
          <cell r="R1012">
            <v>45889</v>
          </cell>
          <cell r="S1012">
            <v>0.5</v>
          </cell>
          <cell r="T1012">
            <v>0.49</v>
          </cell>
          <cell r="U1012" t="str">
            <v>X</v>
          </cell>
          <cell r="V1012">
            <v>0.36805555555555558</v>
          </cell>
          <cell r="W1012">
            <v>24.96</v>
          </cell>
          <cell r="X1012">
            <v>24.012</v>
          </cell>
          <cell r="Y1012">
            <v>0.41666666666666702</v>
          </cell>
          <cell r="Z1012">
            <v>85.355999999999995</v>
          </cell>
          <cell r="AA1012">
            <v>85.176000000000002</v>
          </cell>
          <cell r="AW1012">
            <v>4</v>
          </cell>
          <cell r="AX1012">
            <v>4</v>
          </cell>
          <cell r="AY1012">
            <v>4</v>
          </cell>
          <cell r="AZ1012">
            <v>4</v>
          </cell>
          <cell r="BA1012" t="str">
            <v>CONSORCIO NOVA ETE - PARQUE NOVO MUNDO</v>
          </cell>
          <cell r="BB1012">
            <v>45890</v>
          </cell>
          <cell r="BD1012" t="str">
            <v>qui</v>
          </cell>
          <cell r="BG1012">
            <v>45889</v>
          </cell>
        </row>
        <row r="1013">
          <cell r="A1013">
            <v>1298</v>
          </cell>
          <cell r="B1013">
            <v>920</v>
          </cell>
          <cell r="C1013" t="str">
            <v>PLACA PN-472</v>
          </cell>
          <cell r="D1013">
            <v>6</v>
          </cell>
          <cell r="E1013">
            <v>40</v>
          </cell>
          <cell r="F1013">
            <v>24</v>
          </cell>
          <cell r="G1013">
            <v>40</v>
          </cell>
          <cell r="H1013">
            <v>0</v>
          </cell>
          <cell r="I1013" t="str">
            <v>-</v>
          </cell>
          <cell r="J1013" t="str">
            <v>680/680</v>
          </cell>
          <cell r="K1013" t="str">
            <v xml:space="preserve">CPIII 40 RS </v>
          </cell>
          <cell r="L1013" t="str">
            <v>CP V</v>
          </cell>
          <cell r="M1013" t="str">
            <v>SUPER PLASTIFICANTE</v>
          </cell>
          <cell r="N1013" t="str">
            <v>ETE - PARQUE NOVO MUNDO (REATORES NEREDA)</v>
          </cell>
          <cell r="O1013" t="str">
            <v>FORTANKS</v>
          </cell>
          <cell r="P1013">
            <v>1</v>
          </cell>
          <cell r="Q1013" t="str">
            <v>Gean</v>
          </cell>
          <cell r="R1013">
            <v>45891</v>
          </cell>
          <cell r="S1013">
            <v>0.41666666666666669</v>
          </cell>
          <cell r="T1013">
            <v>0.40666666666666668</v>
          </cell>
          <cell r="U1013" t="str">
            <v>X</v>
          </cell>
          <cell r="V1013">
            <v>0.4375</v>
          </cell>
          <cell r="W1013">
            <v>27.612000000000002</v>
          </cell>
          <cell r="X1013">
            <v>30.167999999999999</v>
          </cell>
          <cell r="Y1013">
            <v>0.41666666666666702</v>
          </cell>
          <cell r="Z1013">
            <v>84.083999999999989</v>
          </cell>
          <cell r="AA1013">
            <v>84.275999999999996</v>
          </cell>
          <cell r="AW1013">
            <v>4</v>
          </cell>
          <cell r="AX1013">
            <v>4</v>
          </cell>
          <cell r="AY1013">
            <v>4</v>
          </cell>
          <cell r="AZ1013">
            <v>4</v>
          </cell>
          <cell r="BA1013" t="str">
            <v>CONSORCIO NOVA ETE - PARQUE NOVO MUNDO</v>
          </cell>
          <cell r="BB1013">
            <v>45892</v>
          </cell>
          <cell r="BD1013" t="str">
            <v>sáb</v>
          </cell>
          <cell r="BG1013">
            <v>45891</v>
          </cell>
        </row>
        <row r="1014">
          <cell r="A1014" t="str">
            <v>1298-A</v>
          </cell>
          <cell r="B1014">
            <v>920</v>
          </cell>
          <cell r="C1014" t="str">
            <v>PLACA PR_PN-129</v>
          </cell>
          <cell r="D1014">
            <v>6</v>
          </cell>
          <cell r="E1014">
            <v>40</v>
          </cell>
          <cell r="F1014">
            <v>24</v>
          </cell>
          <cell r="G1014">
            <v>40</v>
          </cell>
          <cell r="H1014">
            <v>0</v>
          </cell>
          <cell r="I1014" t="str">
            <v>-</v>
          </cell>
          <cell r="J1014" t="str">
            <v>680/680</v>
          </cell>
          <cell r="K1014" t="str">
            <v xml:space="preserve">CPIII 40 RS </v>
          </cell>
          <cell r="L1014" t="str">
            <v>CP V</v>
          </cell>
          <cell r="M1014" t="str">
            <v>SUPER PLASTIFICANTE</v>
          </cell>
          <cell r="N1014" t="str">
            <v>ETE - PROJETO SUCURIÚ - CLARIFICADOR PRIMARIO</v>
          </cell>
          <cell r="O1014" t="str">
            <v>FORTANKS</v>
          </cell>
          <cell r="P1014">
            <v>1</v>
          </cell>
          <cell r="Q1014" t="str">
            <v>Gean</v>
          </cell>
          <cell r="R1014">
            <v>45891</v>
          </cell>
          <cell r="S1014">
            <v>0.41666666666666669</v>
          </cell>
          <cell r="T1014">
            <v>0.40666666666666668</v>
          </cell>
          <cell r="U1014" t="str">
            <v>X</v>
          </cell>
          <cell r="V1014">
            <v>0.4375</v>
          </cell>
          <cell r="W1014">
            <v>27.61</v>
          </cell>
          <cell r="X1014">
            <v>30.17</v>
          </cell>
          <cell r="Y1014">
            <v>0.41666666666666702</v>
          </cell>
          <cell r="Z1014">
            <v>84.1</v>
          </cell>
          <cell r="AA1014">
            <v>84.27</v>
          </cell>
          <cell r="AW1014">
            <v>4</v>
          </cell>
          <cell r="AX1014">
            <v>4</v>
          </cell>
          <cell r="AY1014">
            <v>4</v>
          </cell>
          <cell r="AZ1014">
            <v>4</v>
          </cell>
          <cell r="BA1014" t="str">
            <v>FORTES ENGENHARIA</v>
          </cell>
          <cell r="BB1014">
            <v>45892</v>
          </cell>
          <cell r="BD1014" t="str">
            <v>sáb</v>
          </cell>
          <cell r="BG1014">
            <v>45891</v>
          </cell>
        </row>
        <row r="1015">
          <cell r="A1015">
            <v>1299</v>
          </cell>
          <cell r="B1015">
            <v>921</v>
          </cell>
          <cell r="C1015" t="str">
            <v>PLACAS PN-470 / PN-471</v>
          </cell>
          <cell r="D1015">
            <v>7</v>
          </cell>
          <cell r="E1015">
            <v>40</v>
          </cell>
          <cell r="F1015">
            <v>24</v>
          </cell>
          <cell r="G1015">
            <v>40</v>
          </cell>
          <cell r="H1015">
            <v>0</v>
          </cell>
          <cell r="I1015" t="str">
            <v>-</v>
          </cell>
          <cell r="J1015" t="str">
            <v>670/680</v>
          </cell>
          <cell r="K1015" t="str">
            <v xml:space="preserve">CPIII 40 RS </v>
          </cell>
          <cell r="L1015" t="str">
            <v>CP V</v>
          </cell>
          <cell r="M1015" t="str">
            <v>SUPER PLASTIFICANTE</v>
          </cell>
          <cell r="N1015" t="str">
            <v>ETE - PARQUE NOVO MUNDO (REATORES NEREDA)</v>
          </cell>
          <cell r="O1015" t="str">
            <v>FORTANKS</v>
          </cell>
          <cell r="P1015">
            <v>2</v>
          </cell>
          <cell r="Q1015" t="str">
            <v>Gean</v>
          </cell>
          <cell r="R1015">
            <v>45891</v>
          </cell>
          <cell r="S1015">
            <v>0.4375</v>
          </cell>
          <cell r="T1015">
            <v>0.42749999999999999</v>
          </cell>
          <cell r="U1015" t="str">
            <v>X</v>
          </cell>
          <cell r="V1015">
            <v>0.44097222222222221</v>
          </cell>
          <cell r="W1015">
            <v>29.663999999999998</v>
          </cell>
          <cell r="X1015">
            <v>30.647999999999996</v>
          </cell>
          <cell r="Y1015">
            <v>0.41666666666666702</v>
          </cell>
          <cell r="Z1015">
            <v>83.987999999999985</v>
          </cell>
          <cell r="AA1015">
            <v>82.751999999999995</v>
          </cell>
          <cell r="AW1015">
            <v>4</v>
          </cell>
          <cell r="AX1015">
            <v>4</v>
          </cell>
          <cell r="AY1015">
            <v>4</v>
          </cell>
          <cell r="AZ1015">
            <v>4</v>
          </cell>
          <cell r="BA1015" t="str">
            <v>CONSORCIO NOVA ETE - PARQUE NOVO MUNDO</v>
          </cell>
          <cell r="BB1015">
            <v>45892</v>
          </cell>
          <cell r="BD1015" t="str">
            <v>sáb</v>
          </cell>
          <cell r="BG1015">
            <v>45891</v>
          </cell>
        </row>
        <row r="1016">
          <cell r="A1016">
            <v>1300</v>
          </cell>
          <cell r="B1016">
            <v>922</v>
          </cell>
          <cell r="C1016" t="str">
            <v>PLACAS PN-468 / PN-469</v>
          </cell>
          <cell r="D1016">
            <v>6.5</v>
          </cell>
          <cell r="E1016">
            <v>40</v>
          </cell>
          <cell r="F1016">
            <v>24</v>
          </cell>
          <cell r="G1016">
            <v>40</v>
          </cell>
          <cell r="H1016">
            <v>0</v>
          </cell>
          <cell r="I1016" t="str">
            <v>-</v>
          </cell>
          <cell r="J1016" t="str">
            <v>670/680</v>
          </cell>
          <cell r="K1016" t="str">
            <v xml:space="preserve">CPIII 40 RS </v>
          </cell>
          <cell r="L1016" t="str">
            <v>CP V</v>
          </cell>
          <cell r="M1016" t="str">
            <v>SUPER PLASTIFICANTE</v>
          </cell>
          <cell r="N1016" t="str">
            <v>ETE - PARQUE NOVO MUNDO (REATORES NEREDA)</v>
          </cell>
          <cell r="O1016" t="str">
            <v>FORTANKS</v>
          </cell>
          <cell r="P1016">
            <v>3</v>
          </cell>
          <cell r="Q1016" t="str">
            <v>Gean</v>
          </cell>
          <cell r="R1016">
            <v>45891</v>
          </cell>
          <cell r="S1016">
            <v>0.45833333333333331</v>
          </cell>
          <cell r="T1016">
            <v>0.44833333333333331</v>
          </cell>
          <cell r="U1016" t="str">
            <v>X</v>
          </cell>
          <cell r="V1016">
            <v>0.44444444444444442</v>
          </cell>
          <cell r="W1016">
            <v>28.344000000000001</v>
          </cell>
          <cell r="X1016">
            <v>30.9</v>
          </cell>
          <cell r="Y1016">
            <v>0.41666666666666702</v>
          </cell>
          <cell r="Z1016">
            <v>84.144000000000005</v>
          </cell>
          <cell r="AA1016">
            <v>84.671999999999997</v>
          </cell>
          <cell r="AW1016">
            <v>4</v>
          </cell>
          <cell r="AX1016">
            <v>4</v>
          </cell>
          <cell r="AY1016">
            <v>4</v>
          </cell>
          <cell r="AZ1016">
            <v>4</v>
          </cell>
          <cell r="BA1016" t="str">
            <v>CONSORCIO NOVA ETE - PARQUE NOVO MUNDO</v>
          </cell>
          <cell r="BB1016">
            <v>45892</v>
          </cell>
          <cell r="BD1016" t="str">
            <v>sáb</v>
          </cell>
          <cell r="BG1016">
            <v>45891</v>
          </cell>
        </row>
        <row r="1017">
          <cell r="A1017">
            <v>1301</v>
          </cell>
          <cell r="B1017">
            <v>923</v>
          </cell>
          <cell r="C1017" t="str">
            <v>PLACAS PN-465 / PN-467</v>
          </cell>
          <cell r="D1017">
            <v>6</v>
          </cell>
          <cell r="E1017">
            <v>40</v>
          </cell>
          <cell r="F1017">
            <v>24</v>
          </cell>
          <cell r="G1017">
            <v>40</v>
          </cell>
          <cell r="H1017">
            <v>0</v>
          </cell>
          <cell r="I1017" t="str">
            <v>-</v>
          </cell>
          <cell r="J1017" t="str">
            <v>660/650</v>
          </cell>
          <cell r="K1017" t="str">
            <v xml:space="preserve">CPIII 40 RS </v>
          </cell>
          <cell r="L1017" t="str">
            <v>CP V</v>
          </cell>
          <cell r="M1017" t="str">
            <v>SUPER PLASTIFICANTE</v>
          </cell>
          <cell r="N1017" t="str">
            <v>ETE - PARQUE NOVO MUNDO (REATORES NEREDA)</v>
          </cell>
          <cell r="O1017" t="str">
            <v>FORTANKS</v>
          </cell>
          <cell r="P1017">
            <v>4</v>
          </cell>
          <cell r="Q1017" t="str">
            <v>Gean</v>
          </cell>
          <cell r="R1017">
            <v>45891</v>
          </cell>
          <cell r="S1017">
            <v>0.48958333333333331</v>
          </cell>
          <cell r="T1017">
            <v>0.47958333333333331</v>
          </cell>
          <cell r="U1017" t="str">
            <v>X</v>
          </cell>
          <cell r="V1017">
            <v>0.44791666666666669</v>
          </cell>
          <cell r="W1017">
            <v>35.555999999999997</v>
          </cell>
          <cell r="X1017">
            <v>37.595999999999997</v>
          </cell>
          <cell r="Y1017">
            <v>0.41666666666666702</v>
          </cell>
          <cell r="Z1017">
            <v>85.5</v>
          </cell>
          <cell r="AA1017">
            <v>84.971999999999994</v>
          </cell>
          <cell r="AW1017">
            <v>4</v>
          </cell>
          <cell r="AX1017">
            <v>4</v>
          </cell>
          <cell r="AY1017">
            <v>4</v>
          </cell>
          <cell r="AZ1017">
            <v>4</v>
          </cell>
          <cell r="BA1017" t="str">
            <v>CONSORCIO NOVA ETE - PARQUE NOVO MUNDO</v>
          </cell>
          <cell r="BB1017">
            <v>45892</v>
          </cell>
          <cell r="BD1017" t="str">
            <v>sáb</v>
          </cell>
          <cell r="BG1017">
            <v>45891</v>
          </cell>
        </row>
        <row r="1018">
          <cell r="A1018">
            <v>1302</v>
          </cell>
          <cell r="B1018">
            <v>924</v>
          </cell>
          <cell r="C1018" t="str">
            <v>PLACA PR_PN-129 (CANALETA)</v>
          </cell>
          <cell r="D1018">
            <v>1</v>
          </cell>
          <cell r="E1018">
            <v>40</v>
          </cell>
          <cell r="F1018">
            <v>15</v>
          </cell>
          <cell r="G1018">
            <v>40</v>
          </cell>
          <cell r="H1018">
            <v>0</v>
          </cell>
          <cell r="I1018" t="str">
            <v>-</v>
          </cell>
          <cell r="J1018" t="str">
            <v>650/640</v>
          </cell>
          <cell r="K1018" t="str">
            <v xml:space="preserve">CPIII 40 RS </v>
          </cell>
          <cell r="L1018" t="str">
            <v>CP V</v>
          </cell>
          <cell r="M1018" t="str">
            <v>SUPER PLASTIFICANTE</v>
          </cell>
          <cell r="N1018" t="str">
            <v>ETE - PROJETO SUCURIÚ - CLARIFICADOR PRIMARIO</v>
          </cell>
          <cell r="O1018" t="str">
            <v>FORTANKS</v>
          </cell>
          <cell r="P1018">
            <v>5</v>
          </cell>
          <cell r="Q1018" t="str">
            <v>Gean</v>
          </cell>
          <cell r="R1018">
            <v>45891</v>
          </cell>
          <cell r="S1018">
            <v>0.65972222222222221</v>
          </cell>
          <cell r="T1018">
            <v>0.6497222222222222</v>
          </cell>
          <cell r="U1018" t="str">
            <v>X</v>
          </cell>
          <cell r="V1018">
            <v>0.4513888888888889</v>
          </cell>
          <cell r="W1018">
            <v>19.103999999999999</v>
          </cell>
          <cell r="X1018">
            <v>19.608000000000001</v>
          </cell>
          <cell r="Y1018">
            <v>0.41666666666666702</v>
          </cell>
          <cell r="Z1018">
            <v>72.935999999999993</v>
          </cell>
          <cell r="AA1018">
            <v>73.02</v>
          </cell>
          <cell r="AW1018">
            <v>4</v>
          </cell>
          <cell r="AX1018">
            <v>4</v>
          </cell>
          <cell r="AY1018">
            <v>4</v>
          </cell>
          <cell r="AZ1018">
            <v>4</v>
          </cell>
          <cell r="BA1018" t="str">
            <v>FORTES ENGENHARIA</v>
          </cell>
          <cell r="BB1018">
            <v>45892</v>
          </cell>
          <cell r="BD1018" t="str">
            <v>sáb</v>
          </cell>
          <cell r="BG1018">
            <v>45891</v>
          </cell>
        </row>
        <row r="1019">
          <cell r="A1019">
            <v>1303</v>
          </cell>
          <cell r="B1019">
            <v>925</v>
          </cell>
          <cell r="C1019" t="str">
            <v>PLACA PN-479</v>
          </cell>
          <cell r="D1019">
            <v>6</v>
          </cell>
          <cell r="E1019">
            <v>40</v>
          </cell>
          <cell r="F1019">
            <v>24</v>
          </cell>
          <cell r="G1019">
            <v>40</v>
          </cell>
          <cell r="H1019">
            <v>0</v>
          </cell>
          <cell r="I1019" t="str">
            <v>-</v>
          </cell>
          <cell r="J1019" t="str">
            <v>660/670</v>
          </cell>
          <cell r="K1019" t="str">
            <v xml:space="preserve">CPIII 40 RS </v>
          </cell>
          <cell r="L1019" t="str">
            <v>CP V</v>
          </cell>
          <cell r="M1019" t="str">
            <v>SUPER PLASTIFICANTE</v>
          </cell>
          <cell r="N1019" t="str">
            <v>ETE - PARQUE NOVO MUNDO (REATORES NEREDA)</v>
          </cell>
          <cell r="O1019" t="str">
            <v>FORTANKS</v>
          </cell>
          <cell r="P1019">
            <v>1</v>
          </cell>
          <cell r="Q1019" t="str">
            <v>Gean</v>
          </cell>
          <cell r="R1019">
            <v>45892</v>
          </cell>
          <cell r="S1019">
            <v>0.54166666666666663</v>
          </cell>
          <cell r="T1019">
            <v>0.53166666666666662</v>
          </cell>
          <cell r="U1019" t="str">
            <v>X</v>
          </cell>
          <cell r="V1019">
            <v>0.35416666666666669</v>
          </cell>
          <cell r="W1019">
            <v>50.1</v>
          </cell>
          <cell r="X1019">
            <v>48.395999999999994</v>
          </cell>
          <cell r="Y1019">
            <v>0.41666666666666702</v>
          </cell>
          <cell r="Z1019">
            <v>84.383999999999986</v>
          </cell>
          <cell r="AA1019">
            <v>85.067999999999998</v>
          </cell>
          <cell r="AW1019">
            <v>4</v>
          </cell>
          <cell r="AX1019">
            <v>4</v>
          </cell>
          <cell r="AY1019">
            <v>4</v>
          </cell>
          <cell r="AZ1019">
            <v>4</v>
          </cell>
          <cell r="BA1019" t="str">
            <v>CONSORCIO NOVA ETE - PARQUE NOVO MUNDO</v>
          </cell>
          <cell r="BB1019">
            <v>45894</v>
          </cell>
          <cell r="BC1019">
            <v>1</v>
          </cell>
          <cell r="BD1019" t="str">
            <v>seg</v>
          </cell>
          <cell r="BG1019">
            <v>45892</v>
          </cell>
        </row>
        <row r="1020">
          <cell r="A1020" t="str">
            <v>1303-A</v>
          </cell>
          <cell r="B1020">
            <v>925</v>
          </cell>
          <cell r="C1020" t="str">
            <v>PLACA PR_PN-130</v>
          </cell>
          <cell r="D1020">
            <v>6</v>
          </cell>
          <cell r="E1020">
            <v>40</v>
          </cell>
          <cell r="F1020">
            <v>24</v>
          </cell>
          <cell r="G1020">
            <v>40</v>
          </cell>
          <cell r="H1020">
            <v>0</v>
          </cell>
          <cell r="I1020" t="str">
            <v>-</v>
          </cell>
          <cell r="J1020" t="str">
            <v>660/670</v>
          </cell>
          <cell r="K1020" t="str">
            <v xml:space="preserve">CPIII 40 RS </v>
          </cell>
          <cell r="L1020" t="str">
            <v>CP V</v>
          </cell>
          <cell r="M1020" t="str">
            <v>SUPER PLASTIFICANTE</v>
          </cell>
          <cell r="N1020" t="str">
            <v>ETE - PROJETO SUCURIÚ - CLARIFICADOR PRIMARIO</v>
          </cell>
          <cell r="O1020" t="str">
            <v>FORTANKS</v>
          </cell>
          <cell r="P1020">
            <v>1</v>
          </cell>
          <cell r="Q1020" t="str">
            <v>Gean</v>
          </cell>
          <cell r="R1020">
            <v>45892</v>
          </cell>
          <cell r="S1020">
            <v>0.54166666666666663</v>
          </cell>
          <cell r="T1020">
            <v>0.53166666666666662</v>
          </cell>
          <cell r="U1020" t="str">
            <v>X</v>
          </cell>
          <cell r="V1020">
            <v>0.35416666666666669</v>
          </cell>
          <cell r="W1020">
            <v>50.1</v>
          </cell>
          <cell r="X1020">
            <v>48.4</v>
          </cell>
          <cell r="Y1020">
            <v>0.41666666666666702</v>
          </cell>
          <cell r="Z1020">
            <v>84.4</v>
          </cell>
          <cell r="AA1020">
            <v>85.06</v>
          </cell>
          <cell r="AW1020">
            <v>4</v>
          </cell>
          <cell r="AX1020">
            <v>4</v>
          </cell>
          <cell r="AY1020">
            <v>4</v>
          </cell>
          <cell r="AZ1020">
            <v>4</v>
          </cell>
          <cell r="BA1020" t="str">
            <v>FORTES ENGENHARIA</v>
          </cell>
          <cell r="BB1020">
            <v>45894</v>
          </cell>
          <cell r="BC1020">
            <v>1</v>
          </cell>
          <cell r="BD1020" t="str">
            <v>seg</v>
          </cell>
          <cell r="BG1020">
            <v>45892</v>
          </cell>
        </row>
        <row r="1021">
          <cell r="A1021">
            <v>1304</v>
          </cell>
          <cell r="B1021">
            <v>926</v>
          </cell>
          <cell r="C1021" t="str">
            <v>PLACAS PN-477 / PN-478</v>
          </cell>
          <cell r="D1021">
            <v>7</v>
          </cell>
          <cell r="E1021">
            <v>40</v>
          </cell>
          <cell r="F1021">
            <v>24</v>
          </cell>
          <cell r="G1021">
            <v>40</v>
          </cell>
          <cell r="H1021">
            <v>0</v>
          </cell>
          <cell r="I1021" t="str">
            <v>-</v>
          </cell>
          <cell r="J1021" t="str">
            <v>670/680</v>
          </cell>
          <cell r="K1021" t="str">
            <v xml:space="preserve">CPIII 40 RS </v>
          </cell>
          <cell r="L1021" t="str">
            <v>CP V</v>
          </cell>
          <cell r="M1021" t="str">
            <v>SUPER PLASTIFICANTE</v>
          </cell>
          <cell r="N1021" t="str">
            <v>ETE - PARQUE NOVO MUNDO (REATORES NEREDA)</v>
          </cell>
          <cell r="O1021" t="str">
            <v>FORTANKS</v>
          </cell>
          <cell r="P1021">
            <v>2</v>
          </cell>
          <cell r="Q1021" t="str">
            <v>Gean</v>
          </cell>
          <cell r="R1021">
            <v>45892</v>
          </cell>
          <cell r="S1021">
            <v>0.57638888888888884</v>
          </cell>
          <cell r="T1021">
            <v>0.56638888888888883</v>
          </cell>
          <cell r="U1021" t="str">
            <v>X</v>
          </cell>
          <cell r="V1021">
            <v>0.3576388888888889</v>
          </cell>
          <cell r="W1021">
            <v>40.308</v>
          </cell>
          <cell r="X1021">
            <v>38.627999999999993</v>
          </cell>
          <cell r="Y1021">
            <v>0.41666666666666702</v>
          </cell>
          <cell r="Z1021">
            <v>85.331999999999994</v>
          </cell>
          <cell r="AA1021">
            <v>85.103999999999999</v>
          </cell>
          <cell r="AW1021">
            <v>4</v>
          </cell>
          <cell r="AX1021">
            <v>4</v>
          </cell>
          <cell r="AY1021">
            <v>4</v>
          </cell>
          <cell r="AZ1021">
            <v>4</v>
          </cell>
          <cell r="BA1021" t="str">
            <v>CONSORCIO NOVA ETE - PARQUE NOVO MUNDO</v>
          </cell>
          <cell r="BB1021">
            <v>45894</v>
          </cell>
          <cell r="BC1021">
            <v>1</v>
          </cell>
          <cell r="BD1021" t="str">
            <v>seg</v>
          </cell>
          <cell r="BG1021">
            <v>45892</v>
          </cell>
        </row>
        <row r="1022">
          <cell r="A1022">
            <v>1305</v>
          </cell>
          <cell r="B1022">
            <v>927</v>
          </cell>
          <cell r="C1022" t="str">
            <v>PLACAS PN-475 / PN-476</v>
          </cell>
          <cell r="D1022">
            <v>7</v>
          </cell>
          <cell r="E1022">
            <v>40</v>
          </cell>
          <cell r="F1022">
            <v>24</v>
          </cell>
          <cell r="G1022">
            <v>40</v>
          </cell>
          <cell r="H1022">
            <v>0</v>
          </cell>
          <cell r="I1022" t="str">
            <v>-</v>
          </cell>
          <cell r="J1022" t="str">
            <v>680/680</v>
          </cell>
          <cell r="K1022" t="str">
            <v xml:space="preserve">CPIII 40 RS </v>
          </cell>
          <cell r="L1022" t="str">
            <v>CP V</v>
          </cell>
          <cell r="M1022" t="str">
            <v>SUPER PLASTIFICANTE</v>
          </cell>
          <cell r="N1022" t="str">
            <v>ETE - PARQUE NOVO MUNDO (REATORES NEREDA)</v>
          </cell>
          <cell r="O1022" t="str">
            <v>FORTANKS</v>
          </cell>
          <cell r="P1022">
            <v>3</v>
          </cell>
          <cell r="Q1022" t="str">
            <v>Gean</v>
          </cell>
          <cell r="R1022">
            <v>45892</v>
          </cell>
          <cell r="S1022">
            <v>0.58333333333333337</v>
          </cell>
          <cell r="T1022">
            <v>0.57333333333333336</v>
          </cell>
          <cell r="U1022" t="str">
            <v>X</v>
          </cell>
          <cell r="V1022">
            <v>0.3611111111111111</v>
          </cell>
          <cell r="W1022">
            <v>42.456000000000003</v>
          </cell>
          <cell r="X1022">
            <v>42.443999999999996</v>
          </cell>
          <cell r="Y1022">
            <v>0.41666666666666702</v>
          </cell>
          <cell r="Z1022">
            <v>84.419999999999987</v>
          </cell>
          <cell r="AA1022">
            <v>84.671999999999997</v>
          </cell>
          <cell r="AW1022">
            <v>4</v>
          </cell>
          <cell r="AX1022">
            <v>4</v>
          </cell>
          <cell r="AY1022">
            <v>4</v>
          </cell>
          <cell r="AZ1022">
            <v>4</v>
          </cell>
          <cell r="BA1022" t="str">
            <v>CONSORCIO NOVA ETE - PARQUE NOVO MUNDO</v>
          </cell>
          <cell r="BB1022">
            <v>45894</v>
          </cell>
          <cell r="BC1022">
            <v>1</v>
          </cell>
          <cell r="BD1022" t="str">
            <v>seg</v>
          </cell>
          <cell r="BG1022">
            <v>45892</v>
          </cell>
        </row>
        <row r="1023">
          <cell r="A1023">
            <v>1306</v>
          </cell>
          <cell r="B1023">
            <v>928</v>
          </cell>
          <cell r="C1023" t="str">
            <v>PLACAS PN-473 / PE-304(T1)</v>
          </cell>
          <cell r="D1023">
            <v>6.5</v>
          </cell>
          <cell r="E1023">
            <v>40</v>
          </cell>
          <cell r="F1023">
            <v>24</v>
          </cell>
          <cell r="G1023">
            <v>40</v>
          </cell>
          <cell r="H1023">
            <v>0</v>
          </cell>
          <cell r="I1023" t="str">
            <v>-</v>
          </cell>
          <cell r="J1023" t="str">
            <v>680/680</v>
          </cell>
          <cell r="K1023" t="str">
            <v xml:space="preserve">CPIII 40 RS </v>
          </cell>
          <cell r="L1023" t="str">
            <v>CP V</v>
          </cell>
          <cell r="M1023" t="str">
            <v>SUPER PLASTIFICANTE</v>
          </cell>
          <cell r="N1023" t="str">
            <v>ETE - PARQUE NOVO MUNDO (REATORES NEREDA)</v>
          </cell>
          <cell r="O1023" t="str">
            <v>FORTANKS</v>
          </cell>
          <cell r="P1023">
            <v>4</v>
          </cell>
          <cell r="Q1023" t="str">
            <v>Gean</v>
          </cell>
          <cell r="R1023">
            <v>45892</v>
          </cell>
          <cell r="S1023">
            <v>0.64583333333333337</v>
          </cell>
          <cell r="T1023">
            <v>0.63583333333333336</v>
          </cell>
          <cell r="U1023" t="str">
            <v>X</v>
          </cell>
          <cell r="V1023">
            <v>0.36458333333333331</v>
          </cell>
          <cell r="W1023">
            <v>45.443999999999996</v>
          </cell>
          <cell r="X1023">
            <v>43.067999999999998</v>
          </cell>
          <cell r="Y1023">
            <v>0.41666666666666702</v>
          </cell>
          <cell r="Z1023">
            <v>84.96</v>
          </cell>
          <cell r="AA1023">
            <v>84.155999999999992</v>
          </cell>
          <cell r="AW1023">
            <v>4</v>
          </cell>
          <cell r="AX1023">
            <v>4</v>
          </cell>
          <cell r="AY1023">
            <v>4</v>
          </cell>
          <cell r="AZ1023">
            <v>4</v>
          </cell>
          <cell r="BA1023" t="str">
            <v>CONSORCIO NOVA ETE - PARQUE NOVO MUNDO</v>
          </cell>
          <cell r="BB1023">
            <v>45894</v>
          </cell>
          <cell r="BC1023">
            <v>1</v>
          </cell>
          <cell r="BD1023" t="str">
            <v>seg</v>
          </cell>
          <cell r="BG1023">
            <v>45892</v>
          </cell>
        </row>
        <row r="1024">
          <cell r="A1024" t="str">
            <v>1306-A</v>
          </cell>
          <cell r="B1024">
            <v>928</v>
          </cell>
          <cell r="C1024" t="str">
            <v>PLACA PR_PN-130 (CANALETA)</v>
          </cell>
          <cell r="D1024">
            <v>6.5</v>
          </cell>
          <cell r="E1024">
            <v>40</v>
          </cell>
          <cell r="F1024">
            <v>24</v>
          </cell>
          <cell r="G1024">
            <v>40</v>
          </cell>
          <cell r="H1024">
            <v>0</v>
          </cell>
          <cell r="I1024" t="str">
            <v>-</v>
          </cell>
          <cell r="J1024" t="str">
            <v>680/680</v>
          </cell>
          <cell r="K1024" t="str">
            <v xml:space="preserve">CPIII 40 RS </v>
          </cell>
          <cell r="L1024" t="str">
            <v>CP V</v>
          </cell>
          <cell r="M1024" t="str">
            <v>SUPER PLASTIFICANTE</v>
          </cell>
          <cell r="N1024" t="str">
            <v>ETE - PROJETO SUCURIÚ - CLARIFICADOR PRIMARIO</v>
          </cell>
          <cell r="O1024" t="str">
            <v>FORTANKS</v>
          </cell>
          <cell r="P1024">
            <v>4</v>
          </cell>
          <cell r="Q1024" t="str">
            <v>Gean</v>
          </cell>
          <cell r="R1024">
            <v>45892</v>
          </cell>
          <cell r="S1024">
            <v>0.64583333333333337</v>
          </cell>
          <cell r="T1024">
            <v>0.63583333333333336</v>
          </cell>
          <cell r="U1024" t="str">
            <v>X</v>
          </cell>
          <cell r="V1024">
            <v>0.36458333333333331</v>
          </cell>
          <cell r="W1024">
            <v>45.44</v>
          </cell>
          <cell r="X1024">
            <v>43.07</v>
          </cell>
          <cell r="Y1024">
            <v>0.41666666666666702</v>
          </cell>
          <cell r="Z1024">
            <v>85</v>
          </cell>
          <cell r="AA1024">
            <v>84.15</v>
          </cell>
          <cell r="AW1024">
            <v>4</v>
          </cell>
          <cell r="AX1024">
            <v>4</v>
          </cell>
          <cell r="AY1024">
            <v>4</v>
          </cell>
          <cell r="AZ1024">
            <v>4</v>
          </cell>
          <cell r="BA1024" t="str">
            <v>FORTES ENGENHARIA</v>
          </cell>
          <cell r="BB1024">
            <v>45894</v>
          </cell>
          <cell r="BC1024">
            <v>1</v>
          </cell>
          <cell r="BD1024" t="str">
            <v>seg</v>
          </cell>
          <cell r="BG1024">
            <v>45892</v>
          </cell>
        </row>
        <row r="1025">
          <cell r="A1025">
            <v>1307</v>
          </cell>
          <cell r="B1025">
            <v>929</v>
          </cell>
          <cell r="C1025" t="str">
            <v>PLACA PF-280</v>
          </cell>
          <cell r="D1025">
            <v>5</v>
          </cell>
          <cell r="E1025">
            <v>40</v>
          </cell>
          <cell r="F1025">
            <v>24</v>
          </cell>
          <cell r="G1025">
            <v>40</v>
          </cell>
          <cell r="H1025">
            <v>0</v>
          </cell>
          <cell r="I1025" t="str">
            <v>-</v>
          </cell>
          <cell r="J1025" t="str">
            <v>660/670</v>
          </cell>
          <cell r="K1025" t="str">
            <v xml:space="preserve">CPIII 40 RS </v>
          </cell>
          <cell r="L1025" t="str">
            <v>CP V</v>
          </cell>
          <cell r="M1025" t="str">
            <v>SUPER PLASTIFICANTE</v>
          </cell>
          <cell r="N1025" t="str">
            <v>ETE - PARQUE NOVO MUNDO (REATORES NEREDA)</v>
          </cell>
          <cell r="O1025" t="str">
            <v>FORTANKS</v>
          </cell>
          <cell r="P1025">
            <v>1</v>
          </cell>
          <cell r="Q1025" t="str">
            <v>Gean</v>
          </cell>
          <cell r="R1025">
            <v>45894</v>
          </cell>
          <cell r="S1025">
            <v>0.41666666666666669</v>
          </cell>
          <cell r="T1025">
            <v>0.40666666666666668</v>
          </cell>
          <cell r="U1025" t="str">
            <v>X</v>
          </cell>
          <cell r="V1025">
            <v>0.35416666666666669</v>
          </cell>
          <cell r="W1025">
            <v>30.623999999999999</v>
          </cell>
          <cell r="X1025">
            <v>31.895999999999997</v>
          </cell>
          <cell r="Y1025">
            <v>0.41666666666666702</v>
          </cell>
          <cell r="Z1025">
            <v>84.24</v>
          </cell>
          <cell r="AA1025">
            <v>84.66</v>
          </cell>
          <cell r="AW1025">
            <v>4</v>
          </cell>
          <cell r="AX1025">
            <v>4</v>
          </cell>
          <cell r="AY1025">
            <v>4</v>
          </cell>
          <cell r="AZ1025">
            <v>4</v>
          </cell>
          <cell r="BA1025" t="str">
            <v>CONSORCIO NOVA ETE - PARQUE NOVO MUNDO</v>
          </cell>
          <cell r="BB1025">
            <v>45895</v>
          </cell>
          <cell r="BD1025" t="str">
            <v>ter</v>
          </cell>
          <cell r="BG1025">
            <v>45894</v>
          </cell>
        </row>
        <row r="1026">
          <cell r="A1026">
            <v>1308</v>
          </cell>
          <cell r="B1026">
            <v>930</v>
          </cell>
          <cell r="C1026" t="str">
            <v>PLACA PN-480</v>
          </cell>
          <cell r="D1026">
            <v>6</v>
          </cell>
          <cell r="E1026">
            <v>40</v>
          </cell>
          <cell r="F1026">
            <v>24</v>
          </cell>
          <cell r="G1026">
            <v>40</v>
          </cell>
          <cell r="H1026">
            <v>0</v>
          </cell>
          <cell r="I1026" t="str">
            <v>-</v>
          </cell>
          <cell r="J1026" t="str">
            <v>670/670</v>
          </cell>
          <cell r="K1026" t="str">
            <v xml:space="preserve">CPIII 40 RS </v>
          </cell>
          <cell r="L1026" t="str">
            <v>CP V</v>
          </cell>
          <cell r="M1026" t="str">
            <v>SUPER PLASTIFICANTE</v>
          </cell>
          <cell r="N1026" t="str">
            <v>ETE - PARQUE NOVO MUNDO (REATORES NEREDA)</v>
          </cell>
          <cell r="O1026" t="str">
            <v>FORTANKS</v>
          </cell>
          <cell r="P1026">
            <v>1</v>
          </cell>
          <cell r="Q1026" t="str">
            <v>Gean</v>
          </cell>
          <cell r="R1026">
            <v>45895</v>
          </cell>
          <cell r="S1026">
            <v>0.57638888888888884</v>
          </cell>
          <cell r="T1026">
            <v>0.56638888888888883</v>
          </cell>
          <cell r="U1026" t="str">
            <v>X</v>
          </cell>
          <cell r="V1026">
            <v>0.41666666666666669</v>
          </cell>
          <cell r="W1026">
            <v>29.327999999999999</v>
          </cell>
          <cell r="X1026">
            <v>26.712</v>
          </cell>
          <cell r="Y1026">
            <v>0.41666666666666702</v>
          </cell>
          <cell r="Z1026">
            <v>84.036000000000001</v>
          </cell>
          <cell r="AA1026">
            <v>84.78</v>
          </cell>
          <cell r="AW1026">
            <v>4</v>
          </cell>
          <cell r="AX1026">
            <v>4</v>
          </cell>
          <cell r="AY1026">
            <v>4</v>
          </cell>
          <cell r="AZ1026">
            <v>4</v>
          </cell>
          <cell r="BA1026" t="str">
            <v>CONSORCIO NOVA ETE - PARQUE NOVO MUNDO</v>
          </cell>
          <cell r="BB1026">
            <v>45896</v>
          </cell>
          <cell r="BD1026" t="str">
            <v>qua</v>
          </cell>
          <cell r="BG1026">
            <v>45895</v>
          </cell>
        </row>
        <row r="1027">
          <cell r="A1027" t="str">
            <v>1308-A</v>
          </cell>
          <cell r="B1027">
            <v>930</v>
          </cell>
          <cell r="C1027" t="str">
            <v>PLACA PR_PN-132</v>
          </cell>
          <cell r="D1027">
            <v>6</v>
          </cell>
          <cell r="E1027">
            <v>40</v>
          </cell>
          <cell r="F1027">
            <v>24</v>
          </cell>
          <cell r="G1027">
            <v>40</v>
          </cell>
          <cell r="H1027">
            <v>0</v>
          </cell>
          <cell r="I1027" t="str">
            <v>-</v>
          </cell>
          <cell r="J1027" t="str">
            <v>670/670</v>
          </cell>
          <cell r="K1027" t="str">
            <v xml:space="preserve">CPIII 40 RS </v>
          </cell>
          <cell r="L1027" t="str">
            <v>CP V</v>
          </cell>
          <cell r="M1027" t="str">
            <v>SUPER PLASTIFICANTE</v>
          </cell>
          <cell r="N1027" t="str">
            <v>ETE - PROJETO SUCURIÚ - CLARIFICADOR PRIMARIO</v>
          </cell>
          <cell r="O1027" t="str">
            <v>FORTANKS</v>
          </cell>
          <cell r="P1027">
            <v>1</v>
          </cell>
          <cell r="Q1027" t="str">
            <v>Gean</v>
          </cell>
          <cell r="R1027">
            <v>45895</v>
          </cell>
          <cell r="S1027">
            <v>0.57638888888888884</v>
          </cell>
          <cell r="T1027">
            <v>0.56638888888888883</v>
          </cell>
          <cell r="U1027" t="str">
            <v>X</v>
          </cell>
          <cell r="V1027">
            <v>0.41666666666666669</v>
          </cell>
          <cell r="W1027">
            <v>29.33</v>
          </cell>
          <cell r="X1027">
            <v>26.71</v>
          </cell>
          <cell r="Y1027">
            <v>0.41666666666666702</v>
          </cell>
          <cell r="Z1027">
            <v>84</v>
          </cell>
          <cell r="AA1027">
            <v>84.78</v>
          </cell>
          <cell r="AW1027">
            <v>4</v>
          </cell>
          <cell r="AX1027">
            <v>4</v>
          </cell>
          <cell r="AY1027">
            <v>4</v>
          </cell>
          <cell r="AZ1027">
            <v>4</v>
          </cell>
          <cell r="BA1027" t="str">
            <v>FORTES ENGENHARIA</v>
          </cell>
          <cell r="BB1027">
            <v>45896</v>
          </cell>
          <cell r="BD1027" t="str">
            <v>qua</v>
          </cell>
          <cell r="BG1027">
            <v>45895</v>
          </cell>
        </row>
        <row r="1028">
          <cell r="A1028">
            <v>1309</v>
          </cell>
          <cell r="B1028">
            <v>931</v>
          </cell>
          <cell r="C1028" t="str">
            <v>PLACAS PN-481 / PN-482</v>
          </cell>
          <cell r="D1028">
            <v>7</v>
          </cell>
          <cell r="E1028">
            <v>40</v>
          </cell>
          <cell r="F1028">
            <v>24</v>
          </cell>
          <cell r="G1028">
            <v>40</v>
          </cell>
          <cell r="H1028">
            <v>0</v>
          </cell>
          <cell r="I1028" t="str">
            <v>-</v>
          </cell>
          <cell r="J1028" t="str">
            <v>660/670</v>
          </cell>
          <cell r="K1028" t="str">
            <v xml:space="preserve">CPIII 40 RS </v>
          </cell>
          <cell r="L1028" t="str">
            <v>CP V</v>
          </cell>
          <cell r="M1028" t="str">
            <v>SUPER PLASTIFICANTE</v>
          </cell>
          <cell r="N1028" t="str">
            <v>ETE - PARQUE NOVO MUNDO (REATORES NEREDA)</v>
          </cell>
          <cell r="O1028" t="str">
            <v>FORTANKS</v>
          </cell>
          <cell r="P1028">
            <v>2</v>
          </cell>
          <cell r="Q1028" t="str">
            <v>Gean</v>
          </cell>
          <cell r="R1028">
            <v>45895</v>
          </cell>
          <cell r="S1028">
            <v>0.60416666666666663</v>
          </cell>
          <cell r="T1028">
            <v>0.59416666666666662</v>
          </cell>
          <cell r="U1028" t="str">
            <v>X</v>
          </cell>
          <cell r="V1028">
            <v>0.4201388888888889</v>
          </cell>
          <cell r="W1028">
            <v>23.975999999999999</v>
          </cell>
          <cell r="X1028">
            <v>24.3</v>
          </cell>
          <cell r="Y1028">
            <v>0.41666666666666702</v>
          </cell>
          <cell r="Z1028">
            <v>84.3</v>
          </cell>
          <cell r="AA1028">
            <v>83.495999999999995</v>
          </cell>
          <cell r="AW1028">
            <v>4</v>
          </cell>
          <cell r="AX1028">
            <v>4</v>
          </cell>
          <cell r="AY1028">
            <v>4</v>
          </cell>
          <cell r="AZ1028">
            <v>4</v>
          </cell>
          <cell r="BA1028" t="str">
            <v>CONSORCIO NOVA ETE - PARQUE NOVO MUNDO</v>
          </cell>
          <cell r="BB1028">
            <v>45896</v>
          </cell>
          <cell r="BD1028" t="str">
            <v>qua</v>
          </cell>
          <cell r="BG1028">
            <v>45895</v>
          </cell>
        </row>
        <row r="1029">
          <cell r="A1029">
            <v>1310</v>
          </cell>
          <cell r="B1029">
            <v>932</v>
          </cell>
          <cell r="C1029" t="str">
            <v>PLACAS PN-483 / PN-484</v>
          </cell>
          <cell r="D1029">
            <v>6.5</v>
          </cell>
          <cell r="E1029">
            <v>40</v>
          </cell>
          <cell r="F1029">
            <v>24</v>
          </cell>
          <cell r="G1029">
            <v>40</v>
          </cell>
          <cell r="H1029">
            <v>0</v>
          </cell>
          <cell r="I1029" t="str">
            <v>-</v>
          </cell>
          <cell r="J1029" t="str">
            <v>680/680</v>
          </cell>
          <cell r="K1029" t="str">
            <v xml:space="preserve">CPIII 40 RS </v>
          </cell>
          <cell r="L1029" t="str">
            <v>CP V</v>
          </cell>
          <cell r="M1029" t="str">
            <v>SUPER PLASTIFICANTE</v>
          </cell>
          <cell r="N1029" t="str">
            <v>ETE - PARQUE NOVO MUNDO (REATORES NEREDA)</v>
          </cell>
          <cell r="O1029" t="str">
            <v>FORTANKS</v>
          </cell>
          <cell r="P1029">
            <v>3</v>
          </cell>
          <cell r="Q1029" t="str">
            <v>Gean</v>
          </cell>
          <cell r="R1029">
            <v>45895</v>
          </cell>
          <cell r="S1029">
            <v>0.61805555555555558</v>
          </cell>
          <cell r="T1029">
            <v>0.60805555555555557</v>
          </cell>
          <cell r="U1029" t="str">
            <v>X</v>
          </cell>
          <cell r="V1029">
            <v>0.4236111111111111</v>
          </cell>
          <cell r="W1029">
            <v>27.791999999999998</v>
          </cell>
          <cell r="X1029">
            <v>29.112000000000002</v>
          </cell>
          <cell r="Y1029">
            <v>0.41666666666666702</v>
          </cell>
          <cell r="Z1029">
            <v>84.227999999999994</v>
          </cell>
          <cell r="AA1029">
            <v>84.707999999999998</v>
          </cell>
          <cell r="AW1029">
            <v>4</v>
          </cell>
          <cell r="AX1029">
            <v>4</v>
          </cell>
          <cell r="AY1029">
            <v>4</v>
          </cell>
          <cell r="AZ1029">
            <v>4</v>
          </cell>
          <cell r="BA1029" t="str">
            <v>CONSORCIO NOVA ETE - PARQUE NOVO MUNDO</v>
          </cell>
          <cell r="BB1029">
            <v>45896</v>
          </cell>
          <cell r="BD1029" t="str">
            <v>qua</v>
          </cell>
          <cell r="BG1029">
            <v>45895</v>
          </cell>
        </row>
        <row r="1030">
          <cell r="A1030">
            <v>1311</v>
          </cell>
          <cell r="B1030">
            <v>933</v>
          </cell>
          <cell r="C1030" t="str">
            <v>PLACAS PN-485 / PN-486</v>
          </cell>
          <cell r="D1030">
            <v>6</v>
          </cell>
          <cell r="E1030">
            <v>40</v>
          </cell>
          <cell r="F1030">
            <v>24</v>
          </cell>
          <cell r="G1030">
            <v>40</v>
          </cell>
          <cell r="H1030">
            <v>0</v>
          </cell>
          <cell r="I1030" t="str">
            <v>-</v>
          </cell>
          <cell r="J1030" t="str">
            <v>660/670</v>
          </cell>
          <cell r="K1030" t="str">
            <v xml:space="preserve">CPIII 40 RS </v>
          </cell>
          <cell r="L1030" t="str">
            <v>CP V</v>
          </cell>
          <cell r="M1030" t="str">
            <v>SUPER PLASTIFICANTE</v>
          </cell>
          <cell r="N1030" t="str">
            <v>ETE - PARQUE NOVO MUNDO (REATORES NEREDA)</v>
          </cell>
          <cell r="O1030" t="str">
            <v>FORTANKS</v>
          </cell>
          <cell r="P1030">
            <v>4</v>
          </cell>
          <cell r="Q1030" t="str">
            <v>Gean</v>
          </cell>
          <cell r="R1030">
            <v>45895</v>
          </cell>
          <cell r="S1030">
            <v>0.66666666666666663</v>
          </cell>
          <cell r="T1030">
            <v>0.65666666666666662</v>
          </cell>
          <cell r="U1030" t="str">
            <v>X</v>
          </cell>
          <cell r="V1030">
            <v>0.42708333333333331</v>
          </cell>
          <cell r="W1030">
            <v>26.483999999999998</v>
          </cell>
          <cell r="X1030">
            <v>27.791999999999998</v>
          </cell>
          <cell r="Y1030">
            <v>0.41666666666666702</v>
          </cell>
          <cell r="Z1030">
            <v>83.507999999999996</v>
          </cell>
          <cell r="AA1030">
            <v>83.36399999999999</v>
          </cell>
          <cell r="AW1030">
            <v>4</v>
          </cell>
          <cell r="AX1030">
            <v>4</v>
          </cell>
          <cell r="AY1030">
            <v>4</v>
          </cell>
          <cell r="AZ1030">
            <v>4</v>
          </cell>
          <cell r="BA1030" t="str">
            <v>CONSORCIO NOVA ETE - PARQUE NOVO MUNDO</v>
          </cell>
          <cell r="BB1030">
            <v>45896</v>
          </cell>
          <cell r="BD1030" t="str">
            <v>qua</v>
          </cell>
          <cell r="BG1030">
            <v>45895</v>
          </cell>
        </row>
        <row r="1031">
          <cell r="A1031" t="str">
            <v>1311-A</v>
          </cell>
          <cell r="B1031">
            <v>933</v>
          </cell>
          <cell r="C1031" t="str">
            <v>PLACA PR_PN-132 (CANALETA)</v>
          </cell>
          <cell r="D1031">
            <v>6</v>
          </cell>
          <cell r="E1031">
            <v>40</v>
          </cell>
          <cell r="F1031">
            <v>24</v>
          </cell>
          <cell r="G1031">
            <v>40</v>
          </cell>
          <cell r="H1031">
            <v>0</v>
          </cell>
          <cell r="I1031" t="str">
            <v>-</v>
          </cell>
          <cell r="J1031" t="str">
            <v>660/670</v>
          </cell>
          <cell r="K1031" t="str">
            <v xml:space="preserve">CPIII 40 RS </v>
          </cell>
          <cell r="L1031" t="str">
            <v>CP V</v>
          </cell>
          <cell r="M1031" t="str">
            <v>SUPER PLASTIFICANTE</v>
          </cell>
          <cell r="N1031" t="str">
            <v>ETE - PROJETO SUCURIÚ - CLARIFICADOR PRIMARIO</v>
          </cell>
          <cell r="O1031" t="str">
            <v>FORTANKS</v>
          </cell>
          <cell r="P1031">
            <v>4</v>
          </cell>
          <cell r="Q1031" t="str">
            <v>Gean</v>
          </cell>
          <cell r="R1031">
            <v>45895</v>
          </cell>
          <cell r="S1031">
            <v>0.66666666666666663</v>
          </cell>
          <cell r="T1031">
            <v>0.65666666666666662</v>
          </cell>
          <cell r="U1031" t="str">
            <v>X</v>
          </cell>
          <cell r="V1031">
            <v>0.42708333333333331</v>
          </cell>
          <cell r="W1031">
            <v>26.48</v>
          </cell>
          <cell r="X1031">
            <v>27.79</v>
          </cell>
          <cell r="Y1031">
            <v>0.41666666666666702</v>
          </cell>
          <cell r="Z1031">
            <v>83.5</v>
          </cell>
          <cell r="AA1031">
            <v>83.36</v>
          </cell>
          <cell r="AW1031">
            <v>4</v>
          </cell>
          <cell r="AX1031">
            <v>4</v>
          </cell>
          <cell r="AY1031">
            <v>4</v>
          </cell>
          <cell r="AZ1031">
            <v>4</v>
          </cell>
          <cell r="BA1031" t="str">
            <v>FORTES ENGENHARIA</v>
          </cell>
          <cell r="BB1031">
            <v>45896</v>
          </cell>
          <cell r="BD1031" t="str">
            <v>qua</v>
          </cell>
          <cell r="BG1031">
            <v>45895</v>
          </cell>
        </row>
        <row r="1032">
          <cell r="A1032">
            <v>1312</v>
          </cell>
          <cell r="B1032">
            <v>934</v>
          </cell>
          <cell r="C1032" t="str">
            <v>PLACA PN-494</v>
          </cell>
          <cell r="D1032">
            <v>6</v>
          </cell>
          <cell r="E1032">
            <v>40</v>
          </cell>
          <cell r="F1032">
            <v>24</v>
          </cell>
          <cell r="G1032">
            <v>40</v>
          </cell>
          <cell r="H1032">
            <v>0</v>
          </cell>
          <cell r="I1032" t="str">
            <v>-</v>
          </cell>
          <cell r="J1032" t="str">
            <v>660/670</v>
          </cell>
          <cell r="K1032" t="str">
            <v xml:space="preserve">CPIII 40 RS </v>
          </cell>
          <cell r="L1032" t="str">
            <v>CP V</v>
          </cell>
          <cell r="M1032" t="str">
            <v>SUPER PLASTIFICANTE</v>
          </cell>
          <cell r="N1032" t="str">
            <v>ETE - PARQUE NOVO MUNDO (REATORES NEREDA)</v>
          </cell>
          <cell r="O1032" t="str">
            <v>FORTANKS</v>
          </cell>
          <cell r="P1032">
            <v>1</v>
          </cell>
          <cell r="Q1032" t="str">
            <v>Gean</v>
          </cell>
          <cell r="R1032">
            <v>45897</v>
          </cell>
          <cell r="S1032">
            <v>0.40972222222222221</v>
          </cell>
          <cell r="T1032">
            <v>0.3997222222222222</v>
          </cell>
          <cell r="U1032" t="str">
            <v>X</v>
          </cell>
          <cell r="V1032">
            <v>0.375</v>
          </cell>
          <cell r="W1032">
            <v>30.143999999999998</v>
          </cell>
          <cell r="X1032">
            <v>29.04</v>
          </cell>
          <cell r="Y1032">
            <v>0.41666666666666702</v>
          </cell>
          <cell r="Z1032">
            <v>80.616</v>
          </cell>
          <cell r="AA1032">
            <v>82.02</v>
          </cell>
          <cell r="AW1032">
            <v>4</v>
          </cell>
          <cell r="AX1032">
            <v>4</v>
          </cell>
          <cell r="AY1032">
            <v>4</v>
          </cell>
          <cell r="AZ1032">
            <v>4</v>
          </cell>
          <cell r="BA1032" t="str">
            <v>CONSORCIO NOVA ETE - PARQUE NOVO MUNDO</v>
          </cell>
          <cell r="BB1032">
            <v>45898</v>
          </cell>
          <cell r="BD1032" t="str">
            <v>sex</v>
          </cell>
          <cell r="BG1032">
            <v>45897</v>
          </cell>
        </row>
        <row r="1033">
          <cell r="A1033" t="str">
            <v>1312-A</v>
          </cell>
          <cell r="B1033">
            <v>934</v>
          </cell>
          <cell r="C1033" t="str">
            <v>PLACA PR_PN-133</v>
          </cell>
          <cell r="D1033">
            <v>6</v>
          </cell>
          <cell r="E1033">
            <v>40</v>
          </cell>
          <cell r="F1033">
            <v>24</v>
          </cell>
          <cell r="G1033">
            <v>40</v>
          </cell>
          <cell r="H1033">
            <v>0</v>
          </cell>
          <cell r="I1033" t="str">
            <v>-</v>
          </cell>
          <cell r="J1033" t="str">
            <v>660/670</v>
          </cell>
          <cell r="K1033" t="str">
            <v xml:space="preserve">CPIII 40 RS </v>
          </cell>
          <cell r="L1033" t="str">
            <v>CP V</v>
          </cell>
          <cell r="M1033" t="str">
            <v>SUPER PLASTIFICANTE</v>
          </cell>
          <cell r="N1033" t="str">
            <v>ETE - PROJETO SUCURIÚ - CLARIFICADOR PRIMARIO</v>
          </cell>
          <cell r="O1033" t="str">
            <v>FORTANKS</v>
          </cell>
          <cell r="P1033">
            <v>1</v>
          </cell>
          <cell r="Q1033" t="str">
            <v>Gean</v>
          </cell>
          <cell r="R1033">
            <v>45897</v>
          </cell>
          <cell r="S1033">
            <v>0.40972222222222221</v>
          </cell>
          <cell r="T1033">
            <v>0.3997222222222222</v>
          </cell>
          <cell r="U1033" t="str">
            <v>X</v>
          </cell>
          <cell r="V1033">
            <v>0.375</v>
          </cell>
          <cell r="W1033">
            <v>30.14</v>
          </cell>
          <cell r="X1033">
            <v>29.04</v>
          </cell>
          <cell r="Y1033">
            <v>0.41666666666666702</v>
          </cell>
          <cell r="Z1033">
            <v>80.599999999999994</v>
          </cell>
          <cell r="AA1033">
            <v>82.02</v>
          </cell>
          <cell r="AW1033">
            <v>4</v>
          </cell>
          <cell r="AX1033">
            <v>4</v>
          </cell>
          <cell r="AY1033">
            <v>4</v>
          </cell>
          <cell r="AZ1033">
            <v>4</v>
          </cell>
          <cell r="BA1033" t="str">
            <v>FORTES ENGENHARIA</v>
          </cell>
          <cell r="BB1033">
            <v>45898</v>
          </cell>
          <cell r="BD1033" t="str">
            <v>sex</v>
          </cell>
          <cell r="BG1033">
            <v>45897</v>
          </cell>
        </row>
        <row r="1034">
          <cell r="A1034">
            <v>1313</v>
          </cell>
          <cell r="B1034">
            <v>935</v>
          </cell>
          <cell r="C1034" t="str">
            <v>PLACAS PN-492 / PN-493</v>
          </cell>
          <cell r="D1034">
            <v>7</v>
          </cell>
          <cell r="E1034">
            <v>40</v>
          </cell>
          <cell r="F1034">
            <v>24</v>
          </cell>
          <cell r="G1034">
            <v>40</v>
          </cell>
          <cell r="H1034">
            <v>0</v>
          </cell>
          <cell r="I1034" t="str">
            <v>-</v>
          </cell>
          <cell r="J1034" t="str">
            <v>650/650</v>
          </cell>
          <cell r="K1034" t="str">
            <v xml:space="preserve">CPIII 40 RS </v>
          </cell>
          <cell r="L1034" t="str">
            <v>CP V</v>
          </cell>
          <cell r="M1034" t="str">
            <v>SUPER PLASTIFICANTE</v>
          </cell>
          <cell r="N1034" t="str">
            <v>ETE - PARQUE NOVO MUNDO (REATORES NEREDA)</v>
          </cell>
          <cell r="O1034" t="str">
            <v>FORTANKS</v>
          </cell>
          <cell r="P1034">
            <v>2</v>
          </cell>
          <cell r="Q1034" t="str">
            <v>Gean</v>
          </cell>
          <cell r="R1034">
            <v>45897</v>
          </cell>
          <cell r="S1034">
            <v>0.4375</v>
          </cell>
          <cell r="T1034">
            <v>0.42749999999999999</v>
          </cell>
          <cell r="U1034" t="str">
            <v>X</v>
          </cell>
          <cell r="V1034">
            <v>0.37847222222222221</v>
          </cell>
          <cell r="W1034">
            <v>34.031999999999996</v>
          </cell>
          <cell r="X1034">
            <v>35.1</v>
          </cell>
          <cell r="Y1034">
            <v>0.41666666666666702</v>
          </cell>
          <cell r="Z1034">
            <v>83.423999999999992</v>
          </cell>
          <cell r="AA1034">
            <v>83.507999999999996</v>
          </cell>
          <cell r="AW1034">
            <v>4</v>
          </cell>
          <cell r="AX1034">
            <v>4</v>
          </cell>
          <cell r="AY1034">
            <v>4</v>
          </cell>
          <cell r="AZ1034">
            <v>4</v>
          </cell>
          <cell r="BA1034" t="str">
            <v>CONSORCIO NOVA ETE - PARQUE NOVO MUNDO</v>
          </cell>
          <cell r="BB1034">
            <v>45898</v>
          </cell>
          <cell r="BD1034" t="str">
            <v>sex</v>
          </cell>
          <cell r="BG1034">
            <v>45897</v>
          </cell>
        </row>
        <row r="1035">
          <cell r="A1035">
            <v>1314</v>
          </cell>
          <cell r="B1035">
            <v>936</v>
          </cell>
          <cell r="C1035" t="str">
            <v>PLACAS PN-489 / PN-491</v>
          </cell>
          <cell r="D1035">
            <v>7</v>
          </cell>
          <cell r="E1035">
            <v>40</v>
          </cell>
          <cell r="F1035">
            <v>24</v>
          </cell>
          <cell r="G1035">
            <v>40</v>
          </cell>
          <cell r="H1035">
            <v>0</v>
          </cell>
          <cell r="I1035" t="str">
            <v>-</v>
          </cell>
          <cell r="J1035" t="str">
            <v>660/670</v>
          </cell>
          <cell r="K1035" t="str">
            <v xml:space="preserve">CPIII 40 RS </v>
          </cell>
          <cell r="L1035" t="str">
            <v>CP V</v>
          </cell>
          <cell r="M1035" t="str">
            <v>SUPER PLASTIFICANTE</v>
          </cell>
          <cell r="N1035" t="str">
            <v>ETE - PARQUE NOVO MUNDO (REATORES NEREDA)</v>
          </cell>
          <cell r="O1035" t="str">
            <v>FORTANKS</v>
          </cell>
          <cell r="P1035">
            <v>3</v>
          </cell>
          <cell r="Q1035" t="str">
            <v>Gean</v>
          </cell>
          <cell r="R1035">
            <v>45897</v>
          </cell>
          <cell r="S1035">
            <v>0.46875</v>
          </cell>
          <cell r="T1035">
            <v>0.45874999999999999</v>
          </cell>
          <cell r="U1035" t="str">
            <v>X</v>
          </cell>
          <cell r="V1035">
            <v>0.38194444444444442</v>
          </cell>
          <cell r="W1035">
            <v>33.167999999999999</v>
          </cell>
          <cell r="X1035">
            <v>35.244</v>
          </cell>
          <cell r="Y1035">
            <v>0.41666666666666702</v>
          </cell>
          <cell r="Z1035">
            <v>84.216000000000008</v>
          </cell>
          <cell r="AA1035">
            <v>84.971999999999994</v>
          </cell>
          <cell r="AW1035">
            <v>4</v>
          </cell>
          <cell r="AX1035">
            <v>4</v>
          </cell>
          <cell r="AY1035">
            <v>4</v>
          </cell>
          <cell r="AZ1035">
            <v>4</v>
          </cell>
          <cell r="BA1035" t="str">
            <v>CONSORCIO NOVA ETE - PARQUE NOVO MUNDO</v>
          </cell>
          <cell r="BB1035">
            <v>45898</v>
          </cell>
          <cell r="BD1035" t="str">
            <v>sex</v>
          </cell>
          <cell r="BG1035">
            <v>45897</v>
          </cell>
        </row>
        <row r="1036">
          <cell r="A1036">
            <v>1315</v>
          </cell>
          <cell r="B1036">
            <v>937</v>
          </cell>
          <cell r="C1036" t="str">
            <v>PLACAS PN-487 / PN-488</v>
          </cell>
          <cell r="D1036">
            <v>6.5</v>
          </cell>
          <cell r="E1036">
            <v>40</v>
          </cell>
          <cell r="F1036">
            <v>24</v>
          </cell>
          <cell r="G1036">
            <v>40</v>
          </cell>
          <cell r="H1036">
            <v>0</v>
          </cell>
          <cell r="I1036" t="str">
            <v>-</v>
          </cell>
          <cell r="J1036" t="str">
            <v>680/680</v>
          </cell>
          <cell r="K1036" t="str">
            <v xml:space="preserve">CPIII 40 RS </v>
          </cell>
          <cell r="L1036" t="str">
            <v>CP V</v>
          </cell>
          <cell r="M1036" t="str">
            <v>SUPER PLASTIFICANTE</v>
          </cell>
          <cell r="N1036" t="str">
            <v>ETE - PARQUE NOVO MUNDO (REATORES NEREDA)</v>
          </cell>
          <cell r="O1036" t="str">
            <v>FORTANKS</v>
          </cell>
          <cell r="P1036">
            <v>4</v>
          </cell>
          <cell r="Q1036" t="str">
            <v>Gean</v>
          </cell>
          <cell r="R1036">
            <v>45897</v>
          </cell>
          <cell r="S1036">
            <v>0.5</v>
          </cell>
          <cell r="T1036">
            <v>0.49</v>
          </cell>
          <cell r="U1036" t="str">
            <v>X</v>
          </cell>
          <cell r="V1036">
            <v>0.38541666666666669</v>
          </cell>
          <cell r="W1036">
            <v>29.447999999999997</v>
          </cell>
          <cell r="X1036">
            <v>32.112000000000002</v>
          </cell>
          <cell r="Y1036">
            <v>0.41666666666666702</v>
          </cell>
          <cell r="Z1036">
            <v>79.883999999999986</v>
          </cell>
          <cell r="AA1036">
            <v>80.819999999999993</v>
          </cell>
          <cell r="AW1036">
            <v>4</v>
          </cell>
          <cell r="AX1036">
            <v>4</v>
          </cell>
          <cell r="AY1036">
            <v>4</v>
          </cell>
          <cell r="AZ1036">
            <v>4</v>
          </cell>
          <cell r="BA1036" t="str">
            <v>CONSORCIO NOVA ETE - PARQUE NOVO MUNDO</v>
          </cell>
          <cell r="BB1036">
            <v>45898</v>
          </cell>
          <cell r="BD1036" t="str">
            <v>sex</v>
          </cell>
          <cell r="BG1036">
            <v>45897</v>
          </cell>
        </row>
        <row r="1037">
          <cell r="A1037" t="str">
            <v>1315-A</v>
          </cell>
          <cell r="B1037">
            <v>937</v>
          </cell>
          <cell r="C1037" t="str">
            <v>PLACA PR_PN-133 (CANALETA)</v>
          </cell>
          <cell r="D1037">
            <v>6.5</v>
          </cell>
          <cell r="E1037">
            <v>40</v>
          </cell>
          <cell r="F1037">
            <v>24</v>
          </cell>
          <cell r="G1037">
            <v>40</v>
          </cell>
          <cell r="H1037">
            <v>0</v>
          </cell>
          <cell r="I1037" t="str">
            <v>-</v>
          </cell>
          <cell r="J1037" t="str">
            <v>680/680</v>
          </cell>
          <cell r="K1037" t="str">
            <v xml:space="preserve">CPIII 40 RS </v>
          </cell>
          <cell r="L1037" t="str">
            <v>CP V</v>
          </cell>
          <cell r="M1037" t="str">
            <v>SUPER PLASTIFICANTE</v>
          </cell>
          <cell r="N1037" t="str">
            <v>ETE - PROJETO SUCURIÚ - CLARIFICADOR PRIMARIO</v>
          </cell>
          <cell r="O1037" t="str">
            <v>FORTANKS</v>
          </cell>
          <cell r="P1037">
            <v>4</v>
          </cell>
          <cell r="Q1037" t="str">
            <v>Gean</v>
          </cell>
          <cell r="R1037">
            <v>45897</v>
          </cell>
          <cell r="S1037">
            <v>0.5</v>
          </cell>
          <cell r="T1037">
            <v>0.49</v>
          </cell>
          <cell r="U1037" t="str">
            <v>X</v>
          </cell>
          <cell r="V1037">
            <v>0.38541666666666669</v>
          </cell>
          <cell r="W1037">
            <v>29.45</v>
          </cell>
          <cell r="X1037">
            <v>32.11</v>
          </cell>
          <cell r="Y1037">
            <v>0.41666666666666702</v>
          </cell>
          <cell r="Z1037">
            <v>79.900000000000006</v>
          </cell>
          <cell r="AA1037">
            <v>80.819999999999993</v>
          </cell>
          <cell r="AW1037">
            <v>4</v>
          </cell>
          <cell r="AX1037">
            <v>4</v>
          </cell>
          <cell r="AY1037">
            <v>4</v>
          </cell>
          <cell r="AZ1037">
            <v>4</v>
          </cell>
          <cell r="BA1037" t="str">
            <v>FORTES ENGENHARIA</v>
          </cell>
          <cell r="BB1037">
            <v>45898</v>
          </cell>
          <cell r="BD1037" t="str">
            <v>sex</v>
          </cell>
          <cell r="BG1037">
            <v>45897</v>
          </cell>
        </row>
        <row r="1038">
          <cell r="A1038">
            <v>1316</v>
          </cell>
          <cell r="B1038">
            <v>938</v>
          </cell>
          <cell r="C1038" t="str">
            <v>PLACA PN-495</v>
          </cell>
          <cell r="D1038">
            <v>6</v>
          </cell>
          <cell r="E1038">
            <v>40</v>
          </cell>
          <cell r="F1038">
            <v>24</v>
          </cell>
          <cell r="G1038">
            <v>40</v>
          </cell>
          <cell r="H1038">
            <v>0</v>
          </cell>
          <cell r="I1038" t="str">
            <v>-</v>
          </cell>
          <cell r="J1038" t="str">
            <v>670/670</v>
          </cell>
          <cell r="K1038" t="str">
            <v xml:space="preserve">CPIII 40 RS </v>
          </cell>
          <cell r="L1038" t="str">
            <v>CP V</v>
          </cell>
          <cell r="M1038" t="str">
            <v>SUPER PLASTIFICANTE</v>
          </cell>
          <cell r="N1038" t="str">
            <v>ETE - PARQUE NOVO MUNDO (REATORES NEREDA)</v>
          </cell>
          <cell r="O1038" t="str">
            <v>FORTANKS</v>
          </cell>
          <cell r="P1038">
            <v>1</v>
          </cell>
          <cell r="Q1038" t="str">
            <v>Gean</v>
          </cell>
          <cell r="R1038">
            <v>45899</v>
          </cell>
          <cell r="S1038">
            <v>0.39583333333333331</v>
          </cell>
          <cell r="T1038">
            <v>0.38583333333333331</v>
          </cell>
          <cell r="U1038" t="str">
            <v>X</v>
          </cell>
          <cell r="V1038">
            <v>0.35416666666666669</v>
          </cell>
          <cell r="W1038">
            <v>40.14</v>
          </cell>
          <cell r="X1038">
            <v>38.879999999999995</v>
          </cell>
          <cell r="Y1038">
            <v>0.41666666666666702</v>
          </cell>
          <cell r="Z1038">
            <v>78.923999999999992</v>
          </cell>
          <cell r="AA1038">
            <v>80.219999999999985</v>
          </cell>
          <cell r="AW1038">
            <v>4</v>
          </cell>
          <cell r="AX1038">
            <v>4</v>
          </cell>
          <cell r="AY1038">
            <v>4</v>
          </cell>
          <cell r="AZ1038">
            <v>4</v>
          </cell>
          <cell r="BA1038" t="str">
            <v>CONSORCIO NOVA ETE - PARQUE NOVO MUNDO</v>
          </cell>
          <cell r="BB1038">
            <v>45901</v>
          </cell>
          <cell r="BC1038">
            <v>1</v>
          </cell>
          <cell r="BD1038" t="str">
            <v>seg</v>
          </cell>
          <cell r="BG1038">
            <v>45899</v>
          </cell>
        </row>
        <row r="1039">
          <cell r="A1039" t="str">
            <v>1316-A</v>
          </cell>
          <cell r="B1039">
            <v>938</v>
          </cell>
          <cell r="C1039" t="str">
            <v>PLACA PR_PN-134</v>
          </cell>
          <cell r="D1039">
            <v>6</v>
          </cell>
          <cell r="E1039">
            <v>40</v>
          </cell>
          <cell r="F1039">
            <v>24</v>
          </cell>
          <cell r="G1039">
            <v>40</v>
          </cell>
          <cell r="H1039">
            <v>0</v>
          </cell>
          <cell r="I1039" t="str">
            <v>-</v>
          </cell>
          <cell r="J1039" t="str">
            <v>670/670</v>
          </cell>
          <cell r="K1039" t="str">
            <v xml:space="preserve">CPIII 40 RS </v>
          </cell>
          <cell r="L1039" t="str">
            <v>CP V</v>
          </cell>
          <cell r="M1039" t="str">
            <v>SUPER PLASTIFICANTE</v>
          </cell>
          <cell r="N1039" t="str">
            <v>ETE - PROJETO SUCURIÚ - CLARIFICADOR PRIMARIO</v>
          </cell>
          <cell r="O1039" t="str">
            <v>FORTANKS</v>
          </cell>
          <cell r="P1039">
            <v>1</v>
          </cell>
          <cell r="Q1039" t="str">
            <v>Gean</v>
          </cell>
          <cell r="R1039">
            <v>45899</v>
          </cell>
          <cell r="S1039">
            <v>0.39583333333333331</v>
          </cell>
          <cell r="T1039">
            <v>0.38583333333333331</v>
          </cell>
          <cell r="U1039" t="str">
            <v>X</v>
          </cell>
          <cell r="V1039">
            <v>0.35416666666666669</v>
          </cell>
          <cell r="W1039">
            <v>40.14</v>
          </cell>
          <cell r="X1039">
            <v>38.880000000000003</v>
          </cell>
          <cell r="Y1039">
            <v>0.41666666666666702</v>
          </cell>
          <cell r="Z1039">
            <v>78.900000000000006</v>
          </cell>
          <cell r="AA1039">
            <v>80.22</v>
          </cell>
          <cell r="AW1039">
            <v>4</v>
          </cell>
          <cell r="AX1039">
            <v>4</v>
          </cell>
          <cell r="AY1039">
            <v>4</v>
          </cell>
          <cell r="AZ1039">
            <v>4</v>
          </cell>
          <cell r="BA1039" t="str">
            <v>FORTES ENGENHARIA</v>
          </cell>
          <cell r="BB1039">
            <v>45901</v>
          </cell>
          <cell r="BC1039">
            <v>1</v>
          </cell>
          <cell r="BD1039" t="str">
            <v>seg</v>
          </cell>
          <cell r="BG1039">
            <v>45899</v>
          </cell>
        </row>
        <row r="1040">
          <cell r="A1040">
            <v>1317</v>
          </cell>
          <cell r="B1040">
            <v>939</v>
          </cell>
          <cell r="C1040" t="str">
            <v>PLACAS PE-350(T3) / PE-318(T2)</v>
          </cell>
          <cell r="D1040">
            <v>7</v>
          </cell>
          <cell r="E1040">
            <v>40</v>
          </cell>
          <cell r="F1040">
            <v>24</v>
          </cell>
          <cell r="G1040">
            <v>40</v>
          </cell>
          <cell r="H1040">
            <v>0</v>
          </cell>
          <cell r="I1040" t="str">
            <v>-</v>
          </cell>
          <cell r="J1040" t="str">
            <v>660/670</v>
          </cell>
          <cell r="K1040" t="str">
            <v xml:space="preserve">CPIII 40 RS </v>
          </cell>
          <cell r="L1040" t="str">
            <v>CP V</v>
          </cell>
          <cell r="M1040" t="str">
            <v>SUPER PLASTIFICANTE</v>
          </cell>
          <cell r="N1040" t="str">
            <v>ETE - PARQUE NOVO MUNDO (REATORES NEREDA)</v>
          </cell>
          <cell r="O1040" t="str">
            <v>FORTANKS</v>
          </cell>
          <cell r="P1040">
            <v>2</v>
          </cell>
          <cell r="Q1040" t="str">
            <v>Gean</v>
          </cell>
          <cell r="R1040">
            <v>45899</v>
          </cell>
          <cell r="S1040">
            <v>0.41666666666666669</v>
          </cell>
          <cell r="T1040">
            <v>0.40666666666666668</v>
          </cell>
          <cell r="U1040" t="str">
            <v>X</v>
          </cell>
          <cell r="V1040">
            <v>0.3576388888888889</v>
          </cell>
          <cell r="W1040">
            <v>43.608000000000004</v>
          </cell>
          <cell r="X1040">
            <v>43.368000000000002</v>
          </cell>
          <cell r="Y1040">
            <v>0.41666666666666702</v>
          </cell>
          <cell r="Z1040">
            <v>83.616</v>
          </cell>
          <cell r="AA1040">
            <v>82.583999999999989</v>
          </cell>
          <cell r="AW1040">
            <v>4</v>
          </cell>
          <cell r="AX1040">
            <v>4</v>
          </cell>
          <cell r="AY1040">
            <v>4</v>
          </cell>
          <cell r="AZ1040">
            <v>4</v>
          </cell>
          <cell r="BA1040" t="str">
            <v>CONSORCIO NOVA ETE - PARQUE NOVO MUNDO</v>
          </cell>
          <cell r="BB1040">
            <v>45901</v>
          </cell>
          <cell r="BC1040">
            <v>1</v>
          </cell>
          <cell r="BD1040" t="str">
            <v>seg</v>
          </cell>
          <cell r="BG1040">
            <v>45899</v>
          </cell>
        </row>
        <row r="1041">
          <cell r="A1041">
            <v>1318</v>
          </cell>
          <cell r="B1041">
            <v>940</v>
          </cell>
          <cell r="C1041" t="str">
            <v>PLACAS PN-496 / PN-498</v>
          </cell>
          <cell r="D1041">
            <v>6.5</v>
          </cell>
          <cell r="E1041">
            <v>40</v>
          </cell>
          <cell r="F1041">
            <v>24</v>
          </cell>
          <cell r="G1041">
            <v>40</v>
          </cell>
          <cell r="H1041">
            <v>0</v>
          </cell>
          <cell r="I1041" t="str">
            <v>-</v>
          </cell>
          <cell r="J1041" t="str">
            <v>680/670</v>
          </cell>
          <cell r="K1041" t="str">
            <v xml:space="preserve">CPIII 40 RS </v>
          </cell>
          <cell r="L1041" t="str">
            <v>CP V</v>
          </cell>
          <cell r="M1041" t="str">
            <v>SUPER PLASTIFICANTE</v>
          </cell>
          <cell r="N1041" t="str">
            <v>ETE - PARQUE NOVO MUNDO (REATORES NEREDA)</v>
          </cell>
          <cell r="O1041" t="str">
            <v>FORTANKS</v>
          </cell>
          <cell r="P1041">
            <v>3</v>
          </cell>
          <cell r="Q1041" t="str">
            <v>Gean</v>
          </cell>
          <cell r="R1041">
            <v>45899</v>
          </cell>
          <cell r="S1041">
            <v>0.45833333333333331</v>
          </cell>
          <cell r="T1041">
            <v>0.44833333333333331</v>
          </cell>
          <cell r="U1041" t="str">
            <v>X</v>
          </cell>
          <cell r="V1041">
            <v>0.3611111111111111</v>
          </cell>
          <cell r="W1041">
            <v>43.127999999999993</v>
          </cell>
          <cell r="X1041">
            <v>44.868000000000002</v>
          </cell>
          <cell r="Y1041">
            <v>0.41666666666666702</v>
          </cell>
          <cell r="Z1041">
            <v>82.691999999999993</v>
          </cell>
          <cell r="AA1041">
            <v>83.423999999999992</v>
          </cell>
          <cell r="AW1041">
            <v>4</v>
          </cell>
          <cell r="AX1041">
            <v>4</v>
          </cell>
          <cell r="AY1041">
            <v>4</v>
          </cell>
          <cell r="AZ1041">
            <v>4</v>
          </cell>
          <cell r="BA1041" t="str">
            <v>CONSORCIO NOVA ETE - PARQUE NOVO MUNDO</v>
          </cell>
          <cell r="BB1041">
            <v>45901</v>
          </cell>
          <cell r="BC1041">
            <v>1</v>
          </cell>
          <cell r="BD1041" t="str">
            <v>seg</v>
          </cell>
          <cell r="BG1041">
            <v>45899</v>
          </cell>
        </row>
        <row r="1042">
          <cell r="A1042">
            <v>1319</v>
          </cell>
          <cell r="B1042">
            <v>941</v>
          </cell>
          <cell r="C1042" t="str">
            <v>PLACAS PN-499 / PN-500</v>
          </cell>
          <cell r="D1042">
            <v>6.5</v>
          </cell>
          <cell r="E1042">
            <v>40</v>
          </cell>
          <cell r="F1042">
            <v>24</v>
          </cell>
          <cell r="G1042">
            <v>40</v>
          </cell>
          <cell r="H1042">
            <v>0</v>
          </cell>
          <cell r="I1042" t="str">
            <v>-</v>
          </cell>
          <cell r="J1042" t="str">
            <v>660/670</v>
          </cell>
          <cell r="K1042" t="str">
            <v xml:space="preserve">CPIII 40 RS </v>
          </cell>
          <cell r="L1042" t="str">
            <v>CP V</v>
          </cell>
          <cell r="M1042" t="str">
            <v>SUPER PLASTIFICANTE</v>
          </cell>
          <cell r="N1042" t="str">
            <v>ETE - PARQUE NOVO MUNDO (REATORES NEREDA)</v>
          </cell>
          <cell r="O1042" t="str">
            <v>FORTANKS</v>
          </cell>
          <cell r="P1042">
            <v>4</v>
          </cell>
          <cell r="Q1042" t="str">
            <v>Gean</v>
          </cell>
          <cell r="R1042">
            <v>45899</v>
          </cell>
          <cell r="S1042">
            <v>0.52083333333333337</v>
          </cell>
          <cell r="T1042">
            <v>0.51083333333333336</v>
          </cell>
          <cell r="U1042" t="str">
            <v>X</v>
          </cell>
          <cell r="V1042">
            <v>0.36458333333333331</v>
          </cell>
          <cell r="W1042">
            <v>42.359999999999992</v>
          </cell>
          <cell r="X1042">
            <v>42.395999999999994</v>
          </cell>
          <cell r="Y1042">
            <v>0.41666666666666702</v>
          </cell>
          <cell r="Z1042">
            <v>80.855999999999995</v>
          </cell>
          <cell r="AA1042">
            <v>82.14</v>
          </cell>
          <cell r="AW1042">
            <v>4</v>
          </cell>
          <cell r="AX1042">
            <v>4</v>
          </cell>
          <cell r="AY1042">
            <v>4</v>
          </cell>
          <cell r="AZ1042">
            <v>4</v>
          </cell>
          <cell r="BA1042" t="str">
            <v>CONSORCIO NOVA ETE - PARQUE NOVO MUNDO</v>
          </cell>
          <cell r="BB1042">
            <v>45901</v>
          </cell>
          <cell r="BC1042">
            <v>1</v>
          </cell>
          <cell r="BD1042" t="str">
            <v>seg</v>
          </cell>
          <cell r="BG1042">
            <v>45899</v>
          </cell>
        </row>
        <row r="1043">
          <cell r="A1043" t="str">
            <v>1319-A</v>
          </cell>
          <cell r="B1043">
            <v>941</v>
          </cell>
          <cell r="C1043" t="str">
            <v>PLACA PR_PN-134 (CANALETA)</v>
          </cell>
          <cell r="D1043">
            <v>6.5</v>
          </cell>
          <cell r="E1043">
            <v>40</v>
          </cell>
          <cell r="F1043">
            <v>24</v>
          </cell>
          <cell r="G1043">
            <v>40</v>
          </cell>
          <cell r="H1043">
            <v>0</v>
          </cell>
          <cell r="I1043" t="str">
            <v>-</v>
          </cell>
          <cell r="J1043" t="str">
            <v>660/670</v>
          </cell>
          <cell r="K1043" t="str">
            <v xml:space="preserve">CPIII 40 RS </v>
          </cell>
          <cell r="L1043" t="str">
            <v>CP V</v>
          </cell>
          <cell r="M1043" t="str">
            <v>SUPER PLASTIFICANTE</v>
          </cell>
          <cell r="N1043" t="str">
            <v>ETE - PROJETO SUCURIÚ - CLARIFICADOR PRIMARIO</v>
          </cell>
          <cell r="O1043" t="str">
            <v>FORTANKS</v>
          </cell>
          <cell r="P1043">
            <v>4</v>
          </cell>
          <cell r="Q1043" t="str">
            <v>Gean</v>
          </cell>
          <cell r="R1043">
            <v>45899</v>
          </cell>
          <cell r="S1043">
            <v>0.52083333333333337</v>
          </cell>
          <cell r="T1043">
            <v>0.51083333333333336</v>
          </cell>
          <cell r="U1043" t="str">
            <v>X</v>
          </cell>
          <cell r="V1043">
            <v>0.36458333333333331</v>
          </cell>
          <cell r="W1043">
            <v>42.36</v>
          </cell>
          <cell r="X1043">
            <v>42.4</v>
          </cell>
          <cell r="Y1043">
            <v>0.41666666666666702</v>
          </cell>
          <cell r="Z1043">
            <v>80.900000000000006</v>
          </cell>
          <cell r="AA1043">
            <v>82.14</v>
          </cell>
          <cell r="AW1043">
            <v>4</v>
          </cell>
          <cell r="AX1043">
            <v>4</v>
          </cell>
          <cell r="AY1043">
            <v>4</v>
          </cell>
          <cell r="AZ1043">
            <v>4</v>
          </cell>
          <cell r="BA1043" t="str">
            <v>FORTES ENGENHARIA</v>
          </cell>
          <cell r="BB1043">
            <v>45901</v>
          </cell>
          <cell r="BC1043">
            <v>1</v>
          </cell>
          <cell r="BD1043" t="str">
            <v>seg</v>
          </cell>
          <cell r="BG1043">
            <v>45899</v>
          </cell>
        </row>
        <row r="1044">
          <cell r="A1044">
            <v>1320</v>
          </cell>
          <cell r="B1044">
            <v>942</v>
          </cell>
          <cell r="C1044" t="str">
            <v>PLACA PN-507</v>
          </cell>
          <cell r="D1044">
            <v>6</v>
          </cell>
          <cell r="E1044">
            <v>40</v>
          </cell>
          <cell r="F1044">
            <v>24</v>
          </cell>
          <cell r="G1044">
            <v>40</v>
          </cell>
          <cell r="H1044">
            <v>0</v>
          </cell>
          <cell r="I1044" t="str">
            <v>-</v>
          </cell>
          <cell r="J1044" t="str">
            <v>650/660</v>
          </cell>
          <cell r="K1044" t="str">
            <v xml:space="preserve">CPIII 40 RS </v>
          </cell>
          <cell r="L1044" t="str">
            <v>CP V</v>
          </cell>
          <cell r="M1044" t="str">
            <v>SUPER PLASTIFICANTE</v>
          </cell>
          <cell r="N1044" t="str">
            <v>ETE - PARQUE NOVO MUNDO (REATORES NEREDA)</v>
          </cell>
          <cell r="O1044" t="str">
            <v>FORTANKS</v>
          </cell>
          <cell r="P1044">
            <v>1</v>
          </cell>
          <cell r="Q1044" t="str">
            <v>Gean</v>
          </cell>
          <cell r="R1044">
            <v>45899</v>
          </cell>
          <cell r="S1044">
            <v>0.5625</v>
          </cell>
          <cell r="T1044">
            <v>0.55249999999999999</v>
          </cell>
          <cell r="U1044" t="str">
            <v>X</v>
          </cell>
          <cell r="V1044">
            <v>0.375</v>
          </cell>
          <cell r="W1044">
            <v>47.940000000000005</v>
          </cell>
          <cell r="X1044">
            <v>45.683999999999997</v>
          </cell>
          <cell r="Y1044">
            <v>0.41666666666666702</v>
          </cell>
          <cell r="Z1044">
            <v>84.408000000000001</v>
          </cell>
          <cell r="AA1044">
            <v>84.419999999999987</v>
          </cell>
          <cell r="AW1044">
            <v>4</v>
          </cell>
          <cell r="AX1044">
            <v>4</v>
          </cell>
          <cell r="AY1044">
            <v>4</v>
          </cell>
          <cell r="AZ1044">
            <v>4</v>
          </cell>
          <cell r="BA1044" t="str">
            <v>CONSORCIO NOVA ETE - PARQUE NOVO MUNDO</v>
          </cell>
          <cell r="BB1044">
            <v>45901</v>
          </cell>
          <cell r="BC1044">
            <v>1</v>
          </cell>
          <cell r="BD1044" t="str">
            <v>seg</v>
          </cell>
          <cell r="BG1044">
            <v>45899</v>
          </cell>
        </row>
        <row r="1045">
          <cell r="A1045" t="str">
            <v>1320-A</v>
          </cell>
          <cell r="B1045">
            <v>942</v>
          </cell>
          <cell r="C1045" t="str">
            <v>PLACA PR_PN-135</v>
          </cell>
          <cell r="D1045">
            <v>6</v>
          </cell>
          <cell r="E1045">
            <v>40</v>
          </cell>
          <cell r="F1045">
            <v>24</v>
          </cell>
          <cell r="G1045">
            <v>40</v>
          </cell>
          <cell r="H1045">
            <v>0</v>
          </cell>
          <cell r="I1045" t="str">
            <v>-</v>
          </cell>
          <cell r="J1045" t="str">
            <v>650/660</v>
          </cell>
          <cell r="K1045" t="str">
            <v xml:space="preserve">CPIII 40 RS </v>
          </cell>
          <cell r="L1045" t="str">
            <v>CP V</v>
          </cell>
          <cell r="M1045" t="str">
            <v>SUPER PLASTIFICANTE</v>
          </cell>
          <cell r="N1045" t="str">
            <v>ETE - PROJETO SUCURIÚ - CLARIFICADOR PRIMARIO</v>
          </cell>
          <cell r="O1045" t="str">
            <v>FORTANKS</v>
          </cell>
          <cell r="P1045">
            <v>1</v>
          </cell>
          <cell r="Q1045" t="str">
            <v>Gean</v>
          </cell>
          <cell r="R1045">
            <v>45899</v>
          </cell>
          <cell r="S1045">
            <v>0.5625</v>
          </cell>
          <cell r="T1045">
            <v>0.55249999999999999</v>
          </cell>
          <cell r="U1045" t="str">
            <v>X</v>
          </cell>
          <cell r="V1045">
            <v>0.375</v>
          </cell>
          <cell r="W1045">
            <v>47.94</v>
          </cell>
          <cell r="X1045">
            <v>45.68</v>
          </cell>
          <cell r="Y1045">
            <v>0.41666666666666702</v>
          </cell>
          <cell r="Z1045">
            <v>84.4</v>
          </cell>
          <cell r="AA1045">
            <v>84.42</v>
          </cell>
          <cell r="AW1045">
            <v>4</v>
          </cell>
          <cell r="AX1045">
            <v>4</v>
          </cell>
          <cell r="AY1045">
            <v>4</v>
          </cell>
          <cell r="AZ1045">
            <v>4</v>
          </cell>
          <cell r="BA1045" t="str">
            <v>FORTES ENGENHARIA</v>
          </cell>
          <cell r="BB1045">
            <v>45901</v>
          </cell>
          <cell r="BC1045">
            <v>1</v>
          </cell>
          <cell r="BD1045" t="str">
            <v>seg</v>
          </cell>
          <cell r="BG1045">
            <v>45899</v>
          </cell>
        </row>
        <row r="1046">
          <cell r="A1046">
            <v>1321</v>
          </cell>
          <cell r="B1046">
            <v>943</v>
          </cell>
          <cell r="C1046" t="str">
            <v>PLACAS PN-505 / PN-506</v>
          </cell>
          <cell r="D1046">
            <v>7</v>
          </cell>
          <cell r="E1046">
            <v>40</v>
          </cell>
          <cell r="F1046">
            <v>24</v>
          </cell>
          <cell r="G1046">
            <v>40</v>
          </cell>
          <cell r="H1046">
            <v>0</v>
          </cell>
          <cell r="I1046" t="str">
            <v>-</v>
          </cell>
          <cell r="J1046" t="str">
            <v>660/660</v>
          </cell>
          <cell r="K1046" t="str">
            <v xml:space="preserve">CPIII 40 RS </v>
          </cell>
          <cell r="L1046" t="str">
            <v>CP V</v>
          </cell>
          <cell r="M1046" t="str">
            <v>SUPER PLASTIFICANTE</v>
          </cell>
          <cell r="N1046" t="str">
            <v>ETE - PARQUE NOVO MUNDO (REATORES NEREDA)</v>
          </cell>
          <cell r="O1046" t="str">
            <v>FORTANKS</v>
          </cell>
          <cell r="P1046">
            <v>2</v>
          </cell>
          <cell r="Q1046" t="str">
            <v>Gean</v>
          </cell>
          <cell r="R1046">
            <v>45899</v>
          </cell>
          <cell r="S1046">
            <v>0.58333333333333337</v>
          </cell>
          <cell r="T1046">
            <v>0.57333333333333336</v>
          </cell>
          <cell r="U1046" t="str">
            <v>X</v>
          </cell>
          <cell r="V1046">
            <v>0.37847222222222221</v>
          </cell>
          <cell r="W1046">
            <v>37.332000000000001</v>
          </cell>
          <cell r="X1046">
            <v>39.815999999999995</v>
          </cell>
          <cell r="Y1046">
            <v>0.41666666666666702</v>
          </cell>
          <cell r="Z1046">
            <v>83.82</v>
          </cell>
          <cell r="AA1046">
            <v>84.275999999999996</v>
          </cell>
          <cell r="AW1046">
            <v>4</v>
          </cell>
          <cell r="AX1046">
            <v>4</v>
          </cell>
          <cell r="AY1046">
            <v>4</v>
          </cell>
          <cell r="AZ1046">
            <v>4</v>
          </cell>
          <cell r="BA1046" t="str">
            <v>CONSORCIO NOVA ETE - PARQUE NOVO MUNDO</v>
          </cell>
          <cell r="BB1046">
            <v>45901</v>
          </cell>
          <cell r="BC1046">
            <v>1</v>
          </cell>
          <cell r="BD1046" t="str">
            <v>seg</v>
          </cell>
          <cell r="BG1046">
            <v>45899</v>
          </cell>
        </row>
        <row r="1047">
          <cell r="A1047">
            <v>1322</v>
          </cell>
          <cell r="B1047">
            <v>944</v>
          </cell>
          <cell r="C1047" t="str">
            <v>PLACAS PN-503 / PN-504</v>
          </cell>
          <cell r="D1047">
            <v>7</v>
          </cell>
          <cell r="E1047">
            <v>40</v>
          </cell>
          <cell r="F1047">
            <v>24</v>
          </cell>
          <cell r="G1047">
            <v>40</v>
          </cell>
          <cell r="H1047">
            <v>0</v>
          </cell>
          <cell r="I1047" t="str">
            <v>-</v>
          </cell>
          <cell r="J1047" t="str">
            <v>660/670</v>
          </cell>
          <cell r="K1047" t="str">
            <v xml:space="preserve">CPIII 40 RS </v>
          </cell>
          <cell r="L1047" t="str">
            <v>CP V</v>
          </cell>
          <cell r="M1047" t="str">
            <v>SUPER PLASTIFICANTE</v>
          </cell>
          <cell r="N1047" t="str">
            <v>ETE - PARQUE NOVO MUNDO (REATORES NEREDA)</v>
          </cell>
          <cell r="O1047" t="str">
            <v>FORTANKS</v>
          </cell>
          <cell r="P1047">
            <v>3</v>
          </cell>
          <cell r="Q1047" t="str">
            <v>Gean</v>
          </cell>
          <cell r="R1047">
            <v>45899</v>
          </cell>
          <cell r="S1047">
            <v>0.625</v>
          </cell>
          <cell r="T1047">
            <v>0.61499999999999999</v>
          </cell>
          <cell r="U1047" t="str">
            <v>X</v>
          </cell>
          <cell r="V1047">
            <v>0.38194444444444442</v>
          </cell>
          <cell r="W1047">
            <v>35.423999999999999</v>
          </cell>
          <cell r="X1047">
            <v>36.228000000000002</v>
          </cell>
          <cell r="Y1047">
            <v>0.41666666666666702</v>
          </cell>
          <cell r="Z1047">
            <v>84.396000000000001</v>
          </cell>
          <cell r="AA1047">
            <v>84.64800000000001</v>
          </cell>
          <cell r="AW1047">
            <v>4</v>
          </cell>
          <cell r="AX1047">
            <v>4</v>
          </cell>
          <cell r="AY1047">
            <v>4</v>
          </cell>
          <cell r="AZ1047">
            <v>4</v>
          </cell>
          <cell r="BA1047" t="str">
            <v>CONSORCIO NOVA ETE - PARQUE NOVO MUNDO</v>
          </cell>
          <cell r="BB1047">
            <v>45901</v>
          </cell>
          <cell r="BC1047">
            <v>1</v>
          </cell>
          <cell r="BD1047" t="str">
            <v>seg</v>
          </cell>
          <cell r="BG1047">
            <v>45899</v>
          </cell>
        </row>
        <row r="1048">
          <cell r="A1048">
            <v>1323</v>
          </cell>
          <cell r="B1048">
            <v>945</v>
          </cell>
          <cell r="C1048" t="str">
            <v>PLACAS PN-501 / PN-502</v>
          </cell>
          <cell r="D1048">
            <v>8</v>
          </cell>
          <cell r="E1048">
            <v>40</v>
          </cell>
          <cell r="F1048">
            <v>24</v>
          </cell>
          <cell r="G1048">
            <v>40</v>
          </cell>
          <cell r="H1048">
            <v>0</v>
          </cell>
          <cell r="I1048" t="str">
            <v>-</v>
          </cell>
          <cell r="J1048" t="str">
            <v>660/670</v>
          </cell>
          <cell r="K1048" t="str">
            <v xml:space="preserve">CPIII 40 RS </v>
          </cell>
          <cell r="L1048" t="str">
            <v>CP V</v>
          </cell>
          <cell r="M1048" t="str">
            <v>SUPER PLASTIFICANTE</v>
          </cell>
          <cell r="N1048" t="str">
            <v>ETE - PARQUE NOVO MUNDO (REATORES NEREDA)</v>
          </cell>
          <cell r="O1048" t="str">
            <v>FORTANKS</v>
          </cell>
          <cell r="P1048">
            <v>4</v>
          </cell>
          <cell r="Q1048" t="str">
            <v>Gean</v>
          </cell>
          <cell r="R1048">
            <v>45899</v>
          </cell>
          <cell r="S1048">
            <v>0.66666666666666663</v>
          </cell>
          <cell r="T1048">
            <v>0.65666666666666662</v>
          </cell>
          <cell r="U1048" t="str">
            <v>X</v>
          </cell>
          <cell r="V1048">
            <v>0.38541666666666669</v>
          </cell>
          <cell r="W1048">
            <v>35.591999999999999</v>
          </cell>
          <cell r="X1048">
            <v>37.055999999999997</v>
          </cell>
          <cell r="Y1048">
            <v>0.41666666666666702</v>
          </cell>
          <cell r="Z1048">
            <v>78.635999999999996</v>
          </cell>
          <cell r="AA1048">
            <v>78.144000000000005</v>
          </cell>
          <cell r="AW1048">
            <v>4</v>
          </cell>
          <cell r="AX1048">
            <v>4</v>
          </cell>
          <cell r="AY1048">
            <v>4</v>
          </cell>
          <cell r="AZ1048">
            <v>4</v>
          </cell>
          <cell r="BA1048" t="str">
            <v>CONSORCIO NOVA ETE - PARQUE NOVO MUNDO</v>
          </cell>
          <cell r="BB1048">
            <v>45901</v>
          </cell>
          <cell r="BC1048">
            <v>1</v>
          </cell>
          <cell r="BD1048" t="str">
            <v>seg</v>
          </cell>
          <cell r="BG1048">
            <v>45899</v>
          </cell>
        </row>
        <row r="1049">
          <cell r="A1049" t="str">
            <v>1323-A</v>
          </cell>
          <cell r="B1049">
            <v>945</v>
          </cell>
          <cell r="C1049" t="str">
            <v>PLACA PR_PN-135 (CANALETA)</v>
          </cell>
          <cell r="D1049">
            <v>8</v>
          </cell>
          <cell r="E1049">
            <v>40</v>
          </cell>
          <cell r="F1049">
            <v>24</v>
          </cell>
          <cell r="G1049">
            <v>40</v>
          </cell>
          <cell r="H1049">
            <v>0</v>
          </cell>
          <cell r="I1049" t="str">
            <v>-</v>
          </cell>
          <cell r="J1049" t="str">
            <v>660/670</v>
          </cell>
          <cell r="K1049" t="str">
            <v xml:space="preserve">CPIII 40 RS </v>
          </cell>
          <cell r="L1049" t="str">
            <v>CP V</v>
          </cell>
          <cell r="M1049" t="str">
            <v>SUPER PLASTIFICANTE</v>
          </cell>
          <cell r="N1049" t="str">
            <v>ETE - PROJETO SUCURIÚ - CLARIFICADOR PRIMARIO</v>
          </cell>
          <cell r="O1049" t="str">
            <v>FORTANKS</v>
          </cell>
          <cell r="P1049">
            <v>4</v>
          </cell>
          <cell r="Q1049" t="str">
            <v>Gean</v>
          </cell>
          <cell r="R1049">
            <v>45899</v>
          </cell>
          <cell r="S1049">
            <v>0.66666666666666663</v>
          </cell>
          <cell r="T1049">
            <v>0.65666666666666662</v>
          </cell>
          <cell r="U1049" t="str">
            <v>X</v>
          </cell>
          <cell r="V1049">
            <v>0.38541666666666669</v>
          </cell>
          <cell r="W1049">
            <v>35.590000000000003</v>
          </cell>
          <cell r="X1049">
            <v>37.06</v>
          </cell>
          <cell r="Y1049">
            <v>0.41666666666666702</v>
          </cell>
          <cell r="Z1049">
            <v>78.599999999999994</v>
          </cell>
          <cell r="AA1049">
            <v>78.14</v>
          </cell>
          <cell r="AW1049">
            <v>4</v>
          </cell>
          <cell r="AX1049">
            <v>4</v>
          </cell>
          <cell r="AY1049">
            <v>4</v>
          </cell>
          <cell r="AZ1049">
            <v>4</v>
          </cell>
          <cell r="BA1049" t="str">
            <v>FORTES ENGENHARIA</v>
          </cell>
          <cell r="BB1049">
            <v>45901</v>
          </cell>
          <cell r="BC1049">
            <v>1</v>
          </cell>
          <cell r="BD1049" t="str">
            <v>seg</v>
          </cell>
          <cell r="BG1049">
            <v>45899</v>
          </cell>
        </row>
        <row r="1050">
          <cell r="A1050">
            <v>1324</v>
          </cell>
          <cell r="B1050">
            <v>946</v>
          </cell>
          <cell r="C1050" t="str">
            <v>PLACA PF-311</v>
          </cell>
          <cell r="D1050">
            <v>5</v>
          </cell>
          <cell r="E1050">
            <v>40</v>
          </cell>
          <cell r="F1050">
            <v>24</v>
          </cell>
          <cell r="G1050">
            <v>40</v>
          </cell>
          <cell r="H1050">
            <v>0</v>
          </cell>
          <cell r="I1050" t="str">
            <v>-</v>
          </cell>
          <cell r="J1050" t="str">
            <v>650/650</v>
          </cell>
          <cell r="K1050" t="str">
            <v xml:space="preserve">CPIII 40 RS </v>
          </cell>
          <cell r="L1050" t="str">
            <v>CP V</v>
          </cell>
          <cell r="M1050" t="str">
            <v>SUPER PLASTIFICANTE</v>
          </cell>
          <cell r="N1050" t="str">
            <v>ETE - PARQUE NOVO MUNDO (REATORES NEREDA)</v>
          </cell>
          <cell r="O1050" t="str">
            <v>FORTANKS</v>
          </cell>
          <cell r="P1050">
            <v>4</v>
          </cell>
          <cell r="Q1050" t="str">
            <v>Gean</v>
          </cell>
          <cell r="R1050">
            <v>45902</v>
          </cell>
          <cell r="S1050">
            <v>0.625</v>
          </cell>
          <cell r="T1050">
            <v>0.61499999999999999</v>
          </cell>
          <cell r="U1050" t="str">
            <v>X</v>
          </cell>
          <cell r="V1050">
            <v>0.41666666666666669</v>
          </cell>
          <cell r="W1050">
            <v>34.116</v>
          </cell>
          <cell r="X1050">
            <v>34.799999999999997</v>
          </cell>
          <cell r="Y1050">
            <v>0.41666666666666702</v>
          </cell>
          <cell r="Z1050">
            <v>83.808000000000007</v>
          </cell>
          <cell r="AA1050">
            <v>82.272000000000006</v>
          </cell>
          <cell r="AW1050">
            <v>4</v>
          </cell>
          <cell r="AX1050">
            <v>4</v>
          </cell>
          <cell r="AY1050">
            <v>4</v>
          </cell>
          <cell r="AZ1050">
            <v>4</v>
          </cell>
          <cell r="BA1050" t="str">
            <v>CONSORCIO NOVA ETE - PARQUE NOVO MUNDO</v>
          </cell>
          <cell r="BB1050">
            <v>45903</v>
          </cell>
          <cell r="BD1050" t="str">
            <v>qua</v>
          </cell>
          <cell r="BG1050">
            <v>45902</v>
          </cell>
        </row>
        <row r="1051">
          <cell r="A1051">
            <v>1325</v>
          </cell>
          <cell r="B1051">
            <v>947</v>
          </cell>
          <cell r="C1051" t="str">
            <v>PLACA PE-349 (T1)</v>
          </cell>
          <cell r="D1051">
            <v>6</v>
          </cell>
          <cell r="E1051">
            <v>40</v>
          </cell>
          <cell r="F1051">
            <v>24</v>
          </cell>
          <cell r="G1051">
            <v>40</v>
          </cell>
          <cell r="H1051">
            <v>0</v>
          </cell>
          <cell r="I1051" t="str">
            <v>-</v>
          </cell>
          <cell r="J1051" t="str">
            <v>650/660</v>
          </cell>
          <cell r="K1051" t="str">
            <v xml:space="preserve">CPIII 40 RS </v>
          </cell>
          <cell r="L1051" t="str">
            <v>CP V</v>
          </cell>
          <cell r="M1051" t="str">
            <v>SUPER PLASTIFICANTE</v>
          </cell>
          <cell r="N1051" t="str">
            <v>ETE - PARQUE NOVO MUNDO (REATORES NEREDA)</v>
          </cell>
          <cell r="O1051" t="str">
            <v>FORTANKS</v>
          </cell>
          <cell r="P1051">
            <v>1</v>
          </cell>
          <cell r="Q1051" t="str">
            <v>Gean</v>
          </cell>
          <cell r="R1051">
            <v>45904</v>
          </cell>
          <cell r="S1051">
            <v>0.41666666666666669</v>
          </cell>
          <cell r="T1051">
            <v>0.40666666666666668</v>
          </cell>
          <cell r="U1051" t="str">
            <v>X</v>
          </cell>
          <cell r="V1051">
            <v>0.33333333333333331</v>
          </cell>
          <cell r="W1051">
            <v>32.304000000000002</v>
          </cell>
          <cell r="X1051">
            <v>33.815999999999995</v>
          </cell>
          <cell r="Y1051">
            <v>0.41666666666666702</v>
          </cell>
          <cell r="Z1051">
            <v>84.576000000000008</v>
          </cell>
          <cell r="AA1051">
            <v>85.176000000000002</v>
          </cell>
          <cell r="AW1051">
            <v>4</v>
          </cell>
          <cell r="AX1051">
            <v>4</v>
          </cell>
          <cell r="AY1051">
            <v>4</v>
          </cell>
          <cell r="AZ1051">
            <v>4</v>
          </cell>
          <cell r="BA1051" t="str">
            <v>CONSORCIO NOVA ETE - PARQUE NOVO MUNDO</v>
          </cell>
          <cell r="BB1051">
            <v>45905</v>
          </cell>
          <cell r="BD1051" t="str">
            <v>sex</v>
          </cell>
          <cell r="BG1051">
            <v>45904</v>
          </cell>
        </row>
        <row r="1052">
          <cell r="A1052" t="str">
            <v>1325-A</v>
          </cell>
          <cell r="B1052">
            <v>947</v>
          </cell>
          <cell r="C1052" t="str">
            <v>PLACA PR_PN-136</v>
          </cell>
          <cell r="D1052">
            <v>6</v>
          </cell>
          <cell r="E1052">
            <v>40</v>
          </cell>
          <cell r="F1052">
            <v>24</v>
          </cell>
          <cell r="G1052">
            <v>40</v>
          </cell>
          <cell r="H1052">
            <v>0</v>
          </cell>
          <cell r="I1052" t="str">
            <v>-</v>
          </cell>
          <cell r="J1052" t="str">
            <v>650/660</v>
          </cell>
          <cell r="K1052" t="str">
            <v xml:space="preserve">CPIII 40 RS </v>
          </cell>
          <cell r="L1052" t="str">
            <v>CP V</v>
          </cell>
          <cell r="M1052" t="str">
            <v>SUPER PLASTIFICANTE</v>
          </cell>
          <cell r="N1052" t="str">
            <v>ETE - PROJETO SUCURIÚ - CLARIFICADOR PRIMARIO</v>
          </cell>
          <cell r="O1052" t="str">
            <v>FORTANKS</v>
          </cell>
          <cell r="P1052">
            <v>1</v>
          </cell>
          <cell r="Q1052" t="str">
            <v>Gean</v>
          </cell>
          <cell r="R1052">
            <v>45904</v>
          </cell>
          <cell r="S1052">
            <v>0.41666666666666669</v>
          </cell>
          <cell r="T1052">
            <v>0.40666666666666668</v>
          </cell>
          <cell r="U1052" t="str">
            <v>X</v>
          </cell>
          <cell r="V1052">
            <v>0.33333333333333331</v>
          </cell>
          <cell r="W1052">
            <v>32.299999999999997</v>
          </cell>
          <cell r="X1052">
            <v>33.82</v>
          </cell>
          <cell r="Y1052">
            <v>0.41666666666666702</v>
          </cell>
          <cell r="Z1052">
            <v>84.63</v>
          </cell>
          <cell r="AA1052">
            <v>85.17</v>
          </cell>
          <cell r="AW1052">
            <v>4</v>
          </cell>
          <cell r="AX1052">
            <v>4</v>
          </cell>
          <cell r="AY1052">
            <v>4</v>
          </cell>
          <cell r="AZ1052">
            <v>4</v>
          </cell>
          <cell r="BA1052" t="str">
            <v>FORTES ENGENHARIA</v>
          </cell>
          <cell r="BB1052">
            <v>45905</v>
          </cell>
          <cell r="BD1052" t="str">
            <v>sex</v>
          </cell>
          <cell r="BG1052">
            <v>45904</v>
          </cell>
        </row>
        <row r="1053">
          <cell r="A1053">
            <v>1326</v>
          </cell>
          <cell r="B1053">
            <v>948</v>
          </cell>
          <cell r="C1053" t="str">
            <v>PLACAS PN-509 / PN-510</v>
          </cell>
          <cell r="D1053">
            <v>7</v>
          </cell>
          <cell r="E1053">
            <v>40</v>
          </cell>
          <cell r="F1053">
            <v>24</v>
          </cell>
          <cell r="G1053">
            <v>40</v>
          </cell>
          <cell r="H1053">
            <v>0</v>
          </cell>
          <cell r="I1053" t="str">
            <v>-</v>
          </cell>
          <cell r="J1053" t="str">
            <v>660/650</v>
          </cell>
          <cell r="K1053" t="str">
            <v xml:space="preserve">CPIII 40 RS </v>
          </cell>
          <cell r="L1053" t="str">
            <v>CP V</v>
          </cell>
          <cell r="M1053" t="str">
            <v>SUPER PLASTIFICANTE</v>
          </cell>
          <cell r="N1053" t="str">
            <v>ETE - PARQUE NOVO MUNDO (REATORES NEREDA)</v>
          </cell>
          <cell r="O1053" t="str">
            <v>FORTANKS</v>
          </cell>
          <cell r="P1053">
            <v>2</v>
          </cell>
          <cell r="Q1053" t="str">
            <v>Gean</v>
          </cell>
          <cell r="R1053">
            <v>45904</v>
          </cell>
          <cell r="S1053">
            <v>0.4513888888888889</v>
          </cell>
          <cell r="T1053">
            <v>0.44138888888888889</v>
          </cell>
          <cell r="U1053" t="str">
            <v>X</v>
          </cell>
          <cell r="V1053">
            <v>0.33680555555555558</v>
          </cell>
          <cell r="W1053">
            <v>33</v>
          </cell>
          <cell r="X1053">
            <v>35.04</v>
          </cell>
          <cell r="Y1053">
            <v>0.41666666666666702</v>
          </cell>
          <cell r="Z1053">
            <v>84.935999999999993</v>
          </cell>
          <cell r="AA1053">
            <v>84.671999999999997</v>
          </cell>
          <cell r="AW1053">
            <v>4</v>
          </cell>
          <cell r="AX1053">
            <v>4</v>
          </cell>
          <cell r="AY1053">
            <v>4</v>
          </cell>
          <cell r="AZ1053">
            <v>4</v>
          </cell>
          <cell r="BA1053" t="str">
            <v>CONSORCIO NOVA ETE - PARQUE NOVO MUNDO</v>
          </cell>
          <cell r="BB1053">
            <v>45905</v>
          </cell>
          <cell r="BD1053" t="str">
            <v>sex</v>
          </cell>
          <cell r="BG1053">
            <v>45904</v>
          </cell>
        </row>
        <row r="1054">
          <cell r="A1054">
            <v>1327</v>
          </cell>
          <cell r="B1054">
            <v>949</v>
          </cell>
          <cell r="C1054" t="str">
            <v>PLACAS PE-348(T2) / PE-396(T4)</v>
          </cell>
          <cell r="D1054">
            <v>6.5</v>
          </cell>
          <cell r="E1054">
            <v>40</v>
          </cell>
          <cell r="F1054">
            <v>24</v>
          </cell>
          <cell r="G1054">
            <v>40</v>
          </cell>
          <cell r="H1054">
            <v>0</v>
          </cell>
          <cell r="I1054" t="str">
            <v>-</v>
          </cell>
          <cell r="J1054" t="str">
            <v>660/670</v>
          </cell>
          <cell r="K1054" t="str">
            <v xml:space="preserve">CPIII 40 RS </v>
          </cell>
          <cell r="L1054" t="str">
            <v>CP V</v>
          </cell>
          <cell r="M1054" t="str">
            <v>SUPER PLASTIFICANTE</v>
          </cell>
          <cell r="N1054" t="str">
            <v>ETE - PARQUE NOVO MUNDO (REATORES NEREDA)</v>
          </cell>
          <cell r="O1054" t="str">
            <v>FORTANKS</v>
          </cell>
          <cell r="P1054">
            <v>3</v>
          </cell>
          <cell r="Q1054" t="str">
            <v>Gean</v>
          </cell>
          <cell r="R1054">
            <v>45904</v>
          </cell>
          <cell r="S1054">
            <v>0.46527777777777779</v>
          </cell>
          <cell r="T1054">
            <v>0.45527777777777778</v>
          </cell>
          <cell r="U1054" t="str">
            <v>X</v>
          </cell>
          <cell r="V1054">
            <v>0.34027777777777779</v>
          </cell>
          <cell r="W1054">
            <v>30.875999999999998</v>
          </cell>
          <cell r="X1054">
            <v>29.483999999999998</v>
          </cell>
          <cell r="Y1054">
            <v>0.41666666666666702</v>
          </cell>
          <cell r="Z1054">
            <v>84.516000000000005</v>
          </cell>
          <cell r="AA1054">
            <v>83.58</v>
          </cell>
          <cell r="AW1054">
            <v>4</v>
          </cell>
          <cell r="AX1054">
            <v>4</v>
          </cell>
          <cell r="AY1054">
            <v>4</v>
          </cell>
          <cell r="AZ1054">
            <v>4</v>
          </cell>
          <cell r="BA1054" t="str">
            <v>CONSORCIO NOVA ETE - PARQUE NOVO MUNDO</v>
          </cell>
          <cell r="BB1054">
            <v>45905</v>
          </cell>
          <cell r="BD1054" t="str">
            <v>sex</v>
          </cell>
          <cell r="BG1054">
            <v>45904</v>
          </cell>
        </row>
        <row r="1055">
          <cell r="A1055">
            <v>1328</v>
          </cell>
          <cell r="B1055">
            <v>950</v>
          </cell>
          <cell r="C1055" t="str">
            <v>PLACAS PE-427(T4) / PE-443(T4)</v>
          </cell>
          <cell r="D1055">
            <v>6.5</v>
          </cell>
          <cell r="E1055">
            <v>40</v>
          </cell>
          <cell r="F1055">
            <v>24</v>
          </cell>
          <cell r="G1055">
            <v>40</v>
          </cell>
          <cell r="H1055">
            <v>0</v>
          </cell>
          <cell r="I1055" t="str">
            <v>-</v>
          </cell>
          <cell r="J1055" t="str">
            <v>670/680</v>
          </cell>
          <cell r="K1055" t="str">
            <v xml:space="preserve">CPIII 40 RS </v>
          </cell>
          <cell r="L1055" t="str">
            <v>CP V</v>
          </cell>
          <cell r="M1055" t="str">
            <v>SUPER PLASTIFICANTE</v>
          </cell>
          <cell r="N1055" t="str">
            <v>ETE - PARQUE NOVO MUNDO (REATORES NEREDA)</v>
          </cell>
          <cell r="O1055" t="str">
            <v>FORTANKS</v>
          </cell>
          <cell r="P1055">
            <v>4</v>
          </cell>
          <cell r="Q1055" t="str">
            <v>Gean</v>
          </cell>
          <cell r="R1055">
            <v>45904</v>
          </cell>
          <cell r="S1055">
            <v>0.5</v>
          </cell>
          <cell r="T1055">
            <v>0.49</v>
          </cell>
          <cell r="U1055" t="str">
            <v>X</v>
          </cell>
          <cell r="V1055">
            <v>0.34375</v>
          </cell>
          <cell r="W1055">
            <v>31.991999999999997</v>
          </cell>
          <cell r="X1055">
            <v>29.255999999999997</v>
          </cell>
          <cell r="Y1055">
            <v>0.41666666666666702</v>
          </cell>
          <cell r="Z1055">
            <v>83.987999999999985</v>
          </cell>
          <cell r="AA1055">
            <v>83.448000000000008</v>
          </cell>
          <cell r="AW1055">
            <v>4</v>
          </cell>
          <cell r="AX1055">
            <v>4</v>
          </cell>
          <cell r="AY1055">
            <v>4</v>
          </cell>
          <cell r="AZ1055">
            <v>4</v>
          </cell>
          <cell r="BA1055" t="str">
            <v>CONSORCIO NOVA ETE - PARQUE NOVO MUNDO</v>
          </cell>
          <cell r="BB1055">
            <v>45905</v>
          </cell>
          <cell r="BD1055" t="str">
            <v>sex</v>
          </cell>
          <cell r="BG1055">
            <v>45904</v>
          </cell>
        </row>
        <row r="1056">
          <cell r="A1056">
            <v>1329</v>
          </cell>
          <cell r="B1056">
            <v>951</v>
          </cell>
          <cell r="C1056" t="str">
            <v>PLACA PF-342</v>
          </cell>
          <cell r="D1056">
            <v>6</v>
          </cell>
          <cell r="E1056">
            <v>40</v>
          </cell>
          <cell r="F1056">
            <v>24</v>
          </cell>
          <cell r="G1056">
            <v>40</v>
          </cell>
          <cell r="H1056">
            <v>0</v>
          </cell>
          <cell r="I1056" t="str">
            <v>-</v>
          </cell>
          <cell r="J1056" t="str">
            <v>660/670</v>
          </cell>
          <cell r="K1056" t="str">
            <v xml:space="preserve">CPIII 40 RS </v>
          </cell>
          <cell r="L1056" t="str">
            <v>CP V</v>
          </cell>
          <cell r="M1056" t="str">
            <v>SUPER PLASTIFICANTE</v>
          </cell>
          <cell r="N1056" t="str">
            <v>ETE - PARQUE NOVO MUNDO (REATORES NEREDA)</v>
          </cell>
          <cell r="O1056" t="str">
            <v>FORTANKS</v>
          </cell>
          <cell r="P1056">
            <v>5</v>
          </cell>
          <cell r="Q1056" t="str">
            <v>Gean</v>
          </cell>
          <cell r="R1056">
            <v>45904</v>
          </cell>
          <cell r="S1056">
            <v>0.625</v>
          </cell>
          <cell r="T1056">
            <v>0.61499999999999999</v>
          </cell>
          <cell r="U1056" t="str">
            <v>X</v>
          </cell>
          <cell r="V1056">
            <v>0.36805555555555558</v>
          </cell>
          <cell r="W1056">
            <v>25.416</v>
          </cell>
          <cell r="X1056">
            <v>24.515999999999998</v>
          </cell>
          <cell r="Y1056">
            <v>0.41666666666666702</v>
          </cell>
          <cell r="Z1056">
            <v>84.131999999999991</v>
          </cell>
          <cell r="AA1056">
            <v>84.695999999999998</v>
          </cell>
          <cell r="AW1056">
            <v>4</v>
          </cell>
          <cell r="AX1056">
            <v>4</v>
          </cell>
          <cell r="AY1056">
            <v>4</v>
          </cell>
          <cell r="AZ1056">
            <v>4</v>
          </cell>
          <cell r="BA1056" t="str">
            <v>CONSORCIO NOVA ETE - PARQUE NOVO MUNDO</v>
          </cell>
          <cell r="BB1056">
            <v>45905</v>
          </cell>
          <cell r="BD1056" t="str">
            <v>sex</v>
          </cell>
          <cell r="BG1056">
            <v>45904</v>
          </cell>
        </row>
        <row r="1057">
          <cell r="A1057" t="str">
            <v>1329-A</v>
          </cell>
          <cell r="B1057">
            <v>951</v>
          </cell>
          <cell r="C1057" t="str">
            <v>PLACA PR_PN-136 (CANALETA)</v>
          </cell>
          <cell r="D1057">
            <v>6</v>
          </cell>
          <cell r="E1057">
            <v>40</v>
          </cell>
          <cell r="F1057">
            <v>24</v>
          </cell>
          <cell r="G1057">
            <v>40</v>
          </cell>
          <cell r="H1057">
            <v>0</v>
          </cell>
          <cell r="I1057" t="str">
            <v>-</v>
          </cell>
          <cell r="J1057" t="str">
            <v>660/670</v>
          </cell>
          <cell r="K1057" t="str">
            <v xml:space="preserve">CPIII 40 RS </v>
          </cell>
          <cell r="L1057" t="str">
            <v>CP V</v>
          </cell>
          <cell r="M1057" t="str">
            <v>SUPER PLASTIFICANTE</v>
          </cell>
          <cell r="N1057" t="str">
            <v>ETE - PROJETO SUCURIÚ - CLARIFICADOR PRIMARIO</v>
          </cell>
          <cell r="O1057" t="str">
            <v>FORTANKS</v>
          </cell>
          <cell r="P1057">
            <v>5</v>
          </cell>
          <cell r="Q1057" t="str">
            <v>Gean</v>
          </cell>
          <cell r="R1057">
            <v>45904</v>
          </cell>
          <cell r="S1057">
            <v>0.625</v>
          </cell>
          <cell r="T1057">
            <v>0.61499999999999999</v>
          </cell>
          <cell r="U1057" t="str">
            <v>X</v>
          </cell>
          <cell r="V1057">
            <v>0.36805555555555558</v>
          </cell>
          <cell r="W1057">
            <v>25.42</v>
          </cell>
          <cell r="X1057">
            <v>24.52</v>
          </cell>
          <cell r="Y1057">
            <v>0.41666666666666702</v>
          </cell>
          <cell r="Z1057">
            <v>84.1</v>
          </cell>
          <cell r="AA1057">
            <v>84.69</v>
          </cell>
          <cell r="AW1057">
            <v>4</v>
          </cell>
          <cell r="AX1057">
            <v>4</v>
          </cell>
          <cell r="AY1057">
            <v>4</v>
          </cell>
          <cell r="AZ1057">
            <v>4</v>
          </cell>
          <cell r="BA1057" t="str">
            <v>FORTES ENGENHARIA</v>
          </cell>
          <cell r="BB1057">
            <v>45905</v>
          </cell>
          <cell r="BD1057" t="str">
            <v>sex</v>
          </cell>
          <cell r="BG1057">
            <v>45904</v>
          </cell>
        </row>
        <row r="1058">
          <cell r="A1058">
            <v>1330</v>
          </cell>
          <cell r="B1058">
            <v>952</v>
          </cell>
          <cell r="C1058" t="str">
            <v xml:space="preserve">PLACA PN-511 </v>
          </cell>
          <cell r="D1058">
            <v>6</v>
          </cell>
          <cell r="E1058">
            <v>40</v>
          </cell>
          <cell r="F1058">
            <v>24</v>
          </cell>
          <cell r="G1058">
            <v>40</v>
          </cell>
          <cell r="H1058">
            <v>0</v>
          </cell>
          <cell r="I1058" t="str">
            <v>-</v>
          </cell>
          <cell r="J1058" t="str">
            <v>650/650</v>
          </cell>
          <cell r="K1058" t="str">
            <v xml:space="preserve">CPIII 40 RS </v>
          </cell>
          <cell r="L1058" t="str">
            <v>CP V</v>
          </cell>
          <cell r="M1058" t="str">
            <v>SUPER PLASTIFICANTE</v>
          </cell>
          <cell r="N1058" t="str">
            <v>ETE - PARQUE NOVO MUNDO (REATORES NEREDA)</v>
          </cell>
          <cell r="O1058" t="str">
            <v>FORTANKS</v>
          </cell>
          <cell r="P1058">
            <v>1</v>
          </cell>
          <cell r="Q1058" t="str">
            <v>Gean</v>
          </cell>
          <cell r="R1058">
            <v>45906</v>
          </cell>
          <cell r="S1058">
            <v>0.58333333333333337</v>
          </cell>
          <cell r="T1058">
            <v>0.57333333333333336</v>
          </cell>
          <cell r="U1058" t="str">
            <v>X</v>
          </cell>
          <cell r="V1058">
            <v>0.33333333333333331</v>
          </cell>
          <cell r="W1058">
            <v>48.252000000000002</v>
          </cell>
          <cell r="X1058">
            <v>48.311999999999998</v>
          </cell>
          <cell r="Y1058">
            <v>0.41666666666666702</v>
          </cell>
          <cell r="Z1058">
            <v>84.995999999999995</v>
          </cell>
          <cell r="AA1058">
            <v>84.516000000000005</v>
          </cell>
          <cell r="AW1058">
            <v>4</v>
          </cell>
          <cell r="AX1058">
            <v>4</v>
          </cell>
          <cell r="AY1058">
            <v>4</v>
          </cell>
          <cell r="AZ1058">
            <v>4</v>
          </cell>
          <cell r="BA1058" t="str">
            <v>CONSORCIO NOVA ETE - PARQUE NOVO MUNDO</v>
          </cell>
          <cell r="BB1058">
            <v>45908</v>
          </cell>
          <cell r="BC1058">
            <v>1</v>
          </cell>
          <cell r="BD1058" t="str">
            <v>seg</v>
          </cell>
          <cell r="BG1058">
            <v>45906</v>
          </cell>
        </row>
        <row r="1059">
          <cell r="A1059" t="str">
            <v>1330-A</v>
          </cell>
          <cell r="B1059">
            <v>952</v>
          </cell>
          <cell r="C1059" t="str">
            <v>PLACA PR_PN-138</v>
          </cell>
          <cell r="D1059">
            <v>6</v>
          </cell>
          <cell r="E1059">
            <v>40</v>
          </cell>
          <cell r="F1059">
            <v>24</v>
          </cell>
          <cell r="G1059">
            <v>40</v>
          </cell>
          <cell r="H1059">
            <v>0</v>
          </cell>
          <cell r="I1059" t="str">
            <v>-</v>
          </cell>
          <cell r="J1059" t="str">
            <v>650/650</v>
          </cell>
          <cell r="K1059" t="str">
            <v xml:space="preserve">CPIII 40 RS </v>
          </cell>
          <cell r="L1059" t="str">
            <v>CP V</v>
          </cell>
          <cell r="M1059" t="str">
            <v>SUPER PLASTIFICANTE</v>
          </cell>
          <cell r="N1059" t="str">
            <v>ETE - PROJETO SUCURIÚ - CLARIFICADOR PRIMARIO</v>
          </cell>
          <cell r="O1059" t="str">
            <v>FORTANKS</v>
          </cell>
          <cell r="P1059">
            <v>1</v>
          </cell>
          <cell r="Q1059" t="str">
            <v>Gean</v>
          </cell>
          <cell r="R1059">
            <v>45906</v>
          </cell>
          <cell r="S1059">
            <v>0.58333333333333337</v>
          </cell>
          <cell r="T1059">
            <v>0.57333333333333336</v>
          </cell>
          <cell r="U1059" t="str">
            <v>X</v>
          </cell>
          <cell r="V1059">
            <v>0.33333333333333331</v>
          </cell>
          <cell r="W1059">
            <v>48.25</v>
          </cell>
          <cell r="X1059">
            <v>48.31</v>
          </cell>
          <cell r="Y1059">
            <v>0.41666666666666702</v>
          </cell>
          <cell r="Z1059">
            <v>85</v>
          </cell>
          <cell r="AA1059">
            <v>84.51</v>
          </cell>
          <cell r="AW1059">
            <v>4</v>
          </cell>
          <cell r="AX1059">
            <v>4</v>
          </cell>
          <cell r="AY1059">
            <v>4</v>
          </cell>
          <cell r="AZ1059">
            <v>4</v>
          </cell>
          <cell r="BA1059" t="str">
            <v>FORTES ENGENHARIA</v>
          </cell>
          <cell r="BB1059">
            <v>45908</v>
          </cell>
          <cell r="BC1059">
            <v>1</v>
          </cell>
          <cell r="BD1059" t="str">
            <v>seg</v>
          </cell>
          <cell r="BG1059">
            <v>45906</v>
          </cell>
        </row>
        <row r="1060">
          <cell r="A1060">
            <v>1331</v>
          </cell>
          <cell r="B1060">
            <v>953</v>
          </cell>
          <cell r="C1060" t="str">
            <v>PLACAS PN-512 / PN-513</v>
          </cell>
          <cell r="D1060">
            <v>6.5</v>
          </cell>
          <cell r="E1060">
            <v>40</v>
          </cell>
          <cell r="F1060">
            <v>24</v>
          </cell>
          <cell r="G1060">
            <v>40</v>
          </cell>
          <cell r="H1060">
            <v>0</v>
          </cell>
          <cell r="I1060" t="str">
            <v>-</v>
          </cell>
          <cell r="J1060" t="str">
            <v>680/670</v>
          </cell>
          <cell r="K1060" t="str">
            <v xml:space="preserve">CPIII 40 RS </v>
          </cell>
          <cell r="L1060" t="str">
            <v>CP V</v>
          </cell>
          <cell r="M1060" t="str">
            <v>SUPER PLASTIFICANTE</v>
          </cell>
          <cell r="N1060" t="str">
            <v>ETE - PARQUE NOVO MUNDO (REATORES NEREDA)</v>
          </cell>
          <cell r="O1060" t="str">
            <v>FORTANKS</v>
          </cell>
          <cell r="P1060">
            <v>2</v>
          </cell>
          <cell r="Q1060" t="str">
            <v>Gean</v>
          </cell>
          <cell r="R1060">
            <v>45906</v>
          </cell>
          <cell r="S1060">
            <v>0.60416666666666663</v>
          </cell>
          <cell r="T1060">
            <v>0.59416666666666662</v>
          </cell>
          <cell r="U1060" t="str">
            <v>X</v>
          </cell>
          <cell r="V1060">
            <v>0.34027777777777779</v>
          </cell>
          <cell r="W1060">
            <v>35.808</v>
          </cell>
          <cell r="X1060">
            <v>36.875999999999998</v>
          </cell>
          <cell r="Y1060">
            <v>0.41666666666666702</v>
          </cell>
          <cell r="Z1060">
            <v>85.295999999999992</v>
          </cell>
          <cell r="AA1060">
            <v>84.695999999999998</v>
          </cell>
          <cell r="AW1060">
            <v>4</v>
          </cell>
          <cell r="AX1060">
            <v>4</v>
          </cell>
          <cell r="AY1060">
            <v>4</v>
          </cell>
          <cell r="AZ1060">
            <v>4</v>
          </cell>
          <cell r="BA1060" t="str">
            <v>CONSORCIO NOVA ETE - PARQUE NOVO MUNDO</v>
          </cell>
          <cell r="BB1060">
            <v>45908</v>
          </cell>
          <cell r="BC1060">
            <v>1</v>
          </cell>
          <cell r="BD1060" t="str">
            <v>seg</v>
          </cell>
          <cell r="BG1060">
            <v>45906</v>
          </cell>
        </row>
        <row r="1061">
          <cell r="A1061">
            <v>1332</v>
          </cell>
          <cell r="B1061">
            <v>954</v>
          </cell>
          <cell r="C1061" t="str">
            <v>PLACAS PN-514 / PN-515</v>
          </cell>
          <cell r="D1061">
            <v>6.5</v>
          </cell>
          <cell r="E1061">
            <v>40</v>
          </cell>
          <cell r="F1061">
            <v>24</v>
          </cell>
          <cell r="G1061">
            <v>40</v>
          </cell>
          <cell r="H1061">
            <v>0</v>
          </cell>
          <cell r="I1061" t="str">
            <v>-</v>
          </cell>
          <cell r="J1061" t="str">
            <v>650/6560</v>
          </cell>
          <cell r="K1061" t="str">
            <v xml:space="preserve">CPIII 40 RS </v>
          </cell>
          <cell r="L1061" t="str">
            <v>CP V</v>
          </cell>
          <cell r="M1061" t="str">
            <v>SUPER PLASTIFICANTE</v>
          </cell>
          <cell r="N1061" t="str">
            <v>ETE - PARQUE NOVO MUNDO (REATORES NEREDA)</v>
          </cell>
          <cell r="O1061" t="str">
            <v>FORTANKS</v>
          </cell>
          <cell r="P1061">
            <v>3</v>
          </cell>
          <cell r="Q1061" t="str">
            <v>Gean</v>
          </cell>
          <cell r="R1061">
            <v>45906</v>
          </cell>
          <cell r="S1061">
            <v>0.625</v>
          </cell>
          <cell r="T1061">
            <v>0.61499999999999999</v>
          </cell>
          <cell r="U1061" t="str">
            <v>X</v>
          </cell>
          <cell r="V1061">
            <v>0.34375</v>
          </cell>
          <cell r="W1061">
            <v>32.771999999999998</v>
          </cell>
          <cell r="X1061">
            <v>33.024000000000001</v>
          </cell>
          <cell r="Y1061">
            <v>0.41666666666666702</v>
          </cell>
          <cell r="Z1061">
            <v>84.563999999999993</v>
          </cell>
          <cell r="AA1061">
            <v>85.067999999999998</v>
          </cell>
          <cell r="AW1061">
            <v>4</v>
          </cell>
          <cell r="AX1061">
            <v>4</v>
          </cell>
          <cell r="AY1061">
            <v>4</v>
          </cell>
          <cell r="AZ1061">
            <v>4</v>
          </cell>
          <cell r="BA1061" t="str">
            <v>CONSORCIO NOVA ETE - PARQUE NOVO MUNDO</v>
          </cell>
          <cell r="BB1061">
            <v>45908</v>
          </cell>
          <cell r="BC1061">
            <v>1</v>
          </cell>
          <cell r="BD1061" t="str">
            <v>seg</v>
          </cell>
          <cell r="BG1061">
            <v>45906</v>
          </cell>
        </row>
        <row r="1062">
          <cell r="A1062">
            <v>1333</v>
          </cell>
          <cell r="B1062">
            <v>955</v>
          </cell>
          <cell r="C1062" t="str">
            <v>PLACAS PN-516 / PN-517</v>
          </cell>
          <cell r="D1062">
            <v>7.5</v>
          </cell>
          <cell r="E1062">
            <v>40</v>
          </cell>
          <cell r="F1062">
            <v>24</v>
          </cell>
          <cell r="G1062">
            <v>40</v>
          </cell>
          <cell r="H1062">
            <v>0</v>
          </cell>
          <cell r="I1062" t="str">
            <v>-</v>
          </cell>
          <cell r="J1062" t="str">
            <v>650/660</v>
          </cell>
          <cell r="K1062" t="str">
            <v xml:space="preserve">CPIII 40 RS </v>
          </cell>
          <cell r="L1062" t="str">
            <v>CP V</v>
          </cell>
          <cell r="M1062" t="str">
            <v>SUPER PLASTIFICANTE</v>
          </cell>
          <cell r="N1062" t="str">
            <v>ETE - PARQUE NOVO MUNDO (REATORES NEREDA)</v>
          </cell>
          <cell r="O1062" t="str">
            <v>FORTANKS</v>
          </cell>
          <cell r="P1062">
            <v>4</v>
          </cell>
          <cell r="Q1062" t="str">
            <v>Gean</v>
          </cell>
          <cell r="R1062">
            <v>45906</v>
          </cell>
          <cell r="S1062">
            <v>0.66666666666666663</v>
          </cell>
          <cell r="T1062">
            <v>0.65666666666666662</v>
          </cell>
          <cell r="U1062" t="str">
            <v>X</v>
          </cell>
          <cell r="V1062">
            <v>0.34722222222222221</v>
          </cell>
          <cell r="W1062">
            <v>39.011999999999993</v>
          </cell>
          <cell r="X1062">
            <v>35.448</v>
          </cell>
          <cell r="Y1062">
            <v>0.41666666666666702</v>
          </cell>
          <cell r="Z1062">
            <v>84.3</v>
          </cell>
          <cell r="AA1062">
            <v>83.82</v>
          </cell>
          <cell r="AW1062">
            <v>4</v>
          </cell>
          <cell r="AX1062">
            <v>4</v>
          </cell>
          <cell r="AY1062">
            <v>4</v>
          </cell>
          <cell r="AZ1062">
            <v>4</v>
          </cell>
          <cell r="BA1062" t="str">
            <v>CONSORCIO NOVA ETE - PARQUE NOVO MUNDO</v>
          </cell>
          <cell r="BB1062">
            <v>45908</v>
          </cell>
          <cell r="BC1062">
            <v>1</v>
          </cell>
          <cell r="BD1062" t="str">
            <v>seg</v>
          </cell>
          <cell r="BG1062">
            <v>45906</v>
          </cell>
        </row>
        <row r="1063">
          <cell r="A1063" t="str">
            <v>1333-A</v>
          </cell>
          <cell r="B1063">
            <v>955</v>
          </cell>
          <cell r="C1063" t="str">
            <v>PLACA PR_PN-138 (CANALETA)</v>
          </cell>
          <cell r="D1063">
            <v>7.5</v>
          </cell>
          <cell r="E1063">
            <v>40</v>
          </cell>
          <cell r="F1063">
            <v>24</v>
          </cell>
          <cell r="G1063">
            <v>40</v>
          </cell>
          <cell r="H1063">
            <v>0</v>
          </cell>
          <cell r="I1063" t="str">
            <v>-</v>
          </cell>
          <cell r="J1063" t="str">
            <v>650/660</v>
          </cell>
          <cell r="K1063" t="str">
            <v xml:space="preserve">CPIII 40 RS </v>
          </cell>
          <cell r="L1063" t="str">
            <v>CP V</v>
          </cell>
          <cell r="M1063" t="str">
            <v>SUPER PLASTIFICANTE</v>
          </cell>
          <cell r="N1063" t="str">
            <v>ETE - PROJETO SUCURIÚ - CLARIFICADOR PRIMARIO</v>
          </cell>
          <cell r="O1063" t="str">
            <v>FORTANKS</v>
          </cell>
          <cell r="P1063">
            <v>4</v>
          </cell>
          <cell r="Q1063" t="str">
            <v>Gean</v>
          </cell>
          <cell r="R1063">
            <v>45906</v>
          </cell>
          <cell r="S1063">
            <v>0.66666666666666663</v>
          </cell>
          <cell r="T1063">
            <v>0.65666666666666662</v>
          </cell>
          <cell r="U1063" t="str">
            <v>X</v>
          </cell>
          <cell r="V1063">
            <v>0.34722222222222221</v>
          </cell>
          <cell r="W1063">
            <v>39.01</v>
          </cell>
          <cell r="X1063">
            <v>35.450000000000003</v>
          </cell>
          <cell r="Y1063">
            <v>0.41666666666666702</v>
          </cell>
          <cell r="Z1063">
            <v>84.3</v>
          </cell>
          <cell r="AA1063">
            <v>83.82</v>
          </cell>
          <cell r="AW1063">
            <v>4</v>
          </cell>
          <cell r="AX1063">
            <v>4</v>
          </cell>
          <cell r="AY1063">
            <v>4</v>
          </cell>
          <cell r="AZ1063">
            <v>4</v>
          </cell>
          <cell r="BA1063" t="str">
            <v>FORTES ENGENHARIA</v>
          </cell>
          <cell r="BB1063">
            <v>45908</v>
          </cell>
          <cell r="BC1063">
            <v>1</v>
          </cell>
          <cell r="BD1063" t="str">
            <v>seg</v>
          </cell>
          <cell r="BG1063">
            <v>45906</v>
          </cell>
        </row>
        <row r="1064">
          <cell r="A1064">
            <v>1334</v>
          </cell>
          <cell r="B1064">
            <v>956</v>
          </cell>
          <cell r="C1064" t="str">
            <v>PLACA PF-373</v>
          </cell>
          <cell r="D1064">
            <v>5</v>
          </cell>
          <cell r="E1064">
            <v>40</v>
          </cell>
          <cell r="F1064">
            <v>24</v>
          </cell>
          <cell r="G1064">
            <v>40</v>
          </cell>
          <cell r="H1064">
            <v>0</v>
          </cell>
          <cell r="I1064" t="str">
            <v>-</v>
          </cell>
          <cell r="J1064" t="str">
            <v>660/660</v>
          </cell>
          <cell r="K1064" t="str">
            <v xml:space="preserve">CPIII 40 RS </v>
          </cell>
          <cell r="L1064" t="str">
            <v>CP V</v>
          </cell>
          <cell r="M1064" t="str">
            <v>SUPER PLASTIFICANTE</v>
          </cell>
          <cell r="N1064" t="str">
            <v>ETE - PARQUE NOVO MUNDO (REATORES NEREDA)</v>
          </cell>
          <cell r="O1064" t="str">
            <v>FORTANKS</v>
          </cell>
          <cell r="P1064">
            <v>1</v>
          </cell>
          <cell r="Q1064" t="str">
            <v>Gean</v>
          </cell>
          <cell r="R1064">
            <v>45909</v>
          </cell>
          <cell r="S1064">
            <v>0.58333333333333337</v>
          </cell>
          <cell r="T1064">
            <v>0.57333333333333336</v>
          </cell>
          <cell r="U1064" t="str">
            <v>X</v>
          </cell>
          <cell r="V1064">
            <v>0.33333333333333331</v>
          </cell>
          <cell r="W1064">
            <v>48.491999999999997</v>
          </cell>
          <cell r="X1064">
            <v>47.22</v>
          </cell>
          <cell r="Y1064">
            <v>0.41666666666666702</v>
          </cell>
          <cell r="Z1064">
            <v>84.899999999999991</v>
          </cell>
          <cell r="AA1064">
            <v>84.707999999999998</v>
          </cell>
          <cell r="AW1064">
            <v>4</v>
          </cell>
          <cell r="AX1064">
            <v>4</v>
          </cell>
          <cell r="AY1064">
            <v>4</v>
          </cell>
          <cell r="AZ1064">
            <v>4</v>
          </cell>
          <cell r="BA1064" t="str">
            <v>CONSORCIO NOVA ETE - PARQUE NOVO MUNDO</v>
          </cell>
          <cell r="BB1064">
            <v>45911</v>
          </cell>
          <cell r="BC1064">
            <v>1</v>
          </cell>
          <cell r="BD1064" t="str">
            <v>qui</v>
          </cell>
          <cell r="BG1064">
            <v>45909</v>
          </cell>
        </row>
        <row r="1065">
          <cell r="A1065">
            <v>1335</v>
          </cell>
          <cell r="B1065">
            <v>957</v>
          </cell>
          <cell r="C1065" t="str">
            <v>PLACA PN-518</v>
          </cell>
          <cell r="D1065">
            <v>6</v>
          </cell>
          <cell r="E1065">
            <v>40</v>
          </cell>
          <cell r="F1065">
            <v>24</v>
          </cell>
          <cell r="G1065">
            <v>40</v>
          </cell>
          <cell r="H1065">
            <v>0</v>
          </cell>
          <cell r="I1065" t="str">
            <v>-</v>
          </cell>
          <cell r="J1065" t="str">
            <v>650/650</v>
          </cell>
          <cell r="K1065" t="str">
            <v xml:space="preserve">CPIII 40 RS </v>
          </cell>
          <cell r="L1065" t="str">
            <v>CP V</v>
          </cell>
          <cell r="M1065" t="str">
            <v>SUPER PLASTIFICANTE</v>
          </cell>
          <cell r="N1065" t="str">
            <v>ETE - PARQUE NOVO MUNDO (REATORES NEREDA)</v>
          </cell>
          <cell r="O1065" t="str">
            <v>FORTANKS</v>
          </cell>
          <cell r="P1065">
            <v>1</v>
          </cell>
          <cell r="Q1065" t="str">
            <v>Gean</v>
          </cell>
          <cell r="R1065">
            <v>45909</v>
          </cell>
          <cell r="S1065">
            <v>0.64583333333333337</v>
          </cell>
          <cell r="T1065">
            <v>0.63583333333333336</v>
          </cell>
          <cell r="U1065" t="str">
            <v>X</v>
          </cell>
          <cell r="V1065">
            <v>0.41666666666666669</v>
          </cell>
          <cell r="W1065">
            <v>32.927999999999997</v>
          </cell>
          <cell r="X1065">
            <v>32.183999999999997</v>
          </cell>
          <cell r="Y1065">
            <v>0.41666666666666702</v>
          </cell>
          <cell r="Z1065">
            <v>83.867999999999995</v>
          </cell>
          <cell r="AA1065">
            <v>84.311999999999998</v>
          </cell>
          <cell r="AW1065">
            <v>4</v>
          </cell>
          <cell r="AX1065">
            <v>4</v>
          </cell>
          <cell r="AY1065">
            <v>4</v>
          </cell>
          <cell r="AZ1065">
            <v>4</v>
          </cell>
          <cell r="BA1065" t="str">
            <v>CONSORCIO NOVA ETE - PARQUE NOVO MUNDO</v>
          </cell>
          <cell r="BB1065">
            <v>45910</v>
          </cell>
          <cell r="BD1065" t="str">
            <v>qua</v>
          </cell>
          <cell r="BG1065">
            <v>45909</v>
          </cell>
        </row>
        <row r="1066">
          <cell r="A1066" t="str">
            <v>1335-A</v>
          </cell>
          <cell r="B1066">
            <v>957</v>
          </cell>
          <cell r="C1066" t="str">
            <v>PLACA PR_PN-139</v>
          </cell>
          <cell r="D1066">
            <v>6</v>
          </cell>
          <cell r="E1066">
            <v>40</v>
          </cell>
          <cell r="F1066">
            <v>24</v>
          </cell>
          <cell r="G1066">
            <v>40</v>
          </cell>
          <cell r="H1066">
            <v>0</v>
          </cell>
          <cell r="I1066" t="str">
            <v>-</v>
          </cell>
          <cell r="J1066" t="str">
            <v>650/650</v>
          </cell>
          <cell r="K1066" t="str">
            <v xml:space="preserve">CPIII 40 RS </v>
          </cell>
          <cell r="L1066" t="str">
            <v>CP V</v>
          </cell>
          <cell r="M1066" t="str">
            <v>SUPER PLASTIFICANTE</v>
          </cell>
          <cell r="N1066" t="str">
            <v>ETE - PROJETO SUCURIÚ - CLARIFICADOR PRIMARIO</v>
          </cell>
          <cell r="O1066" t="str">
            <v>FORTANKS</v>
          </cell>
          <cell r="P1066">
            <v>1</v>
          </cell>
          <cell r="Q1066" t="str">
            <v>Gean</v>
          </cell>
          <cell r="R1066">
            <v>45909</v>
          </cell>
          <cell r="S1066">
            <v>0.64583333333333337</v>
          </cell>
          <cell r="T1066">
            <v>0.63583333333333336</v>
          </cell>
          <cell r="U1066" t="str">
            <v>X</v>
          </cell>
          <cell r="V1066">
            <v>0.41666666666666669</v>
          </cell>
          <cell r="W1066">
            <v>32.93</v>
          </cell>
          <cell r="X1066">
            <v>32.18</v>
          </cell>
          <cell r="Y1066">
            <v>0.41666666666666702</v>
          </cell>
          <cell r="Z1066">
            <v>83.9</v>
          </cell>
          <cell r="AA1066">
            <v>84.31</v>
          </cell>
          <cell r="AW1066">
            <v>4</v>
          </cell>
          <cell r="AX1066">
            <v>4</v>
          </cell>
          <cell r="AY1066">
            <v>4</v>
          </cell>
          <cell r="AZ1066">
            <v>4</v>
          </cell>
          <cell r="BA1066" t="str">
            <v>FORTES ENGENHARIA</v>
          </cell>
          <cell r="BB1066">
            <v>45910</v>
          </cell>
          <cell r="BD1066" t="str">
            <v>qua</v>
          </cell>
          <cell r="BG1066">
            <v>45909</v>
          </cell>
        </row>
        <row r="1067">
          <cell r="A1067">
            <v>1336</v>
          </cell>
          <cell r="B1067">
            <v>958</v>
          </cell>
          <cell r="C1067" t="str">
            <v>PLACAS PN-519 / PN-520</v>
          </cell>
          <cell r="D1067">
            <v>7</v>
          </cell>
          <cell r="E1067">
            <v>40</v>
          </cell>
          <cell r="F1067">
            <v>24</v>
          </cell>
          <cell r="G1067">
            <v>40</v>
          </cell>
          <cell r="H1067">
            <v>0</v>
          </cell>
          <cell r="I1067" t="str">
            <v>-</v>
          </cell>
          <cell r="J1067" t="str">
            <v>660/660</v>
          </cell>
          <cell r="K1067" t="str">
            <v xml:space="preserve">CPIII 40 RS </v>
          </cell>
          <cell r="L1067" t="str">
            <v>CP V</v>
          </cell>
          <cell r="M1067" t="str">
            <v>SUPER PLASTIFICANTE</v>
          </cell>
          <cell r="N1067" t="str">
            <v>ETE - PARQUE NOVO MUNDO (REATORES NEREDA)</v>
          </cell>
          <cell r="O1067" t="str">
            <v>FORTANKS</v>
          </cell>
          <cell r="P1067">
            <v>2</v>
          </cell>
          <cell r="Q1067" t="str">
            <v>Gean</v>
          </cell>
          <cell r="R1067">
            <v>45909</v>
          </cell>
          <cell r="S1067">
            <v>0.66666666666666663</v>
          </cell>
          <cell r="T1067">
            <v>0.65666666666666662</v>
          </cell>
          <cell r="U1067" t="str">
            <v>X</v>
          </cell>
          <cell r="V1067">
            <v>0.4201388888888889</v>
          </cell>
          <cell r="W1067">
            <v>24.443999999999999</v>
          </cell>
          <cell r="X1067">
            <v>25.776</v>
          </cell>
          <cell r="Y1067">
            <v>0.41666666666666702</v>
          </cell>
          <cell r="Z1067">
            <v>85.811999999999998</v>
          </cell>
          <cell r="AA1067">
            <v>85.128</v>
          </cell>
          <cell r="AW1067">
            <v>4</v>
          </cell>
          <cell r="AX1067">
            <v>4</v>
          </cell>
          <cell r="AY1067">
            <v>4</v>
          </cell>
          <cell r="AZ1067">
            <v>4</v>
          </cell>
          <cell r="BA1067" t="str">
            <v>CONSORCIO NOVA ETE - PARQUE NOVO MUNDO</v>
          </cell>
          <cell r="BB1067">
            <v>45910</v>
          </cell>
          <cell r="BD1067" t="str">
            <v>qua</v>
          </cell>
          <cell r="BG1067">
            <v>45909</v>
          </cell>
        </row>
        <row r="1068">
          <cell r="A1068">
            <v>1337</v>
          </cell>
          <cell r="B1068">
            <v>959</v>
          </cell>
          <cell r="C1068" t="str">
            <v>PLACAS PON-521 / PN-526</v>
          </cell>
          <cell r="D1068">
            <v>6.5</v>
          </cell>
          <cell r="E1068">
            <v>40</v>
          </cell>
          <cell r="F1068">
            <v>24</v>
          </cell>
          <cell r="G1068">
            <v>40</v>
          </cell>
          <cell r="H1068">
            <v>0</v>
          </cell>
          <cell r="I1068" t="str">
            <v>-</v>
          </cell>
          <cell r="J1068" t="str">
            <v>660/650</v>
          </cell>
          <cell r="K1068" t="str">
            <v xml:space="preserve">CPIII 40 RS </v>
          </cell>
          <cell r="L1068" t="str">
            <v>CP V</v>
          </cell>
          <cell r="M1068" t="str">
            <v>SUPER PLASTIFICANTE</v>
          </cell>
          <cell r="N1068" t="str">
            <v>ETE - PARQUE NOVO MUNDO (REATORES NEREDA)</v>
          </cell>
          <cell r="O1068" t="str">
            <v>FORTANKS</v>
          </cell>
          <cell r="P1068">
            <v>3</v>
          </cell>
          <cell r="Q1068" t="str">
            <v>Gean</v>
          </cell>
          <cell r="R1068">
            <v>45909</v>
          </cell>
          <cell r="S1068">
            <v>0.70833333333333337</v>
          </cell>
          <cell r="T1068">
            <v>0.69833333333333336</v>
          </cell>
          <cell r="U1068" t="str">
            <v>X</v>
          </cell>
          <cell r="V1068">
            <v>0.4236111111111111</v>
          </cell>
          <cell r="W1068">
            <v>31.08</v>
          </cell>
          <cell r="X1068">
            <v>32.375999999999998</v>
          </cell>
          <cell r="Y1068">
            <v>0.41666666666666702</v>
          </cell>
          <cell r="Z1068">
            <v>83.927999999999997</v>
          </cell>
          <cell r="AA1068">
            <v>84.144000000000005</v>
          </cell>
          <cell r="AW1068">
            <v>4</v>
          </cell>
          <cell r="AX1068">
            <v>4</v>
          </cell>
          <cell r="AY1068">
            <v>4</v>
          </cell>
          <cell r="AZ1068">
            <v>4</v>
          </cell>
          <cell r="BA1068" t="str">
            <v>CONSORCIO NOVA ETE - PARQUE NOVO MUNDO</v>
          </cell>
          <cell r="BB1068">
            <v>45910</v>
          </cell>
          <cell r="BD1068" t="str">
            <v>qua</v>
          </cell>
          <cell r="BG1068">
            <v>45909</v>
          </cell>
        </row>
        <row r="1069">
          <cell r="A1069">
            <v>1338</v>
          </cell>
          <cell r="B1069">
            <v>960</v>
          </cell>
          <cell r="C1069" t="str">
            <v>PLACAS PN-527 / PN-529</v>
          </cell>
          <cell r="D1069">
            <v>6</v>
          </cell>
          <cell r="E1069">
            <v>40</v>
          </cell>
          <cell r="F1069">
            <v>24</v>
          </cell>
          <cell r="G1069">
            <v>40</v>
          </cell>
          <cell r="H1069">
            <v>0</v>
          </cell>
          <cell r="I1069" t="str">
            <v>-</v>
          </cell>
          <cell r="J1069" t="str">
            <v>650/650</v>
          </cell>
          <cell r="K1069" t="str">
            <v xml:space="preserve">CPIII 40 RS </v>
          </cell>
          <cell r="L1069" t="str">
            <v>CP V</v>
          </cell>
          <cell r="M1069" t="str">
            <v>SUPER PLASTIFICANTE</v>
          </cell>
          <cell r="N1069" t="str">
            <v>ETE - PARQUE NOVO MUNDO (REATORES NEREDA)</v>
          </cell>
          <cell r="O1069" t="str">
            <v>FORTANKS</v>
          </cell>
          <cell r="P1069">
            <v>4</v>
          </cell>
          <cell r="Q1069" t="str">
            <v>Gean</v>
          </cell>
          <cell r="R1069">
            <v>45909</v>
          </cell>
          <cell r="S1069">
            <v>0.72916666666666663</v>
          </cell>
          <cell r="T1069">
            <v>0.71916666666666662</v>
          </cell>
          <cell r="U1069" t="str">
            <v>X</v>
          </cell>
          <cell r="V1069">
            <v>0.42708333333333331</v>
          </cell>
          <cell r="W1069">
            <v>27</v>
          </cell>
          <cell r="X1069">
            <v>27.071999999999999</v>
          </cell>
          <cell r="Y1069">
            <v>0.41666666666666702</v>
          </cell>
          <cell r="Z1069">
            <v>86.183999999999983</v>
          </cell>
          <cell r="AA1069">
            <v>85.02</v>
          </cell>
          <cell r="AW1069">
            <v>4</v>
          </cell>
          <cell r="AX1069">
            <v>4</v>
          </cell>
          <cell r="AY1069">
            <v>4</v>
          </cell>
          <cell r="AZ1069">
            <v>4</v>
          </cell>
          <cell r="BA1069" t="str">
            <v>CONSORCIO NOVA ETE - PARQUE NOVO MUNDO</v>
          </cell>
          <cell r="BB1069">
            <v>45910</v>
          </cell>
          <cell r="BD1069" t="str">
            <v>qua</v>
          </cell>
          <cell r="BG1069">
            <v>45909</v>
          </cell>
        </row>
        <row r="1070">
          <cell r="A1070" t="str">
            <v>1338-A</v>
          </cell>
          <cell r="B1070">
            <v>960</v>
          </cell>
          <cell r="C1070" t="str">
            <v>PLACA PR_PN-139 (CANALETA)</v>
          </cell>
          <cell r="D1070">
            <v>6</v>
          </cell>
          <cell r="E1070">
            <v>40</v>
          </cell>
          <cell r="F1070">
            <v>24</v>
          </cell>
          <cell r="G1070">
            <v>40</v>
          </cell>
          <cell r="H1070">
            <v>0</v>
          </cell>
          <cell r="I1070" t="str">
            <v>-</v>
          </cell>
          <cell r="J1070" t="str">
            <v>650/650</v>
          </cell>
          <cell r="K1070" t="str">
            <v xml:space="preserve">CPIII 40 RS </v>
          </cell>
          <cell r="L1070" t="str">
            <v>CP V</v>
          </cell>
          <cell r="M1070" t="str">
            <v>SUPER PLASTIFICANTE</v>
          </cell>
          <cell r="N1070" t="str">
            <v>ETE - PROJETO SUCURIÚ - CLARIFICADOR PRIMARIO</v>
          </cell>
          <cell r="O1070" t="str">
            <v>FORTANKS</v>
          </cell>
          <cell r="P1070">
            <v>4</v>
          </cell>
          <cell r="Q1070" t="str">
            <v>Gean</v>
          </cell>
          <cell r="R1070">
            <v>45909</v>
          </cell>
          <cell r="S1070">
            <v>0.72916666666666663</v>
          </cell>
          <cell r="T1070">
            <v>0.71916666666666662</v>
          </cell>
          <cell r="U1070" t="str">
            <v>X</v>
          </cell>
          <cell r="V1070">
            <v>0.42708333333333331</v>
          </cell>
          <cell r="W1070">
            <v>27</v>
          </cell>
          <cell r="X1070">
            <v>27.07</v>
          </cell>
          <cell r="Y1070">
            <v>0.41666666666666702</v>
          </cell>
          <cell r="Z1070">
            <v>86.2</v>
          </cell>
          <cell r="AA1070">
            <v>85.02</v>
          </cell>
          <cell r="AW1070">
            <v>4</v>
          </cell>
          <cell r="AX1070">
            <v>4</v>
          </cell>
          <cell r="AY1070">
            <v>4</v>
          </cell>
          <cell r="AZ1070">
            <v>4</v>
          </cell>
          <cell r="BA1070" t="str">
            <v>FORTES ENGENHARIA</v>
          </cell>
          <cell r="BB1070">
            <v>45910</v>
          </cell>
          <cell r="BD1070" t="str">
            <v>qua</v>
          </cell>
          <cell r="BG1070">
            <v>45909</v>
          </cell>
        </row>
        <row r="1071">
          <cell r="A1071">
            <v>1339</v>
          </cell>
          <cell r="B1071">
            <v>961</v>
          </cell>
          <cell r="C1071" t="str">
            <v>PLACA  AER 1 PN-06</v>
          </cell>
          <cell r="D1071">
            <v>7</v>
          </cell>
          <cell r="E1071">
            <v>40</v>
          </cell>
          <cell r="F1071">
            <v>24</v>
          </cell>
          <cell r="G1071">
            <v>40</v>
          </cell>
          <cell r="H1071">
            <v>0</v>
          </cell>
          <cell r="I1071" t="str">
            <v>-</v>
          </cell>
          <cell r="J1071" t="str">
            <v>670/680</v>
          </cell>
          <cell r="K1071" t="str">
            <v xml:space="preserve">CPIII 40 RS </v>
          </cell>
          <cell r="L1071" t="str">
            <v>CP V</v>
          </cell>
          <cell r="M1071" t="str">
            <v>SUPER PLASTIFICANTE</v>
          </cell>
          <cell r="N1071" t="str">
            <v>ETE - PROJETO SUCURIÚ - AERADORES</v>
          </cell>
          <cell r="O1071" t="str">
            <v>FORTANKS</v>
          </cell>
          <cell r="P1071">
            <v>1</v>
          </cell>
          <cell r="Q1071" t="str">
            <v>Gean</v>
          </cell>
          <cell r="R1071">
            <v>45910</v>
          </cell>
          <cell r="S1071">
            <v>0.66666666666666663</v>
          </cell>
          <cell r="T1071">
            <v>0.65666666666666662</v>
          </cell>
          <cell r="U1071" t="str">
            <v>X</v>
          </cell>
          <cell r="V1071">
            <v>0.44791666666666669</v>
          </cell>
          <cell r="W1071">
            <v>26.52</v>
          </cell>
          <cell r="X1071">
            <v>27.395999999999997</v>
          </cell>
          <cell r="Y1071">
            <v>0.41666666666666702</v>
          </cell>
          <cell r="Z1071">
            <v>84.755999999999986</v>
          </cell>
          <cell r="AA1071">
            <v>84.707999999999998</v>
          </cell>
          <cell r="AW1071">
            <v>4</v>
          </cell>
          <cell r="AX1071">
            <v>4</v>
          </cell>
          <cell r="AY1071">
            <v>4</v>
          </cell>
          <cell r="AZ1071">
            <v>4</v>
          </cell>
          <cell r="BA1071" t="str">
            <v>FORTES ENGENHARIA</v>
          </cell>
          <cell r="BB1071">
            <v>45911</v>
          </cell>
          <cell r="BD1071" t="str">
            <v>qui</v>
          </cell>
          <cell r="BG1071">
            <v>45910</v>
          </cell>
        </row>
        <row r="1072">
          <cell r="A1072">
            <v>1340</v>
          </cell>
          <cell r="B1072">
            <v>962</v>
          </cell>
          <cell r="C1072" t="str">
            <v>PLACA AER 1 PN-05</v>
          </cell>
          <cell r="D1072">
            <v>7</v>
          </cell>
          <cell r="E1072">
            <v>40</v>
          </cell>
          <cell r="F1072">
            <v>24</v>
          </cell>
          <cell r="G1072">
            <v>40</v>
          </cell>
          <cell r="H1072">
            <v>0</v>
          </cell>
          <cell r="I1072" t="str">
            <v>-</v>
          </cell>
          <cell r="J1072" t="str">
            <v>660/670</v>
          </cell>
          <cell r="K1072" t="str">
            <v xml:space="preserve">CPIII 40 RS </v>
          </cell>
          <cell r="L1072" t="str">
            <v>CP V</v>
          </cell>
          <cell r="M1072" t="str">
            <v>SUPER PLASTIFICANTE</v>
          </cell>
          <cell r="N1072" t="str">
            <v>ETE - PROJETO SUCURIÚ - AERADORES</v>
          </cell>
          <cell r="O1072" t="str">
            <v>FORTANKS</v>
          </cell>
          <cell r="P1072">
            <v>2</v>
          </cell>
          <cell r="Q1072" t="str">
            <v>Gean</v>
          </cell>
          <cell r="R1072">
            <v>45910</v>
          </cell>
          <cell r="S1072">
            <v>0.6875</v>
          </cell>
          <cell r="T1072">
            <v>0.67749999999999999</v>
          </cell>
          <cell r="U1072" t="str">
            <v>X</v>
          </cell>
          <cell r="V1072">
            <v>0.4513888888888889</v>
          </cell>
          <cell r="W1072">
            <v>24.599999999999998</v>
          </cell>
          <cell r="X1072">
            <v>24.504000000000001</v>
          </cell>
          <cell r="Y1072">
            <v>0.41666666666666702</v>
          </cell>
          <cell r="Z1072">
            <v>83.7</v>
          </cell>
          <cell r="AA1072">
            <v>83.507999999999996</v>
          </cell>
          <cell r="AW1072">
            <v>4</v>
          </cell>
          <cell r="AX1072">
            <v>4</v>
          </cell>
          <cell r="AY1072">
            <v>4</v>
          </cell>
          <cell r="AZ1072">
            <v>4</v>
          </cell>
          <cell r="BA1072" t="str">
            <v>FORTES ENGENHARIA</v>
          </cell>
          <cell r="BB1072">
            <v>45911</v>
          </cell>
          <cell r="BD1072" t="str">
            <v>qui</v>
          </cell>
          <cell r="BG1072">
            <v>45910</v>
          </cell>
        </row>
        <row r="1073">
          <cell r="A1073">
            <v>1341</v>
          </cell>
          <cell r="B1073">
            <v>963</v>
          </cell>
          <cell r="C1073" t="str">
            <v>PLACA  AER 1 PN-04</v>
          </cell>
          <cell r="D1073">
            <v>7</v>
          </cell>
          <cell r="E1073">
            <v>40</v>
          </cell>
          <cell r="F1073">
            <v>24</v>
          </cell>
          <cell r="G1073">
            <v>40</v>
          </cell>
          <cell r="H1073">
            <v>0</v>
          </cell>
          <cell r="I1073" t="str">
            <v>-</v>
          </cell>
          <cell r="J1073" t="str">
            <v>660/670</v>
          </cell>
          <cell r="K1073" t="str">
            <v xml:space="preserve">CPIII 40 RS </v>
          </cell>
          <cell r="L1073" t="str">
            <v>CP V</v>
          </cell>
          <cell r="M1073" t="str">
            <v>SUPER PLASTIFICANTE</v>
          </cell>
          <cell r="N1073" t="str">
            <v>ETE - PROJETO SUCURIÚ - AERADORES</v>
          </cell>
          <cell r="O1073" t="str">
            <v>FORTANKS</v>
          </cell>
          <cell r="P1073">
            <v>3</v>
          </cell>
          <cell r="Q1073" t="str">
            <v>Gean</v>
          </cell>
          <cell r="R1073">
            <v>45910</v>
          </cell>
          <cell r="S1073">
            <v>0.72916666666666663</v>
          </cell>
          <cell r="T1073">
            <v>0.71916666666666662</v>
          </cell>
          <cell r="U1073" t="str">
            <v>X</v>
          </cell>
          <cell r="V1073">
            <v>0.45833333333333331</v>
          </cell>
          <cell r="W1073">
            <v>24.167999999999999</v>
          </cell>
          <cell r="X1073">
            <v>23.916</v>
          </cell>
          <cell r="Y1073">
            <v>0.41666666666666702</v>
          </cell>
          <cell r="Z1073">
            <v>84.551999999999992</v>
          </cell>
          <cell r="AA1073">
            <v>84.251999999999995</v>
          </cell>
          <cell r="AW1073">
            <v>4</v>
          </cell>
          <cell r="AX1073">
            <v>4</v>
          </cell>
          <cell r="AY1073">
            <v>3</v>
          </cell>
          <cell r="AZ1073">
            <v>4</v>
          </cell>
          <cell r="BA1073" t="str">
            <v>FORTES ENGENHARIA</v>
          </cell>
          <cell r="BB1073">
            <v>45911</v>
          </cell>
          <cell r="BD1073" t="str">
            <v>qui</v>
          </cell>
          <cell r="BG1073">
            <v>45910</v>
          </cell>
        </row>
        <row r="1074">
          <cell r="A1074">
            <v>1342</v>
          </cell>
          <cell r="B1074">
            <v>964</v>
          </cell>
          <cell r="C1074" t="str">
            <v>PLACA AER 1 PN-02</v>
          </cell>
          <cell r="D1074">
            <v>7</v>
          </cell>
          <cell r="E1074">
            <v>40</v>
          </cell>
          <cell r="F1074">
            <v>24</v>
          </cell>
          <cell r="G1074">
            <v>40</v>
          </cell>
          <cell r="H1074">
            <v>0</v>
          </cell>
          <cell r="I1074" t="str">
            <v>-</v>
          </cell>
          <cell r="J1074" t="str">
            <v>660/680</v>
          </cell>
          <cell r="K1074" t="str">
            <v xml:space="preserve">CPIII 40 RS </v>
          </cell>
          <cell r="L1074" t="str">
            <v>CP V</v>
          </cell>
          <cell r="M1074" t="str">
            <v>SUPER PLASTIFICANTE</v>
          </cell>
          <cell r="N1074" t="str">
            <v>ETE - PROJETO SUCURIÚ - AERADORES</v>
          </cell>
          <cell r="O1074" t="str">
            <v>FORTANKS</v>
          </cell>
          <cell r="P1074">
            <v>4</v>
          </cell>
          <cell r="Q1074" t="str">
            <v>Gean</v>
          </cell>
          <cell r="R1074">
            <v>45910</v>
          </cell>
          <cell r="S1074">
            <v>0.75</v>
          </cell>
          <cell r="T1074">
            <v>0.74</v>
          </cell>
          <cell r="U1074" t="str">
            <v>X</v>
          </cell>
          <cell r="V1074">
            <v>0.46180555555555558</v>
          </cell>
          <cell r="W1074">
            <v>31.56</v>
          </cell>
          <cell r="X1074">
            <v>32.052</v>
          </cell>
          <cell r="Y1074">
            <v>0.41666666666666702</v>
          </cell>
          <cell r="Z1074">
            <v>86.387999999999991</v>
          </cell>
          <cell r="AA1074">
            <v>84.695999999999998</v>
          </cell>
          <cell r="AW1074">
            <v>4</v>
          </cell>
          <cell r="AX1074">
            <v>4</v>
          </cell>
          <cell r="AY1074">
            <v>4</v>
          </cell>
          <cell r="AZ1074">
            <v>4</v>
          </cell>
          <cell r="BA1074" t="str">
            <v>FORTES ENGENHARIA</v>
          </cell>
          <cell r="BB1074">
            <v>45911</v>
          </cell>
          <cell r="BD1074" t="str">
            <v>qui</v>
          </cell>
          <cell r="BG1074">
            <v>45910</v>
          </cell>
        </row>
        <row r="1075">
          <cell r="A1075">
            <v>1343</v>
          </cell>
          <cell r="B1075">
            <v>965</v>
          </cell>
          <cell r="C1075" t="str">
            <v>PLACA  AER 1 PN-01</v>
          </cell>
          <cell r="D1075">
            <v>7</v>
          </cell>
          <cell r="E1075">
            <v>40</v>
          </cell>
          <cell r="F1075">
            <v>24</v>
          </cell>
          <cell r="G1075">
            <v>40</v>
          </cell>
          <cell r="H1075">
            <v>0</v>
          </cell>
          <cell r="I1075" t="str">
            <v>-</v>
          </cell>
          <cell r="J1075" t="str">
            <v>660/670</v>
          </cell>
          <cell r="K1075" t="str">
            <v xml:space="preserve">CPIII 40 RS </v>
          </cell>
          <cell r="L1075" t="str">
            <v>CP V</v>
          </cell>
          <cell r="M1075" t="str">
            <v>SUPER PLASTIFICANTE</v>
          </cell>
          <cell r="N1075" t="str">
            <v>ETE - PROJETO SUCURIÚ - AERADORES</v>
          </cell>
          <cell r="O1075" t="str">
            <v>FORTANKS</v>
          </cell>
          <cell r="P1075">
            <v>5</v>
          </cell>
          <cell r="Q1075" t="str">
            <v>Gean</v>
          </cell>
          <cell r="R1075">
            <v>45910</v>
          </cell>
          <cell r="S1075">
            <v>0.77083333333333337</v>
          </cell>
          <cell r="T1075">
            <v>0.76083333333333336</v>
          </cell>
          <cell r="U1075" t="str">
            <v>X</v>
          </cell>
          <cell r="V1075">
            <v>0.46527777777777779</v>
          </cell>
          <cell r="W1075">
            <v>29.7</v>
          </cell>
          <cell r="X1075">
            <v>30.479999999999997</v>
          </cell>
          <cell r="Y1075">
            <v>0.41666666666666702</v>
          </cell>
          <cell r="Z1075">
            <v>86.736000000000004</v>
          </cell>
          <cell r="AA1075">
            <v>86.712000000000003</v>
          </cell>
          <cell r="AW1075">
            <v>4</v>
          </cell>
          <cell r="AX1075">
            <v>4</v>
          </cell>
          <cell r="AY1075">
            <v>4</v>
          </cell>
          <cell r="AZ1075">
            <v>4</v>
          </cell>
          <cell r="BA1075" t="str">
            <v>FORTES ENGENHARIA</v>
          </cell>
          <cell r="BB1075">
            <v>45911</v>
          </cell>
          <cell r="BD1075" t="str">
            <v>qui</v>
          </cell>
          <cell r="BG1075">
            <v>45910</v>
          </cell>
        </row>
        <row r="1076">
          <cell r="A1076">
            <v>1344</v>
          </cell>
          <cell r="B1076">
            <v>966</v>
          </cell>
          <cell r="C1076" t="str">
            <v>PLACAS PN-536 / PN-535 / PN-534 (20%)</v>
          </cell>
          <cell r="D1076">
            <v>8</v>
          </cell>
          <cell r="E1076">
            <v>40</v>
          </cell>
          <cell r="F1076">
            <v>24</v>
          </cell>
          <cell r="G1076">
            <v>40</v>
          </cell>
          <cell r="H1076">
            <v>0</v>
          </cell>
          <cell r="I1076" t="str">
            <v>-</v>
          </cell>
          <cell r="J1076" t="str">
            <v>670/680</v>
          </cell>
          <cell r="K1076" t="str">
            <v xml:space="preserve">CPIII 40 RS </v>
          </cell>
          <cell r="L1076" t="str">
            <v>CP V</v>
          </cell>
          <cell r="M1076" t="str">
            <v>SUPER PLASTIFICANTE</v>
          </cell>
          <cell r="N1076" t="str">
            <v>ETE - PARQUE NOVO MUNDO (REATORES NEREDA)</v>
          </cell>
          <cell r="O1076" t="str">
            <v>FORTANKS</v>
          </cell>
          <cell r="P1076">
            <v>1</v>
          </cell>
          <cell r="Q1076" t="str">
            <v>Gean</v>
          </cell>
          <cell r="R1076">
            <v>45911</v>
          </cell>
          <cell r="S1076">
            <v>0.625</v>
          </cell>
          <cell r="T1076">
            <v>0.61499999999999999</v>
          </cell>
          <cell r="U1076" t="str">
            <v>X</v>
          </cell>
          <cell r="V1076">
            <v>0.33333333333333331</v>
          </cell>
          <cell r="W1076">
            <v>29.027999999999999</v>
          </cell>
          <cell r="X1076">
            <v>29.783999999999999</v>
          </cell>
          <cell r="Y1076">
            <v>0.41666666666666702</v>
          </cell>
          <cell r="Z1076">
            <v>83.135999999999996</v>
          </cell>
          <cell r="AA1076">
            <v>84.64800000000001</v>
          </cell>
          <cell r="AW1076">
            <v>4</v>
          </cell>
          <cell r="AX1076">
            <v>4</v>
          </cell>
          <cell r="AY1076">
            <v>4</v>
          </cell>
          <cell r="AZ1076">
            <v>4</v>
          </cell>
          <cell r="BA1076" t="str">
            <v>CONSORCIO NOVA ETE - PARQUE NOVO MUNDO</v>
          </cell>
          <cell r="BB1076">
            <v>45912</v>
          </cell>
          <cell r="BD1076" t="str">
            <v>sex</v>
          </cell>
          <cell r="BG1076">
            <v>45911</v>
          </cell>
        </row>
        <row r="1077">
          <cell r="A1077">
            <v>1345</v>
          </cell>
          <cell r="B1077">
            <v>967</v>
          </cell>
          <cell r="C1077" t="str">
            <v>PLACAS PN-534(80%) / PN-533 / PN-532(70%)</v>
          </cell>
          <cell r="D1077">
            <v>8</v>
          </cell>
          <cell r="E1077">
            <v>40</v>
          </cell>
          <cell r="F1077">
            <v>24</v>
          </cell>
          <cell r="G1077">
            <v>40</v>
          </cell>
          <cell r="H1077">
            <v>0</v>
          </cell>
          <cell r="I1077" t="str">
            <v>-</v>
          </cell>
          <cell r="J1077" t="str">
            <v>670/670</v>
          </cell>
          <cell r="K1077" t="str">
            <v xml:space="preserve">CPIII 40 RS </v>
          </cell>
          <cell r="L1077" t="str">
            <v>CP V</v>
          </cell>
          <cell r="M1077" t="str">
            <v>SUPER PLASTIFICANTE</v>
          </cell>
          <cell r="N1077" t="str">
            <v>ETE - PARQUE NOVO MUNDO (REATORES NEREDA)</v>
          </cell>
          <cell r="O1077" t="str">
            <v>FORTANKS</v>
          </cell>
          <cell r="P1077">
            <v>2</v>
          </cell>
          <cell r="Q1077" t="str">
            <v>Gean</v>
          </cell>
          <cell r="R1077">
            <v>45911</v>
          </cell>
          <cell r="S1077">
            <v>0.65277777777777779</v>
          </cell>
          <cell r="T1077">
            <v>0.64277777777777778</v>
          </cell>
          <cell r="U1077" t="str">
            <v>X</v>
          </cell>
          <cell r="V1077">
            <v>0.34027777777777779</v>
          </cell>
          <cell r="W1077">
            <v>25.295999999999996</v>
          </cell>
          <cell r="X1077">
            <v>24.995999999999999</v>
          </cell>
          <cell r="Y1077">
            <v>0.41666666666666702</v>
          </cell>
          <cell r="Z1077">
            <v>84.827999999999989</v>
          </cell>
          <cell r="AA1077">
            <v>85.128</v>
          </cell>
          <cell r="AW1077">
            <v>4</v>
          </cell>
          <cell r="AX1077">
            <v>4</v>
          </cell>
          <cell r="AY1077">
            <v>4</v>
          </cell>
          <cell r="AZ1077">
            <v>4</v>
          </cell>
          <cell r="BA1077" t="str">
            <v>CONSORCIO NOVA ETE - PARQUE NOVO MUNDO</v>
          </cell>
          <cell r="BB1077">
            <v>45912</v>
          </cell>
          <cell r="BD1077" t="str">
            <v>sex</v>
          </cell>
          <cell r="BG1077">
            <v>45911</v>
          </cell>
        </row>
        <row r="1078">
          <cell r="A1078">
            <v>1346</v>
          </cell>
          <cell r="B1078">
            <v>968</v>
          </cell>
          <cell r="C1078" t="str">
            <v>PLACAS PN-532(30%) / PN-531 / PN-530</v>
          </cell>
          <cell r="D1078">
            <v>8</v>
          </cell>
          <cell r="E1078">
            <v>40</v>
          </cell>
          <cell r="F1078">
            <v>24</v>
          </cell>
          <cell r="G1078">
            <v>40</v>
          </cell>
          <cell r="H1078">
            <v>0</v>
          </cell>
          <cell r="I1078" t="str">
            <v>-</v>
          </cell>
          <cell r="J1078" t="str">
            <v>650/650</v>
          </cell>
          <cell r="K1078" t="str">
            <v xml:space="preserve">CPIII 40 RS </v>
          </cell>
          <cell r="L1078" t="str">
            <v>CP V</v>
          </cell>
          <cell r="M1078" t="str">
            <v>SUPER PLASTIFICANTE</v>
          </cell>
          <cell r="N1078" t="str">
            <v>ETE - PARQUE NOVO MUNDO (REATORES NEREDA)</v>
          </cell>
          <cell r="O1078" t="str">
            <v>FORTANKS</v>
          </cell>
          <cell r="P1078">
            <v>3</v>
          </cell>
          <cell r="Q1078" t="str">
            <v>Gean</v>
          </cell>
          <cell r="R1078">
            <v>45911</v>
          </cell>
          <cell r="S1078">
            <v>0.68055555555555558</v>
          </cell>
          <cell r="T1078">
            <v>0.67055555555555557</v>
          </cell>
          <cell r="U1078" t="str">
            <v>X</v>
          </cell>
          <cell r="V1078">
            <v>0.34375</v>
          </cell>
          <cell r="W1078">
            <v>25.236000000000001</v>
          </cell>
          <cell r="X1078">
            <v>27.312000000000001</v>
          </cell>
          <cell r="Y1078">
            <v>0.41666666666666702</v>
          </cell>
          <cell r="Z1078">
            <v>84.311999999999998</v>
          </cell>
          <cell r="AA1078">
            <v>85.007999999999996</v>
          </cell>
          <cell r="AW1078">
            <v>4</v>
          </cell>
          <cell r="AX1078">
            <v>4</v>
          </cell>
          <cell r="AY1078">
            <v>4</v>
          </cell>
          <cell r="AZ1078">
            <v>4</v>
          </cell>
          <cell r="BA1078" t="str">
            <v>CONSORCIO NOVA ETE - PARQUE NOVO MUNDO</v>
          </cell>
          <cell r="BB1078">
            <v>45912</v>
          </cell>
          <cell r="BD1078" t="str">
            <v>sex</v>
          </cell>
          <cell r="BG1078">
            <v>45911</v>
          </cell>
        </row>
        <row r="1079">
          <cell r="A1079">
            <v>1347</v>
          </cell>
          <cell r="B1079">
            <v>969</v>
          </cell>
          <cell r="C1079" t="str">
            <v>PLACA  AER 1 PN-12</v>
          </cell>
          <cell r="D1079">
            <v>6.5</v>
          </cell>
          <cell r="E1079">
            <v>40</v>
          </cell>
          <cell r="F1079">
            <v>24</v>
          </cell>
          <cell r="G1079">
            <v>40</v>
          </cell>
          <cell r="H1079">
            <v>0</v>
          </cell>
          <cell r="I1079" t="str">
            <v>-</v>
          </cell>
          <cell r="J1079" t="str">
            <v>660/670</v>
          </cell>
          <cell r="K1079" t="str">
            <v xml:space="preserve">CPIII 40 RS </v>
          </cell>
          <cell r="L1079" t="str">
            <v>CP V</v>
          </cell>
          <cell r="M1079" t="str">
            <v>SUPER PLASTIFICANTE</v>
          </cell>
          <cell r="N1079" t="str">
            <v>ETE - PROJETO SUCURIÚ - AERADORES</v>
          </cell>
          <cell r="O1079" t="str">
            <v>FORTANKS</v>
          </cell>
          <cell r="P1079">
            <v>1</v>
          </cell>
          <cell r="Q1079" t="str">
            <v>Gean</v>
          </cell>
          <cell r="R1079">
            <v>45912</v>
          </cell>
          <cell r="S1079">
            <v>0.625</v>
          </cell>
          <cell r="T1079">
            <v>0.61499999999999999</v>
          </cell>
          <cell r="U1079" t="str">
            <v>X</v>
          </cell>
          <cell r="V1079">
            <v>0.5625</v>
          </cell>
          <cell r="W1079">
            <v>31.931999999999999</v>
          </cell>
          <cell r="X1079">
            <v>29.279999999999998</v>
          </cell>
          <cell r="Y1079">
            <v>0.41666666666666702</v>
          </cell>
          <cell r="Z1079">
            <v>85.055999999999997</v>
          </cell>
          <cell r="AA1079">
            <v>84.18</v>
          </cell>
          <cell r="AW1079">
            <v>4</v>
          </cell>
          <cell r="AX1079">
            <v>4</v>
          </cell>
          <cell r="AY1079">
            <v>4</v>
          </cell>
          <cell r="AZ1079">
            <v>4</v>
          </cell>
          <cell r="BA1079" t="str">
            <v>FORTES ENGENHARIA</v>
          </cell>
          <cell r="BB1079">
            <v>45913</v>
          </cell>
          <cell r="BD1079" t="str">
            <v>sáb</v>
          </cell>
          <cell r="BG1079">
            <v>45912</v>
          </cell>
        </row>
        <row r="1080">
          <cell r="A1080">
            <v>1348</v>
          </cell>
          <cell r="B1080">
            <v>970</v>
          </cell>
          <cell r="C1080" t="str">
            <v>PLACA  AER 1 PN-11</v>
          </cell>
          <cell r="D1080">
            <v>7.5</v>
          </cell>
          <cell r="E1080">
            <v>40</v>
          </cell>
          <cell r="F1080">
            <v>24</v>
          </cell>
          <cell r="G1080">
            <v>40</v>
          </cell>
          <cell r="H1080">
            <v>0</v>
          </cell>
          <cell r="I1080" t="str">
            <v>-</v>
          </cell>
          <cell r="J1080" t="str">
            <v>660/670</v>
          </cell>
          <cell r="K1080" t="str">
            <v xml:space="preserve">CPIII 40 RS </v>
          </cell>
          <cell r="L1080" t="str">
            <v>CP V</v>
          </cell>
          <cell r="M1080" t="str">
            <v>SUPER PLASTIFICANTE</v>
          </cell>
          <cell r="N1080" t="str">
            <v>ETE - PROJETO SUCURIÚ - AERADORES</v>
          </cell>
          <cell r="O1080" t="str">
            <v>FORTANKS</v>
          </cell>
          <cell r="P1080">
            <v>2</v>
          </cell>
          <cell r="Q1080" t="str">
            <v>Gean</v>
          </cell>
          <cell r="R1080">
            <v>45912</v>
          </cell>
          <cell r="S1080">
            <v>0.64583333333333337</v>
          </cell>
          <cell r="T1080">
            <v>0.63583333333333336</v>
          </cell>
          <cell r="U1080" t="str">
            <v>X</v>
          </cell>
          <cell r="V1080">
            <v>0.56597222222222221</v>
          </cell>
          <cell r="W1080">
            <v>27.023999999999997</v>
          </cell>
          <cell r="X1080">
            <v>25.584</v>
          </cell>
          <cell r="Y1080">
            <v>0.41666666666666702</v>
          </cell>
          <cell r="Z1080">
            <v>84.804000000000002</v>
          </cell>
          <cell r="AA1080">
            <v>83.987999999999985</v>
          </cell>
          <cell r="AW1080">
            <v>4</v>
          </cell>
          <cell r="AX1080">
            <v>4</v>
          </cell>
          <cell r="AY1080">
            <v>4</v>
          </cell>
          <cell r="AZ1080">
            <v>4</v>
          </cell>
          <cell r="BA1080" t="str">
            <v>FORTES ENGENHARIA</v>
          </cell>
          <cell r="BB1080">
            <v>45913</v>
          </cell>
          <cell r="BD1080" t="str">
            <v>sáb</v>
          </cell>
          <cell r="BG1080">
            <v>45912</v>
          </cell>
        </row>
        <row r="1081">
          <cell r="A1081">
            <v>1349</v>
          </cell>
          <cell r="B1081">
            <v>971</v>
          </cell>
          <cell r="C1081" t="str">
            <v>PLACA  AER 1 PN-10</v>
          </cell>
          <cell r="D1081">
            <v>7</v>
          </cell>
          <cell r="E1081">
            <v>40</v>
          </cell>
          <cell r="F1081">
            <v>24</v>
          </cell>
          <cell r="G1081">
            <v>40</v>
          </cell>
          <cell r="H1081">
            <v>0</v>
          </cell>
          <cell r="I1081" t="str">
            <v>-</v>
          </cell>
          <cell r="J1081" t="str">
            <v>670/680</v>
          </cell>
          <cell r="K1081" t="str">
            <v xml:space="preserve">CPIII 40 RS </v>
          </cell>
          <cell r="L1081" t="str">
            <v>CP V</v>
          </cell>
          <cell r="M1081" t="str">
            <v>SUPER PLASTIFICANTE</v>
          </cell>
          <cell r="N1081" t="str">
            <v>ETE - PROJETO SUCURIÚ - AERADORES</v>
          </cell>
          <cell r="O1081" t="str">
            <v>FORTANKS</v>
          </cell>
          <cell r="P1081">
            <v>3</v>
          </cell>
          <cell r="Q1081" t="str">
            <v>Gean</v>
          </cell>
          <cell r="R1081">
            <v>45912</v>
          </cell>
          <cell r="S1081">
            <v>0.66666666666666663</v>
          </cell>
          <cell r="T1081">
            <v>0.65666666666666662</v>
          </cell>
          <cell r="U1081" t="str">
            <v>X</v>
          </cell>
          <cell r="V1081">
            <v>0.56944444444444442</v>
          </cell>
          <cell r="W1081">
            <v>24.528000000000002</v>
          </cell>
          <cell r="X1081">
            <v>25.667999999999999</v>
          </cell>
          <cell r="Y1081">
            <v>0.41666666666666702</v>
          </cell>
          <cell r="Z1081">
            <v>85.128</v>
          </cell>
          <cell r="AA1081">
            <v>83.844000000000008</v>
          </cell>
          <cell r="AW1081">
            <v>4</v>
          </cell>
          <cell r="AX1081">
            <v>4</v>
          </cell>
          <cell r="AY1081">
            <v>4</v>
          </cell>
          <cell r="AZ1081">
            <v>4</v>
          </cell>
          <cell r="BA1081" t="str">
            <v>FORTES ENGENHARIA</v>
          </cell>
          <cell r="BB1081">
            <v>45913</v>
          </cell>
          <cell r="BD1081" t="str">
            <v>sáb</v>
          </cell>
          <cell r="BG1081">
            <v>45912</v>
          </cell>
        </row>
        <row r="1082">
          <cell r="A1082">
            <v>1350</v>
          </cell>
          <cell r="B1082">
            <v>972</v>
          </cell>
          <cell r="C1082" t="str">
            <v>PLACA  AER 1 PN-08</v>
          </cell>
          <cell r="D1082">
            <v>6</v>
          </cell>
          <cell r="E1082">
            <v>40</v>
          </cell>
          <cell r="F1082">
            <v>24</v>
          </cell>
          <cell r="G1082">
            <v>40</v>
          </cell>
          <cell r="H1082">
            <v>0</v>
          </cell>
          <cell r="I1082" t="str">
            <v>-</v>
          </cell>
          <cell r="J1082" t="str">
            <v>650/660</v>
          </cell>
          <cell r="K1082" t="str">
            <v xml:space="preserve">CPIII 40 RS </v>
          </cell>
          <cell r="L1082" t="str">
            <v>CP V</v>
          </cell>
          <cell r="M1082" t="str">
            <v>SUPER PLASTIFICANTE</v>
          </cell>
          <cell r="N1082" t="str">
            <v>ETE - PROJETO SUCURIÚ - AERADORES</v>
          </cell>
          <cell r="O1082" t="str">
            <v>FORTANKS</v>
          </cell>
          <cell r="P1082">
            <v>4</v>
          </cell>
          <cell r="Q1082" t="str">
            <v>Gean</v>
          </cell>
          <cell r="R1082">
            <v>45912</v>
          </cell>
          <cell r="S1082">
            <v>0.6875</v>
          </cell>
          <cell r="T1082">
            <v>0.67749999999999999</v>
          </cell>
          <cell r="U1082" t="str">
            <v>X</v>
          </cell>
          <cell r="V1082">
            <v>0.57291666666666663</v>
          </cell>
          <cell r="W1082">
            <v>30.047999999999998</v>
          </cell>
          <cell r="X1082">
            <v>31.32</v>
          </cell>
          <cell r="Y1082">
            <v>0.41666666666666702</v>
          </cell>
          <cell r="Z1082">
            <v>84.887999999999991</v>
          </cell>
          <cell r="AA1082">
            <v>84.287999999999997</v>
          </cell>
          <cell r="AW1082">
            <v>4</v>
          </cell>
          <cell r="AX1082">
            <v>4</v>
          </cell>
          <cell r="AY1082">
            <v>4</v>
          </cell>
          <cell r="AZ1082">
            <v>4</v>
          </cell>
          <cell r="BA1082" t="str">
            <v>FORTES ENGENHARIA</v>
          </cell>
          <cell r="BB1082">
            <v>45913</v>
          </cell>
          <cell r="BD1082" t="str">
            <v>sáb</v>
          </cell>
          <cell r="BG1082">
            <v>45912</v>
          </cell>
        </row>
        <row r="1083">
          <cell r="A1083">
            <v>1351</v>
          </cell>
          <cell r="B1083">
            <v>973</v>
          </cell>
          <cell r="C1083" t="str">
            <v>PLACA  AER 1 PN-07</v>
          </cell>
          <cell r="D1083">
            <v>6</v>
          </cell>
          <cell r="E1083">
            <v>40</v>
          </cell>
          <cell r="F1083">
            <v>24</v>
          </cell>
          <cell r="G1083">
            <v>40</v>
          </cell>
          <cell r="H1083">
            <v>0</v>
          </cell>
          <cell r="I1083" t="str">
            <v>-</v>
          </cell>
          <cell r="J1083" t="str">
            <v>660/650</v>
          </cell>
          <cell r="K1083" t="str">
            <v xml:space="preserve">CPIII 40 RS </v>
          </cell>
          <cell r="L1083" t="str">
            <v>CP V</v>
          </cell>
          <cell r="M1083" t="str">
            <v>SUPER PLASTIFICANTE</v>
          </cell>
          <cell r="N1083" t="str">
            <v>ETE - PROJETO SUCURIÚ - AERADORES</v>
          </cell>
          <cell r="O1083" t="str">
            <v>FORTANKS</v>
          </cell>
          <cell r="P1083">
            <v>5</v>
          </cell>
          <cell r="Q1083" t="str">
            <v>Gean</v>
          </cell>
          <cell r="R1083">
            <v>45912</v>
          </cell>
          <cell r="S1083">
            <v>0.70833333333333337</v>
          </cell>
          <cell r="T1083">
            <v>0.69833333333333336</v>
          </cell>
          <cell r="U1083" t="str">
            <v>X</v>
          </cell>
          <cell r="V1083">
            <v>0.57638888888888884</v>
          </cell>
          <cell r="W1083">
            <v>26.987999999999996</v>
          </cell>
          <cell r="X1083">
            <v>27.215999999999998</v>
          </cell>
          <cell r="Y1083">
            <v>0.41666666666666702</v>
          </cell>
          <cell r="Z1083">
            <v>84.623999999999995</v>
          </cell>
          <cell r="AA1083">
            <v>84.744</v>
          </cell>
          <cell r="AW1083">
            <v>4</v>
          </cell>
          <cell r="AX1083">
            <v>4</v>
          </cell>
          <cell r="AY1083">
            <v>4</v>
          </cell>
          <cell r="AZ1083">
            <v>4</v>
          </cell>
          <cell r="BA1083" t="str">
            <v>FORTES ENGENHARIA</v>
          </cell>
          <cell r="BB1083">
            <v>45913</v>
          </cell>
          <cell r="BD1083" t="str">
            <v>sáb</v>
          </cell>
          <cell r="BG1083">
            <v>45912</v>
          </cell>
        </row>
        <row r="1084">
          <cell r="A1084">
            <v>1352</v>
          </cell>
          <cell r="B1084">
            <v>974</v>
          </cell>
          <cell r="C1084" t="str">
            <v>PLACAS PE-380 (T1) / PE-381(T3) / PN-537 (20%)</v>
          </cell>
          <cell r="D1084">
            <v>8</v>
          </cell>
          <cell r="E1084">
            <v>40</v>
          </cell>
          <cell r="F1084">
            <v>24</v>
          </cell>
          <cell r="G1084">
            <v>40</v>
          </cell>
          <cell r="H1084">
            <v>0</v>
          </cell>
          <cell r="I1084" t="str">
            <v>-</v>
          </cell>
          <cell r="J1084" t="str">
            <v>670/660</v>
          </cell>
          <cell r="K1084" t="str">
            <v xml:space="preserve">CPIII 40 RS </v>
          </cell>
          <cell r="L1084" t="str">
            <v>CP V</v>
          </cell>
          <cell r="M1084" t="str">
            <v>SUPER PLASTIFICANTE</v>
          </cell>
          <cell r="N1084" t="str">
            <v>ETE - PARQUE NOVO MUNDO (REATORES NEREDA)</v>
          </cell>
          <cell r="O1084" t="str">
            <v>FORTANKS</v>
          </cell>
          <cell r="P1084">
            <v>1</v>
          </cell>
          <cell r="Q1084" t="str">
            <v>Gean</v>
          </cell>
          <cell r="R1084">
            <v>45913</v>
          </cell>
          <cell r="S1084">
            <v>0.66666666666666663</v>
          </cell>
          <cell r="T1084">
            <v>0.65666666666666662</v>
          </cell>
          <cell r="U1084" t="str">
            <v>X</v>
          </cell>
          <cell r="V1084">
            <v>0.33333333333333331</v>
          </cell>
          <cell r="W1084">
            <v>39.42</v>
          </cell>
          <cell r="X1084">
            <v>37.631999999999998</v>
          </cell>
          <cell r="Y1084">
            <v>0.41666666666666702</v>
          </cell>
          <cell r="Z1084">
            <v>85.5</v>
          </cell>
          <cell r="AA1084">
            <v>84.6</v>
          </cell>
          <cell r="AW1084">
            <v>4</v>
          </cell>
          <cell r="AX1084">
            <v>4</v>
          </cell>
          <cell r="AY1084">
            <v>4</v>
          </cell>
          <cell r="AZ1084">
            <v>4</v>
          </cell>
          <cell r="BA1084" t="str">
            <v>CONSORCIO NOVA ETE - PARQUE NOVO MUNDO</v>
          </cell>
          <cell r="BB1084">
            <v>45915</v>
          </cell>
          <cell r="BC1084">
            <v>1</v>
          </cell>
          <cell r="BD1084" t="str">
            <v>seg</v>
          </cell>
          <cell r="BG1084">
            <v>45913</v>
          </cell>
        </row>
        <row r="1085">
          <cell r="A1085">
            <v>1353</v>
          </cell>
          <cell r="B1085">
            <v>975</v>
          </cell>
          <cell r="C1085" t="str">
            <v xml:space="preserve">PLACAS PN-537 80%) / PE-379 (T2) / PN-540 (70%) </v>
          </cell>
          <cell r="D1085">
            <v>8</v>
          </cell>
          <cell r="E1085">
            <v>40</v>
          </cell>
          <cell r="F1085">
            <v>24</v>
          </cell>
          <cell r="G1085">
            <v>40</v>
          </cell>
          <cell r="H1085">
            <v>0</v>
          </cell>
          <cell r="I1085" t="str">
            <v>-</v>
          </cell>
          <cell r="J1085" t="str">
            <v>660/670</v>
          </cell>
          <cell r="K1085" t="str">
            <v xml:space="preserve">CPIII 40 RS </v>
          </cell>
          <cell r="L1085" t="str">
            <v>CP V</v>
          </cell>
          <cell r="M1085" t="str">
            <v>SUPER PLASTIFICANTE</v>
          </cell>
          <cell r="N1085" t="str">
            <v>ETE - PARQUE NOVO MUNDO (REATORES NEREDA)</v>
          </cell>
          <cell r="O1085" t="str">
            <v>FORTANKS</v>
          </cell>
          <cell r="P1085">
            <v>2</v>
          </cell>
          <cell r="Q1085" t="str">
            <v>Gean</v>
          </cell>
          <cell r="R1085">
            <v>45913</v>
          </cell>
          <cell r="S1085">
            <v>0.6875</v>
          </cell>
          <cell r="T1085">
            <v>0.67749999999999999</v>
          </cell>
          <cell r="U1085" t="str">
            <v>X</v>
          </cell>
          <cell r="V1085">
            <v>0.33680555555555558</v>
          </cell>
          <cell r="W1085">
            <v>38.508000000000003</v>
          </cell>
          <cell r="X1085">
            <v>35.22</v>
          </cell>
          <cell r="Y1085">
            <v>0.41666666666666702</v>
          </cell>
          <cell r="Z1085">
            <v>84.023999999999987</v>
          </cell>
          <cell r="AA1085">
            <v>84.023999999999987</v>
          </cell>
          <cell r="AW1085">
            <v>4</v>
          </cell>
          <cell r="AX1085">
            <v>4</v>
          </cell>
          <cell r="AY1085">
            <v>4</v>
          </cell>
          <cell r="AZ1085">
            <v>4</v>
          </cell>
          <cell r="BA1085" t="str">
            <v>CONSORCIO NOVA ETE - PARQUE NOVO MUNDO</v>
          </cell>
          <cell r="BB1085">
            <v>45915</v>
          </cell>
          <cell r="BC1085">
            <v>1</v>
          </cell>
          <cell r="BD1085" t="str">
            <v>seg</v>
          </cell>
          <cell r="BG1085">
            <v>45913</v>
          </cell>
        </row>
        <row r="1086">
          <cell r="A1086">
            <v>1354</v>
          </cell>
          <cell r="B1086">
            <v>976</v>
          </cell>
          <cell r="C1086" t="str">
            <v>PLACAS PN-540(30%) / PN-538 / PE-474(T4)</v>
          </cell>
          <cell r="D1086">
            <v>8</v>
          </cell>
          <cell r="E1086">
            <v>40</v>
          </cell>
          <cell r="F1086">
            <v>24</v>
          </cell>
          <cell r="G1086">
            <v>40</v>
          </cell>
          <cell r="H1086">
            <v>0</v>
          </cell>
          <cell r="I1086" t="str">
            <v>-</v>
          </cell>
          <cell r="J1086" t="str">
            <v>680/680</v>
          </cell>
          <cell r="K1086" t="str">
            <v xml:space="preserve">CPIII 40 RS </v>
          </cell>
          <cell r="L1086" t="str">
            <v>CP V</v>
          </cell>
          <cell r="M1086" t="str">
            <v>SUPER PLASTIFICANTE</v>
          </cell>
          <cell r="N1086" t="str">
            <v>ETE - PARQUE NOVO MUNDO (REATORES NEREDA)</v>
          </cell>
          <cell r="O1086" t="str">
            <v>FORTANKS</v>
          </cell>
          <cell r="P1086">
            <v>3</v>
          </cell>
          <cell r="Q1086" t="str">
            <v>Gean</v>
          </cell>
          <cell r="R1086">
            <v>45913</v>
          </cell>
          <cell r="S1086">
            <v>0.72222222222222221</v>
          </cell>
          <cell r="T1086">
            <v>0.7122222222222222</v>
          </cell>
          <cell r="U1086" t="str">
            <v>X</v>
          </cell>
          <cell r="V1086">
            <v>0.34027777777777779</v>
          </cell>
          <cell r="W1086">
            <v>35.1</v>
          </cell>
          <cell r="X1086">
            <v>33.228000000000002</v>
          </cell>
          <cell r="Y1086">
            <v>0.41666666666666702</v>
          </cell>
          <cell r="Z1086">
            <v>85.176000000000002</v>
          </cell>
          <cell r="AA1086">
            <v>84.216000000000008</v>
          </cell>
          <cell r="AW1086">
            <v>4</v>
          </cell>
          <cell r="AX1086">
            <v>4</v>
          </cell>
          <cell r="AY1086">
            <v>4</v>
          </cell>
          <cell r="AZ1086">
            <v>4</v>
          </cell>
          <cell r="BA1086" t="str">
            <v>CONSORCIO NOVA ETE - PARQUE NOVO MUNDO</v>
          </cell>
          <cell r="BB1086">
            <v>45915</v>
          </cell>
          <cell r="BC1086">
            <v>1</v>
          </cell>
          <cell r="BD1086" t="str">
            <v>seg</v>
          </cell>
          <cell r="BG1086">
            <v>45913</v>
          </cell>
        </row>
        <row r="1087">
          <cell r="A1087">
            <v>1355</v>
          </cell>
          <cell r="B1087">
            <v>977</v>
          </cell>
          <cell r="C1087" t="str">
            <v>PLACA PF-404</v>
          </cell>
          <cell r="D1087">
            <v>5</v>
          </cell>
          <cell r="E1087">
            <v>40</v>
          </cell>
          <cell r="F1087">
            <v>24</v>
          </cell>
          <cell r="G1087">
            <v>40</v>
          </cell>
          <cell r="H1087">
            <v>0</v>
          </cell>
          <cell r="I1087" t="str">
            <v>-</v>
          </cell>
          <cell r="J1087" t="str">
            <v>660/660</v>
          </cell>
          <cell r="K1087" t="str">
            <v xml:space="preserve">CPIII 40 RS </v>
          </cell>
          <cell r="L1087" t="str">
            <v>CP V</v>
          </cell>
          <cell r="M1087" t="str">
            <v>SUPER PLASTIFICANTE</v>
          </cell>
          <cell r="N1087" t="str">
            <v>ETE - PARQUE NOVO MUNDO (REATORES NEREDA)</v>
          </cell>
          <cell r="O1087" t="str">
            <v>FORTANKS</v>
          </cell>
          <cell r="P1087">
            <v>1</v>
          </cell>
          <cell r="Q1087" t="str">
            <v>Gean</v>
          </cell>
          <cell r="R1087">
            <v>45915</v>
          </cell>
          <cell r="S1087">
            <v>0.64583333333333337</v>
          </cell>
          <cell r="T1087">
            <v>0.63583333333333336</v>
          </cell>
          <cell r="U1087" t="str">
            <v>X</v>
          </cell>
          <cell r="V1087">
            <v>0.35416666666666669</v>
          </cell>
          <cell r="W1087">
            <v>26.58</v>
          </cell>
          <cell r="X1087">
            <v>25.608000000000001</v>
          </cell>
          <cell r="Y1087">
            <v>0.41666666666666702</v>
          </cell>
          <cell r="Z1087">
            <v>84.36</v>
          </cell>
          <cell r="AA1087">
            <v>84.432000000000002</v>
          </cell>
          <cell r="AW1087">
            <v>4</v>
          </cell>
          <cell r="AX1087">
            <v>4</v>
          </cell>
          <cell r="AY1087">
            <v>4</v>
          </cell>
          <cell r="AZ1087">
            <v>4</v>
          </cell>
          <cell r="BA1087" t="str">
            <v>CONSORCIO NOVA ETE - PARQUE NOVO MUNDO</v>
          </cell>
          <cell r="BB1087">
            <v>45916</v>
          </cell>
          <cell r="BD1087" t="str">
            <v>ter</v>
          </cell>
          <cell r="BG1087">
            <v>45915</v>
          </cell>
        </row>
        <row r="1088">
          <cell r="A1088">
            <v>1356</v>
          </cell>
          <cell r="B1088">
            <v>978</v>
          </cell>
          <cell r="C1088" t="str">
            <v>PLACA  AER 1 PN-18</v>
          </cell>
          <cell r="D1088">
            <v>6.5</v>
          </cell>
          <cell r="E1088">
            <v>40</v>
          </cell>
          <cell r="F1088">
            <v>24</v>
          </cell>
          <cell r="G1088">
            <v>40</v>
          </cell>
          <cell r="H1088">
            <v>0</v>
          </cell>
          <cell r="I1088" t="str">
            <v>-</v>
          </cell>
          <cell r="J1088" t="str">
            <v>660/670</v>
          </cell>
          <cell r="K1088" t="str">
            <v xml:space="preserve">CPIII 40 RS </v>
          </cell>
          <cell r="L1088" t="str">
            <v>CP V</v>
          </cell>
          <cell r="M1088" t="str">
            <v>SUPER PLASTIFICANTE</v>
          </cell>
          <cell r="N1088" t="str">
            <v>ETE - PROJETO SUCURIÚ - AERADORES</v>
          </cell>
          <cell r="O1088" t="str">
            <v>FORTANKS</v>
          </cell>
          <cell r="P1088">
            <v>1</v>
          </cell>
          <cell r="Q1088" t="str">
            <v>Gean</v>
          </cell>
          <cell r="R1088">
            <v>45916</v>
          </cell>
          <cell r="S1088">
            <v>0.5625</v>
          </cell>
          <cell r="T1088">
            <v>0.55249999999999999</v>
          </cell>
          <cell r="U1088" t="str">
            <v>X</v>
          </cell>
          <cell r="V1088">
            <v>0.35416666666666669</v>
          </cell>
          <cell r="W1088">
            <v>30.047999999999998</v>
          </cell>
          <cell r="X1088">
            <v>30.479999999999997</v>
          </cell>
          <cell r="Y1088">
            <v>0.41666666666666702</v>
          </cell>
          <cell r="Z1088">
            <v>86.759999999999991</v>
          </cell>
          <cell r="AA1088">
            <v>84.912000000000006</v>
          </cell>
          <cell r="AW1088">
            <v>4</v>
          </cell>
          <cell r="AX1088">
            <v>4</v>
          </cell>
          <cell r="AY1088">
            <v>4</v>
          </cell>
          <cell r="AZ1088">
            <v>4</v>
          </cell>
          <cell r="BA1088" t="str">
            <v>FORTES ENGENHARIA</v>
          </cell>
          <cell r="BB1088">
            <v>45917</v>
          </cell>
          <cell r="BD1088" t="str">
            <v>qua</v>
          </cell>
          <cell r="BG1088">
            <v>45916</v>
          </cell>
        </row>
        <row r="1089">
          <cell r="A1089">
            <v>1357</v>
          </cell>
          <cell r="B1089">
            <v>979</v>
          </cell>
          <cell r="C1089" t="str">
            <v>PLACA  AER 1 PN-17</v>
          </cell>
          <cell r="D1089">
            <v>6.5</v>
          </cell>
          <cell r="E1089">
            <v>40</v>
          </cell>
          <cell r="F1089">
            <v>24</v>
          </cell>
          <cell r="G1089">
            <v>40</v>
          </cell>
          <cell r="H1089">
            <v>0</v>
          </cell>
          <cell r="I1089" t="str">
            <v>-</v>
          </cell>
          <cell r="J1089" t="str">
            <v>670/680</v>
          </cell>
          <cell r="K1089" t="str">
            <v xml:space="preserve">CPIII 40 RS </v>
          </cell>
          <cell r="L1089" t="str">
            <v>CP V</v>
          </cell>
          <cell r="M1089" t="str">
            <v>SUPER PLASTIFICANTE</v>
          </cell>
          <cell r="N1089" t="str">
            <v>ETE - PROJETO SUCURIÚ - AERADORES</v>
          </cell>
          <cell r="O1089" t="str">
            <v>FORTANKS</v>
          </cell>
          <cell r="P1089">
            <v>2</v>
          </cell>
          <cell r="Q1089" t="str">
            <v>Gean</v>
          </cell>
          <cell r="R1089">
            <v>45916</v>
          </cell>
          <cell r="S1089">
            <v>0.59027777777777779</v>
          </cell>
          <cell r="T1089">
            <v>0.58027777777777778</v>
          </cell>
          <cell r="U1089" t="str">
            <v>X</v>
          </cell>
          <cell r="V1089">
            <v>0.3576388888888889</v>
          </cell>
          <cell r="W1089">
            <v>25.895999999999997</v>
          </cell>
          <cell r="X1089">
            <v>25.283999999999999</v>
          </cell>
          <cell r="Y1089">
            <v>0.41666666666666702</v>
          </cell>
          <cell r="Z1089">
            <v>85.02</v>
          </cell>
          <cell r="AA1089">
            <v>84.072000000000003</v>
          </cell>
          <cell r="AW1089">
            <v>4</v>
          </cell>
          <cell r="AX1089">
            <v>4</v>
          </cell>
          <cell r="AY1089">
            <v>4</v>
          </cell>
          <cell r="AZ1089">
            <v>4</v>
          </cell>
          <cell r="BA1089" t="str">
            <v>FORTES ENGENHARIA</v>
          </cell>
          <cell r="BB1089">
            <v>45917</v>
          </cell>
          <cell r="BD1089" t="str">
            <v>qua</v>
          </cell>
          <cell r="BG1089">
            <v>45916</v>
          </cell>
        </row>
        <row r="1090">
          <cell r="A1090">
            <v>1358</v>
          </cell>
          <cell r="B1090">
            <v>980</v>
          </cell>
          <cell r="C1090" t="str">
            <v>PLACA  AER 1 PN-16</v>
          </cell>
          <cell r="D1090">
            <v>6.5</v>
          </cell>
          <cell r="E1090">
            <v>40</v>
          </cell>
          <cell r="F1090">
            <v>24</v>
          </cell>
          <cell r="G1090">
            <v>40</v>
          </cell>
          <cell r="H1090">
            <v>0</v>
          </cell>
          <cell r="I1090" t="str">
            <v>-</v>
          </cell>
          <cell r="J1090" t="str">
            <v>660/660</v>
          </cell>
          <cell r="K1090" t="str">
            <v xml:space="preserve">CPIII 40 RS </v>
          </cell>
          <cell r="L1090" t="str">
            <v>CP V</v>
          </cell>
          <cell r="M1090" t="str">
            <v>SUPER PLASTIFICANTE</v>
          </cell>
          <cell r="N1090" t="str">
            <v>ETE - PROJETO SUCURIÚ - AERADORES</v>
          </cell>
          <cell r="O1090" t="str">
            <v>FORTANKS</v>
          </cell>
          <cell r="P1090">
            <v>3</v>
          </cell>
          <cell r="Q1090" t="str">
            <v>Gean</v>
          </cell>
          <cell r="R1090">
            <v>45916</v>
          </cell>
          <cell r="S1090">
            <v>0.625</v>
          </cell>
          <cell r="T1090">
            <v>0.61499999999999999</v>
          </cell>
          <cell r="U1090" t="str">
            <v>X</v>
          </cell>
          <cell r="V1090">
            <v>0.3611111111111111</v>
          </cell>
          <cell r="W1090">
            <v>29.904</v>
          </cell>
          <cell r="X1090">
            <v>29.975999999999999</v>
          </cell>
          <cell r="Y1090">
            <v>0.41666666666666702</v>
          </cell>
          <cell r="Z1090">
            <v>84.804000000000002</v>
          </cell>
          <cell r="AA1090">
            <v>84.935999999999993</v>
          </cell>
          <cell r="AW1090">
            <v>4</v>
          </cell>
          <cell r="AX1090">
            <v>4</v>
          </cell>
          <cell r="AY1090">
            <v>4</v>
          </cell>
          <cell r="AZ1090">
            <v>4</v>
          </cell>
          <cell r="BA1090" t="str">
            <v>FORTES ENGENHARIA</v>
          </cell>
          <cell r="BB1090">
            <v>45917</v>
          </cell>
          <cell r="BD1090" t="str">
            <v>qua</v>
          </cell>
          <cell r="BG1090">
            <v>45916</v>
          </cell>
        </row>
        <row r="1091">
          <cell r="A1091">
            <v>1359</v>
          </cell>
          <cell r="B1091">
            <v>981</v>
          </cell>
          <cell r="C1091" t="str">
            <v>PLACA  AER 1 PN-14</v>
          </cell>
          <cell r="D1091">
            <v>6.5</v>
          </cell>
          <cell r="E1091">
            <v>40</v>
          </cell>
          <cell r="F1091">
            <v>24</v>
          </cell>
          <cell r="G1091">
            <v>40</v>
          </cell>
          <cell r="H1091">
            <v>0</v>
          </cell>
          <cell r="I1091" t="str">
            <v>-</v>
          </cell>
          <cell r="J1091" t="str">
            <v>650/650</v>
          </cell>
          <cell r="K1091" t="str">
            <v xml:space="preserve">CPIII 40 RS </v>
          </cell>
          <cell r="L1091" t="str">
            <v>CP V</v>
          </cell>
          <cell r="M1091" t="str">
            <v>SUPER PLASTIFICANTE</v>
          </cell>
          <cell r="N1091" t="str">
            <v>ETE - PROJETO SUCURIÚ - AERADORES</v>
          </cell>
          <cell r="O1091" t="str">
            <v>FORTANKS</v>
          </cell>
          <cell r="P1091">
            <v>4</v>
          </cell>
          <cell r="Q1091" t="str">
            <v>Gean</v>
          </cell>
          <cell r="R1091">
            <v>45916</v>
          </cell>
          <cell r="S1091">
            <v>0.64583333333333337</v>
          </cell>
          <cell r="T1091">
            <v>0.63583333333333336</v>
          </cell>
          <cell r="U1091" t="str">
            <v>X</v>
          </cell>
          <cell r="V1091">
            <v>0.36458333333333331</v>
          </cell>
          <cell r="W1091">
            <v>23.867999999999999</v>
          </cell>
          <cell r="X1091">
            <v>24.407999999999998</v>
          </cell>
          <cell r="Y1091">
            <v>0.41666666666666702</v>
          </cell>
          <cell r="Z1091">
            <v>85.187999999999988</v>
          </cell>
          <cell r="AA1091">
            <v>84.227999999999994</v>
          </cell>
          <cell r="AW1091">
            <v>4</v>
          </cell>
          <cell r="AX1091">
            <v>4</v>
          </cell>
          <cell r="AY1091">
            <v>4</v>
          </cell>
          <cell r="AZ1091">
            <v>4</v>
          </cell>
          <cell r="BA1091" t="str">
            <v>FORTES ENGENHARIA</v>
          </cell>
          <cell r="BB1091">
            <v>45917</v>
          </cell>
          <cell r="BD1091" t="str">
            <v>qua</v>
          </cell>
          <cell r="BG1091">
            <v>45916</v>
          </cell>
        </row>
        <row r="1092">
          <cell r="A1092">
            <v>1360</v>
          </cell>
          <cell r="B1092">
            <v>982</v>
          </cell>
          <cell r="C1092" t="str">
            <v>PLACA  AER 1 PN-13</v>
          </cell>
          <cell r="D1092">
            <v>6.5</v>
          </cell>
          <cell r="E1092">
            <v>40</v>
          </cell>
          <cell r="F1092">
            <v>24</v>
          </cell>
          <cell r="G1092">
            <v>40</v>
          </cell>
          <cell r="H1092">
            <v>0</v>
          </cell>
          <cell r="I1092" t="str">
            <v>-</v>
          </cell>
          <cell r="J1092" t="str">
            <v>650/650</v>
          </cell>
          <cell r="K1092" t="str">
            <v xml:space="preserve">CPIII 40 RS </v>
          </cell>
          <cell r="L1092" t="str">
            <v>CP V</v>
          </cell>
          <cell r="M1092" t="str">
            <v>SUPER PLASTIFICANTE</v>
          </cell>
          <cell r="N1092" t="str">
            <v>ETE - PROJETO SUCURIÚ - AERADORES</v>
          </cell>
          <cell r="O1092" t="str">
            <v>FORTANKS</v>
          </cell>
          <cell r="P1092">
            <v>5</v>
          </cell>
          <cell r="Q1092" t="str">
            <v>Gean</v>
          </cell>
          <cell r="R1092">
            <v>45916</v>
          </cell>
          <cell r="S1092">
            <v>0.66666666666666663</v>
          </cell>
          <cell r="T1092">
            <v>0.65666666666666662</v>
          </cell>
          <cell r="U1092" t="str">
            <v>X</v>
          </cell>
          <cell r="V1092">
            <v>0.36805555555555558</v>
          </cell>
          <cell r="W1092">
            <v>26.387999999999998</v>
          </cell>
          <cell r="X1092">
            <v>26.076000000000001</v>
          </cell>
          <cell r="Y1092">
            <v>0.41666666666666702</v>
          </cell>
          <cell r="Z1092">
            <v>84.623999999999995</v>
          </cell>
          <cell r="AA1092">
            <v>84.744</v>
          </cell>
          <cell r="AW1092">
            <v>4</v>
          </cell>
          <cell r="AX1092">
            <v>4</v>
          </cell>
          <cell r="AY1092">
            <v>4</v>
          </cell>
          <cell r="AZ1092">
            <v>4</v>
          </cell>
          <cell r="BA1092" t="str">
            <v>FORTES ENGENHARIA</v>
          </cell>
          <cell r="BB1092">
            <v>45917</v>
          </cell>
          <cell r="BD1092" t="str">
            <v>qua</v>
          </cell>
          <cell r="BG1092">
            <v>45916</v>
          </cell>
        </row>
        <row r="1093">
          <cell r="A1093">
            <v>1361</v>
          </cell>
          <cell r="B1093">
            <v>983</v>
          </cell>
          <cell r="C1093" t="str">
            <v>PLACA PN-541</v>
          </cell>
          <cell r="D1093">
            <v>6</v>
          </cell>
          <cell r="E1093">
            <v>40</v>
          </cell>
          <cell r="F1093">
            <v>24</v>
          </cell>
          <cell r="G1093">
            <v>40</v>
          </cell>
          <cell r="H1093">
            <v>0</v>
          </cell>
          <cell r="I1093" t="str">
            <v>-</v>
          </cell>
          <cell r="J1093" t="str">
            <v>660/670</v>
          </cell>
          <cell r="K1093" t="str">
            <v xml:space="preserve">CPIII 40 RS </v>
          </cell>
          <cell r="L1093" t="str">
            <v>CP V</v>
          </cell>
          <cell r="M1093" t="str">
            <v>SUPER PLASTIFICANTE</v>
          </cell>
          <cell r="N1093" t="str">
            <v>ETE - PARQUE NOVO MUNDO (REATORES NEREDA)</v>
          </cell>
          <cell r="O1093" t="str">
            <v>FORTANKS</v>
          </cell>
          <cell r="P1093">
            <v>1</v>
          </cell>
          <cell r="Q1093" t="str">
            <v>Gean</v>
          </cell>
          <cell r="R1093">
            <v>45918</v>
          </cell>
          <cell r="S1093">
            <v>0.60416666666666663</v>
          </cell>
          <cell r="T1093">
            <v>0.59416666666666662</v>
          </cell>
          <cell r="U1093" t="str">
            <v>X</v>
          </cell>
          <cell r="V1093">
            <v>0.35416666666666669</v>
          </cell>
          <cell r="W1093">
            <v>31.031999999999996</v>
          </cell>
          <cell r="X1093">
            <v>29.027999999999999</v>
          </cell>
          <cell r="Y1093">
            <v>0.41666666666666702</v>
          </cell>
          <cell r="Z1093">
            <v>84.191999999999993</v>
          </cell>
          <cell r="AA1093">
            <v>85.5</v>
          </cell>
          <cell r="AW1093">
            <v>4</v>
          </cell>
          <cell r="AX1093">
            <v>4</v>
          </cell>
          <cell r="AY1093">
            <v>4</v>
          </cell>
          <cell r="AZ1093">
            <v>4</v>
          </cell>
          <cell r="BA1093" t="str">
            <v>CONSORCIO NOVA ETE - PARQUE NOVO MUNDO</v>
          </cell>
          <cell r="BB1093">
            <v>45919</v>
          </cell>
          <cell r="BD1093" t="str">
            <v>sex</v>
          </cell>
          <cell r="BG1093">
            <v>45918</v>
          </cell>
        </row>
        <row r="1094">
          <cell r="A1094" t="str">
            <v>1361-A</v>
          </cell>
          <cell r="B1094">
            <v>983</v>
          </cell>
          <cell r="C1094" t="str">
            <v>PLACA PR_PN-140</v>
          </cell>
          <cell r="D1094">
            <v>6</v>
          </cell>
          <cell r="E1094">
            <v>40</v>
          </cell>
          <cell r="F1094">
            <v>24</v>
          </cell>
          <cell r="G1094">
            <v>40</v>
          </cell>
          <cell r="H1094">
            <v>0</v>
          </cell>
          <cell r="I1094" t="str">
            <v>-</v>
          </cell>
          <cell r="J1094" t="str">
            <v>660/670</v>
          </cell>
          <cell r="K1094" t="str">
            <v xml:space="preserve">CPIII 40 RS </v>
          </cell>
          <cell r="L1094" t="str">
            <v>CP V</v>
          </cell>
          <cell r="M1094" t="str">
            <v>SUPER PLASTIFICANTE</v>
          </cell>
          <cell r="N1094" t="str">
            <v>ETE - PROJETO SUCURIÚ - CLARIFICADOR PRIMARIO</v>
          </cell>
          <cell r="O1094" t="str">
            <v>FORTANKS</v>
          </cell>
          <cell r="P1094">
            <v>1</v>
          </cell>
          <cell r="Q1094" t="str">
            <v>Gean</v>
          </cell>
          <cell r="R1094">
            <v>45918</v>
          </cell>
          <cell r="S1094">
            <v>0.60416666666666663</v>
          </cell>
          <cell r="T1094">
            <v>0.59416666666666662</v>
          </cell>
          <cell r="U1094" t="str">
            <v>X</v>
          </cell>
          <cell r="V1094">
            <v>0.35416666666666669</v>
          </cell>
          <cell r="W1094">
            <v>31.03</v>
          </cell>
          <cell r="X1094">
            <v>29.03</v>
          </cell>
          <cell r="Y1094">
            <v>0.41666666666666702</v>
          </cell>
          <cell r="Z1094" t="e">
            <v>#N/A</v>
          </cell>
          <cell r="AA1094" t="e">
            <v>#N/A</v>
          </cell>
          <cell r="AW1094">
            <v>4</v>
          </cell>
          <cell r="AX1094">
            <v>4</v>
          </cell>
          <cell r="AY1094" t="e">
            <v>#N/A</v>
          </cell>
          <cell r="AZ1094" t="e">
            <v>#N/A</v>
          </cell>
          <cell r="BA1094" t="str">
            <v>FORTES ENGENHARIA</v>
          </cell>
          <cell r="BB1094">
            <v>45919</v>
          </cell>
          <cell r="BD1094" t="str">
            <v>sex</v>
          </cell>
          <cell r="BG1094">
            <v>45918</v>
          </cell>
        </row>
        <row r="1095">
          <cell r="A1095">
            <v>1362</v>
          </cell>
          <cell r="B1095">
            <v>984</v>
          </cell>
          <cell r="C1095" t="str">
            <v>PLACAS PN-542 / PE-411(T2)</v>
          </cell>
          <cell r="D1095">
            <v>6.5</v>
          </cell>
          <cell r="E1095">
            <v>40</v>
          </cell>
          <cell r="F1095">
            <v>24</v>
          </cell>
          <cell r="G1095">
            <v>40</v>
          </cell>
          <cell r="H1095">
            <v>0</v>
          </cell>
          <cell r="I1095" t="str">
            <v>-</v>
          </cell>
          <cell r="J1095" t="str">
            <v>660/6670</v>
          </cell>
          <cell r="K1095" t="str">
            <v xml:space="preserve">CPIII 40 RS </v>
          </cell>
          <cell r="L1095" t="str">
            <v>CP V</v>
          </cell>
          <cell r="M1095" t="str">
            <v>SUPER PLASTIFICANTE</v>
          </cell>
          <cell r="N1095" t="str">
            <v>ETE - PARQUE NOVO MUNDO (REATORES NEREDA)</v>
          </cell>
          <cell r="O1095" t="str">
            <v>FORTANKS</v>
          </cell>
          <cell r="P1095">
            <v>2</v>
          </cell>
          <cell r="Q1095" t="str">
            <v>Gean</v>
          </cell>
          <cell r="R1095">
            <v>45918</v>
          </cell>
          <cell r="S1095">
            <v>0.625</v>
          </cell>
          <cell r="T1095">
            <v>0.61499999999999999</v>
          </cell>
          <cell r="U1095" t="str">
            <v>X</v>
          </cell>
          <cell r="V1095">
            <v>0.3576388888888889</v>
          </cell>
          <cell r="W1095">
            <v>34.667999999999999</v>
          </cell>
          <cell r="X1095">
            <v>33.683999999999997</v>
          </cell>
          <cell r="Z1095">
            <v>83.051999999999992</v>
          </cell>
          <cell r="AA1095">
            <v>83.495999999999995</v>
          </cell>
          <cell r="AW1095">
            <v>4</v>
          </cell>
          <cell r="AX1095">
            <v>4</v>
          </cell>
          <cell r="AY1095">
            <v>4</v>
          </cell>
          <cell r="AZ1095">
            <v>4</v>
          </cell>
          <cell r="BA1095" t="str">
            <v>CONSORCIO NOVA ETE - PARQUE NOVO MUNDO</v>
          </cell>
          <cell r="BB1095">
            <v>45919</v>
          </cell>
          <cell r="BD1095" t="str">
            <v>sex</v>
          </cell>
          <cell r="BG1095">
            <v>45918</v>
          </cell>
        </row>
        <row r="1096">
          <cell r="A1096">
            <v>1363</v>
          </cell>
          <cell r="B1096">
            <v>985</v>
          </cell>
          <cell r="C1096" t="str">
            <v>PLACAS PN-543/ PE-457(T4)</v>
          </cell>
          <cell r="D1096">
            <v>6.5</v>
          </cell>
          <cell r="E1096">
            <v>40</v>
          </cell>
          <cell r="F1096">
            <v>24</v>
          </cell>
          <cell r="G1096">
            <v>40</v>
          </cell>
          <cell r="H1096">
            <v>0</v>
          </cell>
          <cell r="I1096" t="str">
            <v>-</v>
          </cell>
          <cell r="J1096" t="str">
            <v>660/660</v>
          </cell>
          <cell r="K1096" t="str">
            <v xml:space="preserve">CPIII 40 RS </v>
          </cell>
          <cell r="L1096" t="str">
            <v>CP V</v>
          </cell>
          <cell r="M1096" t="str">
            <v>SUPER PLASTIFICANTE</v>
          </cell>
          <cell r="N1096" t="str">
            <v>ETE - PARQUE NOVO MUNDO (REATORES NEREDA)</v>
          </cell>
          <cell r="O1096" t="str">
            <v>FORTANKS</v>
          </cell>
          <cell r="P1096">
            <v>3</v>
          </cell>
          <cell r="Q1096" t="str">
            <v>Gean</v>
          </cell>
          <cell r="R1096">
            <v>45918</v>
          </cell>
          <cell r="S1096">
            <v>0.66666666666666663</v>
          </cell>
          <cell r="T1096">
            <v>0.65666666666666662</v>
          </cell>
          <cell r="U1096" t="str">
            <v>X</v>
          </cell>
          <cell r="V1096">
            <v>0.3611111111111111</v>
          </cell>
          <cell r="W1096">
            <v>31.055999999999997</v>
          </cell>
          <cell r="X1096">
            <v>29.891999999999999</v>
          </cell>
          <cell r="Z1096">
            <v>84.6</v>
          </cell>
          <cell r="AA1096">
            <v>84.827999999999989</v>
          </cell>
          <cell r="AW1096">
            <v>4</v>
          </cell>
          <cell r="AX1096">
            <v>4</v>
          </cell>
          <cell r="AY1096">
            <v>4</v>
          </cell>
          <cell r="AZ1096">
            <v>4</v>
          </cell>
          <cell r="BA1096" t="str">
            <v>CONSORCIO NOVA ETE - PARQUE NOVO MUNDO</v>
          </cell>
          <cell r="BB1096">
            <v>45919</v>
          </cell>
          <cell r="BD1096" t="str">
            <v>sex</v>
          </cell>
          <cell r="BG1096">
            <v>45918</v>
          </cell>
        </row>
        <row r="1097">
          <cell r="A1097">
            <v>1364</v>
          </cell>
          <cell r="B1097">
            <v>986</v>
          </cell>
          <cell r="C1097" t="str">
            <v>PLACAS PE-508(T4) / PE-522(T4)</v>
          </cell>
          <cell r="D1097">
            <v>7</v>
          </cell>
          <cell r="E1097">
            <v>40</v>
          </cell>
          <cell r="F1097">
            <v>24</v>
          </cell>
          <cell r="G1097">
            <v>40</v>
          </cell>
          <cell r="H1097">
            <v>0</v>
          </cell>
          <cell r="I1097" t="str">
            <v>-</v>
          </cell>
          <cell r="J1097" t="str">
            <v>660/670</v>
          </cell>
          <cell r="K1097" t="str">
            <v xml:space="preserve">CPIII 40 RS </v>
          </cell>
          <cell r="L1097" t="str">
            <v>CP V</v>
          </cell>
          <cell r="M1097" t="str">
            <v>SUPER PLASTIFICANTE</v>
          </cell>
          <cell r="N1097" t="str">
            <v>ETE - PARQUE NOVO MUNDO (REATORES NEREDA)</v>
          </cell>
          <cell r="O1097" t="str">
            <v>FORTANKS</v>
          </cell>
          <cell r="P1097">
            <v>4</v>
          </cell>
          <cell r="Q1097" t="str">
            <v>Gean</v>
          </cell>
          <cell r="R1097">
            <v>45918</v>
          </cell>
          <cell r="S1097">
            <v>0.6875</v>
          </cell>
          <cell r="T1097">
            <v>0.67749999999999999</v>
          </cell>
          <cell r="U1097" t="str">
            <v>X</v>
          </cell>
          <cell r="V1097">
            <v>0.36458333333333331</v>
          </cell>
          <cell r="W1097">
            <v>27.779999999999998</v>
          </cell>
          <cell r="X1097">
            <v>29.268000000000001</v>
          </cell>
          <cell r="Z1097">
            <v>85.367999999999995</v>
          </cell>
          <cell r="AA1097">
            <v>85.22399999999999</v>
          </cell>
          <cell r="AW1097">
            <v>4</v>
          </cell>
          <cell r="AX1097">
            <v>4</v>
          </cell>
          <cell r="AY1097">
            <v>4</v>
          </cell>
          <cell r="AZ1097">
            <v>4</v>
          </cell>
          <cell r="BA1097" t="str">
            <v>CONSORCIO NOVA ETE - PARQUE NOVO MUNDO</v>
          </cell>
          <cell r="BB1097">
            <v>45919</v>
          </cell>
          <cell r="BD1097" t="str">
            <v>sex</v>
          </cell>
          <cell r="BG1097">
            <v>45918</v>
          </cell>
        </row>
        <row r="1098">
          <cell r="A1098" t="str">
            <v>1364-A</v>
          </cell>
          <cell r="B1098">
            <v>986</v>
          </cell>
          <cell r="C1098" t="str">
            <v>PLACA PR_PN-140 (CANALETA)</v>
          </cell>
          <cell r="D1098">
            <v>7</v>
          </cell>
          <cell r="E1098">
            <v>40</v>
          </cell>
          <cell r="F1098">
            <v>24</v>
          </cell>
          <cell r="G1098">
            <v>40</v>
          </cell>
          <cell r="H1098">
            <v>0</v>
          </cell>
          <cell r="I1098" t="str">
            <v>-</v>
          </cell>
          <cell r="J1098" t="str">
            <v>660/670</v>
          </cell>
          <cell r="K1098" t="str">
            <v xml:space="preserve">CPIII 40 RS </v>
          </cell>
          <cell r="L1098" t="str">
            <v>CP V</v>
          </cell>
          <cell r="M1098" t="str">
            <v>SUPER PLASTIFICANTE</v>
          </cell>
          <cell r="N1098" t="str">
            <v>ETE - PROJETO SUCURIÚ - CLARIFICADOR PRIMARIO</v>
          </cell>
          <cell r="O1098" t="str">
            <v>FORTANKS</v>
          </cell>
          <cell r="P1098">
            <v>4</v>
          </cell>
          <cell r="Q1098" t="str">
            <v>Gean</v>
          </cell>
          <cell r="R1098">
            <v>45918</v>
          </cell>
          <cell r="S1098">
            <v>0.6875</v>
          </cell>
          <cell r="T1098">
            <v>0.67749999999999999</v>
          </cell>
          <cell r="U1098" t="str">
            <v>X</v>
          </cell>
          <cell r="V1098">
            <v>0.36458333333333331</v>
          </cell>
          <cell r="W1098">
            <v>27.779999999999998</v>
          </cell>
          <cell r="X1098">
            <v>29.268000000000001</v>
          </cell>
          <cell r="Z1098" t="e">
            <v>#N/A</v>
          </cell>
          <cell r="AA1098" t="e">
            <v>#N/A</v>
          </cell>
          <cell r="AW1098">
            <v>4</v>
          </cell>
          <cell r="AX1098">
            <v>4</v>
          </cell>
          <cell r="AY1098" t="e">
            <v>#N/A</v>
          </cell>
          <cell r="AZ1098" t="e">
            <v>#N/A</v>
          </cell>
          <cell r="BA1098" t="str">
            <v>FORTES ENGENHARIA</v>
          </cell>
          <cell r="BB1098">
            <v>45919</v>
          </cell>
          <cell r="BD1098" t="str">
            <v>sex</v>
          </cell>
          <cell r="BG1098">
            <v>45918</v>
          </cell>
        </row>
        <row r="1099">
          <cell r="A1099">
            <v>1365</v>
          </cell>
          <cell r="B1099">
            <v>987</v>
          </cell>
          <cell r="C1099" t="str">
            <v>PLACA PF-435</v>
          </cell>
          <cell r="D1099">
            <v>5</v>
          </cell>
          <cell r="E1099">
            <v>40</v>
          </cell>
          <cell r="F1099">
            <v>24</v>
          </cell>
          <cell r="G1099">
            <v>40</v>
          </cell>
          <cell r="H1099">
            <v>0</v>
          </cell>
          <cell r="I1099" t="str">
            <v>-</v>
          </cell>
          <cell r="J1099" t="str">
            <v>650/660</v>
          </cell>
          <cell r="K1099" t="str">
            <v xml:space="preserve">CPIII 40 RS </v>
          </cell>
          <cell r="L1099" t="str">
            <v>CP V</v>
          </cell>
          <cell r="M1099" t="str">
            <v>SUPER PLASTIFICANTE</v>
          </cell>
          <cell r="N1099" t="str">
            <v>ETE - PARQUE NOVO MUNDO (REATORES NEREDA)</v>
          </cell>
          <cell r="O1099" t="str">
            <v>FORTANKS</v>
          </cell>
          <cell r="P1099">
            <v>5</v>
          </cell>
          <cell r="Q1099" t="str">
            <v>Gean</v>
          </cell>
          <cell r="R1099">
            <v>45918</v>
          </cell>
          <cell r="S1099">
            <v>0.70833333333333337</v>
          </cell>
          <cell r="T1099">
            <v>0.69833333333333336</v>
          </cell>
          <cell r="U1099" t="str">
            <v>X</v>
          </cell>
          <cell r="V1099">
            <v>0.375</v>
          </cell>
          <cell r="W1099">
            <v>24.167999999999999</v>
          </cell>
          <cell r="X1099">
            <v>23.88</v>
          </cell>
          <cell r="Z1099">
            <v>86.616</v>
          </cell>
          <cell r="AA1099">
            <v>86.268000000000001</v>
          </cell>
          <cell r="AW1099">
            <v>4</v>
          </cell>
          <cell r="AX1099">
            <v>4</v>
          </cell>
          <cell r="AY1099">
            <v>4</v>
          </cell>
          <cell r="AZ1099">
            <v>4</v>
          </cell>
          <cell r="BA1099" t="str">
            <v>CONSORCIO NOVA ETE - PARQUE NOVO MUNDO</v>
          </cell>
          <cell r="BB1099">
            <v>45919</v>
          </cell>
          <cell r="BD1099" t="str">
            <v>sex</v>
          </cell>
          <cell r="BG1099">
            <v>45918</v>
          </cell>
        </row>
        <row r="1100">
          <cell r="A1100">
            <v>1366</v>
          </cell>
          <cell r="B1100">
            <v>988</v>
          </cell>
          <cell r="C1100" t="str">
            <v>PLACA AER 1 PN-22</v>
          </cell>
          <cell r="D1100">
            <v>6.5</v>
          </cell>
          <cell r="E1100">
            <v>40</v>
          </cell>
          <cell r="F1100">
            <v>24</v>
          </cell>
          <cell r="G1100">
            <v>40</v>
          </cell>
          <cell r="H1100">
            <v>0</v>
          </cell>
          <cell r="I1100" t="str">
            <v>-</v>
          </cell>
          <cell r="J1100" t="str">
            <v>670/680</v>
          </cell>
          <cell r="K1100" t="str">
            <v xml:space="preserve">CPIII 40 RS </v>
          </cell>
          <cell r="L1100" t="str">
            <v>CP V</v>
          </cell>
          <cell r="M1100" t="str">
            <v>SUPER PLASTIFICANTE</v>
          </cell>
          <cell r="N1100" t="str">
            <v>ETE - PROJETO SUCURIÚ - AERADORES</v>
          </cell>
          <cell r="O1100" t="str">
            <v>FORTANKS</v>
          </cell>
          <cell r="P1100">
            <v>1</v>
          </cell>
          <cell r="Q1100" t="str">
            <v>Gean</v>
          </cell>
          <cell r="R1100">
            <v>45919</v>
          </cell>
          <cell r="S1100">
            <v>0.57638888888888884</v>
          </cell>
          <cell r="T1100">
            <v>0.56638888888888883</v>
          </cell>
          <cell r="U1100" t="str">
            <v>X</v>
          </cell>
          <cell r="V1100">
            <v>0.35416666666666669</v>
          </cell>
          <cell r="W1100">
            <v>33.347999999999999</v>
          </cell>
          <cell r="X1100">
            <v>32.555999999999997</v>
          </cell>
          <cell r="Z1100">
            <v>84.731999999999999</v>
          </cell>
          <cell r="AA1100">
            <v>84.78</v>
          </cell>
          <cell r="AW1100">
            <v>4</v>
          </cell>
          <cell r="AX1100">
            <v>4</v>
          </cell>
          <cell r="AY1100">
            <v>4</v>
          </cell>
          <cell r="AZ1100">
            <v>4</v>
          </cell>
          <cell r="BA1100" t="str">
            <v>FORTES ENGENHARIA</v>
          </cell>
          <cell r="BB1100">
            <v>45920</v>
          </cell>
          <cell r="BD1100" t="str">
            <v>sáb</v>
          </cell>
          <cell r="BG1100">
            <v>45919</v>
          </cell>
        </row>
        <row r="1101">
          <cell r="A1101">
            <v>1367</v>
          </cell>
          <cell r="B1101">
            <v>989</v>
          </cell>
          <cell r="C1101" t="str">
            <v>PLACA AER 1 PN-20</v>
          </cell>
          <cell r="D1101">
            <v>6.5</v>
          </cell>
          <cell r="E1101">
            <v>40</v>
          </cell>
          <cell r="F1101">
            <v>24</v>
          </cell>
          <cell r="G1101">
            <v>40</v>
          </cell>
          <cell r="H1101">
            <v>0</v>
          </cell>
          <cell r="I1101" t="str">
            <v>-</v>
          </cell>
          <cell r="J1101" t="str">
            <v>680/670</v>
          </cell>
          <cell r="K1101" t="str">
            <v xml:space="preserve">CPIII 40 RS </v>
          </cell>
          <cell r="L1101" t="str">
            <v>CP V</v>
          </cell>
          <cell r="M1101" t="str">
            <v>SUPER PLASTIFICANTE</v>
          </cell>
          <cell r="N1101" t="str">
            <v>ETE - PROJETO SUCURIÚ - AERADORES</v>
          </cell>
          <cell r="O1101" t="str">
            <v>FORTANKS</v>
          </cell>
          <cell r="P1101">
            <v>2</v>
          </cell>
          <cell r="Q1101" t="str">
            <v>Gean</v>
          </cell>
          <cell r="R1101">
            <v>45919</v>
          </cell>
          <cell r="S1101">
            <v>0.58333333333333337</v>
          </cell>
          <cell r="T1101">
            <v>0.57333333333333336</v>
          </cell>
          <cell r="U1101" t="str">
            <v>X</v>
          </cell>
          <cell r="V1101">
            <v>0.3611111111111111</v>
          </cell>
          <cell r="W1101">
            <v>32.879999999999995</v>
          </cell>
          <cell r="X1101">
            <v>32.003999999999998</v>
          </cell>
          <cell r="Z1101">
            <v>84.108000000000004</v>
          </cell>
          <cell r="AA1101">
            <v>84.695999999999998</v>
          </cell>
          <cell r="AW1101">
            <v>4</v>
          </cell>
          <cell r="AX1101">
            <v>4</v>
          </cell>
          <cell r="AY1101">
            <v>4</v>
          </cell>
          <cell r="AZ1101">
            <v>4</v>
          </cell>
          <cell r="BA1101" t="str">
            <v>FORTES ENGENHARIA</v>
          </cell>
          <cell r="BB1101">
            <v>45920</v>
          </cell>
          <cell r="BD1101" t="str">
            <v>sáb</v>
          </cell>
          <cell r="BG1101">
            <v>45919</v>
          </cell>
        </row>
        <row r="1102">
          <cell r="A1102">
            <v>1368</v>
          </cell>
          <cell r="B1102">
            <v>990</v>
          </cell>
          <cell r="C1102" t="str">
            <v>PLACA AER 1 PN-19</v>
          </cell>
          <cell r="D1102">
            <v>6.5</v>
          </cell>
          <cell r="E1102">
            <v>40</v>
          </cell>
          <cell r="F1102">
            <v>24</v>
          </cell>
          <cell r="G1102">
            <v>40</v>
          </cell>
          <cell r="H1102">
            <v>0</v>
          </cell>
          <cell r="I1102" t="str">
            <v>-</v>
          </cell>
          <cell r="J1102" t="str">
            <v>680/680</v>
          </cell>
          <cell r="K1102" t="str">
            <v xml:space="preserve">CPIII 40 RS </v>
          </cell>
          <cell r="L1102" t="str">
            <v>CP V</v>
          </cell>
          <cell r="M1102" t="str">
            <v>SUPER PLASTIFICANTE</v>
          </cell>
          <cell r="N1102" t="str">
            <v>ETE - PROJETO SUCURIÚ - AERADORES</v>
          </cell>
          <cell r="O1102" t="str">
            <v>FORTANKS</v>
          </cell>
          <cell r="P1102">
            <v>3</v>
          </cell>
          <cell r="Q1102" t="str">
            <v>Gean</v>
          </cell>
          <cell r="R1102">
            <v>45919</v>
          </cell>
          <cell r="S1102">
            <v>0.625</v>
          </cell>
          <cell r="T1102">
            <v>0.61499999999999999</v>
          </cell>
          <cell r="U1102" t="str">
            <v>X</v>
          </cell>
          <cell r="V1102">
            <v>0.36805555555555558</v>
          </cell>
          <cell r="W1102">
            <v>33.659999999999997</v>
          </cell>
          <cell r="X1102">
            <v>35.292000000000002</v>
          </cell>
          <cell r="Z1102">
            <v>84.372</v>
          </cell>
          <cell r="AA1102">
            <v>85.151999999999987</v>
          </cell>
          <cell r="AW1102">
            <v>4</v>
          </cell>
          <cell r="AX1102">
            <v>4</v>
          </cell>
          <cell r="AY1102">
            <v>4</v>
          </cell>
          <cell r="AZ1102">
            <v>4</v>
          </cell>
          <cell r="BA1102" t="str">
            <v>FORTES ENGENHARIA</v>
          </cell>
          <cell r="BB1102">
            <v>45920</v>
          </cell>
          <cell r="BD1102" t="str">
            <v>sáb</v>
          </cell>
          <cell r="BG1102">
            <v>45919</v>
          </cell>
        </row>
        <row r="1103">
          <cell r="A1103">
            <v>1369</v>
          </cell>
          <cell r="B1103">
            <v>991</v>
          </cell>
          <cell r="C1103" t="str">
            <v>PLACA AER 1 PNI-09</v>
          </cell>
          <cell r="D1103">
            <v>6.5</v>
          </cell>
          <cell r="E1103">
            <v>40</v>
          </cell>
          <cell r="F1103">
            <v>24</v>
          </cell>
          <cell r="G1103">
            <v>40</v>
          </cell>
          <cell r="H1103">
            <v>0</v>
          </cell>
          <cell r="I1103" t="str">
            <v>-</v>
          </cell>
          <cell r="J1103" t="str">
            <v>690/680</v>
          </cell>
          <cell r="K1103" t="str">
            <v xml:space="preserve">CPIII 40 RS </v>
          </cell>
          <cell r="L1103" t="str">
            <v>CP V</v>
          </cell>
          <cell r="M1103" t="str">
            <v>SUPER PLASTIFICANTE</v>
          </cell>
          <cell r="N1103" t="str">
            <v>ETE - PROJETO SUCURIÚ - AERADORES</v>
          </cell>
          <cell r="O1103" t="str">
            <v>FORTANKS</v>
          </cell>
          <cell r="P1103">
            <v>4</v>
          </cell>
          <cell r="Q1103" t="str">
            <v>Gean</v>
          </cell>
          <cell r="R1103">
            <v>45919</v>
          </cell>
          <cell r="S1103">
            <v>0.66666666666666663</v>
          </cell>
          <cell r="T1103">
            <v>0.65666666666666662</v>
          </cell>
          <cell r="U1103" t="str">
            <v>X</v>
          </cell>
          <cell r="V1103">
            <v>0.37152777777777779</v>
          </cell>
          <cell r="W1103">
            <v>30.587999999999997</v>
          </cell>
          <cell r="X1103">
            <v>30.695999999999998</v>
          </cell>
          <cell r="Z1103">
            <v>84.396000000000001</v>
          </cell>
          <cell r="AA1103">
            <v>84.408000000000001</v>
          </cell>
          <cell r="AW1103">
            <v>4</v>
          </cell>
          <cell r="AX1103">
            <v>4</v>
          </cell>
          <cell r="AY1103">
            <v>4</v>
          </cell>
          <cell r="AZ1103">
            <v>4</v>
          </cell>
          <cell r="BA1103" t="str">
            <v>FORTES ENGENHARIA</v>
          </cell>
          <cell r="BB1103">
            <v>45920</v>
          </cell>
          <cell r="BD1103" t="str">
            <v>sáb</v>
          </cell>
          <cell r="BG1103">
            <v>45919</v>
          </cell>
        </row>
        <row r="1104">
          <cell r="A1104">
            <v>1370</v>
          </cell>
          <cell r="B1104">
            <v>992</v>
          </cell>
          <cell r="C1104" t="str">
            <v>PLACA AER 1 PNI-03</v>
          </cell>
          <cell r="D1104">
            <v>6.5</v>
          </cell>
          <cell r="E1104">
            <v>40</v>
          </cell>
          <cell r="F1104">
            <v>24</v>
          </cell>
          <cell r="G1104">
            <v>40</v>
          </cell>
          <cell r="H1104">
            <v>0</v>
          </cell>
          <cell r="I1104" t="str">
            <v>-</v>
          </cell>
          <cell r="J1104" t="str">
            <v>680/680</v>
          </cell>
          <cell r="K1104" t="str">
            <v xml:space="preserve">CPIII 40 RS </v>
          </cell>
          <cell r="L1104" t="str">
            <v>CP V</v>
          </cell>
          <cell r="M1104" t="str">
            <v>SUPER PLASTIFICANTE</v>
          </cell>
          <cell r="N1104" t="str">
            <v>ETE - PROJETO SUCURIÚ - AERADORES</v>
          </cell>
          <cell r="O1104" t="str">
            <v>FORTANKS</v>
          </cell>
          <cell r="P1104">
            <v>5</v>
          </cell>
          <cell r="Q1104" t="str">
            <v>Gean</v>
          </cell>
          <cell r="R1104">
            <v>45919</v>
          </cell>
          <cell r="S1104">
            <v>0.6875</v>
          </cell>
          <cell r="T1104">
            <v>0.67749999999999999</v>
          </cell>
          <cell r="U1104" t="str">
            <v>X</v>
          </cell>
          <cell r="V1104">
            <v>0.375</v>
          </cell>
          <cell r="W1104">
            <v>27.587999999999997</v>
          </cell>
          <cell r="X1104">
            <v>27.06</v>
          </cell>
          <cell r="Z1104">
            <v>86.231999999999999</v>
          </cell>
          <cell r="AA1104">
            <v>85.5</v>
          </cell>
          <cell r="AW1104">
            <v>4</v>
          </cell>
          <cell r="AX1104">
            <v>4</v>
          </cell>
          <cell r="AY1104">
            <v>4</v>
          </cell>
          <cell r="AZ1104">
            <v>4</v>
          </cell>
          <cell r="BA1104" t="str">
            <v>FORTES ENGENHARIA</v>
          </cell>
          <cell r="BB1104">
            <v>45920</v>
          </cell>
          <cell r="BD1104" t="str">
            <v>sáb</v>
          </cell>
          <cell r="BG1104">
            <v>45919</v>
          </cell>
        </row>
        <row r="1105">
          <cell r="A1105">
            <v>1371</v>
          </cell>
          <cell r="B1105">
            <v>993</v>
          </cell>
          <cell r="C1105" t="str">
            <v>PLACA PN-544 / PN-545(80%)</v>
          </cell>
          <cell r="D1105">
            <v>8</v>
          </cell>
          <cell r="E1105">
            <v>40</v>
          </cell>
          <cell r="F1105">
            <v>24</v>
          </cell>
          <cell r="G1105">
            <v>40</v>
          </cell>
          <cell r="H1105">
            <v>0</v>
          </cell>
          <cell r="I1105" t="str">
            <v>-</v>
          </cell>
          <cell r="J1105" t="str">
            <v>660/670</v>
          </cell>
          <cell r="K1105" t="str">
            <v xml:space="preserve">CPIII 40 RS </v>
          </cell>
          <cell r="L1105" t="str">
            <v>CP V</v>
          </cell>
          <cell r="M1105" t="str">
            <v>SUPER PLASTIFICANTE</v>
          </cell>
          <cell r="N1105" t="str">
            <v>ETE - PARQUE NOVO MUNDO (REATORES NEREDA)</v>
          </cell>
          <cell r="O1105" t="str">
            <v>FORTANKS</v>
          </cell>
          <cell r="P1105">
            <v>1</v>
          </cell>
          <cell r="Q1105" t="str">
            <v>Gean</v>
          </cell>
          <cell r="R1105">
            <v>45920</v>
          </cell>
          <cell r="S1105">
            <v>0.41666666666666669</v>
          </cell>
          <cell r="T1105">
            <v>0.40666666666666668</v>
          </cell>
          <cell r="U1105" t="str">
            <v>X</v>
          </cell>
          <cell r="V1105">
            <v>0.33333333333333331</v>
          </cell>
          <cell r="W1105">
            <v>51.024000000000001</v>
          </cell>
          <cell r="X1105">
            <v>51.611999999999995</v>
          </cell>
          <cell r="Z1105">
            <v>85.703999999999994</v>
          </cell>
          <cell r="AA1105">
            <v>85.164000000000001</v>
          </cell>
          <cell r="AW1105">
            <v>4</v>
          </cell>
          <cell r="AX1105">
            <v>4</v>
          </cell>
          <cell r="AY1105">
            <v>4</v>
          </cell>
          <cell r="AZ1105">
            <v>4</v>
          </cell>
          <cell r="BA1105" t="str">
            <v>CONSORCIO NOVA ETE - PARQUE NOVO MUNDO</v>
          </cell>
          <cell r="BB1105">
            <v>45922</v>
          </cell>
          <cell r="BC1105">
            <v>1</v>
          </cell>
          <cell r="BD1105" t="str">
            <v>seg</v>
          </cell>
          <cell r="BG1105">
            <v>45920</v>
          </cell>
        </row>
        <row r="1106">
          <cell r="A1106" t="str">
            <v>1371-A</v>
          </cell>
          <cell r="B1106">
            <v>993</v>
          </cell>
          <cell r="C1106" t="str">
            <v>PLACA PR_PN-141</v>
          </cell>
          <cell r="D1106">
            <v>8</v>
          </cell>
          <cell r="E1106">
            <v>40</v>
          </cell>
          <cell r="F1106">
            <v>24</v>
          </cell>
          <cell r="G1106">
            <v>40</v>
          </cell>
          <cell r="H1106">
            <v>0</v>
          </cell>
          <cell r="I1106" t="str">
            <v>-</v>
          </cell>
          <cell r="J1106" t="str">
            <v>660/670</v>
          </cell>
          <cell r="K1106" t="str">
            <v xml:space="preserve">CPIII 40 RS </v>
          </cell>
          <cell r="L1106" t="str">
            <v>CP V</v>
          </cell>
          <cell r="M1106" t="str">
            <v>SUPER PLASTIFICANTE</v>
          </cell>
          <cell r="N1106" t="str">
            <v>ETE - PROJETO SUCURIÚ - CLARIFICADOR PRIMARIO</v>
          </cell>
          <cell r="O1106" t="str">
            <v>FORTANKS</v>
          </cell>
          <cell r="P1106">
            <v>1</v>
          </cell>
          <cell r="Q1106" t="str">
            <v>Gean</v>
          </cell>
          <cell r="R1106">
            <v>45920</v>
          </cell>
          <cell r="S1106">
            <v>0.41666666666666669</v>
          </cell>
          <cell r="T1106">
            <v>0.40666666666666668</v>
          </cell>
          <cell r="U1106" t="str">
            <v>X</v>
          </cell>
          <cell r="V1106">
            <v>0.33333333333333331</v>
          </cell>
          <cell r="W1106">
            <v>51.024000000000001</v>
          </cell>
          <cell r="X1106">
            <v>51.611999999999995</v>
          </cell>
          <cell r="Z1106" t="e">
            <v>#N/A</v>
          </cell>
          <cell r="AA1106" t="e">
            <v>#N/A</v>
          </cell>
          <cell r="AW1106">
            <v>4</v>
          </cell>
          <cell r="AX1106">
            <v>4</v>
          </cell>
          <cell r="AY1106" t="e">
            <v>#N/A</v>
          </cell>
          <cell r="AZ1106" t="e">
            <v>#N/A</v>
          </cell>
          <cell r="BA1106" t="str">
            <v>FORTES ENGENHARIA</v>
          </cell>
          <cell r="BB1106">
            <v>45922</v>
          </cell>
          <cell r="BC1106">
            <v>1</v>
          </cell>
          <cell r="BD1106" t="str">
            <v>seg</v>
          </cell>
          <cell r="BG1106">
            <v>45920</v>
          </cell>
        </row>
        <row r="1107">
          <cell r="A1107">
            <v>1372</v>
          </cell>
          <cell r="B1107">
            <v>994</v>
          </cell>
          <cell r="C1107" t="str">
            <v>PLACAS PN-585(20%) / PE-460(T2) / PN-546</v>
          </cell>
          <cell r="D1107">
            <v>8</v>
          </cell>
          <cell r="E1107">
            <v>40</v>
          </cell>
          <cell r="F1107">
            <v>24</v>
          </cell>
          <cell r="G1107">
            <v>40</v>
          </cell>
          <cell r="H1107">
            <v>0</v>
          </cell>
          <cell r="I1107" t="str">
            <v>-</v>
          </cell>
          <cell r="J1107" t="str">
            <v>670/680</v>
          </cell>
          <cell r="K1107" t="str">
            <v xml:space="preserve">CPIII 40 RS </v>
          </cell>
          <cell r="L1107" t="str">
            <v>CP V</v>
          </cell>
          <cell r="M1107" t="str">
            <v>SUPER PLASTIFICANTE</v>
          </cell>
          <cell r="N1107" t="str">
            <v>ETE - PARQUE NOVO MUNDO (REATORES NEREDA)</v>
          </cell>
          <cell r="O1107" t="str">
            <v>FORTANKS</v>
          </cell>
          <cell r="P1107">
            <v>2</v>
          </cell>
          <cell r="Q1107" t="str">
            <v>Gean</v>
          </cell>
          <cell r="R1107">
            <v>45920</v>
          </cell>
          <cell r="S1107">
            <v>0.45833333333333331</v>
          </cell>
          <cell r="T1107">
            <v>0.44833333333333331</v>
          </cell>
          <cell r="U1107" t="str">
            <v>X</v>
          </cell>
          <cell r="V1107">
            <v>0.34027777777777779</v>
          </cell>
          <cell r="W1107">
            <v>45.395999999999994</v>
          </cell>
          <cell r="X1107">
            <v>44.543999999999997</v>
          </cell>
          <cell r="Z1107">
            <v>84.083999999999989</v>
          </cell>
          <cell r="AA1107">
            <v>84.768000000000001</v>
          </cell>
          <cell r="AW1107">
            <v>4</v>
          </cell>
          <cell r="AX1107">
            <v>4</v>
          </cell>
          <cell r="AY1107">
            <v>4</v>
          </cell>
          <cell r="AZ1107">
            <v>4</v>
          </cell>
          <cell r="BA1107" t="str">
            <v>CONSORCIO NOVA ETE - PARQUE NOVO MUNDO</v>
          </cell>
          <cell r="BB1107">
            <v>45922</v>
          </cell>
          <cell r="BC1107">
            <v>1</v>
          </cell>
          <cell r="BD1107" t="str">
            <v>seg</v>
          </cell>
          <cell r="BG1107">
            <v>45920</v>
          </cell>
        </row>
        <row r="1108">
          <cell r="A1108">
            <v>1373</v>
          </cell>
          <cell r="B1108">
            <v>995</v>
          </cell>
          <cell r="C1108" t="str">
            <v>PLACAS PN-547/PN-548(80%)</v>
          </cell>
          <cell r="D1108">
            <v>6</v>
          </cell>
          <cell r="E1108">
            <v>40</v>
          </cell>
          <cell r="F1108">
            <v>24</v>
          </cell>
          <cell r="G1108">
            <v>40</v>
          </cell>
          <cell r="H1108">
            <v>0</v>
          </cell>
          <cell r="I1108" t="str">
            <v>-</v>
          </cell>
          <cell r="J1108" t="str">
            <v>660/670</v>
          </cell>
          <cell r="K1108" t="str">
            <v xml:space="preserve">CPIII 40 RS </v>
          </cell>
          <cell r="L1108" t="str">
            <v>CP V</v>
          </cell>
          <cell r="M1108" t="str">
            <v>SUPER PLASTIFICANTE</v>
          </cell>
          <cell r="N1108" t="str">
            <v>ETE - PARQUE NOVO MUNDO (REATORES NEREDA)</v>
          </cell>
          <cell r="O1108" t="str">
            <v>FORTANKS</v>
          </cell>
          <cell r="P1108">
            <v>3</v>
          </cell>
          <cell r="Q1108" t="str">
            <v>Gean</v>
          </cell>
          <cell r="R1108">
            <v>45920</v>
          </cell>
          <cell r="S1108">
            <v>0.58333333333333337</v>
          </cell>
          <cell r="T1108">
            <v>0.57333333333333336</v>
          </cell>
          <cell r="U1108" t="str">
            <v>X</v>
          </cell>
          <cell r="V1108">
            <v>0.34375</v>
          </cell>
          <cell r="W1108">
            <v>43.691999999999993</v>
          </cell>
          <cell r="X1108">
            <v>43.847999999999999</v>
          </cell>
          <cell r="Z1108">
            <v>85.655999999999992</v>
          </cell>
          <cell r="AA1108">
            <v>85.043999999999997</v>
          </cell>
          <cell r="AW1108">
            <v>4</v>
          </cell>
          <cell r="AX1108">
            <v>4</v>
          </cell>
          <cell r="AY1108">
            <v>4</v>
          </cell>
          <cell r="AZ1108">
            <v>4</v>
          </cell>
          <cell r="BA1108" t="str">
            <v>CONSORCIO NOVA ETE - PARQUE NOVO MUNDO</v>
          </cell>
          <cell r="BB1108">
            <v>45922</v>
          </cell>
          <cell r="BC1108">
            <v>1</v>
          </cell>
          <cell r="BD1108" t="str">
            <v>seg</v>
          </cell>
          <cell r="BG1108">
            <v>45920</v>
          </cell>
        </row>
        <row r="1109">
          <cell r="A1109">
            <v>1374</v>
          </cell>
          <cell r="B1109">
            <v>996</v>
          </cell>
          <cell r="C1109" t="str">
            <v>PLACAS PN-548 / PE-539(T4)</v>
          </cell>
          <cell r="D1109">
            <v>5</v>
          </cell>
          <cell r="E1109">
            <v>40</v>
          </cell>
          <cell r="F1109">
            <v>24</v>
          </cell>
          <cell r="G1109">
            <v>40</v>
          </cell>
          <cell r="H1109">
            <v>0</v>
          </cell>
          <cell r="I1109" t="str">
            <v>-</v>
          </cell>
          <cell r="J1109" t="str">
            <v>670/680</v>
          </cell>
          <cell r="K1109" t="str">
            <v xml:space="preserve">CPIII 40 RS </v>
          </cell>
          <cell r="L1109" t="str">
            <v>CP V</v>
          </cell>
          <cell r="M1109" t="str">
            <v>SUPER PLASTIFICANTE</v>
          </cell>
          <cell r="N1109" t="str">
            <v>ETE - PARQUE NOVO MUNDO (REATORES NEREDA)</v>
          </cell>
          <cell r="O1109" t="str">
            <v>FORTANKS</v>
          </cell>
          <cell r="P1109">
            <v>4</v>
          </cell>
          <cell r="Q1109" t="str">
            <v>Gean</v>
          </cell>
          <cell r="R1109">
            <v>45920</v>
          </cell>
          <cell r="S1109">
            <v>0.625</v>
          </cell>
          <cell r="T1109">
            <v>0.61499999999999999</v>
          </cell>
          <cell r="U1109" t="str">
            <v>X</v>
          </cell>
          <cell r="V1109">
            <v>0.34722222222222221</v>
          </cell>
          <cell r="W1109">
            <v>44.663999999999994</v>
          </cell>
          <cell r="X1109">
            <v>45.636000000000003</v>
          </cell>
          <cell r="Z1109">
            <v>86.04</v>
          </cell>
          <cell r="AA1109">
            <v>84.671999999999997</v>
          </cell>
          <cell r="AW1109">
            <v>4</v>
          </cell>
          <cell r="AX1109">
            <v>4</v>
          </cell>
          <cell r="AY1109">
            <v>4</v>
          </cell>
          <cell r="AZ1109">
            <v>4</v>
          </cell>
          <cell r="BA1109" t="str">
            <v>CONSORCIO NOVA ETE - PARQUE NOVO MUNDO</v>
          </cell>
          <cell r="BB1109">
            <v>45922</v>
          </cell>
          <cell r="BC1109">
            <v>1</v>
          </cell>
          <cell r="BD1109" t="str">
            <v>seg</v>
          </cell>
          <cell r="BG1109">
            <v>45920</v>
          </cell>
        </row>
        <row r="1110">
          <cell r="A1110" t="str">
            <v>1374-A</v>
          </cell>
          <cell r="B1110">
            <v>996</v>
          </cell>
          <cell r="C1110" t="str">
            <v>PLACA PR_PN-141 (CANALETA)</v>
          </cell>
          <cell r="D1110">
            <v>5</v>
          </cell>
          <cell r="E1110">
            <v>40</v>
          </cell>
          <cell r="F1110">
            <v>24</v>
          </cell>
          <cell r="G1110">
            <v>40</v>
          </cell>
          <cell r="H1110">
            <v>0</v>
          </cell>
          <cell r="I1110" t="str">
            <v>-</v>
          </cell>
          <cell r="J1110" t="str">
            <v>670/680</v>
          </cell>
          <cell r="K1110" t="str">
            <v xml:space="preserve">CPIII 40 RS </v>
          </cell>
          <cell r="L1110" t="str">
            <v>CP V</v>
          </cell>
          <cell r="M1110" t="str">
            <v>SUPER PLASTIFICANTE</v>
          </cell>
          <cell r="N1110" t="str">
            <v>ETE - PROJETO SUCURIÚ - CLARIFICADOR PRIMARIO</v>
          </cell>
          <cell r="O1110" t="str">
            <v>FORTANKS</v>
          </cell>
          <cell r="P1110">
            <v>4</v>
          </cell>
          <cell r="Q1110" t="str">
            <v>Gean</v>
          </cell>
          <cell r="R1110">
            <v>45920</v>
          </cell>
          <cell r="S1110">
            <v>0.625</v>
          </cell>
          <cell r="T1110">
            <v>0.61499999999999999</v>
          </cell>
          <cell r="U1110" t="str">
            <v>X</v>
          </cell>
          <cell r="V1110">
            <v>0.34722222222222221</v>
          </cell>
          <cell r="W1110">
            <v>44.663999999999994</v>
          </cell>
          <cell r="X1110">
            <v>45.636000000000003</v>
          </cell>
          <cell r="Z1110" t="e">
            <v>#N/A</v>
          </cell>
          <cell r="AA1110" t="e">
            <v>#N/A</v>
          </cell>
          <cell r="AW1110">
            <v>4</v>
          </cell>
          <cell r="AX1110">
            <v>4</v>
          </cell>
          <cell r="AY1110" t="e">
            <v>#N/A</v>
          </cell>
          <cell r="AZ1110" t="e">
            <v>#N/A</v>
          </cell>
          <cell r="BA1110" t="str">
            <v>FORTES ENGENHARIA</v>
          </cell>
          <cell r="BB1110">
            <v>45922</v>
          </cell>
          <cell r="BC1110">
            <v>1</v>
          </cell>
          <cell r="BD1110" t="str">
            <v>seg</v>
          </cell>
          <cell r="BG1110">
            <v>45920</v>
          </cell>
        </row>
        <row r="1111">
          <cell r="A1111">
            <v>1375</v>
          </cell>
          <cell r="B1111">
            <v>997</v>
          </cell>
          <cell r="C1111" t="str">
            <v>PLACA AER 1 PN-25</v>
          </cell>
          <cell r="D1111">
            <v>6.5</v>
          </cell>
          <cell r="E1111">
            <v>40</v>
          </cell>
          <cell r="F1111">
            <v>24</v>
          </cell>
          <cell r="G1111">
            <v>40</v>
          </cell>
          <cell r="H1111">
            <v>0</v>
          </cell>
          <cell r="I1111" t="str">
            <v>-</v>
          </cell>
          <cell r="J1111" t="str">
            <v>670/680</v>
          </cell>
          <cell r="K1111" t="str">
            <v xml:space="preserve">CPIII 40 RS </v>
          </cell>
          <cell r="L1111" t="str">
            <v>CP V</v>
          </cell>
          <cell r="M1111" t="str">
            <v>SUPER PLASTIFICANTE</v>
          </cell>
          <cell r="N1111" t="str">
            <v>ETE - PROJETO SUCURIÚ - AERADORES</v>
          </cell>
          <cell r="O1111" t="str">
            <v>FORTANKS</v>
          </cell>
          <cell r="P1111">
            <v>1</v>
          </cell>
          <cell r="Q1111" t="str">
            <v>Gean</v>
          </cell>
          <cell r="R1111">
            <v>45922</v>
          </cell>
          <cell r="S1111">
            <v>0.63888888888888884</v>
          </cell>
          <cell r="T1111">
            <v>0.62888888888888883</v>
          </cell>
          <cell r="U1111" t="str">
            <v>X</v>
          </cell>
          <cell r="V1111">
            <v>0.54166666666666663</v>
          </cell>
          <cell r="W1111">
            <v>33.72</v>
          </cell>
          <cell r="X1111">
            <v>33.479999999999997</v>
          </cell>
          <cell r="Z1111">
            <v>86.087999999999994</v>
          </cell>
          <cell r="AA1111">
            <v>84.49199999999999</v>
          </cell>
          <cell r="AW1111">
            <v>4</v>
          </cell>
          <cell r="AX1111">
            <v>4</v>
          </cell>
          <cell r="AY1111">
            <v>4</v>
          </cell>
          <cell r="AZ1111">
            <v>4</v>
          </cell>
          <cell r="BA1111" t="str">
            <v>FORTES ENGENHARIA</v>
          </cell>
          <cell r="BB1111">
            <v>45923</v>
          </cell>
          <cell r="BD1111" t="str">
            <v>ter</v>
          </cell>
          <cell r="BG1111">
            <v>45922</v>
          </cell>
        </row>
        <row r="1112">
          <cell r="A1112">
            <v>1376</v>
          </cell>
          <cell r="B1112">
            <v>998</v>
          </cell>
          <cell r="C1112" t="str">
            <v>PLACA AER 1 PN-24</v>
          </cell>
          <cell r="D1112">
            <v>6.5</v>
          </cell>
          <cell r="E1112">
            <v>40</v>
          </cell>
          <cell r="F1112">
            <v>24</v>
          </cell>
          <cell r="G1112">
            <v>40</v>
          </cell>
          <cell r="H1112">
            <v>0</v>
          </cell>
          <cell r="I1112" t="str">
            <v>-</v>
          </cell>
          <cell r="J1112" t="str">
            <v>660/670</v>
          </cell>
          <cell r="K1112" t="str">
            <v xml:space="preserve">CPIII 40 RS </v>
          </cell>
          <cell r="L1112" t="str">
            <v>CP V</v>
          </cell>
          <cell r="M1112" t="str">
            <v>SUPER PLASTIFICANTE</v>
          </cell>
          <cell r="N1112" t="str">
            <v>ETE - PROJETO SUCURIÚ - AERADORES</v>
          </cell>
          <cell r="O1112" t="str">
            <v>FORTANKS</v>
          </cell>
          <cell r="P1112">
            <v>2</v>
          </cell>
          <cell r="Q1112" t="str">
            <v>Gean</v>
          </cell>
          <cell r="R1112">
            <v>45922</v>
          </cell>
          <cell r="S1112">
            <v>0.66666666666666663</v>
          </cell>
          <cell r="T1112">
            <v>0.65666666666666662</v>
          </cell>
          <cell r="U1112" t="str">
            <v>X</v>
          </cell>
          <cell r="V1112">
            <v>0.54513888888888884</v>
          </cell>
          <cell r="W1112">
            <v>31.968</v>
          </cell>
          <cell r="X1112">
            <v>30.971999999999998</v>
          </cell>
          <cell r="Z1112">
            <v>84.551999999999992</v>
          </cell>
          <cell r="AA1112">
            <v>84.18</v>
          </cell>
          <cell r="AW1112">
            <v>4</v>
          </cell>
          <cell r="AX1112">
            <v>4</v>
          </cell>
          <cell r="AY1112">
            <v>4</v>
          </cell>
          <cell r="AZ1112">
            <v>4</v>
          </cell>
          <cell r="BA1112" t="str">
            <v>FORTES ENGENHARIA</v>
          </cell>
          <cell r="BB1112">
            <v>45923</v>
          </cell>
          <cell r="BD1112" t="str">
            <v>ter</v>
          </cell>
          <cell r="BG1112">
            <v>45922</v>
          </cell>
        </row>
        <row r="1113">
          <cell r="A1113">
            <v>1377</v>
          </cell>
          <cell r="B1113">
            <v>999</v>
          </cell>
          <cell r="C1113" t="str">
            <v>PLACA AER 1 PN-23</v>
          </cell>
          <cell r="D1113">
            <v>6.5</v>
          </cell>
          <cell r="E1113">
            <v>40</v>
          </cell>
          <cell r="F1113">
            <v>24</v>
          </cell>
          <cell r="G1113">
            <v>40</v>
          </cell>
          <cell r="H1113">
            <v>0</v>
          </cell>
          <cell r="I1113" t="str">
            <v>-</v>
          </cell>
          <cell r="J1113" t="str">
            <v>650/660</v>
          </cell>
          <cell r="K1113" t="str">
            <v xml:space="preserve">CPIII 40 RS </v>
          </cell>
          <cell r="L1113" t="str">
            <v>CP V</v>
          </cell>
          <cell r="M1113" t="str">
            <v>SUPER PLASTIFICANTE</v>
          </cell>
          <cell r="N1113" t="str">
            <v>ETE - PROJETO SUCURIÚ - AERADORES</v>
          </cell>
          <cell r="O1113" t="str">
            <v>FORTANKS</v>
          </cell>
          <cell r="P1113">
            <v>3</v>
          </cell>
          <cell r="Q1113" t="str">
            <v>Gean</v>
          </cell>
          <cell r="R1113">
            <v>45922</v>
          </cell>
          <cell r="S1113">
            <v>0.6875</v>
          </cell>
          <cell r="T1113">
            <v>0.67749999999999999</v>
          </cell>
          <cell r="U1113" t="str">
            <v>X</v>
          </cell>
          <cell r="V1113">
            <v>0.54861111111111116</v>
          </cell>
          <cell r="W1113">
            <v>30.24</v>
          </cell>
          <cell r="X1113">
            <v>30.695999999999998</v>
          </cell>
          <cell r="Z1113">
            <v>87.036000000000001</v>
          </cell>
          <cell r="AA1113">
            <v>87.216000000000008</v>
          </cell>
          <cell r="AW1113">
            <v>4</v>
          </cell>
          <cell r="AX1113">
            <v>4</v>
          </cell>
          <cell r="AY1113">
            <v>4</v>
          </cell>
          <cell r="AZ1113">
            <v>4</v>
          </cell>
          <cell r="BA1113" t="str">
            <v>FORTES ENGENHARIA</v>
          </cell>
          <cell r="BB1113">
            <v>45923</v>
          </cell>
          <cell r="BD1113" t="str">
            <v>ter</v>
          </cell>
          <cell r="BG1113">
            <v>45922</v>
          </cell>
        </row>
        <row r="1114">
          <cell r="A1114">
            <v>1378</v>
          </cell>
          <cell r="B1114">
            <v>1000</v>
          </cell>
          <cell r="C1114" t="str">
            <v>PLACA AER 1 PNI-21</v>
          </cell>
          <cell r="D1114">
            <v>6.5</v>
          </cell>
          <cell r="E1114">
            <v>40</v>
          </cell>
          <cell r="F1114">
            <v>24</v>
          </cell>
          <cell r="G1114">
            <v>40</v>
          </cell>
          <cell r="H1114">
            <v>0</v>
          </cell>
          <cell r="I1114" t="str">
            <v>-</v>
          </cell>
          <cell r="J1114" t="str">
            <v>660/670</v>
          </cell>
          <cell r="K1114" t="str">
            <v xml:space="preserve">CPIII 40 RS </v>
          </cell>
          <cell r="L1114" t="str">
            <v>CP V</v>
          </cell>
          <cell r="M1114" t="str">
            <v>SUPER PLASTIFICANTE</v>
          </cell>
          <cell r="N1114" t="str">
            <v>ETE - PROJETO SUCURIÚ - AERADORES</v>
          </cell>
          <cell r="O1114" t="str">
            <v>FORTANKS</v>
          </cell>
          <cell r="P1114">
            <v>4</v>
          </cell>
          <cell r="Q1114" t="str">
            <v>Gean</v>
          </cell>
          <cell r="R1114">
            <v>45922</v>
          </cell>
          <cell r="S1114">
            <v>0.70833333333333337</v>
          </cell>
          <cell r="T1114">
            <v>0.69833333333333336</v>
          </cell>
          <cell r="U1114" t="str">
            <v>X</v>
          </cell>
          <cell r="V1114">
            <v>0.55208333333333337</v>
          </cell>
          <cell r="W1114">
            <v>31.715999999999998</v>
          </cell>
          <cell r="X1114">
            <v>31.763999999999996</v>
          </cell>
          <cell r="Z1114">
            <v>86.207999999999998</v>
          </cell>
          <cell r="AA1114">
            <v>84.576000000000008</v>
          </cell>
          <cell r="AW1114">
            <v>4</v>
          </cell>
          <cell r="AX1114">
            <v>4</v>
          </cell>
          <cell r="AY1114">
            <v>4</v>
          </cell>
          <cell r="AZ1114">
            <v>4</v>
          </cell>
          <cell r="BA1114" t="str">
            <v>FORTES ENGENHARIA</v>
          </cell>
          <cell r="BB1114">
            <v>45923</v>
          </cell>
          <cell r="BD1114" t="str">
            <v>ter</v>
          </cell>
          <cell r="BG1114">
            <v>45922</v>
          </cell>
        </row>
        <row r="1115">
          <cell r="A1115">
            <v>1379</v>
          </cell>
          <cell r="B1115">
            <v>1001</v>
          </cell>
          <cell r="C1115" t="str">
            <v>PLACA AER 1 PNI-15</v>
          </cell>
          <cell r="D1115">
            <v>6.5</v>
          </cell>
          <cell r="E1115">
            <v>40</v>
          </cell>
          <cell r="F1115">
            <v>24</v>
          </cell>
          <cell r="G1115">
            <v>40</v>
          </cell>
          <cell r="H1115">
            <v>0</v>
          </cell>
          <cell r="I1115" t="str">
            <v>-</v>
          </cell>
          <cell r="J1115" t="str">
            <v>660/680</v>
          </cell>
          <cell r="K1115" t="str">
            <v xml:space="preserve">CPIII 40 RS </v>
          </cell>
          <cell r="L1115" t="str">
            <v>CP V</v>
          </cell>
          <cell r="M1115" t="str">
            <v>SUPER PLASTIFICANTE</v>
          </cell>
          <cell r="N1115" t="str">
            <v>ETE - PROJETO SUCURIÚ - AERADORES</v>
          </cell>
          <cell r="O1115" t="str">
            <v>FORTANKS</v>
          </cell>
          <cell r="P1115">
            <v>5</v>
          </cell>
          <cell r="Q1115" t="str">
            <v>Gean</v>
          </cell>
          <cell r="R1115">
            <v>45922</v>
          </cell>
          <cell r="S1115">
            <v>0.72916666666666663</v>
          </cell>
          <cell r="T1115">
            <v>0.71916666666666662</v>
          </cell>
          <cell r="U1115" t="str">
            <v>X</v>
          </cell>
          <cell r="V1115">
            <v>0.55555555555555558</v>
          </cell>
          <cell r="W1115">
            <v>34.368000000000002</v>
          </cell>
          <cell r="X1115">
            <v>32.123999999999995</v>
          </cell>
          <cell r="Z1115">
            <v>85.98</v>
          </cell>
          <cell r="AA1115">
            <v>85.283999999999992</v>
          </cell>
          <cell r="AW1115">
            <v>4</v>
          </cell>
          <cell r="AX1115">
            <v>4</v>
          </cell>
          <cell r="AY1115">
            <v>4</v>
          </cell>
          <cell r="AZ1115">
            <v>4</v>
          </cell>
          <cell r="BA1115" t="str">
            <v>FORTES ENGENHARIA</v>
          </cell>
          <cell r="BB1115">
            <v>45923</v>
          </cell>
          <cell r="BD1115" t="str">
            <v>ter</v>
          </cell>
          <cell r="BG1115">
            <v>45922</v>
          </cell>
        </row>
        <row r="1116">
          <cell r="A1116">
            <v>1380</v>
          </cell>
          <cell r="B1116">
            <v>1002</v>
          </cell>
          <cell r="C1116" t="str">
            <v>PLACAS PN-549/ PN-550(80%)</v>
          </cell>
          <cell r="D1116">
            <v>8</v>
          </cell>
          <cell r="E1116">
            <v>40</v>
          </cell>
          <cell r="F1116">
            <v>24</v>
          </cell>
          <cell r="G1116">
            <v>40</v>
          </cell>
          <cell r="H1116">
            <v>0</v>
          </cell>
          <cell r="I1116" t="str">
            <v>-</v>
          </cell>
          <cell r="J1116" t="str">
            <v>660/670</v>
          </cell>
          <cell r="K1116" t="str">
            <v xml:space="preserve">CPIII 40 RS </v>
          </cell>
          <cell r="L1116" t="str">
            <v>CP V</v>
          </cell>
          <cell r="M1116" t="str">
            <v>SUPER PLASTIFICANTE</v>
          </cell>
          <cell r="N1116" t="str">
            <v>ETE - PARQUE NOVO MUNDO (REATORES NEREDA)</v>
          </cell>
          <cell r="O1116" t="str">
            <v>FORTANKS</v>
          </cell>
          <cell r="P1116">
            <v>1</v>
          </cell>
          <cell r="Q1116" t="str">
            <v>Gean</v>
          </cell>
          <cell r="R1116">
            <v>45923</v>
          </cell>
          <cell r="S1116">
            <v>0.66666666666666663</v>
          </cell>
          <cell r="T1116">
            <v>0.65666666666666662</v>
          </cell>
          <cell r="U1116" t="str">
            <v>X</v>
          </cell>
          <cell r="V1116">
            <v>0.54166666666666663</v>
          </cell>
          <cell r="W1116">
            <v>33.839999999999996</v>
          </cell>
          <cell r="X1116">
            <v>32.904000000000003</v>
          </cell>
          <cell r="Z1116">
            <v>87.504000000000005</v>
          </cell>
          <cell r="AA1116">
            <v>85.763999999999996</v>
          </cell>
          <cell r="AW1116">
            <v>4</v>
          </cell>
          <cell r="AX1116">
            <v>4</v>
          </cell>
          <cell r="AY1116">
            <v>4</v>
          </cell>
          <cell r="AZ1116">
            <v>4</v>
          </cell>
          <cell r="BA1116" t="str">
            <v>CONSORCIO NOVA ETE - PARQUE NOVO MUNDO</v>
          </cell>
          <cell r="BB1116">
            <v>45924</v>
          </cell>
          <cell r="BD1116" t="str">
            <v>qua</v>
          </cell>
          <cell r="BG1116">
            <v>45923</v>
          </cell>
        </row>
        <row r="1117">
          <cell r="A1117" t="str">
            <v>1380-A</v>
          </cell>
          <cell r="B1117">
            <v>1002</v>
          </cell>
          <cell r="C1117" t="str">
            <v>PLACA PR_PN-142</v>
          </cell>
          <cell r="D1117">
            <v>8</v>
          </cell>
          <cell r="E1117">
            <v>40</v>
          </cell>
          <cell r="F1117">
            <v>24</v>
          </cell>
          <cell r="G1117">
            <v>40</v>
          </cell>
          <cell r="H1117">
            <v>0</v>
          </cell>
          <cell r="I1117" t="str">
            <v>-</v>
          </cell>
          <cell r="J1117" t="str">
            <v>660/670</v>
          </cell>
          <cell r="K1117" t="str">
            <v xml:space="preserve">CPIII 40 RS </v>
          </cell>
          <cell r="L1117" t="str">
            <v>CP V</v>
          </cell>
          <cell r="M1117" t="str">
            <v>SUPER PLASTIFICANTE</v>
          </cell>
          <cell r="N1117" t="str">
            <v>ETE - PROJETO SUCURIÚ - CLARIFICADOR PRIMARIO</v>
          </cell>
          <cell r="O1117" t="str">
            <v>FORTANKS</v>
          </cell>
          <cell r="P1117">
            <v>1</v>
          </cell>
          <cell r="Q1117" t="str">
            <v>Gean</v>
          </cell>
          <cell r="R1117">
            <v>45923</v>
          </cell>
          <cell r="S1117">
            <v>0.66666666666666663</v>
          </cell>
          <cell r="T1117">
            <v>0.65666666666666662</v>
          </cell>
          <cell r="U1117" t="str">
            <v>X</v>
          </cell>
          <cell r="V1117">
            <v>0.54166666666666663</v>
          </cell>
          <cell r="W1117">
            <v>33.839999999999996</v>
          </cell>
          <cell r="X1117">
            <v>32.904000000000003</v>
          </cell>
          <cell r="Z1117" t="e">
            <v>#N/A</v>
          </cell>
          <cell r="AA1117" t="e">
            <v>#N/A</v>
          </cell>
          <cell r="AW1117">
            <v>4</v>
          </cell>
          <cell r="AX1117">
            <v>4</v>
          </cell>
          <cell r="AY1117" t="e">
            <v>#N/A</v>
          </cell>
          <cell r="AZ1117" t="e">
            <v>#N/A</v>
          </cell>
          <cell r="BA1117" t="str">
            <v>FORTES ENGENHARIA</v>
          </cell>
          <cell r="BB1117">
            <v>45924</v>
          </cell>
          <cell r="BD1117" t="str">
            <v>qua</v>
          </cell>
          <cell r="BG1117">
            <v>45923</v>
          </cell>
        </row>
        <row r="1118">
          <cell r="A1118">
            <v>1381</v>
          </cell>
          <cell r="B1118">
            <v>1003</v>
          </cell>
          <cell r="C1118" t="str">
            <v>PLACAS PN-550(20%) / PE-490(T2) / PN-551</v>
          </cell>
          <cell r="D1118">
            <v>8</v>
          </cell>
          <cell r="E1118">
            <v>40</v>
          </cell>
          <cell r="F1118">
            <v>24</v>
          </cell>
          <cell r="G1118">
            <v>40</v>
          </cell>
          <cell r="H1118">
            <v>0</v>
          </cell>
          <cell r="I1118" t="str">
            <v>-</v>
          </cell>
          <cell r="J1118" t="str">
            <v>670/680</v>
          </cell>
          <cell r="K1118" t="str">
            <v xml:space="preserve">CPIII 40 RS </v>
          </cell>
          <cell r="L1118" t="str">
            <v>CP V</v>
          </cell>
          <cell r="M1118" t="str">
            <v>SUPER PLASTIFICANTE</v>
          </cell>
          <cell r="N1118" t="str">
            <v>ETE - PARQUE NOVO MUNDO (REATORES NEREDA)</v>
          </cell>
          <cell r="O1118" t="str">
            <v>FORTANKS</v>
          </cell>
          <cell r="P1118">
            <v>2</v>
          </cell>
          <cell r="Q1118" t="str">
            <v>Gean</v>
          </cell>
          <cell r="R1118">
            <v>45923</v>
          </cell>
          <cell r="S1118">
            <v>0.6875</v>
          </cell>
          <cell r="T1118">
            <v>0.67749999999999999</v>
          </cell>
          <cell r="U1118" t="str">
            <v>X</v>
          </cell>
          <cell r="V1118">
            <v>0.54513888888888884</v>
          </cell>
          <cell r="W1118">
            <v>25.595999999999997</v>
          </cell>
          <cell r="X1118">
            <v>25.032</v>
          </cell>
          <cell r="Z1118">
            <v>85.8</v>
          </cell>
          <cell r="AA1118">
            <v>86.231999999999999</v>
          </cell>
          <cell r="AW1118">
            <v>4</v>
          </cell>
          <cell r="AX1118">
            <v>4</v>
          </cell>
          <cell r="AY1118">
            <v>4</v>
          </cell>
          <cell r="AZ1118">
            <v>4</v>
          </cell>
          <cell r="BA1118" t="str">
            <v>CONSORCIO NOVA ETE - PARQUE NOVO MUNDO</v>
          </cell>
          <cell r="BB1118">
            <v>45924</v>
          </cell>
          <cell r="BD1118" t="str">
            <v>qua</v>
          </cell>
          <cell r="BG1118">
            <v>45923</v>
          </cell>
        </row>
        <row r="1119">
          <cell r="A1119">
            <v>1382</v>
          </cell>
          <cell r="B1119">
            <v>1004</v>
          </cell>
          <cell r="C1119" t="str">
            <v>PLACAS PE-567(T4) / PF-466</v>
          </cell>
          <cell r="D1119">
            <v>8</v>
          </cell>
          <cell r="E1119">
            <v>40</v>
          </cell>
          <cell r="F1119">
            <v>24</v>
          </cell>
          <cell r="G1119">
            <v>40</v>
          </cell>
          <cell r="H1119">
            <v>0</v>
          </cell>
          <cell r="I1119" t="str">
            <v>-</v>
          </cell>
          <cell r="J1119" t="str">
            <v>680/680</v>
          </cell>
          <cell r="K1119" t="str">
            <v xml:space="preserve">CPIII 40 RS </v>
          </cell>
          <cell r="L1119" t="str">
            <v>CP V</v>
          </cell>
          <cell r="M1119" t="str">
            <v>SUPER PLASTIFICANTE</v>
          </cell>
          <cell r="N1119" t="str">
            <v>ETE - PARQUE NOVO MUNDO (REATORES NEREDA)</v>
          </cell>
          <cell r="O1119" t="str">
            <v>FORTANKS</v>
          </cell>
          <cell r="P1119">
            <v>3</v>
          </cell>
          <cell r="Q1119" t="str">
            <v>Gean</v>
          </cell>
          <cell r="R1119">
            <v>45923</v>
          </cell>
          <cell r="S1119">
            <v>0.72916666666666663</v>
          </cell>
          <cell r="T1119">
            <v>0.71916666666666662</v>
          </cell>
          <cell r="U1119" t="str">
            <v>X</v>
          </cell>
          <cell r="V1119">
            <v>0.54861111111111116</v>
          </cell>
          <cell r="W1119">
            <v>26.423999999999999</v>
          </cell>
          <cell r="X1119">
            <v>28.331999999999997</v>
          </cell>
          <cell r="Z1119">
            <v>84.18</v>
          </cell>
          <cell r="AA1119">
            <v>84.671999999999997</v>
          </cell>
          <cell r="AW1119">
            <v>4</v>
          </cell>
          <cell r="AX1119">
            <v>4</v>
          </cell>
          <cell r="AY1119">
            <v>4</v>
          </cell>
          <cell r="AZ1119">
            <v>4</v>
          </cell>
          <cell r="BA1119" t="str">
            <v>CONSORCIO NOVA ETE - PARQUE NOVO MUNDO</v>
          </cell>
          <cell r="BB1119">
            <v>45924</v>
          </cell>
          <cell r="BD1119" t="str">
            <v>qua</v>
          </cell>
          <cell r="BG1119">
            <v>45923</v>
          </cell>
        </row>
        <row r="1120">
          <cell r="A1120">
            <v>1383</v>
          </cell>
          <cell r="B1120">
            <v>1005</v>
          </cell>
          <cell r="C1120" t="str">
            <v>PLACAS PN-552 / PN-553</v>
          </cell>
          <cell r="D1120">
            <v>8</v>
          </cell>
          <cell r="E1120">
            <v>40</v>
          </cell>
          <cell r="F1120">
            <v>24</v>
          </cell>
          <cell r="G1120">
            <v>40</v>
          </cell>
          <cell r="H1120">
            <v>0</v>
          </cell>
          <cell r="I1120" t="str">
            <v>-</v>
          </cell>
          <cell r="J1120" t="str">
            <v>680/680</v>
          </cell>
          <cell r="K1120" t="str">
            <v xml:space="preserve">CPIII 40 RS </v>
          </cell>
          <cell r="L1120" t="str">
            <v>CP V</v>
          </cell>
          <cell r="M1120" t="str">
            <v>SUPER PLASTIFICANTE</v>
          </cell>
          <cell r="N1120" t="str">
            <v>ETE - PARQUE NOVO MUNDO (REATORES NEREDA)</v>
          </cell>
          <cell r="O1120" t="str">
            <v>FORTANKS</v>
          </cell>
          <cell r="P1120">
            <v>4</v>
          </cell>
          <cell r="Q1120" t="str">
            <v>Gean</v>
          </cell>
          <cell r="R1120">
            <v>45923</v>
          </cell>
          <cell r="S1120">
            <v>0.75</v>
          </cell>
          <cell r="T1120">
            <v>0.74</v>
          </cell>
          <cell r="U1120" t="str">
            <v>X</v>
          </cell>
          <cell r="V1120">
            <v>0.55208333333333337</v>
          </cell>
          <cell r="W1120">
            <v>26.028000000000002</v>
          </cell>
          <cell r="X1120">
            <v>24.047999999999998</v>
          </cell>
          <cell r="Z1120">
            <v>87.275999999999996</v>
          </cell>
          <cell r="AA1120">
            <v>86.268000000000001</v>
          </cell>
          <cell r="AW1120">
            <v>4</v>
          </cell>
          <cell r="AX1120">
            <v>4</v>
          </cell>
          <cell r="AY1120">
            <v>4</v>
          </cell>
          <cell r="AZ1120">
            <v>4</v>
          </cell>
          <cell r="BA1120" t="str">
            <v>CONSORCIO NOVA ETE - PARQUE NOVO MUNDO</v>
          </cell>
          <cell r="BB1120">
            <v>45924</v>
          </cell>
          <cell r="BD1120" t="str">
            <v>qua</v>
          </cell>
          <cell r="BG1120">
            <v>45923</v>
          </cell>
        </row>
        <row r="1121">
          <cell r="A1121">
            <v>1384</v>
          </cell>
          <cell r="B1121">
            <v>1006</v>
          </cell>
          <cell r="C1121" t="str">
            <v>PLACA AER 1 PN-32</v>
          </cell>
          <cell r="D1121">
            <v>6.5</v>
          </cell>
          <cell r="E1121">
            <v>40</v>
          </cell>
          <cell r="F1121">
            <v>24</v>
          </cell>
          <cell r="G1121">
            <v>40</v>
          </cell>
          <cell r="H1121">
            <v>0</v>
          </cell>
          <cell r="I1121" t="str">
            <v>-</v>
          </cell>
          <cell r="J1121" t="str">
            <v>660/670</v>
          </cell>
          <cell r="K1121" t="str">
            <v xml:space="preserve">CPIII 40 RS </v>
          </cell>
          <cell r="L1121" t="str">
            <v>CP V</v>
          </cell>
          <cell r="M1121" t="str">
            <v>SUPER PLASTIFICANTE</v>
          </cell>
          <cell r="N1121" t="str">
            <v>ETE - PROJETO SUCURIÚ - AERADORES</v>
          </cell>
          <cell r="O1121" t="str">
            <v>FORTANKS</v>
          </cell>
          <cell r="P1121">
            <v>1</v>
          </cell>
          <cell r="Q1121" t="str">
            <v>Gean</v>
          </cell>
          <cell r="R1121">
            <v>45924</v>
          </cell>
          <cell r="S1121">
            <v>0.625</v>
          </cell>
          <cell r="T1121">
            <v>0.61499999999999999</v>
          </cell>
          <cell r="U1121" t="str">
            <v>X</v>
          </cell>
          <cell r="V1121">
            <v>0.54166666666666663</v>
          </cell>
          <cell r="W1121">
            <v>26.58</v>
          </cell>
          <cell r="X1121">
            <v>25.512</v>
          </cell>
          <cell r="Z1121">
            <v>88.559999999999988</v>
          </cell>
          <cell r="AA1121">
            <v>87.587999999999994</v>
          </cell>
          <cell r="AW1121">
            <v>4</v>
          </cell>
          <cell r="AX1121">
            <v>4</v>
          </cell>
          <cell r="AY1121">
            <v>4</v>
          </cell>
          <cell r="AZ1121">
            <v>4</v>
          </cell>
          <cell r="BA1121" t="str">
            <v>FORTES ENGENHARIA</v>
          </cell>
          <cell r="BB1121">
            <v>45925</v>
          </cell>
          <cell r="BD1121" t="str">
            <v>qui</v>
          </cell>
          <cell r="BG1121">
            <v>45924</v>
          </cell>
        </row>
        <row r="1122">
          <cell r="A1122">
            <v>1385</v>
          </cell>
          <cell r="B1122">
            <v>1007</v>
          </cell>
          <cell r="C1122" t="str">
            <v>PLACA AER 1 PN-31</v>
          </cell>
          <cell r="D1122">
            <v>6.5</v>
          </cell>
          <cell r="E1122">
            <v>40</v>
          </cell>
          <cell r="F1122">
            <v>24</v>
          </cell>
          <cell r="G1122">
            <v>40</v>
          </cell>
          <cell r="H1122">
            <v>0</v>
          </cell>
          <cell r="I1122" t="str">
            <v>-</v>
          </cell>
          <cell r="J1122" t="str">
            <v>670/680</v>
          </cell>
          <cell r="K1122" t="str">
            <v xml:space="preserve">CPIII 40 RS </v>
          </cell>
          <cell r="L1122" t="str">
            <v>CP V</v>
          </cell>
          <cell r="M1122" t="str">
            <v>SUPER PLASTIFICANTE</v>
          </cell>
          <cell r="N1122" t="str">
            <v>ETE - PROJETO SUCURIÚ - AERADORES</v>
          </cell>
          <cell r="O1122" t="str">
            <v>FORTANKS</v>
          </cell>
          <cell r="P1122">
            <v>2</v>
          </cell>
          <cell r="Q1122" t="str">
            <v>Gean</v>
          </cell>
          <cell r="R1122">
            <v>45924</v>
          </cell>
          <cell r="S1122">
            <v>0.64583333333333337</v>
          </cell>
          <cell r="T1122">
            <v>0.63583333333333336</v>
          </cell>
          <cell r="U1122" t="str">
            <v>X</v>
          </cell>
          <cell r="V1122">
            <v>0.54861111111111116</v>
          </cell>
          <cell r="W1122">
            <v>30.384</v>
          </cell>
          <cell r="X1122">
            <v>29.087999999999997</v>
          </cell>
          <cell r="Z1122">
            <v>84.695999999999998</v>
          </cell>
          <cell r="AA1122">
            <v>84.64800000000001</v>
          </cell>
          <cell r="AW1122">
            <v>4</v>
          </cell>
          <cell r="AX1122">
            <v>4</v>
          </cell>
          <cell r="AY1122">
            <v>4</v>
          </cell>
          <cell r="AZ1122">
            <v>4</v>
          </cell>
          <cell r="BA1122" t="str">
            <v>FORTES ENGENHARIA</v>
          </cell>
          <cell r="BB1122">
            <v>45925</v>
          </cell>
          <cell r="BD1122" t="str">
            <v>qui</v>
          </cell>
          <cell r="BG1122">
            <v>45924</v>
          </cell>
        </row>
        <row r="1123">
          <cell r="A1123">
            <v>1386</v>
          </cell>
          <cell r="B1123">
            <v>1008</v>
          </cell>
          <cell r="C1123" t="str">
            <v>PLACA AER 1 PN-30</v>
          </cell>
          <cell r="D1123">
            <v>6.5</v>
          </cell>
          <cell r="E1123">
            <v>40</v>
          </cell>
          <cell r="F1123">
            <v>24</v>
          </cell>
          <cell r="G1123">
            <v>40</v>
          </cell>
          <cell r="H1123">
            <v>0</v>
          </cell>
          <cell r="I1123" t="str">
            <v>-</v>
          </cell>
          <cell r="J1123" t="str">
            <v>670/680</v>
          </cell>
          <cell r="K1123" t="str">
            <v xml:space="preserve">CPIII 40 RS </v>
          </cell>
          <cell r="L1123" t="str">
            <v>CP V</v>
          </cell>
          <cell r="M1123" t="str">
            <v>SUPER PLASTIFICANTE</v>
          </cell>
          <cell r="N1123" t="str">
            <v>ETE - PROJETO SUCURIÚ - AERADORES</v>
          </cell>
          <cell r="O1123" t="str">
            <v>FORTANKS</v>
          </cell>
          <cell r="P1123">
            <v>3</v>
          </cell>
          <cell r="Q1123" t="str">
            <v>Gean</v>
          </cell>
          <cell r="R1123">
            <v>45924</v>
          </cell>
          <cell r="S1123">
            <v>0.65972222222222221</v>
          </cell>
          <cell r="T1123">
            <v>0.6497222222222222</v>
          </cell>
          <cell r="U1123" t="str">
            <v>X</v>
          </cell>
          <cell r="V1123">
            <v>0.55208333333333337</v>
          </cell>
          <cell r="W1123">
            <v>25.007999999999999</v>
          </cell>
          <cell r="X1123">
            <v>24.012</v>
          </cell>
          <cell r="Z1123">
            <v>84.935999999999993</v>
          </cell>
          <cell r="AA1123">
            <v>84.587999999999994</v>
          </cell>
          <cell r="AW1123">
            <v>4</v>
          </cell>
          <cell r="AX1123">
            <v>4</v>
          </cell>
          <cell r="AY1123">
            <v>4</v>
          </cell>
          <cell r="AZ1123">
            <v>4</v>
          </cell>
          <cell r="BA1123" t="str">
            <v>FORTES ENGENHARIA</v>
          </cell>
          <cell r="BB1123">
            <v>45925</v>
          </cell>
          <cell r="BD1123" t="str">
            <v>qui</v>
          </cell>
          <cell r="BG1123">
            <v>45924</v>
          </cell>
        </row>
        <row r="1124">
          <cell r="A1124">
            <v>1387</v>
          </cell>
          <cell r="B1124">
            <v>1009</v>
          </cell>
          <cell r="C1124" t="str">
            <v>PLACA AER 1 PN-29</v>
          </cell>
          <cell r="D1124">
            <v>6.5</v>
          </cell>
          <cell r="E1124">
            <v>40</v>
          </cell>
          <cell r="F1124">
            <v>24</v>
          </cell>
          <cell r="G1124">
            <v>40</v>
          </cell>
          <cell r="H1124">
            <v>0</v>
          </cell>
          <cell r="I1124" t="str">
            <v>-</v>
          </cell>
          <cell r="J1124" t="str">
            <v>680/680</v>
          </cell>
          <cell r="K1124" t="str">
            <v xml:space="preserve">CPIII 40 RS </v>
          </cell>
          <cell r="L1124" t="str">
            <v>CP V</v>
          </cell>
          <cell r="M1124" t="str">
            <v>SUPER PLASTIFICANTE</v>
          </cell>
          <cell r="N1124" t="str">
            <v>ETE - PROJETO SUCURIÚ - AERADORES</v>
          </cell>
          <cell r="O1124" t="str">
            <v>FORTANKS</v>
          </cell>
          <cell r="P1124">
            <v>4</v>
          </cell>
          <cell r="Q1124" t="str">
            <v>Gean</v>
          </cell>
          <cell r="R1124">
            <v>45924</v>
          </cell>
          <cell r="S1124">
            <v>0.68055555555555558</v>
          </cell>
          <cell r="T1124">
            <v>0.67055555555555557</v>
          </cell>
          <cell r="U1124" t="str">
            <v>X</v>
          </cell>
          <cell r="V1124">
            <v>0.55555555555555558</v>
          </cell>
          <cell r="W1124">
            <v>25.044</v>
          </cell>
          <cell r="X1124">
            <v>25.608000000000001</v>
          </cell>
          <cell r="Z1124">
            <v>83.231999999999999</v>
          </cell>
          <cell r="AA1124">
            <v>84.816000000000003</v>
          </cell>
          <cell r="AW1124">
            <v>4</v>
          </cell>
          <cell r="AX1124">
            <v>4</v>
          </cell>
          <cell r="AY1124">
            <v>4</v>
          </cell>
          <cell r="AZ1124">
            <v>4</v>
          </cell>
          <cell r="BA1124" t="str">
            <v>FORTES ENGENHARIA</v>
          </cell>
          <cell r="BB1124">
            <v>45925</v>
          </cell>
          <cell r="BD1124" t="str">
            <v>qui</v>
          </cell>
          <cell r="BG1124">
            <v>45924</v>
          </cell>
        </row>
        <row r="1125">
          <cell r="A1125">
            <v>1388</v>
          </cell>
          <cell r="B1125">
            <v>1010</v>
          </cell>
          <cell r="C1125" t="str">
            <v>PLACA AER 1 PN-28</v>
          </cell>
          <cell r="D1125">
            <v>6.5</v>
          </cell>
          <cell r="E1125">
            <v>40</v>
          </cell>
          <cell r="F1125">
            <v>24</v>
          </cell>
          <cell r="G1125">
            <v>40</v>
          </cell>
          <cell r="H1125">
            <v>0</v>
          </cell>
          <cell r="I1125" t="str">
            <v>-</v>
          </cell>
          <cell r="J1125" t="str">
            <v>680/670</v>
          </cell>
          <cell r="K1125" t="str">
            <v xml:space="preserve">CPIII 40 RS </v>
          </cell>
          <cell r="L1125" t="str">
            <v>CP V</v>
          </cell>
          <cell r="M1125" t="str">
            <v>SUPER PLASTIFICANTE</v>
          </cell>
          <cell r="N1125" t="str">
            <v>ETE - PROJETO SUCURIÚ - AERADORES</v>
          </cell>
          <cell r="O1125" t="str">
            <v>FORTANKS</v>
          </cell>
          <cell r="P1125">
            <v>5</v>
          </cell>
          <cell r="Q1125" t="str">
            <v>Gean</v>
          </cell>
          <cell r="R1125">
            <v>45924</v>
          </cell>
          <cell r="S1125">
            <v>0.70138888888888884</v>
          </cell>
          <cell r="T1125">
            <v>0.69138888888888883</v>
          </cell>
          <cell r="U1125" t="str">
            <v>X</v>
          </cell>
          <cell r="V1125">
            <v>0.5625</v>
          </cell>
          <cell r="W1125">
            <v>25.452000000000002</v>
          </cell>
          <cell r="X1125">
            <v>26.963999999999999</v>
          </cell>
          <cell r="Z1125">
            <v>85.919999999999987</v>
          </cell>
          <cell r="AA1125">
            <v>84.78</v>
          </cell>
          <cell r="AW1125">
            <v>4</v>
          </cell>
          <cell r="AX1125">
            <v>4</v>
          </cell>
          <cell r="AY1125">
            <v>4</v>
          </cell>
          <cell r="AZ1125">
            <v>4</v>
          </cell>
          <cell r="BA1125" t="str">
            <v>FORTES ENGENHARIA</v>
          </cell>
          <cell r="BB1125">
            <v>45925</v>
          </cell>
          <cell r="BD1125" t="str">
            <v>qui</v>
          </cell>
          <cell r="BG1125">
            <v>45924</v>
          </cell>
        </row>
        <row r="1126">
          <cell r="A1126">
            <v>1389</v>
          </cell>
          <cell r="B1126">
            <v>1011</v>
          </cell>
          <cell r="C1126" t="str">
            <v>PLACAS PN-560 / PN-558 / PN-557(30%)</v>
          </cell>
          <cell r="D1126">
            <v>8</v>
          </cell>
          <cell r="E1126">
            <v>40</v>
          </cell>
          <cell r="F1126">
            <v>24</v>
          </cell>
          <cell r="G1126">
            <v>40</v>
          </cell>
          <cell r="H1126">
            <v>0</v>
          </cell>
          <cell r="I1126" t="str">
            <v>-</v>
          </cell>
          <cell r="J1126" t="str">
            <v>680/680</v>
          </cell>
          <cell r="K1126" t="str">
            <v xml:space="preserve">CPIII 40 RS </v>
          </cell>
          <cell r="L1126" t="str">
            <v>CP V</v>
          </cell>
          <cell r="M1126" t="str">
            <v>SUPER PLASTIFICANTE</v>
          </cell>
          <cell r="N1126" t="str">
            <v>ETE - PARQUE NOVO MUNDO (REATORES NEREDA)</v>
          </cell>
          <cell r="O1126" t="str">
            <v>FORTANKS</v>
          </cell>
          <cell r="P1126">
            <v>1</v>
          </cell>
          <cell r="Q1126" t="str">
            <v>Gean</v>
          </cell>
          <cell r="R1126">
            <v>45925</v>
          </cell>
          <cell r="S1126">
            <v>0.64236111111111116</v>
          </cell>
          <cell r="T1126">
            <v>0.63236111111111115</v>
          </cell>
          <cell r="U1126" t="str">
            <v>X</v>
          </cell>
          <cell r="V1126">
            <v>0.54166666666666663</v>
          </cell>
          <cell r="W1126">
            <v>25.068000000000001</v>
          </cell>
          <cell r="X1126">
            <v>24.312000000000001</v>
          </cell>
          <cell r="Z1126">
            <v>85.031999999999996</v>
          </cell>
          <cell r="AA1126">
            <v>85.823999999999998</v>
          </cell>
          <cell r="AW1126">
            <v>4</v>
          </cell>
          <cell r="AX1126">
            <v>4</v>
          </cell>
          <cell r="AY1126">
            <v>4</v>
          </cell>
          <cell r="AZ1126">
            <v>4</v>
          </cell>
          <cell r="BA1126" t="str">
            <v>CONSORCIO NOVA ETE - PARQUE NOVO MUNDO</v>
          </cell>
          <cell r="BB1126">
            <v>45926</v>
          </cell>
          <cell r="BD1126" t="str">
            <v>sex</v>
          </cell>
          <cell r="BG1126">
            <v>45925</v>
          </cell>
        </row>
        <row r="1127">
          <cell r="A1127">
            <v>1390</v>
          </cell>
          <cell r="B1127">
            <v>1012</v>
          </cell>
          <cell r="C1127" t="str">
            <v>PLACAS PN-557(70%) / PN-556 / PN-554(70%)</v>
          </cell>
          <cell r="D1127">
            <v>8</v>
          </cell>
          <cell r="E1127">
            <v>40</v>
          </cell>
          <cell r="F1127">
            <v>24</v>
          </cell>
          <cell r="G1127">
            <v>40</v>
          </cell>
          <cell r="H1127">
            <v>0</v>
          </cell>
          <cell r="I1127" t="str">
            <v>-</v>
          </cell>
          <cell r="J1127" t="str">
            <v>670/670</v>
          </cell>
          <cell r="K1127" t="str">
            <v xml:space="preserve">CPIII 40 RS </v>
          </cell>
          <cell r="L1127" t="str">
            <v>CP V</v>
          </cell>
          <cell r="M1127" t="str">
            <v>SUPER PLASTIFICANTE</v>
          </cell>
          <cell r="N1127" t="str">
            <v>ETE - PARQUE NOVO MUNDO (REATORES NEREDA)</v>
          </cell>
          <cell r="O1127" t="str">
            <v>FORTANKS</v>
          </cell>
          <cell r="P1127">
            <v>2</v>
          </cell>
          <cell r="Q1127" t="str">
            <v>Gean</v>
          </cell>
          <cell r="R1127">
            <v>45925</v>
          </cell>
          <cell r="S1127">
            <v>0.66666666666666663</v>
          </cell>
          <cell r="T1127">
            <v>0.65666666666666662</v>
          </cell>
          <cell r="U1127" t="str">
            <v>X</v>
          </cell>
          <cell r="V1127">
            <v>0.31597222222222221</v>
          </cell>
          <cell r="W1127">
            <v>32.195999999999998</v>
          </cell>
          <cell r="X1127">
            <v>30.371999999999996</v>
          </cell>
          <cell r="Z1127">
            <v>85.02</v>
          </cell>
          <cell r="AA1127">
            <v>84.227999999999994</v>
          </cell>
          <cell r="AW1127">
            <v>4</v>
          </cell>
          <cell r="AX1127">
            <v>4</v>
          </cell>
          <cell r="AY1127">
            <v>4</v>
          </cell>
          <cell r="AZ1127">
            <v>4</v>
          </cell>
          <cell r="BA1127" t="str">
            <v>CONSORCIO NOVA ETE - PARQUE NOVO MUNDO</v>
          </cell>
          <cell r="BB1127">
            <v>45927</v>
          </cell>
          <cell r="BC1127">
            <v>1</v>
          </cell>
          <cell r="BD1127" t="str">
            <v>sáb</v>
          </cell>
          <cell r="BG1127">
            <v>45925</v>
          </cell>
        </row>
        <row r="1128">
          <cell r="A1128">
            <v>1391</v>
          </cell>
          <cell r="B1128">
            <v>1013</v>
          </cell>
          <cell r="C1128" t="str">
            <v>PLACAS PN-554(30%) / PE-458(T3) / PE-459(T1)</v>
          </cell>
          <cell r="D1128">
            <v>8</v>
          </cell>
          <cell r="E1128">
            <v>40</v>
          </cell>
          <cell r="F1128">
            <v>24</v>
          </cell>
          <cell r="G1128">
            <v>40</v>
          </cell>
          <cell r="H1128">
            <v>0</v>
          </cell>
          <cell r="I1128" t="str">
            <v>-</v>
          </cell>
          <cell r="J1128" t="str">
            <v>680/680</v>
          </cell>
          <cell r="K1128" t="str">
            <v xml:space="preserve">CPIII 40 RS </v>
          </cell>
          <cell r="L1128" t="str">
            <v>CP V</v>
          </cell>
          <cell r="M1128" t="str">
            <v>SUPER PLASTIFICANTE</v>
          </cell>
          <cell r="N1128" t="str">
            <v>ETE - PARQUE NOVO MUNDO (REATORES NEREDA)</v>
          </cell>
          <cell r="O1128" t="str">
            <v>FORTANKS</v>
          </cell>
          <cell r="P1128">
            <v>3</v>
          </cell>
          <cell r="Q1128" t="str">
            <v>Gean</v>
          </cell>
          <cell r="R1128">
            <v>45925</v>
          </cell>
          <cell r="S1128">
            <v>0.70833333333333337</v>
          </cell>
          <cell r="T1128">
            <v>0.69833333333333336</v>
          </cell>
          <cell r="U1128" t="str">
            <v>X</v>
          </cell>
          <cell r="V1128">
            <v>0.54166666666666663</v>
          </cell>
          <cell r="W1128">
            <v>25.956</v>
          </cell>
          <cell r="X1128">
            <v>26.412000000000003</v>
          </cell>
          <cell r="Z1128">
            <v>84.768000000000001</v>
          </cell>
          <cell r="AA1128">
            <v>84.203999999999994</v>
          </cell>
          <cell r="AW1128">
            <v>4</v>
          </cell>
          <cell r="AX1128">
            <v>4</v>
          </cell>
          <cell r="AY1128">
            <v>4</v>
          </cell>
          <cell r="AZ1128">
            <v>4</v>
          </cell>
          <cell r="BA1128" t="str">
            <v>CONSORCIO NOVA ETE - PARQUE NOVO MUNDO</v>
          </cell>
          <cell r="BB1128">
            <v>45926</v>
          </cell>
          <cell r="BD1128" t="str">
            <v>sex</v>
          </cell>
          <cell r="BG1128">
            <v>45925</v>
          </cell>
        </row>
        <row r="1129">
          <cell r="A1129">
            <v>1392</v>
          </cell>
          <cell r="B1129">
            <v>1014</v>
          </cell>
          <cell r="C1129" t="str">
            <v>PLACA AER 1 PN-38</v>
          </cell>
          <cell r="D1129">
            <v>6.5</v>
          </cell>
          <cell r="E1129">
            <v>40</v>
          </cell>
          <cell r="F1129">
            <v>24</v>
          </cell>
          <cell r="G1129">
            <v>40</v>
          </cell>
          <cell r="H1129">
            <v>0</v>
          </cell>
          <cell r="I1129" t="str">
            <v>-</v>
          </cell>
          <cell r="J1129" t="str">
            <v>670/80</v>
          </cell>
          <cell r="K1129" t="str">
            <v xml:space="preserve">CPIII 40 RS </v>
          </cell>
          <cell r="L1129" t="str">
            <v>CP V</v>
          </cell>
          <cell r="M1129" t="str">
            <v>SUPER PLASTIFICANTE</v>
          </cell>
          <cell r="N1129" t="str">
            <v>ETE - PROJETO SUCURIÚ - AERADORES</v>
          </cell>
          <cell r="O1129" t="str">
            <v>FORTANKS</v>
          </cell>
          <cell r="P1129">
            <v>1</v>
          </cell>
          <cell r="Q1129" t="str">
            <v>Gean</v>
          </cell>
          <cell r="R1129">
            <v>45926</v>
          </cell>
          <cell r="S1129">
            <v>0.63680555555555551</v>
          </cell>
          <cell r="T1129">
            <v>0.6268055555555555</v>
          </cell>
          <cell r="U1129" t="str">
            <v>X</v>
          </cell>
          <cell r="V1129">
            <v>0.3125</v>
          </cell>
          <cell r="W1129">
            <v>59.447999999999993</v>
          </cell>
          <cell r="X1129">
            <v>58.211999999999996</v>
          </cell>
          <cell r="Z1129">
            <v>84.18</v>
          </cell>
          <cell r="AA1129">
            <v>84.612000000000009</v>
          </cell>
          <cell r="AW1129">
            <v>4</v>
          </cell>
          <cell r="AX1129">
            <v>4</v>
          </cell>
          <cell r="AY1129">
            <v>4</v>
          </cell>
          <cell r="AZ1129">
            <v>4</v>
          </cell>
          <cell r="BA1129" t="str">
            <v>FORTES ENGENHARIA</v>
          </cell>
          <cell r="BB1129">
            <v>45929</v>
          </cell>
          <cell r="BC1129">
            <v>2</v>
          </cell>
          <cell r="BD1129" t="str">
            <v>seg</v>
          </cell>
          <cell r="BG1129">
            <v>45926</v>
          </cell>
        </row>
        <row r="1130">
          <cell r="A1130">
            <v>1393</v>
          </cell>
          <cell r="B1130">
            <v>1015</v>
          </cell>
          <cell r="C1130" t="str">
            <v>PLACA AER 1 PN-37</v>
          </cell>
          <cell r="D1130">
            <v>6.5</v>
          </cell>
          <cell r="E1130">
            <v>40</v>
          </cell>
          <cell r="F1130">
            <v>24</v>
          </cell>
          <cell r="G1130">
            <v>40</v>
          </cell>
          <cell r="H1130">
            <v>0</v>
          </cell>
          <cell r="I1130" t="str">
            <v>-</v>
          </cell>
          <cell r="J1130" t="str">
            <v>680/680</v>
          </cell>
          <cell r="K1130" t="str">
            <v xml:space="preserve">CPIII 40 RS </v>
          </cell>
          <cell r="L1130" t="str">
            <v>CP V</v>
          </cell>
          <cell r="M1130" t="str">
            <v>SUPER PLASTIFICANTE</v>
          </cell>
          <cell r="N1130" t="str">
            <v>ETE - PROJETO SUCURIÚ - AERADORES</v>
          </cell>
          <cell r="O1130" t="str">
            <v>FORTANKS</v>
          </cell>
          <cell r="P1130">
            <v>2</v>
          </cell>
          <cell r="Q1130" t="str">
            <v>Gean</v>
          </cell>
          <cell r="R1130">
            <v>45926</v>
          </cell>
          <cell r="S1130">
            <v>0.65625</v>
          </cell>
          <cell r="T1130">
            <v>0.64624999999999999</v>
          </cell>
          <cell r="U1130" t="str">
            <v>X</v>
          </cell>
          <cell r="V1130">
            <v>0.31597222222222221</v>
          </cell>
          <cell r="W1130">
            <v>48.708000000000006</v>
          </cell>
          <cell r="X1130">
            <v>49.74</v>
          </cell>
          <cell r="Z1130">
            <v>85.391999999999996</v>
          </cell>
          <cell r="AA1130">
            <v>84.995999999999995</v>
          </cell>
          <cell r="AW1130">
            <v>4</v>
          </cell>
          <cell r="AX1130">
            <v>4</v>
          </cell>
          <cell r="AY1130">
            <v>4</v>
          </cell>
          <cell r="AZ1130">
            <v>4</v>
          </cell>
          <cell r="BA1130" t="str">
            <v>FORTES ENGENHARIA</v>
          </cell>
          <cell r="BB1130">
            <v>45929</v>
          </cell>
          <cell r="BC1130">
            <v>2</v>
          </cell>
          <cell r="BD1130" t="str">
            <v>seg</v>
          </cell>
          <cell r="BG1130">
            <v>45926</v>
          </cell>
        </row>
        <row r="1131">
          <cell r="A1131">
            <v>1394</v>
          </cell>
          <cell r="B1131">
            <v>1016</v>
          </cell>
          <cell r="C1131" t="str">
            <v>PLACA AER 1 PN-36</v>
          </cell>
          <cell r="D1131">
            <v>6.5</v>
          </cell>
          <cell r="E1131">
            <v>40</v>
          </cell>
          <cell r="F1131">
            <v>24</v>
          </cell>
          <cell r="G1131">
            <v>40</v>
          </cell>
          <cell r="H1131">
            <v>0</v>
          </cell>
          <cell r="I1131" t="str">
            <v>-</v>
          </cell>
          <cell r="J1131" t="str">
            <v>670/680</v>
          </cell>
          <cell r="K1131" t="str">
            <v xml:space="preserve">CPIII 40 RS </v>
          </cell>
          <cell r="L1131" t="str">
            <v>CP V</v>
          </cell>
          <cell r="M1131" t="str">
            <v>SUPER PLASTIFICANTE</v>
          </cell>
          <cell r="N1131" t="str">
            <v>ETE - PROJETO SUCURIÚ - AERADORES</v>
          </cell>
          <cell r="O1131" t="str">
            <v>FORTANKS</v>
          </cell>
          <cell r="P1131">
            <v>3</v>
          </cell>
          <cell r="Q1131" t="str">
            <v>Gean</v>
          </cell>
          <cell r="R1131">
            <v>45926</v>
          </cell>
          <cell r="S1131">
            <v>0.67361111111111116</v>
          </cell>
          <cell r="T1131">
            <v>0.66361111111111115</v>
          </cell>
          <cell r="U1131" t="str">
            <v>X</v>
          </cell>
          <cell r="V1131">
            <v>0.31944444444444442</v>
          </cell>
          <cell r="W1131">
            <v>52.343999999999994</v>
          </cell>
          <cell r="X1131">
            <v>52.824000000000005</v>
          </cell>
          <cell r="Z1131">
            <v>85.896000000000001</v>
          </cell>
          <cell r="AA1131">
            <v>85.908000000000001</v>
          </cell>
          <cell r="AW1131">
            <v>4</v>
          </cell>
          <cell r="AX1131">
            <v>4</v>
          </cell>
          <cell r="AY1131">
            <v>4</v>
          </cell>
          <cell r="AZ1131">
            <v>4</v>
          </cell>
          <cell r="BA1131" t="str">
            <v>FORTES ENGENHARIA</v>
          </cell>
          <cell r="BB1131">
            <v>45929</v>
          </cell>
          <cell r="BC1131">
            <v>2</v>
          </cell>
          <cell r="BD1131" t="str">
            <v>seg</v>
          </cell>
          <cell r="BG1131">
            <v>45926</v>
          </cell>
        </row>
        <row r="1132">
          <cell r="A1132">
            <v>1395</v>
          </cell>
          <cell r="B1132">
            <v>1017</v>
          </cell>
          <cell r="C1132" t="str">
            <v>PLACA AER 1 PN-35</v>
          </cell>
          <cell r="D1132">
            <v>6.5</v>
          </cell>
          <cell r="E1132">
            <v>40</v>
          </cell>
          <cell r="F1132">
            <v>24</v>
          </cell>
          <cell r="G1132">
            <v>40</v>
          </cell>
          <cell r="H1132">
            <v>0</v>
          </cell>
          <cell r="I1132" t="str">
            <v>-</v>
          </cell>
          <cell r="J1132" t="str">
            <v>670/660</v>
          </cell>
          <cell r="K1132" t="str">
            <v xml:space="preserve">CPIII 40 RS </v>
          </cell>
          <cell r="L1132" t="str">
            <v>CP V</v>
          </cell>
          <cell r="M1132" t="str">
            <v>SUPER PLASTIFICANTE</v>
          </cell>
          <cell r="N1132" t="str">
            <v>ETE - PROJETO SUCURIÚ - AERADORES</v>
          </cell>
          <cell r="O1132" t="str">
            <v>FORTANKS</v>
          </cell>
          <cell r="P1132">
            <v>4</v>
          </cell>
          <cell r="Q1132" t="str">
            <v>Gean</v>
          </cell>
          <cell r="R1132">
            <v>45926</v>
          </cell>
          <cell r="S1132">
            <v>0.69791666666666663</v>
          </cell>
          <cell r="T1132">
            <v>0.68791666666666662</v>
          </cell>
          <cell r="U1132" t="str">
            <v>X</v>
          </cell>
          <cell r="V1132">
            <v>0.32291666666666669</v>
          </cell>
          <cell r="W1132">
            <v>49.14</v>
          </cell>
          <cell r="X1132">
            <v>48.48</v>
          </cell>
          <cell r="Z1132">
            <v>85.355999999999995</v>
          </cell>
          <cell r="AA1132">
            <v>86.268000000000001</v>
          </cell>
          <cell r="AW1132">
            <v>4</v>
          </cell>
          <cell r="AX1132">
            <v>4</v>
          </cell>
          <cell r="AY1132">
            <v>4</v>
          </cell>
          <cell r="AZ1132">
            <v>4</v>
          </cell>
          <cell r="BA1132" t="str">
            <v>FORTES ENGENHARIA</v>
          </cell>
          <cell r="BB1132">
            <v>45929</v>
          </cell>
          <cell r="BC1132">
            <v>2</v>
          </cell>
          <cell r="BD1132" t="str">
            <v>seg</v>
          </cell>
          <cell r="BG1132">
            <v>45926</v>
          </cell>
        </row>
        <row r="1133">
          <cell r="A1133">
            <v>1396</v>
          </cell>
          <cell r="B1133">
            <v>1018</v>
          </cell>
          <cell r="C1133" t="str">
            <v>PLACA AER 1 PN-34</v>
          </cell>
          <cell r="D1133">
            <v>6.5</v>
          </cell>
          <cell r="E1133">
            <v>40</v>
          </cell>
          <cell r="F1133">
            <v>24</v>
          </cell>
          <cell r="G1133">
            <v>40</v>
          </cell>
          <cell r="H1133">
            <v>0</v>
          </cell>
          <cell r="I1133" t="str">
            <v>-</v>
          </cell>
          <cell r="J1133" t="str">
            <v>660/670</v>
          </cell>
          <cell r="K1133" t="str">
            <v xml:space="preserve">CPIII 40 RS </v>
          </cell>
          <cell r="L1133" t="str">
            <v>CP V</v>
          </cell>
          <cell r="M1133" t="str">
            <v>SUPER PLASTIFICANTE</v>
          </cell>
          <cell r="N1133" t="str">
            <v>ETE - PROJETO SUCURIÚ - AERADORES</v>
          </cell>
          <cell r="O1133" t="str">
            <v>FORTANKS</v>
          </cell>
          <cell r="P1133">
            <v>5</v>
          </cell>
          <cell r="Q1133" t="str">
            <v>Gean</v>
          </cell>
          <cell r="R1133">
            <v>45926</v>
          </cell>
          <cell r="S1133">
            <v>0.72222222222222221</v>
          </cell>
          <cell r="T1133">
            <v>0.7122222222222222</v>
          </cell>
          <cell r="U1133" t="str">
            <v>X</v>
          </cell>
          <cell r="V1133">
            <v>0.3263888888888889</v>
          </cell>
          <cell r="W1133">
            <v>51.9</v>
          </cell>
          <cell r="X1133">
            <v>50.771999999999998</v>
          </cell>
          <cell r="Z1133">
            <v>86.063999999999993</v>
          </cell>
          <cell r="AA1133">
            <v>84.587999999999994</v>
          </cell>
          <cell r="AW1133">
            <v>4</v>
          </cell>
          <cell r="AX1133">
            <v>4</v>
          </cell>
          <cell r="AY1133">
            <v>4</v>
          </cell>
          <cell r="AZ1133">
            <v>4</v>
          </cell>
          <cell r="BA1133" t="str">
            <v>FORTES ENGENHARIA</v>
          </cell>
          <cell r="BB1133">
            <v>45929</v>
          </cell>
          <cell r="BC1133">
            <v>2</v>
          </cell>
          <cell r="BD1133" t="str">
            <v>seg</v>
          </cell>
          <cell r="BG1133">
            <v>45926</v>
          </cell>
        </row>
        <row r="1134">
          <cell r="A1134">
            <v>1397</v>
          </cell>
          <cell r="B1134">
            <v>1019</v>
          </cell>
          <cell r="C1134" t="str">
            <v>PLACA PF-497</v>
          </cell>
          <cell r="D1134">
            <v>5</v>
          </cell>
          <cell r="E1134">
            <v>40</v>
          </cell>
          <cell r="F1134">
            <v>24</v>
          </cell>
          <cell r="G1134">
            <v>40</v>
          </cell>
          <cell r="H1134">
            <v>0</v>
          </cell>
          <cell r="I1134" t="str">
            <v>-</v>
          </cell>
          <cell r="J1134" t="str">
            <v>650/650</v>
          </cell>
          <cell r="K1134" t="str">
            <v xml:space="preserve">CPIII 40 RS </v>
          </cell>
          <cell r="L1134" t="str">
            <v>CP V</v>
          </cell>
          <cell r="M1134" t="str">
            <v>SUPER PLASTIFICANTE</v>
          </cell>
          <cell r="N1134" t="str">
            <v>ETE - PARQUE NOVO MUNDO (REATORES NEREDA)</v>
          </cell>
          <cell r="O1134" t="str">
            <v>FORTANKS</v>
          </cell>
          <cell r="P1134">
            <v>1</v>
          </cell>
          <cell r="Q1134" t="str">
            <v>Gean</v>
          </cell>
          <cell r="R1134">
            <v>45929</v>
          </cell>
          <cell r="S1134">
            <v>0.45833333333333331</v>
          </cell>
          <cell r="T1134">
            <v>0.44833333333333331</v>
          </cell>
          <cell r="U1134" t="str">
            <v>X</v>
          </cell>
          <cell r="V1134">
            <v>0.3125</v>
          </cell>
          <cell r="W1134">
            <v>31.715999999999998</v>
          </cell>
          <cell r="X1134">
            <v>29.939999999999998</v>
          </cell>
          <cell r="Z1134">
            <v>85.655999999999992</v>
          </cell>
          <cell r="AA1134">
            <v>84.576000000000008</v>
          </cell>
          <cell r="AW1134">
            <v>4</v>
          </cell>
          <cell r="AX1134">
            <v>4</v>
          </cell>
          <cell r="AY1134">
            <v>4</v>
          </cell>
          <cell r="AZ1134">
            <v>4</v>
          </cell>
          <cell r="BA1134" t="str">
            <v>CONSORCIO NOVA ETE - PARQUE NOVO MUNDO</v>
          </cell>
          <cell r="BB1134">
            <v>45930</v>
          </cell>
          <cell r="BD1134" t="str">
            <v>ter</v>
          </cell>
          <cell r="BG1134">
            <v>45929</v>
          </cell>
        </row>
        <row r="1135">
          <cell r="A1135">
            <v>1398</v>
          </cell>
          <cell r="B1135">
            <v>1020</v>
          </cell>
          <cell r="C1135" t="str">
            <v>PLACA PN-561</v>
          </cell>
          <cell r="D1135">
            <v>6</v>
          </cell>
          <cell r="E1135">
            <v>40</v>
          </cell>
          <cell r="F1135">
            <v>24</v>
          </cell>
          <cell r="G1135">
            <v>40</v>
          </cell>
          <cell r="H1135">
            <v>0</v>
          </cell>
          <cell r="I1135" t="str">
            <v>-</v>
          </cell>
          <cell r="J1135" t="str">
            <v>650/650</v>
          </cell>
          <cell r="K1135" t="str">
            <v xml:space="preserve">CPIII 40 RS </v>
          </cell>
          <cell r="L1135" t="str">
            <v>CP V</v>
          </cell>
          <cell r="M1135" t="str">
            <v>SUPER PLASTIFICANTE</v>
          </cell>
          <cell r="N1135" t="str">
            <v>ETE - PARQUE NOVO MUNDO (REATORES NEREDA)</v>
          </cell>
          <cell r="O1135" t="str">
            <v>FORTANKS</v>
          </cell>
          <cell r="P1135">
            <v>2</v>
          </cell>
          <cell r="Q1135" t="str">
            <v>Gean</v>
          </cell>
          <cell r="R1135">
            <v>45929</v>
          </cell>
          <cell r="S1135">
            <v>0.55555555555555558</v>
          </cell>
          <cell r="T1135">
            <v>0.54555555555555557</v>
          </cell>
          <cell r="U1135" t="str">
            <v>X</v>
          </cell>
          <cell r="V1135">
            <v>0.41666666666666669</v>
          </cell>
          <cell r="W1135">
            <v>31.512</v>
          </cell>
          <cell r="X1135">
            <v>29.207999999999998</v>
          </cell>
          <cell r="Z1135">
            <v>83.1</v>
          </cell>
          <cell r="AA1135">
            <v>82.14</v>
          </cell>
          <cell r="AW1135">
            <v>4</v>
          </cell>
          <cell r="AX1135">
            <v>4</v>
          </cell>
          <cell r="AY1135">
            <v>4</v>
          </cell>
          <cell r="AZ1135">
            <v>4</v>
          </cell>
          <cell r="BA1135" t="str">
            <v>CONSORCIO NOVA ETE - PARQUE NOVO MUNDO</v>
          </cell>
          <cell r="BB1135">
            <v>45930</v>
          </cell>
          <cell r="BD1135" t="str">
            <v>ter</v>
          </cell>
          <cell r="BG1135">
            <v>45929</v>
          </cell>
        </row>
        <row r="1136">
          <cell r="A1136" t="str">
            <v>1398-A</v>
          </cell>
          <cell r="B1136">
            <v>1020</v>
          </cell>
          <cell r="C1136" t="str">
            <v>PLACA PR_PN-145</v>
          </cell>
          <cell r="D1136">
            <v>6</v>
          </cell>
          <cell r="E1136">
            <v>40</v>
          </cell>
          <cell r="F1136">
            <v>24</v>
          </cell>
          <cell r="G1136">
            <v>40</v>
          </cell>
          <cell r="H1136">
            <v>0</v>
          </cell>
          <cell r="I1136" t="str">
            <v>-</v>
          </cell>
          <cell r="J1136" t="str">
            <v>650/650</v>
          </cell>
          <cell r="K1136" t="str">
            <v xml:space="preserve">CPIII 40 RS </v>
          </cell>
          <cell r="L1136" t="str">
            <v>CP V</v>
          </cell>
          <cell r="M1136" t="str">
            <v>SUPER PLASTIFICANTE</v>
          </cell>
          <cell r="N1136" t="str">
            <v>ETE - PROJETO SUCURIÚ - CLARIFICADOR PRIMARIO</v>
          </cell>
          <cell r="O1136" t="str">
            <v>FORTANKS</v>
          </cell>
          <cell r="P1136">
            <v>2</v>
          </cell>
          <cell r="Q1136" t="str">
            <v>Gean</v>
          </cell>
          <cell r="R1136">
            <v>45929</v>
          </cell>
          <cell r="S1136">
            <v>0.55555555555555558</v>
          </cell>
          <cell r="T1136">
            <v>0.54555555555555557</v>
          </cell>
          <cell r="U1136" t="str">
            <v>X</v>
          </cell>
          <cell r="V1136">
            <v>0.41666666666666669</v>
          </cell>
          <cell r="W1136">
            <v>31.512</v>
          </cell>
          <cell r="X1136">
            <v>29.207999999999998</v>
          </cell>
          <cell r="Z1136" t="e">
            <v>#N/A</v>
          </cell>
          <cell r="AA1136" t="e">
            <v>#N/A</v>
          </cell>
          <cell r="AW1136">
            <v>4</v>
          </cell>
          <cell r="AX1136">
            <v>4</v>
          </cell>
          <cell r="AY1136" t="e">
            <v>#N/A</v>
          </cell>
          <cell r="AZ1136" t="e">
            <v>#N/A</v>
          </cell>
          <cell r="BA1136" t="str">
            <v>FORTES ENGENHARIA</v>
          </cell>
          <cell r="BB1136">
            <v>45930</v>
          </cell>
          <cell r="BD1136" t="str">
            <v>ter</v>
          </cell>
          <cell r="BG1136">
            <v>45929</v>
          </cell>
        </row>
        <row r="1137">
          <cell r="A1137">
            <v>1399</v>
          </cell>
          <cell r="B1137">
            <v>1021</v>
          </cell>
          <cell r="C1137" t="str">
            <v>PLACAS PN-562 / PN-563</v>
          </cell>
          <cell r="D1137">
            <v>7</v>
          </cell>
          <cell r="E1137">
            <v>40</v>
          </cell>
          <cell r="F1137">
            <v>24</v>
          </cell>
          <cell r="G1137">
            <v>40</v>
          </cell>
          <cell r="H1137">
            <v>0</v>
          </cell>
          <cell r="I1137" t="str">
            <v>-</v>
          </cell>
          <cell r="J1137" t="str">
            <v>660/670</v>
          </cell>
          <cell r="K1137" t="str">
            <v xml:space="preserve">CPIII 40 RS </v>
          </cell>
          <cell r="L1137" t="str">
            <v>CP V</v>
          </cell>
          <cell r="M1137" t="str">
            <v>SUPER PLASTIFICANTE</v>
          </cell>
          <cell r="N1137" t="str">
            <v>ETE - PARQUE NOVO MUNDO (REATORES NEREDA)</v>
          </cell>
          <cell r="O1137" t="str">
            <v>FORTANKS</v>
          </cell>
          <cell r="P1137">
            <v>3</v>
          </cell>
          <cell r="Q1137" t="str">
            <v>Gean</v>
          </cell>
          <cell r="R1137">
            <v>45929</v>
          </cell>
          <cell r="S1137">
            <v>0.56944444444444442</v>
          </cell>
          <cell r="T1137">
            <v>0.55944444444444441</v>
          </cell>
          <cell r="U1137" t="str">
            <v>X</v>
          </cell>
          <cell r="V1137">
            <v>0.4236111111111111</v>
          </cell>
          <cell r="W1137">
            <v>28.283999999999999</v>
          </cell>
          <cell r="X1137">
            <v>26.195999999999998</v>
          </cell>
          <cell r="Z1137">
            <v>85.74</v>
          </cell>
          <cell r="AA1137">
            <v>85.212000000000003</v>
          </cell>
          <cell r="AW1137">
            <v>4</v>
          </cell>
          <cell r="AX1137">
            <v>4</v>
          </cell>
          <cell r="AY1137">
            <v>4</v>
          </cell>
          <cell r="AZ1137">
            <v>4</v>
          </cell>
          <cell r="BA1137" t="str">
            <v>CONSORCIO NOVA ETE - PARQUE NOVO MUNDO</v>
          </cell>
          <cell r="BB1137">
            <v>45930</v>
          </cell>
          <cell r="BD1137" t="str">
            <v>ter</v>
          </cell>
          <cell r="BG1137">
            <v>45929</v>
          </cell>
        </row>
        <row r="1138">
          <cell r="A1138">
            <v>1400</v>
          </cell>
          <cell r="B1138">
            <v>1022</v>
          </cell>
          <cell r="C1138" t="str">
            <v>PLACAS PN-564 / PN-565</v>
          </cell>
          <cell r="D1138">
            <v>6.5</v>
          </cell>
          <cell r="E1138">
            <v>40</v>
          </cell>
          <cell r="F1138">
            <v>24</v>
          </cell>
          <cell r="G1138">
            <v>40</v>
          </cell>
          <cell r="H1138">
            <v>0</v>
          </cell>
          <cell r="I1138" t="str">
            <v>-</v>
          </cell>
          <cell r="J1138" t="str">
            <v>660/670</v>
          </cell>
          <cell r="K1138" t="str">
            <v xml:space="preserve">CPIII 40 RS </v>
          </cell>
          <cell r="L1138" t="str">
            <v>CP V</v>
          </cell>
          <cell r="M1138" t="str">
            <v>SUPER PLASTIFICANTE</v>
          </cell>
          <cell r="N1138" t="str">
            <v>ETE - PARQUE NOVO MUNDO (REATORES NEREDA)</v>
          </cell>
          <cell r="O1138" t="str">
            <v>FORTANKS</v>
          </cell>
          <cell r="P1138">
            <v>4</v>
          </cell>
          <cell r="Q1138" t="str">
            <v>Gean</v>
          </cell>
          <cell r="R1138">
            <v>45929</v>
          </cell>
          <cell r="S1138">
            <v>0.60416666666666663</v>
          </cell>
          <cell r="T1138">
            <v>0.59416666666666662</v>
          </cell>
          <cell r="U1138" t="str">
            <v>X</v>
          </cell>
          <cell r="V1138">
            <v>0.43055555555555558</v>
          </cell>
          <cell r="W1138">
            <v>32.292000000000002</v>
          </cell>
          <cell r="X1138">
            <v>31.595999999999997</v>
          </cell>
          <cell r="Z1138">
            <v>85.703999999999994</v>
          </cell>
          <cell r="AA1138">
            <v>85.308000000000007</v>
          </cell>
          <cell r="AW1138">
            <v>4</v>
          </cell>
          <cell r="AX1138">
            <v>4</v>
          </cell>
          <cell r="AY1138">
            <v>4</v>
          </cell>
          <cell r="AZ1138">
            <v>4</v>
          </cell>
          <cell r="BA1138" t="str">
            <v>CONSORCIO NOVA ETE - PARQUE NOVO MUNDO</v>
          </cell>
          <cell r="BB1138">
            <v>45930</v>
          </cell>
          <cell r="BD1138" t="str">
            <v>ter</v>
          </cell>
          <cell r="BG1138">
            <v>45929</v>
          </cell>
        </row>
        <row r="1139">
          <cell r="A1139">
            <v>1401</v>
          </cell>
          <cell r="B1139">
            <v>1023</v>
          </cell>
          <cell r="C1139" t="str">
            <v>PLACAS PN-566 / PN-568</v>
          </cell>
          <cell r="D1139">
            <v>6.5</v>
          </cell>
          <cell r="E1139">
            <v>40</v>
          </cell>
          <cell r="F1139">
            <v>24</v>
          </cell>
          <cell r="G1139">
            <v>40</v>
          </cell>
          <cell r="H1139">
            <v>0</v>
          </cell>
          <cell r="I1139" t="str">
            <v>-</v>
          </cell>
          <cell r="J1139" t="str">
            <v>670/680</v>
          </cell>
          <cell r="K1139" t="str">
            <v xml:space="preserve">CPIII 40 RS </v>
          </cell>
          <cell r="L1139" t="str">
            <v>CP V</v>
          </cell>
          <cell r="M1139" t="str">
            <v>SUPER PLASTIFICANTE</v>
          </cell>
          <cell r="N1139" t="str">
            <v>ETE - PARQUE NOVO MUNDO (REATORES NEREDA)</v>
          </cell>
          <cell r="O1139" t="str">
            <v>FORTANKS</v>
          </cell>
          <cell r="P1139">
            <v>5</v>
          </cell>
          <cell r="Q1139" t="str">
            <v>Gean</v>
          </cell>
          <cell r="R1139">
            <v>45929</v>
          </cell>
          <cell r="S1139">
            <v>0.625</v>
          </cell>
          <cell r="T1139">
            <v>0.61499999999999999</v>
          </cell>
          <cell r="U1139" t="str">
            <v>X</v>
          </cell>
          <cell r="V1139">
            <v>0.43402777777777779</v>
          </cell>
          <cell r="W1139">
            <v>26.16</v>
          </cell>
          <cell r="X1139">
            <v>26.747999999999998</v>
          </cell>
          <cell r="Z1139">
            <v>85.751999999999995</v>
          </cell>
          <cell r="AA1139">
            <v>85.968000000000004</v>
          </cell>
          <cell r="AW1139">
            <v>4</v>
          </cell>
          <cell r="AX1139">
            <v>4</v>
          </cell>
          <cell r="AY1139">
            <v>4</v>
          </cell>
          <cell r="AZ1139">
            <v>4</v>
          </cell>
          <cell r="BA1139" t="str">
            <v>CONSORCIO NOVA ETE - PARQUE NOVO MUNDO</v>
          </cell>
          <cell r="BB1139">
            <v>45930</v>
          </cell>
          <cell r="BD1139" t="str">
            <v>ter</v>
          </cell>
          <cell r="BG1139">
            <v>45929</v>
          </cell>
        </row>
        <row r="1140">
          <cell r="A1140">
            <v>1402</v>
          </cell>
          <cell r="B1140">
            <v>1024</v>
          </cell>
          <cell r="C1140" t="str">
            <v>PLACA AER 1 PN-44</v>
          </cell>
          <cell r="D1140">
            <v>6.5</v>
          </cell>
          <cell r="E1140">
            <v>40</v>
          </cell>
          <cell r="F1140">
            <v>24</v>
          </cell>
          <cell r="G1140">
            <v>40</v>
          </cell>
          <cell r="H1140">
            <v>0</v>
          </cell>
          <cell r="I1140" t="str">
            <v>-</v>
          </cell>
          <cell r="J1140" t="str">
            <v>650/660</v>
          </cell>
          <cell r="K1140" t="str">
            <v xml:space="preserve">CPIII 40 RS </v>
          </cell>
          <cell r="L1140" t="str">
            <v>CP V</v>
          </cell>
          <cell r="M1140" t="str">
            <v>SUPER PLASTIFICANTE</v>
          </cell>
          <cell r="N1140" t="str">
            <v>ETE - PROJETO SUCURIÚ - AERADORES</v>
          </cell>
          <cell r="O1140" t="str">
            <v>FORTANKS</v>
          </cell>
          <cell r="P1140">
            <v>1</v>
          </cell>
          <cell r="Q1140" t="str">
            <v>Gean</v>
          </cell>
          <cell r="R1140">
            <v>45930</v>
          </cell>
          <cell r="S1140">
            <v>0.55555555555555558</v>
          </cell>
          <cell r="T1140">
            <v>0.54555555555555557</v>
          </cell>
          <cell r="U1140" t="str">
            <v>X</v>
          </cell>
          <cell r="V1140">
            <v>0.3125</v>
          </cell>
          <cell r="W1140">
            <v>31.404</v>
          </cell>
          <cell r="X1140">
            <v>31.391999999999999</v>
          </cell>
          <cell r="Z1140">
            <v>85.763999999999996</v>
          </cell>
          <cell r="AA1140">
            <v>85.896000000000001</v>
          </cell>
          <cell r="AW1140">
            <v>4</v>
          </cell>
          <cell r="AX1140">
            <v>4</v>
          </cell>
          <cell r="AY1140">
            <v>4</v>
          </cell>
          <cell r="AZ1140">
            <v>4</v>
          </cell>
          <cell r="BA1140" t="str">
            <v>FORTES ENGENHARIA</v>
          </cell>
          <cell r="BB1140">
            <v>45931</v>
          </cell>
          <cell r="BD1140" t="str">
            <v>qua</v>
          </cell>
          <cell r="BG1140">
            <v>45930</v>
          </cell>
        </row>
        <row r="1141">
          <cell r="A1141">
            <v>1403</v>
          </cell>
          <cell r="B1141">
            <v>1025</v>
          </cell>
          <cell r="C1141" t="str">
            <v>PLACA AER 1 PN-43</v>
          </cell>
          <cell r="D1141">
            <v>6.5</v>
          </cell>
          <cell r="E1141">
            <v>40</v>
          </cell>
          <cell r="F1141">
            <v>24</v>
          </cell>
          <cell r="G1141">
            <v>40</v>
          </cell>
          <cell r="H1141">
            <v>0</v>
          </cell>
          <cell r="I1141" t="str">
            <v>-</v>
          </cell>
          <cell r="J1141" t="str">
            <v>650/650</v>
          </cell>
          <cell r="K1141" t="str">
            <v xml:space="preserve">CPIII 40 RS </v>
          </cell>
          <cell r="L1141" t="str">
            <v>CP V</v>
          </cell>
          <cell r="M1141" t="str">
            <v>SUPER PLASTIFICANTE</v>
          </cell>
          <cell r="N1141" t="str">
            <v>ETE - PROJETO SUCURIÚ - AERADORES</v>
          </cell>
          <cell r="O1141" t="str">
            <v>FORTANKS</v>
          </cell>
          <cell r="P1141">
            <v>2</v>
          </cell>
          <cell r="Q1141" t="str">
            <v>Gean</v>
          </cell>
          <cell r="R1141">
            <v>45930</v>
          </cell>
          <cell r="S1141">
            <v>0.57291666666666663</v>
          </cell>
          <cell r="T1141">
            <v>0.56291666666666662</v>
          </cell>
          <cell r="U1141" t="str">
            <v>X</v>
          </cell>
          <cell r="V1141">
            <v>0.3125</v>
          </cell>
          <cell r="W1141">
            <v>29.987999999999996</v>
          </cell>
          <cell r="X1141">
            <v>28.187999999999999</v>
          </cell>
          <cell r="Z1141">
            <v>84.347999999999999</v>
          </cell>
          <cell r="AA1141">
            <v>85.031999999999996</v>
          </cell>
          <cell r="AW1141">
            <v>4</v>
          </cell>
          <cell r="AX1141">
            <v>4</v>
          </cell>
          <cell r="AY1141">
            <v>4</v>
          </cell>
          <cell r="AZ1141">
            <v>4</v>
          </cell>
          <cell r="BA1141" t="str">
            <v>FORTES ENGENHARIA</v>
          </cell>
          <cell r="BB1141">
            <v>45931</v>
          </cell>
          <cell r="BD1141" t="str">
            <v>qua</v>
          </cell>
          <cell r="BG1141">
            <v>45930</v>
          </cell>
        </row>
        <row r="1142">
          <cell r="A1142">
            <v>1404</v>
          </cell>
          <cell r="B1142">
            <v>1026</v>
          </cell>
          <cell r="C1142" t="str">
            <v>PLACA AER 1 PN-42</v>
          </cell>
          <cell r="D1142">
            <v>6.5</v>
          </cell>
          <cell r="E1142">
            <v>40</v>
          </cell>
          <cell r="F1142">
            <v>24</v>
          </cell>
          <cell r="G1142">
            <v>40</v>
          </cell>
          <cell r="H1142">
            <v>0</v>
          </cell>
          <cell r="I1142" t="str">
            <v>-</v>
          </cell>
          <cell r="J1142" t="str">
            <v>650/650</v>
          </cell>
          <cell r="K1142" t="str">
            <v xml:space="preserve">CPIII 40 RS </v>
          </cell>
          <cell r="L1142" t="str">
            <v>CP V</v>
          </cell>
          <cell r="M1142" t="str">
            <v>SUPER PLASTIFICANTE</v>
          </cell>
          <cell r="N1142" t="str">
            <v>ETE - PROJETO SUCURIÚ - AERADORES</v>
          </cell>
          <cell r="O1142" t="str">
            <v>FORTANKS</v>
          </cell>
          <cell r="P1142">
            <v>3</v>
          </cell>
          <cell r="Q1142" t="str">
            <v>Gean</v>
          </cell>
          <cell r="R1142">
            <v>45930</v>
          </cell>
          <cell r="S1142">
            <v>0.59027777777777779</v>
          </cell>
          <cell r="T1142">
            <v>0.58027777777777778</v>
          </cell>
          <cell r="U1142" t="str">
            <v>X</v>
          </cell>
          <cell r="V1142">
            <v>0.31597222222222221</v>
          </cell>
          <cell r="W1142">
            <v>29.291999999999998</v>
          </cell>
          <cell r="X1142">
            <v>29.975999999999999</v>
          </cell>
          <cell r="Z1142">
            <v>85.691999999999993</v>
          </cell>
          <cell r="AA1142">
            <v>86.616</v>
          </cell>
          <cell r="AW1142">
            <v>4</v>
          </cell>
          <cell r="AX1142">
            <v>4</v>
          </cell>
          <cell r="AY1142">
            <v>4</v>
          </cell>
          <cell r="AZ1142">
            <v>4</v>
          </cell>
          <cell r="BA1142" t="str">
            <v>FORTES ENGENHARIA</v>
          </cell>
          <cell r="BB1142">
            <v>45931</v>
          </cell>
          <cell r="BD1142" t="str">
            <v>qua</v>
          </cell>
          <cell r="BG1142">
            <v>45930</v>
          </cell>
        </row>
        <row r="1143">
          <cell r="A1143">
            <v>1405</v>
          </cell>
          <cell r="B1143">
            <v>1027</v>
          </cell>
          <cell r="C1143" t="str">
            <v>PLACA AER 1 PN-41</v>
          </cell>
          <cell r="D1143">
            <v>6.5</v>
          </cell>
          <cell r="E1143">
            <v>40</v>
          </cell>
          <cell r="F1143">
            <v>24</v>
          </cell>
          <cell r="G1143">
            <v>40</v>
          </cell>
          <cell r="H1143">
            <v>0</v>
          </cell>
          <cell r="I1143" t="str">
            <v>-</v>
          </cell>
          <cell r="J1143" t="str">
            <v>660/650</v>
          </cell>
          <cell r="K1143" t="str">
            <v xml:space="preserve">CPIII 40 RS </v>
          </cell>
          <cell r="L1143" t="str">
            <v>CP V</v>
          </cell>
          <cell r="M1143" t="str">
            <v>SUPER PLASTIFICANTE</v>
          </cell>
          <cell r="N1143" t="str">
            <v>ETE - PROJETO SUCURIÚ - AERADORES</v>
          </cell>
          <cell r="O1143" t="str">
            <v>FORTANKS</v>
          </cell>
          <cell r="P1143">
            <v>4</v>
          </cell>
          <cell r="Q1143" t="str">
            <v>Gean</v>
          </cell>
          <cell r="R1143">
            <v>45930</v>
          </cell>
          <cell r="S1143">
            <v>0.60416666666666663</v>
          </cell>
          <cell r="T1143">
            <v>0.59416666666666662</v>
          </cell>
          <cell r="U1143" t="str">
            <v>X</v>
          </cell>
          <cell r="V1143">
            <v>0.31944444444444442</v>
          </cell>
          <cell r="W1143">
            <v>29.027999999999999</v>
          </cell>
          <cell r="X1143">
            <v>29.975999999999999</v>
          </cell>
          <cell r="Z1143">
            <v>83.687999999999988</v>
          </cell>
          <cell r="AA1143">
            <v>83.844000000000008</v>
          </cell>
          <cell r="AW1143">
            <v>4</v>
          </cell>
          <cell r="AX1143">
            <v>4</v>
          </cell>
          <cell r="AY1143">
            <v>4</v>
          </cell>
          <cell r="AZ1143">
            <v>4</v>
          </cell>
          <cell r="BA1143" t="str">
            <v>FORTES ENGENHARIA</v>
          </cell>
          <cell r="BB1143">
            <v>45931</v>
          </cell>
          <cell r="BD1143" t="str">
            <v>qua</v>
          </cell>
          <cell r="BG1143">
            <v>45930</v>
          </cell>
        </row>
        <row r="1144">
          <cell r="A1144">
            <v>1406</v>
          </cell>
          <cell r="B1144">
            <v>1028</v>
          </cell>
          <cell r="C1144" t="str">
            <v>PLACA AER 1 PN-40</v>
          </cell>
          <cell r="D1144">
            <v>6.5</v>
          </cell>
          <cell r="E1144">
            <v>40</v>
          </cell>
          <cell r="F1144">
            <v>24</v>
          </cell>
          <cell r="G1144">
            <v>40</v>
          </cell>
          <cell r="H1144">
            <v>0</v>
          </cell>
          <cell r="I1144" t="str">
            <v>-</v>
          </cell>
          <cell r="J1144" t="str">
            <v>650/660</v>
          </cell>
          <cell r="K1144" t="str">
            <v xml:space="preserve">CPIII 40 RS </v>
          </cell>
          <cell r="L1144" t="str">
            <v>CP V</v>
          </cell>
          <cell r="M1144" t="str">
            <v>SUPER PLASTIFICANTE</v>
          </cell>
          <cell r="N1144" t="str">
            <v>ETE - PROJETO SUCURIÚ - AERADORES</v>
          </cell>
          <cell r="O1144" t="str">
            <v>FORTANKS</v>
          </cell>
          <cell r="P1144">
            <v>5</v>
          </cell>
          <cell r="Q1144" t="str">
            <v>Gean</v>
          </cell>
          <cell r="R1144">
            <v>45930</v>
          </cell>
          <cell r="S1144">
            <v>0.64583333333333337</v>
          </cell>
          <cell r="T1144">
            <v>0.63583333333333336</v>
          </cell>
          <cell r="U1144" t="str">
            <v>X</v>
          </cell>
          <cell r="V1144">
            <v>0.32291666666666669</v>
          </cell>
          <cell r="W1144">
            <v>26.268000000000001</v>
          </cell>
          <cell r="X1144">
            <v>25.836000000000002</v>
          </cell>
          <cell r="Z1144">
            <v>83.543999999999997</v>
          </cell>
          <cell r="AA1144">
            <v>83.304000000000002</v>
          </cell>
          <cell r="AW1144">
            <v>4</v>
          </cell>
          <cell r="AX1144">
            <v>4</v>
          </cell>
          <cell r="AY1144">
            <v>4</v>
          </cell>
          <cell r="AZ1144">
            <v>4</v>
          </cell>
          <cell r="BA1144" t="str">
            <v>FORTES ENGENHARIA</v>
          </cell>
          <cell r="BB1144">
            <v>45931</v>
          </cell>
          <cell r="BD1144" t="str">
            <v>qua</v>
          </cell>
          <cell r="BG1144">
            <v>45930</v>
          </cell>
        </row>
        <row r="1145">
          <cell r="A1145">
            <v>1407</v>
          </cell>
          <cell r="B1145">
            <v>1029</v>
          </cell>
          <cell r="C1145" t="str">
            <v>PLACA PN-569</v>
          </cell>
          <cell r="D1145">
            <v>6</v>
          </cell>
          <cell r="E1145">
            <v>40</v>
          </cell>
          <cell r="F1145">
            <v>24</v>
          </cell>
          <cell r="G1145">
            <v>40</v>
          </cell>
          <cell r="H1145">
            <v>0</v>
          </cell>
          <cell r="I1145" t="str">
            <v>-</v>
          </cell>
          <cell r="J1145" t="str">
            <v>660/670</v>
          </cell>
          <cell r="K1145" t="str">
            <v xml:space="preserve">CPIII 40 RS </v>
          </cell>
          <cell r="L1145" t="str">
            <v>CP V</v>
          </cell>
          <cell r="M1145" t="str">
            <v>SUPER PLASTIFICANTE</v>
          </cell>
          <cell r="N1145" t="str">
            <v>ETE - PARQUE NOVO MUNDO (REATORES NEREDA)</v>
          </cell>
          <cell r="O1145" t="str">
            <v>FORTANKS</v>
          </cell>
          <cell r="P1145">
            <v>1</v>
          </cell>
          <cell r="Q1145" t="str">
            <v>Gean</v>
          </cell>
          <cell r="R1145">
            <v>45931</v>
          </cell>
          <cell r="S1145">
            <v>0.5625</v>
          </cell>
          <cell r="T1145">
            <v>0.55249999999999999</v>
          </cell>
          <cell r="U1145" t="str">
            <v>X</v>
          </cell>
          <cell r="V1145">
            <v>0.4375</v>
          </cell>
          <cell r="W1145">
            <v>26.483999999999998</v>
          </cell>
          <cell r="X1145">
            <v>26.279999999999998</v>
          </cell>
          <cell r="Z1145">
            <v>84.731999999999999</v>
          </cell>
          <cell r="AA1145">
            <v>83.255999999999986</v>
          </cell>
          <cell r="AW1145">
            <v>4</v>
          </cell>
          <cell r="AX1145">
            <v>4</v>
          </cell>
          <cell r="AY1145">
            <v>4</v>
          </cell>
          <cell r="AZ1145">
            <v>4</v>
          </cell>
          <cell r="BA1145" t="str">
            <v>CONSORCIO NOVA ETE - PARQUE NOVO MUNDO</v>
          </cell>
          <cell r="BB1145">
            <v>45932</v>
          </cell>
          <cell r="BD1145" t="str">
            <v>qui</v>
          </cell>
          <cell r="BG1145">
            <v>45931</v>
          </cell>
        </row>
        <row r="1146">
          <cell r="A1146" t="str">
            <v>1407-A</v>
          </cell>
          <cell r="B1146">
            <v>1029</v>
          </cell>
          <cell r="C1146" t="str">
            <v>PLACA PR_PN-146</v>
          </cell>
          <cell r="D1146">
            <v>6</v>
          </cell>
          <cell r="E1146">
            <v>40</v>
          </cell>
          <cell r="F1146">
            <v>24</v>
          </cell>
          <cell r="G1146">
            <v>40</v>
          </cell>
          <cell r="H1146">
            <v>0</v>
          </cell>
          <cell r="I1146" t="str">
            <v>-</v>
          </cell>
          <cell r="J1146" t="str">
            <v>660/670</v>
          </cell>
          <cell r="K1146" t="str">
            <v xml:space="preserve">CPIII 40 RS </v>
          </cell>
          <cell r="L1146" t="str">
            <v>CP V</v>
          </cell>
          <cell r="M1146" t="str">
            <v>SUPER PLASTIFICANTE</v>
          </cell>
          <cell r="N1146" t="str">
            <v>ETE - PROJETO SUCURIÚ - CLARIFICADOR PRIMARIO</v>
          </cell>
          <cell r="O1146" t="str">
            <v>FORTANKS</v>
          </cell>
          <cell r="P1146">
            <v>1</v>
          </cell>
          <cell r="Q1146" t="str">
            <v>Gean</v>
          </cell>
          <cell r="R1146">
            <v>45931</v>
          </cell>
          <cell r="S1146">
            <v>0.5625</v>
          </cell>
          <cell r="T1146">
            <v>0.55249999999999999</v>
          </cell>
          <cell r="U1146" t="str">
            <v>X</v>
          </cell>
          <cell r="V1146">
            <v>0.4375</v>
          </cell>
          <cell r="W1146">
            <v>26.48</v>
          </cell>
          <cell r="X1146">
            <v>26.28</v>
          </cell>
          <cell r="Z1146" t="e">
            <v>#N/A</v>
          </cell>
          <cell r="AA1146" t="e">
            <v>#N/A</v>
          </cell>
          <cell r="AW1146">
            <v>4</v>
          </cell>
          <cell r="AX1146">
            <v>4</v>
          </cell>
          <cell r="AY1146" t="e">
            <v>#N/A</v>
          </cell>
          <cell r="AZ1146" t="e">
            <v>#N/A</v>
          </cell>
          <cell r="BA1146" t="str">
            <v>FORTES ENGENHARIA</v>
          </cell>
          <cell r="BB1146">
            <v>45932</v>
          </cell>
          <cell r="BD1146" t="str">
            <v>qui</v>
          </cell>
          <cell r="BG1146">
            <v>45931</v>
          </cell>
        </row>
        <row r="1147">
          <cell r="A1147">
            <v>1408</v>
          </cell>
          <cell r="B1147">
            <v>1030</v>
          </cell>
          <cell r="C1147" t="str">
            <v>PLACAS PN-570 / PE-525 (T2)</v>
          </cell>
          <cell r="D1147">
            <v>6.5</v>
          </cell>
          <cell r="E1147">
            <v>40</v>
          </cell>
          <cell r="F1147">
            <v>24</v>
          </cell>
          <cell r="G1147">
            <v>40</v>
          </cell>
          <cell r="H1147">
            <v>0</v>
          </cell>
          <cell r="I1147" t="str">
            <v>-</v>
          </cell>
          <cell r="J1147" t="str">
            <v>660/670</v>
          </cell>
          <cell r="K1147" t="str">
            <v xml:space="preserve">CPIII 40 RS </v>
          </cell>
          <cell r="L1147" t="str">
            <v>CP V</v>
          </cell>
          <cell r="M1147" t="str">
            <v>SUPER PLASTIFICANTE</v>
          </cell>
          <cell r="N1147" t="str">
            <v>ETE - PARQUE NOVO MUNDO (REATORES NEREDA)</v>
          </cell>
          <cell r="O1147" t="str">
            <v>FORTANKS</v>
          </cell>
          <cell r="P1147">
            <v>2</v>
          </cell>
          <cell r="Q1147" t="str">
            <v>Gean</v>
          </cell>
          <cell r="R1147">
            <v>45931</v>
          </cell>
          <cell r="S1147">
            <v>0.58333333333333337</v>
          </cell>
          <cell r="T1147">
            <v>0.57333333333333336</v>
          </cell>
          <cell r="U1147" t="str">
            <v>X</v>
          </cell>
          <cell r="V1147">
            <v>0.44097222222222221</v>
          </cell>
          <cell r="W1147">
            <v>27.635999999999999</v>
          </cell>
          <cell r="X1147">
            <v>29.076000000000001</v>
          </cell>
          <cell r="Z1147">
            <v>83.435999999999993</v>
          </cell>
          <cell r="AA1147">
            <v>84.3</v>
          </cell>
          <cell r="AW1147">
            <v>4</v>
          </cell>
          <cell r="AX1147">
            <v>4</v>
          </cell>
          <cell r="AY1147">
            <v>4</v>
          </cell>
          <cell r="AZ1147">
            <v>4</v>
          </cell>
          <cell r="BA1147" t="str">
            <v>CONSORCIO NOVA ETE - PARQUE NOVO MUNDO</v>
          </cell>
          <cell r="BB1147">
            <v>45932</v>
          </cell>
          <cell r="BD1147" t="str">
            <v>qui</v>
          </cell>
          <cell r="BG1147">
            <v>45931</v>
          </cell>
        </row>
        <row r="1148">
          <cell r="A1148">
            <v>1409</v>
          </cell>
          <cell r="B1148">
            <v>1031</v>
          </cell>
          <cell r="C1148" t="str">
            <v>PLACAS PN-571 / PN-572</v>
          </cell>
          <cell r="D1148">
            <v>6.5</v>
          </cell>
          <cell r="E1148">
            <v>40</v>
          </cell>
          <cell r="F1148">
            <v>24</v>
          </cell>
          <cell r="G1148">
            <v>40</v>
          </cell>
          <cell r="H1148">
            <v>0</v>
          </cell>
          <cell r="I1148" t="str">
            <v>-</v>
          </cell>
          <cell r="J1148" t="str">
            <v>660/650</v>
          </cell>
          <cell r="K1148" t="str">
            <v xml:space="preserve">CPIII 40 RS </v>
          </cell>
          <cell r="L1148" t="str">
            <v>CP V</v>
          </cell>
          <cell r="M1148" t="str">
            <v>SUPER PLASTIFICANTE</v>
          </cell>
          <cell r="N1148" t="str">
            <v>ETE - PARQUE NOVO MUNDO (REATORES NEREDA)</v>
          </cell>
          <cell r="O1148" t="str">
            <v>FORTANKS</v>
          </cell>
          <cell r="P1148">
            <v>3</v>
          </cell>
          <cell r="Q1148" t="str">
            <v>Gean</v>
          </cell>
          <cell r="R1148">
            <v>45931</v>
          </cell>
          <cell r="S1148">
            <v>0.61805555555555558</v>
          </cell>
          <cell r="T1148">
            <v>0.60805555555555557</v>
          </cell>
          <cell r="U1148" t="str">
            <v>X</v>
          </cell>
          <cell r="V1148">
            <v>0.44444444444444442</v>
          </cell>
          <cell r="W1148">
            <v>31.091999999999999</v>
          </cell>
          <cell r="X1148">
            <v>29.231999999999999</v>
          </cell>
          <cell r="Z1148">
            <v>89.304000000000002</v>
          </cell>
          <cell r="AA1148">
            <v>88.787999999999997</v>
          </cell>
          <cell r="AW1148">
            <v>4</v>
          </cell>
          <cell r="AX1148">
            <v>4</v>
          </cell>
          <cell r="AY1148">
            <v>4</v>
          </cell>
          <cell r="AZ1148">
            <v>4</v>
          </cell>
          <cell r="BA1148" t="str">
            <v>CONSORCIO NOVA ETE - PARQUE NOVO MUNDO</v>
          </cell>
          <cell r="BB1148">
            <v>45932</v>
          </cell>
          <cell r="BD1148" t="str">
            <v>qui</v>
          </cell>
          <cell r="BG1148">
            <v>45931</v>
          </cell>
        </row>
        <row r="1149">
          <cell r="A1149">
            <v>1410</v>
          </cell>
          <cell r="B1149">
            <v>1032</v>
          </cell>
          <cell r="C1149" t="str">
            <v>PLACAS PN-573 /PN-574</v>
          </cell>
          <cell r="D1149">
            <v>6.5</v>
          </cell>
          <cell r="E1149">
            <v>40</v>
          </cell>
          <cell r="F1149">
            <v>24</v>
          </cell>
          <cell r="G1149">
            <v>40</v>
          </cell>
          <cell r="H1149">
            <v>0</v>
          </cell>
          <cell r="I1149" t="str">
            <v>-</v>
          </cell>
          <cell r="J1149" t="str">
            <v>660/670</v>
          </cell>
          <cell r="K1149" t="str">
            <v xml:space="preserve">CPIII 40 RS </v>
          </cell>
          <cell r="L1149" t="str">
            <v>CP V</v>
          </cell>
          <cell r="M1149" t="str">
            <v>SUPER PLASTIFICANTE</v>
          </cell>
          <cell r="N1149" t="str">
            <v>ETE - PARQUE NOVO MUNDO (REATORES NEREDA)</v>
          </cell>
          <cell r="O1149" t="str">
            <v>FORTANKS</v>
          </cell>
          <cell r="P1149">
            <v>4</v>
          </cell>
          <cell r="Q1149" t="str">
            <v>Gean</v>
          </cell>
          <cell r="R1149">
            <v>45931</v>
          </cell>
          <cell r="S1149">
            <v>0.65625</v>
          </cell>
          <cell r="T1149">
            <v>0.64624999999999999</v>
          </cell>
          <cell r="U1149" t="str">
            <v>X</v>
          </cell>
          <cell r="V1149">
            <v>0.44791666666666669</v>
          </cell>
          <cell r="W1149">
            <v>26.34</v>
          </cell>
          <cell r="X1149">
            <v>25.391999999999999</v>
          </cell>
          <cell r="Z1149">
            <v>86.82</v>
          </cell>
          <cell r="AA1149">
            <v>85.908000000000001</v>
          </cell>
          <cell r="AW1149">
            <v>4</v>
          </cell>
          <cell r="AX1149">
            <v>4</v>
          </cell>
          <cell r="AY1149">
            <v>4</v>
          </cell>
          <cell r="AZ1149">
            <v>4</v>
          </cell>
          <cell r="BA1149" t="str">
            <v>CONSORCIO NOVA ETE - PARQUE NOVO MUNDO</v>
          </cell>
          <cell r="BB1149">
            <v>45932</v>
          </cell>
          <cell r="BD1149" t="str">
            <v>qui</v>
          </cell>
          <cell r="BG1149">
            <v>45931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EF0F-9C00-468F-B8A4-B5CE542941B6}">
  <dimension ref="A1:AK1337"/>
  <sheetViews>
    <sheetView tabSelected="1" zoomScale="85" zoomScaleNormal="85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E3" sqref="E3"/>
    </sheetView>
  </sheetViews>
  <sheetFormatPr defaultColWidth="8.84375" defaultRowHeight="26.15" x14ac:dyDescent="0.4"/>
  <cols>
    <col min="1" max="1" width="8.84375" style="1"/>
    <col min="2" max="3" width="20.53515625" style="15" customWidth="1"/>
    <col min="4" max="4" width="20.3046875" style="15" customWidth="1"/>
    <col min="5" max="7" width="17.84375" style="15" customWidth="1"/>
    <col min="8" max="8" width="14.53515625" style="15" customWidth="1"/>
    <col min="9" max="9" width="14.15234375" style="15" customWidth="1"/>
    <col min="10" max="10" width="13.84375" style="31" customWidth="1"/>
    <col min="11" max="11" width="11.3046875" style="31" customWidth="1"/>
    <col min="12" max="12" width="2.69140625" style="18" customWidth="1"/>
    <col min="13" max="13" width="16.15234375" style="1" customWidth="1"/>
    <col min="14" max="14" width="10.69140625" style="8" customWidth="1"/>
    <col min="15" max="15" width="10.15234375" style="1" customWidth="1"/>
    <col min="16" max="16" width="1.84375" style="1" customWidth="1"/>
    <col min="17" max="17" width="16.15234375" style="1" customWidth="1"/>
    <col min="18" max="18" width="10.69140625" style="9" customWidth="1"/>
    <col min="19" max="19" width="10.15234375" style="1" customWidth="1"/>
    <col min="20" max="20" width="1.69140625" style="1" customWidth="1"/>
    <col min="21" max="21" width="16.15234375" style="1" customWidth="1"/>
    <col min="22" max="22" width="10.69140625" style="9" customWidth="1"/>
    <col min="23" max="23" width="10.15234375" style="1" customWidth="1"/>
    <col min="24" max="24" width="2.3046875" style="1" customWidth="1"/>
    <col min="25" max="25" width="16.15234375" style="1" customWidth="1"/>
    <col min="26" max="26" width="10.69140625" style="9" customWidth="1"/>
    <col min="27" max="27" width="10.15234375" style="1" customWidth="1"/>
    <col min="28" max="28" width="7" style="1" customWidth="1"/>
    <col min="29" max="29" width="14.15234375" style="20" customWidth="1"/>
    <col min="30" max="30" width="11.84375" style="28" customWidth="1"/>
    <col min="31" max="31" width="18.3046875" style="28" customWidth="1"/>
    <col min="32" max="32" width="25.53515625" style="1" customWidth="1"/>
    <col min="33" max="33" width="17.84375" style="15" customWidth="1"/>
    <col min="34" max="34" width="10.69140625" style="15" customWidth="1"/>
    <col min="35" max="35" width="12.3046875" style="1" customWidth="1"/>
    <col min="36" max="36" width="18.15234375" style="1" customWidth="1"/>
    <col min="37" max="37" width="15.84375" style="1" customWidth="1"/>
    <col min="38" max="16384" width="8.84375" style="1"/>
  </cols>
  <sheetData>
    <row r="1" spans="1:37" x14ac:dyDescent="0.4">
      <c r="A1" s="50">
        <v>1</v>
      </c>
      <c r="B1" s="50">
        <v>2</v>
      </c>
      <c r="C1" s="50">
        <v>3</v>
      </c>
      <c r="D1" s="50">
        <v>4</v>
      </c>
      <c r="E1" s="50">
        <v>5</v>
      </c>
      <c r="F1" s="50">
        <v>6</v>
      </c>
      <c r="G1" s="50">
        <v>7</v>
      </c>
      <c r="H1" s="50">
        <v>8</v>
      </c>
      <c r="I1" s="50">
        <v>9</v>
      </c>
      <c r="J1" s="50">
        <v>10</v>
      </c>
      <c r="K1" s="50">
        <v>11</v>
      </c>
      <c r="L1" s="50">
        <v>12</v>
      </c>
      <c r="M1" s="50">
        <v>13</v>
      </c>
      <c r="N1" s="50">
        <v>14</v>
      </c>
      <c r="O1" s="50">
        <v>15</v>
      </c>
      <c r="P1" s="50">
        <v>16</v>
      </c>
      <c r="Q1" s="50">
        <v>17</v>
      </c>
      <c r="R1" s="50">
        <v>18</v>
      </c>
      <c r="S1" s="50">
        <v>19</v>
      </c>
      <c r="T1" s="50">
        <v>20</v>
      </c>
      <c r="U1" s="50">
        <v>21</v>
      </c>
      <c r="V1" s="50">
        <v>22</v>
      </c>
      <c r="W1" s="50">
        <v>23</v>
      </c>
      <c r="X1" s="50">
        <v>24</v>
      </c>
      <c r="Y1" s="50">
        <v>25</v>
      </c>
      <c r="Z1" s="50">
        <v>26</v>
      </c>
      <c r="AA1" s="50">
        <v>27</v>
      </c>
      <c r="AB1" s="50">
        <v>28</v>
      </c>
      <c r="AC1" s="1">
        <v>15</v>
      </c>
    </row>
    <row r="2" spans="1:37" ht="38.25" customHeight="1" x14ac:dyDescent="0.4">
      <c r="A2" s="34"/>
      <c r="B2" s="35"/>
      <c r="C2" s="36"/>
      <c r="D2" s="36"/>
      <c r="E2" s="37"/>
      <c r="F2" s="38"/>
      <c r="G2" s="38"/>
      <c r="H2" s="37"/>
      <c r="I2" s="37"/>
      <c r="J2" s="39"/>
      <c r="K2" s="39"/>
      <c r="L2" s="41"/>
      <c r="M2" s="64" t="s">
        <v>12</v>
      </c>
      <c r="N2" s="65"/>
      <c r="O2" s="66"/>
      <c r="P2" s="25"/>
      <c r="Q2" s="64" t="s">
        <v>12</v>
      </c>
      <c r="R2" s="65"/>
      <c r="S2" s="66"/>
      <c r="T2" s="13"/>
      <c r="U2" s="67" t="s">
        <v>13</v>
      </c>
      <c r="V2" s="68"/>
      <c r="W2" s="68"/>
      <c r="X2" s="26"/>
      <c r="Y2" s="67" t="s">
        <v>13</v>
      </c>
      <c r="Z2" s="68"/>
      <c r="AA2" s="68"/>
      <c r="AC2" s="59" t="s">
        <v>14</v>
      </c>
      <c r="AD2" s="60"/>
      <c r="AE2" s="61"/>
      <c r="AF2" s="47" t="s">
        <v>16</v>
      </c>
      <c r="AG2" s="48" t="s">
        <v>17</v>
      </c>
      <c r="AH2" s="48" t="s">
        <v>18</v>
      </c>
    </row>
    <row r="3" spans="1:37" ht="38.5" customHeight="1" x14ac:dyDescent="0.4">
      <c r="A3" s="43" t="s">
        <v>0</v>
      </c>
      <c r="B3" s="44" t="s">
        <v>6</v>
      </c>
      <c r="C3" s="44"/>
      <c r="D3" s="44"/>
      <c r="E3" s="45" t="s">
        <v>10</v>
      </c>
      <c r="F3" s="45"/>
      <c r="G3" s="45"/>
      <c r="H3" s="45" t="s">
        <v>11</v>
      </c>
      <c r="I3" s="45" t="s">
        <v>21</v>
      </c>
      <c r="J3" s="46" t="s">
        <v>15</v>
      </c>
      <c r="K3" s="46" t="s">
        <v>22</v>
      </c>
      <c r="L3" s="42"/>
      <c r="M3" s="33" t="s">
        <v>1</v>
      </c>
      <c r="N3" s="33" t="s">
        <v>1</v>
      </c>
      <c r="O3" s="33" t="s">
        <v>1</v>
      </c>
      <c r="P3" s="13"/>
      <c r="Q3" s="33" t="s">
        <v>5</v>
      </c>
      <c r="R3" s="33" t="s">
        <v>5</v>
      </c>
      <c r="S3" s="33" t="s">
        <v>5</v>
      </c>
      <c r="T3" s="13"/>
      <c r="U3" s="62" t="s">
        <v>3</v>
      </c>
      <c r="V3" s="63"/>
      <c r="W3" s="63"/>
      <c r="X3" s="13"/>
      <c r="Y3" s="62" t="s">
        <v>4</v>
      </c>
      <c r="Z3" s="63"/>
      <c r="AA3" s="63"/>
      <c r="AB3" s="56" t="s">
        <v>2</v>
      </c>
      <c r="AC3" s="54" t="s">
        <v>7</v>
      </c>
      <c r="AD3" s="55" t="s">
        <v>8</v>
      </c>
      <c r="AE3" s="55" t="s">
        <v>9</v>
      </c>
      <c r="AF3" s="47"/>
      <c r="AG3" s="40"/>
      <c r="AH3" s="40"/>
      <c r="AJ3" s="21" t="s">
        <v>20</v>
      </c>
      <c r="AK3" s="21">
        <v>0.85416666666666663</v>
      </c>
    </row>
    <row r="4" spans="1:37" ht="38.5" customHeight="1" x14ac:dyDescent="0.4">
      <c r="A4" s="43"/>
      <c r="B4" s="44"/>
      <c r="C4" s="44"/>
      <c r="D4" s="44"/>
      <c r="E4" s="45"/>
      <c r="F4" s="45"/>
      <c r="G4" s="45"/>
      <c r="H4" s="45"/>
      <c r="I4" s="45"/>
      <c r="J4" s="46"/>
      <c r="K4" s="69"/>
      <c r="L4" s="42"/>
      <c r="M4" s="70"/>
      <c r="N4" s="33"/>
      <c r="O4" s="33"/>
      <c r="P4" s="4"/>
      <c r="Q4" s="33"/>
      <c r="R4" s="33"/>
      <c r="S4" s="33"/>
      <c r="T4" s="71"/>
      <c r="U4" s="57"/>
      <c r="V4" s="58"/>
      <c r="W4" s="58"/>
      <c r="X4" s="71"/>
      <c r="Y4" s="57"/>
      <c r="Z4" s="58"/>
      <c r="AA4" s="58"/>
      <c r="AB4" s="56"/>
      <c r="AC4" s="54"/>
      <c r="AD4" s="55"/>
      <c r="AE4" s="55"/>
      <c r="AF4" s="47"/>
      <c r="AG4" s="40"/>
      <c r="AH4" s="40"/>
      <c r="AJ4" s="21"/>
      <c r="AK4" s="21"/>
    </row>
    <row r="5" spans="1:37" ht="23.5" customHeight="1" x14ac:dyDescent="0.4">
      <c r="A5" s="2">
        <v>1154</v>
      </c>
      <c r="B5" s="16">
        <f>VLOOKUP(A5,[1]PLAN!$A$3:$BG$1149,18,)+VLOOKUP(A5,[1]PLAN!$A$3:$BG$1149,19,)</f>
        <v>45833.625</v>
      </c>
      <c r="C5" s="22">
        <f t="shared" ref="C5:C67" si="0">INT(B5)</f>
        <v>45833</v>
      </c>
      <c r="D5" s="23">
        <f t="shared" ref="D5:D67" si="1">B5-INT(B5)</f>
        <v>0.625</v>
      </c>
      <c r="E5" s="14">
        <f>VLOOKUP(A5,[1]PLAN!$A$3:$BG$1149,54,)+VLOOKUP(A5,[1]PLAN!$A$3:$BG$1149,22,)</f>
        <v>45834.326388888891</v>
      </c>
      <c r="F5" s="12">
        <f t="shared" ref="F5:F67" si="2">INT(E5)</f>
        <v>45834</v>
      </c>
      <c r="G5" s="24">
        <f t="shared" ref="G5:G67" si="3">E5-INT(E5)</f>
        <v>0.32638888889050577</v>
      </c>
      <c r="H5" s="14"/>
      <c r="I5" s="14"/>
      <c r="J5" s="29"/>
      <c r="K5" s="30"/>
      <c r="M5" s="17"/>
      <c r="N5" s="7" t="str">
        <f>IF(M5="","",M5*AB5)</f>
        <v/>
      </c>
      <c r="O5" s="5"/>
      <c r="P5" s="3"/>
      <c r="Q5" s="5"/>
      <c r="R5" s="7" t="str">
        <f>IF(Q5="","",Q5*AB5)</f>
        <v/>
      </c>
      <c r="S5" s="5"/>
      <c r="U5" s="10">
        <v>69.91</v>
      </c>
      <c r="V5" s="11">
        <f>IF(U5="","",U5*AB5)</f>
        <v>83.891999999999996</v>
      </c>
      <c r="W5" s="6">
        <v>4</v>
      </c>
      <c r="Y5" s="10">
        <v>68.260000000000005</v>
      </c>
      <c r="Z5" s="11">
        <f>IF(Y5="","",Y5*AB5)</f>
        <v>81.912000000000006</v>
      </c>
      <c r="AA5" s="6">
        <v>4</v>
      </c>
      <c r="AB5" s="1">
        <v>1.2</v>
      </c>
      <c r="AC5" s="21" t="str">
        <f t="shared" ref="AC5:AC68" si="4">IF(B5="","",TEXT(E5-B5,"[hh]:mm"))</f>
        <v>16:50</v>
      </c>
      <c r="AD5" s="27" t="str">
        <f t="shared" ref="AD5:AD41" si="5">IF(H5="","",TEXT(H5-E5,"[hh]:mm"))</f>
        <v/>
      </c>
      <c r="AE5" s="27" t="str">
        <f t="shared" ref="AE5:AE68" si="6">IF(I5="","",TEXT(I5-B5,"[hh]:mm"))</f>
        <v/>
      </c>
      <c r="AF5" s="14">
        <f t="shared" ref="AF5:AF68" si="7">MAX(E5,H5,I5)</f>
        <v>45834.326388888891</v>
      </c>
      <c r="AG5" s="12">
        <f t="shared" ref="AG5:AG67" si="8">INT(AF5)</f>
        <v>45834</v>
      </c>
      <c r="AH5" s="24">
        <f t="shared" ref="AH5:AH67" si="9">AF5-INT(AF5)</f>
        <v>0.32638888889050577</v>
      </c>
    </row>
    <row r="6" spans="1:37" ht="23.5" customHeight="1" x14ac:dyDescent="0.4">
      <c r="A6" s="2">
        <v>1159</v>
      </c>
      <c r="B6" s="16">
        <f>VLOOKUP(A6,[1]PLAN!$A$3:$BG$1149,18,)+VLOOKUP(A6,[1]PLAN!$A$3:$BG$1149,19,)</f>
        <v>45834.708333333336</v>
      </c>
      <c r="C6" s="22">
        <f t="shared" si="0"/>
        <v>45834</v>
      </c>
      <c r="D6" s="23">
        <f t="shared" si="1"/>
        <v>0.70833333333575865</v>
      </c>
      <c r="E6" s="14">
        <f>VLOOKUP(A6,[1]PLAN!$A$3:$BG$1149,54,)+VLOOKUP(A6,[1]PLAN!$A$3:$BG$1149,22,)</f>
        <v>45835.364583333336</v>
      </c>
      <c r="F6" s="12">
        <f t="shared" si="2"/>
        <v>45835</v>
      </c>
      <c r="G6" s="24">
        <f t="shared" si="3"/>
        <v>0.36458333333575865</v>
      </c>
      <c r="H6" s="14"/>
      <c r="I6" s="14"/>
      <c r="J6" s="29"/>
      <c r="K6" s="30"/>
      <c r="M6" s="17">
        <f>VLOOKUP($A6,[1]PLAN!$A$3:$BG$1149,23,)</f>
        <v>16.343999999999998</v>
      </c>
      <c r="N6" s="7">
        <f>IF(M6="","",M6*AB6)</f>
        <v>19.612799999999996</v>
      </c>
      <c r="O6" s="5">
        <f>VLOOKUP($A6,[1]PLAN!$A$3:$BG$1149,49,)</f>
        <v>4</v>
      </c>
      <c r="P6" s="3"/>
      <c r="Q6" s="5">
        <f>VLOOKUP($A6,[1]PLAN!$A$3:$BG$1149,24,)/1.2</f>
        <v>14.000000000000002</v>
      </c>
      <c r="R6" s="7">
        <f>IF(Q6="","",Q6*AB6)</f>
        <v>16.8</v>
      </c>
      <c r="S6" s="5">
        <f>VLOOKUP($A6,[1]PLAN!$A$3:$BG$1149,50,)</f>
        <v>4</v>
      </c>
      <c r="U6" s="10">
        <v>67.89</v>
      </c>
      <c r="V6" s="11">
        <f>IF(U6="","",U6*AB6)</f>
        <v>81.468000000000004</v>
      </c>
      <c r="W6" s="6">
        <v>4</v>
      </c>
      <c r="Y6" s="10">
        <v>69.349999999999994</v>
      </c>
      <c r="Z6" s="11">
        <f>IF(Y6="","",Y6*AB6)</f>
        <v>83.219999999999985</v>
      </c>
      <c r="AA6" s="6">
        <v>3</v>
      </c>
      <c r="AB6" s="1">
        <v>1.2</v>
      </c>
      <c r="AC6" s="21" t="str">
        <f t="shared" si="4"/>
        <v>15:45</v>
      </c>
      <c r="AD6" s="27" t="str">
        <f t="shared" si="5"/>
        <v/>
      </c>
      <c r="AE6" s="27" t="str">
        <f t="shared" si="6"/>
        <v/>
      </c>
      <c r="AF6" s="14">
        <f t="shared" si="7"/>
        <v>45835.364583333336</v>
      </c>
      <c r="AG6" s="12">
        <f t="shared" si="8"/>
        <v>45835</v>
      </c>
      <c r="AH6" s="24">
        <f t="shared" si="9"/>
        <v>0.36458333333575865</v>
      </c>
    </row>
    <row r="7" spans="1:37" ht="19.95" customHeight="1" x14ac:dyDescent="0.4">
      <c r="A7" s="2">
        <v>1160</v>
      </c>
      <c r="B7" s="16">
        <f>VLOOKUP(A7,[1]PLAN!$A$3:$BG$1149,18,)+VLOOKUP(A7,[1]PLAN!$A$3:$BG$1149,19,)</f>
        <v>45834.729166666664</v>
      </c>
      <c r="C7" s="22">
        <f t="shared" si="0"/>
        <v>45834</v>
      </c>
      <c r="D7" s="23">
        <f t="shared" si="1"/>
        <v>0.72916666666424135</v>
      </c>
      <c r="E7" s="14">
        <f>VLOOKUP(A7,[1]PLAN!$A$3:$BG$1149,54,)+VLOOKUP(A7,[1]PLAN!$A$3:$BG$1149,22,)</f>
        <v>45835.368055555555</v>
      </c>
      <c r="F7" s="12">
        <f t="shared" si="2"/>
        <v>45835</v>
      </c>
      <c r="G7" s="24">
        <f t="shared" si="3"/>
        <v>0.36805555555474712</v>
      </c>
      <c r="H7" s="14"/>
      <c r="I7" s="14"/>
      <c r="J7" s="29"/>
      <c r="K7" s="30"/>
      <c r="M7" s="17">
        <f>VLOOKUP($A7,[1]PLAN!$A$3:$BG$1149,23,)</f>
        <v>16.8</v>
      </c>
      <c r="N7" s="7">
        <f>IF(M7="","",M7*AB7)</f>
        <v>20.16</v>
      </c>
      <c r="O7" s="5">
        <f>VLOOKUP($A7,[1]PLAN!$A$3:$BG$1149,49,)</f>
        <v>4</v>
      </c>
      <c r="P7" s="3"/>
      <c r="Q7" s="5">
        <f>VLOOKUP($A7,[1]PLAN!$A$3:$BG$1149,24,)/1.2</f>
        <v>13</v>
      </c>
      <c r="R7" s="7">
        <f>IF(Q7="","",Q7*AB7)</f>
        <v>15.6</v>
      </c>
      <c r="S7" s="5">
        <f>VLOOKUP($A7,[1]PLAN!$A$3:$BG$1149,50,)</f>
        <v>4</v>
      </c>
      <c r="U7" s="10">
        <v>69.900000000000006</v>
      </c>
      <c r="V7" s="11">
        <f>IF(U7="","",U7*AB7)</f>
        <v>83.88000000000001</v>
      </c>
      <c r="W7" s="6">
        <v>4</v>
      </c>
      <c r="Y7" s="10">
        <v>69.209999999999994</v>
      </c>
      <c r="Z7" s="11">
        <f>IF(Y7="","",Y7*AB7)</f>
        <v>83.051999999999992</v>
      </c>
      <c r="AA7" s="6">
        <v>4</v>
      </c>
      <c r="AB7" s="1">
        <v>1.2</v>
      </c>
      <c r="AC7" s="21" t="str">
        <f t="shared" si="4"/>
        <v>15:20</v>
      </c>
      <c r="AD7" s="27" t="str">
        <f t="shared" si="5"/>
        <v/>
      </c>
      <c r="AE7" s="27" t="str">
        <f t="shared" si="6"/>
        <v/>
      </c>
      <c r="AF7" s="14">
        <f t="shared" si="7"/>
        <v>45835.368055555555</v>
      </c>
      <c r="AG7" s="12">
        <f t="shared" si="8"/>
        <v>45835</v>
      </c>
      <c r="AH7" s="24">
        <f t="shared" si="9"/>
        <v>0.36805555555474712</v>
      </c>
    </row>
    <row r="8" spans="1:37" ht="19.95" customHeight="1" x14ac:dyDescent="0.4">
      <c r="A8" s="2">
        <v>1161</v>
      </c>
      <c r="B8" s="16">
        <f>VLOOKUP(A8,[1]PLAN!$A$3:$BG$1149,18,)+VLOOKUP(A8,[1]PLAN!$A$3:$BG$1149,19,)</f>
        <v>45836.43472222222</v>
      </c>
      <c r="C8" s="22">
        <f t="shared" si="0"/>
        <v>45836</v>
      </c>
      <c r="D8" s="23">
        <f t="shared" si="1"/>
        <v>0.43472222222044365</v>
      </c>
      <c r="E8" s="14">
        <f>VLOOKUP(A8,[1]PLAN!$A$3:$BG$1149,54,)+VLOOKUP(A8,[1]PLAN!$A$3:$BG$1149,22,)</f>
        <v>45838.333333333336</v>
      </c>
      <c r="F8" s="12">
        <f t="shared" si="2"/>
        <v>45838</v>
      </c>
      <c r="G8" s="24">
        <f t="shared" si="3"/>
        <v>0.33333333333575865</v>
      </c>
      <c r="H8" s="14"/>
      <c r="I8" s="14"/>
      <c r="J8" s="29"/>
      <c r="K8" s="30"/>
      <c r="M8" s="17">
        <f>VLOOKUP($A8,[1]PLAN!$A$3:$BG$1149,23,)</f>
        <v>51.875999999999998</v>
      </c>
      <c r="N8" s="7">
        <f t="shared" ref="N8:N71" si="10">IF(M8="","",M8*AB8)</f>
        <v>62.251199999999997</v>
      </c>
      <c r="O8" s="5">
        <f>VLOOKUP($A8,[1]PLAN!$A$3:$BG$1149,49,)</f>
        <v>4</v>
      </c>
      <c r="P8" s="3"/>
      <c r="Q8" s="5">
        <f>VLOOKUP($A8,[1]PLAN!$A$3:$BG$1149,24,)/1.2</f>
        <v>44.38</v>
      </c>
      <c r="R8" s="7">
        <f t="shared" ref="R8:R71" si="11">IF(Q8="","",Q8*AB8)</f>
        <v>53.256</v>
      </c>
      <c r="S8" s="5">
        <f>VLOOKUP($A8,[1]PLAN!$A$3:$BG$1149,50,)</f>
        <v>4</v>
      </c>
      <c r="U8" s="10">
        <v>70.16</v>
      </c>
      <c r="V8" s="11">
        <f t="shared" ref="V8:V71" si="12">IF(U8="","",U8*AB8)</f>
        <v>84.191999999999993</v>
      </c>
      <c r="W8" s="6">
        <v>4</v>
      </c>
      <c r="Y8" s="10">
        <v>70.150000000000006</v>
      </c>
      <c r="Z8" s="11">
        <f t="shared" ref="Z8:Z71" si="13">IF(Y8="","",Y8*AB8)</f>
        <v>84.18</v>
      </c>
      <c r="AA8" s="6">
        <v>4</v>
      </c>
      <c r="AB8" s="1">
        <v>1.2</v>
      </c>
      <c r="AC8" s="21" t="str">
        <f t="shared" si="4"/>
        <v>45:34</v>
      </c>
      <c r="AD8" s="27" t="str">
        <f t="shared" si="5"/>
        <v/>
      </c>
      <c r="AE8" s="27" t="str">
        <f t="shared" si="6"/>
        <v/>
      </c>
      <c r="AF8" s="14">
        <f t="shared" si="7"/>
        <v>45838.333333333336</v>
      </c>
      <c r="AG8" s="12">
        <f t="shared" si="8"/>
        <v>45838</v>
      </c>
      <c r="AH8" s="24">
        <f t="shared" si="9"/>
        <v>0.33333333333575865</v>
      </c>
    </row>
    <row r="9" spans="1:37" ht="19.95" customHeight="1" x14ac:dyDescent="0.4">
      <c r="A9" s="2">
        <v>1162</v>
      </c>
      <c r="B9" s="16">
        <f>VLOOKUP(A9,[1]PLAN!$A$3:$BG$1149,18,)+VLOOKUP(A9,[1]PLAN!$A$3:$BG$1149,19,)</f>
        <v>45836.572916666664</v>
      </c>
      <c r="C9" s="22">
        <f t="shared" si="0"/>
        <v>45836</v>
      </c>
      <c r="D9" s="23">
        <f t="shared" si="1"/>
        <v>0.57291666666424135</v>
      </c>
      <c r="E9" s="14">
        <f>VLOOKUP(A9,[1]PLAN!$A$3:$BG$1149,54,)+VLOOKUP(A9,[1]PLAN!$A$3:$BG$1149,22,)</f>
        <v>45838.309027777781</v>
      </c>
      <c r="F9" s="12">
        <f t="shared" si="2"/>
        <v>45838</v>
      </c>
      <c r="G9" s="24">
        <f t="shared" si="3"/>
        <v>0.30902777778101154</v>
      </c>
      <c r="H9" s="14"/>
      <c r="I9" s="14"/>
      <c r="J9" s="29"/>
      <c r="K9" s="30"/>
      <c r="M9" s="17">
        <f>VLOOKUP($A9,[1]PLAN!$A$3:$BG$1149,23,)</f>
        <v>41.663999999999994</v>
      </c>
      <c r="N9" s="7">
        <f t="shared" si="10"/>
        <v>49.996799999999993</v>
      </c>
      <c r="O9" s="5">
        <f>VLOOKUP($A9,[1]PLAN!$A$3:$BG$1149,49,)</f>
        <v>4</v>
      </c>
      <c r="P9" s="3"/>
      <c r="Q9" s="5">
        <f>VLOOKUP($A9,[1]PLAN!$A$3:$BG$1149,24,)/1.2</f>
        <v>36.08</v>
      </c>
      <c r="R9" s="7">
        <f t="shared" si="11"/>
        <v>43.295999999999999</v>
      </c>
      <c r="S9" s="5">
        <f>VLOOKUP($A9,[1]PLAN!$A$3:$BG$1149,50,)</f>
        <v>4</v>
      </c>
      <c r="U9" s="10">
        <v>70.25</v>
      </c>
      <c r="V9" s="11">
        <f t="shared" si="12"/>
        <v>84.3</v>
      </c>
      <c r="W9" s="6">
        <v>4</v>
      </c>
      <c r="Y9" s="10">
        <v>70.959999999999994</v>
      </c>
      <c r="Z9" s="11">
        <f t="shared" si="13"/>
        <v>85.151999999999987</v>
      </c>
      <c r="AA9" s="6">
        <v>4</v>
      </c>
      <c r="AB9" s="1">
        <v>1.2</v>
      </c>
      <c r="AC9" s="21" t="str">
        <f t="shared" si="4"/>
        <v>41:40</v>
      </c>
      <c r="AD9" s="27" t="str">
        <f t="shared" si="5"/>
        <v/>
      </c>
      <c r="AE9" s="27" t="str">
        <f t="shared" si="6"/>
        <v/>
      </c>
      <c r="AF9" s="14">
        <f t="shared" si="7"/>
        <v>45838.309027777781</v>
      </c>
      <c r="AG9" s="12">
        <f t="shared" si="8"/>
        <v>45838</v>
      </c>
      <c r="AH9" s="24">
        <f t="shared" si="9"/>
        <v>0.30902777778101154</v>
      </c>
    </row>
    <row r="10" spans="1:37" ht="19.95" customHeight="1" x14ac:dyDescent="0.4">
      <c r="A10" s="2">
        <v>1163</v>
      </c>
      <c r="B10" s="16">
        <f>VLOOKUP(A10,[1]PLAN!$A$3:$BG$1149,18,)+VLOOKUP(A10,[1]PLAN!$A$3:$BG$1149,19,)</f>
        <v>45839.381944444445</v>
      </c>
      <c r="C10" s="22">
        <f t="shared" si="0"/>
        <v>45839</v>
      </c>
      <c r="D10" s="23">
        <f t="shared" si="1"/>
        <v>0.38194444444525288</v>
      </c>
      <c r="E10" s="14">
        <f>VLOOKUP(A10,[1]PLAN!$A$3:$BG$1149,54,)+VLOOKUP(A10,[1]PLAN!$A$3:$BG$1149,22,)</f>
        <v>45840.3125</v>
      </c>
      <c r="F10" s="12">
        <f t="shared" si="2"/>
        <v>45840</v>
      </c>
      <c r="G10" s="24">
        <f t="shared" si="3"/>
        <v>0.3125</v>
      </c>
      <c r="H10" s="14"/>
      <c r="I10" s="14"/>
      <c r="J10" s="29"/>
      <c r="K10" s="30"/>
      <c r="M10" s="17">
        <f>VLOOKUP($A10,[1]PLAN!$A$3:$BG$1149,23,)</f>
        <v>36.911999999999999</v>
      </c>
      <c r="N10" s="7">
        <f t="shared" si="10"/>
        <v>44.294399999999996</v>
      </c>
      <c r="O10" s="5">
        <f>VLOOKUP($A10,[1]PLAN!$A$3:$BG$1149,49,)</f>
        <v>4</v>
      </c>
      <c r="P10" s="3"/>
      <c r="Q10" s="5">
        <f>VLOOKUP($A10,[1]PLAN!$A$3:$BG$1149,24,)/1.2</f>
        <v>30.969999999999995</v>
      </c>
      <c r="R10" s="7">
        <f t="shared" si="11"/>
        <v>37.163999999999994</v>
      </c>
      <c r="S10" s="5">
        <f>VLOOKUP($A10,[1]PLAN!$A$3:$BG$1149,50,)</f>
        <v>4</v>
      </c>
      <c r="U10" s="10">
        <v>68.61</v>
      </c>
      <c r="V10" s="11">
        <f t="shared" si="12"/>
        <v>82.331999999999994</v>
      </c>
      <c r="W10" s="6">
        <v>4</v>
      </c>
      <c r="Y10" s="10">
        <v>67.319999999999993</v>
      </c>
      <c r="Z10" s="11">
        <f t="shared" si="13"/>
        <v>80.783999999999992</v>
      </c>
      <c r="AA10" s="6">
        <v>4</v>
      </c>
      <c r="AB10" s="1">
        <v>1.2</v>
      </c>
      <c r="AC10" s="21" t="str">
        <f t="shared" si="4"/>
        <v>22:20</v>
      </c>
      <c r="AD10" s="27" t="str">
        <f t="shared" si="5"/>
        <v/>
      </c>
      <c r="AE10" s="27" t="str">
        <f t="shared" si="6"/>
        <v/>
      </c>
      <c r="AF10" s="14">
        <f t="shared" si="7"/>
        <v>45840.3125</v>
      </c>
      <c r="AG10" s="12">
        <f t="shared" si="8"/>
        <v>45840</v>
      </c>
      <c r="AH10" s="24">
        <f t="shared" si="9"/>
        <v>0.3125</v>
      </c>
    </row>
    <row r="11" spans="1:37" ht="19.95" customHeight="1" x14ac:dyDescent="0.4">
      <c r="A11" s="2">
        <v>1164</v>
      </c>
      <c r="B11" s="16">
        <f>VLOOKUP(A11,[1]PLAN!$A$3:$BG$1149,18,)+VLOOKUP(A11,[1]PLAN!$A$3:$BG$1149,19,)</f>
        <v>45839.402777777781</v>
      </c>
      <c r="C11" s="22">
        <f t="shared" si="0"/>
        <v>45839</v>
      </c>
      <c r="D11" s="23">
        <f t="shared" si="1"/>
        <v>0.40277777778101154</v>
      </c>
      <c r="E11" s="14">
        <f>VLOOKUP(A11,[1]PLAN!$A$3:$BG$1149,54,)+VLOOKUP(A11,[1]PLAN!$A$3:$BG$1149,22,)</f>
        <v>45840.315972222219</v>
      </c>
      <c r="F11" s="12">
        <f t="shared" si="2"/>
        <v>45840</v>
      </c>
      <c r="G11" s="24">
        <f t="shared" si="3"/>
        <v>0.31597222221898846</v>
      </c>
      <c r="H11" s="14"/>
      <c r="I11" s="14"/>
      <c r="J11" s="29"/>
      <c r="K11" s="30"/>
      <c r="M11" s="17">
        <f>VLOOKUP($A11,[1]PLAN!$A$3:$BG$1149,23,)</f>
        <v>30.839999999999996</v>
      </c>
      <c r="N11" s="7">
        <f t="shared" si="10"/>
        <v>37.007999999999996</v>
      </c>
      <c r="O11" s="5">
        <f>VLOOKUP($A11,[1]PLAN!$A$3:$BG$1149,49,)</f>
        <v>4</v>
      </c>
      <c r="P11" s="3"/>
      <c r="Q11" s="5">
        <f>VLOOKUP($A11,[1]PLAN!$A$3:$BG$1149,24,)/1.2</f>
        <v>26.799999999999997</v>
      </c>
      <c r="R11" s="7">
        <f t="shared" si="11"/>
        <v>32.159999999999997</v>
      </c>
      <c r="S11" s="5">
        <f>VLOOKUP($A11,[1]PLAN!$A$3:$BG$1149,50,)</f>
        <v>4</v>
      </c>
      <c r="U11" s="10">
        <v>70.069999999999993</v>
      </c>
      <c r="V11" s="11">
        <f t="shared" si="12"/>
        <v>84.083999999999989</v>
      </c>
      <c r="W11" s="6">
        <v>4</v>
      </c>
      <c r="Y11" s="10">
        <v>70.959999999999994</v>
      </c>
      <c r="Z11" s="11">
        <f t="shared" si="13"/>
        <v>85.151999999999987</v>
      </c>
      <c r="AA11" s="6">
        <v>4</v>
      </c>
      <c r="AB11" s="1">
        <v>1.2</v>
      </c>
      <c r="AC11" s="21" t="str">
        <f t="shared" si="4"/>
        <v>21:55</v>
      </c>
      <c r="AD11" s="27" t="str">
        <f t="shared" si="5"/>
        <v/>
      </c>
      <c r="AE11" s="27" t="str">
        <f t="shared" si="6"/>
        <v/>
      </c>
      <c r="AF11" s="14">
        <f t="shared" si="7"/>
        <v>45840.315972222219</v>
      </c>
      <c r="AG11" s="12">
        <f t="shared" si="8"/>
        <v>45840</v>
      </c>
      <c r="AH11" s="24">
        <f t="shared" si="9"/>
        <v>0.31597222221898846</v>
      </c>
    </row>
    <row r="12" spans="1:37" ht="19.95" customHeight="1" x14ac:dyDescent="0.4">
      <c r="A12" s="2">
        <v>1165</v>
      </c>
      <c r="B12" s="16">
        <f>VLOOKUP(A12,[1]PLAN!$A$3:$BG$1149,18,)+VLOOKUP(A12,[1]PLAN!$A$3:$BG$1149,19,)</f>
        <v>45839.423611111109</v>
      </c>
      <c r="C12" s="22">
        <f t="shared" si="0"/>
        <v>45839</v>
      </c>
      <c r="D12" s="23">
        <f t="shared" si="1"/>
        <v>0.42361111110949423</v>
      </c>
      <c r="E12" s="14">
        <f>VLOOKUP(A12,[1]PLAN!$A$3:$BG$1149,54,)+VLOOKUP(A12,[1]PLAN!$A$3:$BG$1149,22,)</f>
        <v>45840.319444444445</v>
      </c>
      <c r="F12" s="12">
        <f t="shared" si="2"/>
        <v>45840</v>
      </c>
      <c r="G12" s="24">
        <f t="shared" si="3"/>
        <v>0.31944444444525288</v>
      </c>
      <c r="H12" s="14"/>
      <c r="I12" s="14"/>
      <c r="J12" s="29"/>
      <c r="K12" s="30"/>
      <c r="M12" s="17">
        <f>VLOOKUP($A12,[1]PLAN!$A$3:$BG$1149,23,)</f>
        <v>34.571999999999996</v>
      </c>
      <c r="N12" s="7">
        <f t="shared" si="10"/>
        <v>41.486399999999996</v>
      </c>
      <c r="O12" s="5">
        <f>VLOOKUP($A12,[1]PLAN!$A$3:$BG$1149,49,)</f>
        <v>4</v>
      </c>
      <c r="P12" s="3"/>
      <c r="Q12" s="5">
        <f>VLOOKUP($A12,[1]PLAN!$A$3:$BG$1149,24,)/1.2</f>
        <v>29.71</v>
      </c>
      <c r="R12" s="7">
        <f t="shared" si="11"/>
        <v>35.652000000000001</v>
      </c>
      <c r="S12" s="5">
        <f>VLOOKUP($A12,[1]PLAN!$A$3:$BG$1149,50,)</f>
        <v>4</v>
      </c>
      <c r="U12" s="10">
        <v>70.599999999999994</v>
      </c>
      <c r="V12" s="11">
        <f t="shared" si="12"/>
        <v>84.719999999999985</v>
      </c>
      <c r="W12" s="6">
        <v>4</v>
      </c>
      <c r="Y12" s="10">
        <v>70.25</v>
      </c>
      <c r="Z12" s="11">
        <f t="shared" si="13"/>
        <v>84.3</v>
      </c>
      <c r="AA12" s="6">
        <v>4</v>
      </c>
      <c r="AB12" s="1">
        <v>1.2</v>
      </c>
      <c r="AC12" s="21" t="str">
        <f t="shared" si="4"/>
        <v>21:30</v>
      </c>
      <c r="AD12" s="27" t="str">
        <f t="shared" si="5"/>
        <v/>
      </c>
      <c r="AE12" s="27" t="str">
        <f t="shared" si="6"/>
        <v/>
      </c>
      <c r="AF12" s="14">
        <f t="shared" si="7"/>
        <v>45840.319444444445</v>
      </c>
      <c r="AG12" s="12">
        <f t="shared" si="8"/>
        <v>45840</v>
      </c>
      <c r="AH12" s="24">
        <f t="shared" si="9"/>
        <v>0.31944444444525288</v>
      </c>
    </row>
    <row r="13" spans="1:37" ht="19.95" customHeight="1" x14ac:dyDescent="0.4">
      <c r="A13" s="2">
        <v>1166</v>
      </c>
      <c r="B13" s="16">
        <f>VLOOKUP(A13,[1]PLAN!$A$3:$BG$1149,18,)+VLOOKUP(A13,[1]PLAN!$A$3:$BG$1149,19,)</f>
        <v>45839.458333333336</v>
      </c>
      <c r="C13" s="22">
        <f t="shared" si="0"/>
        <v>45839</v>
      </c>
      <c r="D13" s="23">
        <f t="shared" si="1"/>
        <v>0.45833333333575865</v>
      </c>
      <c r="E13" s="14">
        <f>VLOOKUP(A13,[1]PLAN!$A$3:$BG$1149,54,)+VLOOKUP(A13,[1]PLAN!$A$3:$BG$1149,22,)</f>
        <v>45840.326388888891</v>
      </c>
      <c r="F13" s="12">
        <f t="shared" si="2"/>
        <v>45840</v>
      </c>
      <c r="G13" s="24">
        <f t="shared" si="3"/>
        <v>0.32638888889050577</v>
      </c>
      <c r="H13" s="14"/>
      <c r="I13" s="14"/>
      <c r="J13" s="29"/>
      <c r="K13" s="30"/>
      <c r="M13" s="17">
        <f>VLOOKUP($A13,[1]PLAN!$A$3:$BG$1149,23,)</f>
        <v>25.895999999999997</v>
      </c>
      <c r="N13" s="7">
        <f t="shared" si="10"/>
        <v>31.075199999999995</v>
      </c>
      <c r="O13" s="5">
        <f>VLOOKUP($A13,[1]PLAN!$A$3:$BG$1149,49,)</f>
        <v>4</v>
      </c>
      <c r="P13" s="3"/>
      <c r="Q13" s="5">
        <f>VLOOKUP($A13,[1]PLAN!$A$3:$BG$1149,24,)/1.2</f>
        <v>22.36</v>
      </c>
      <c r="R13" s="7">
        <f t="shared" si="11"/>
        <v>26.831999999999997</v>
      </c>
      <c r="S13" s="5">
        <f>VLOOKUP($A13,[1]PLAN!$A$3:$BG$1149,50,)</f>
        <v>4</v>
      </c>
      <c r="U13" s="10">
        <v>70.17</v>
      </c>
      <c r="V13" s="11">
        <f t="shared" si="12"/>
        <v>84.203999999999994</v>
      </c>
      <c r="W13" s="6">
        <v>4</v>
      </c>
      <c r="Y13" s="10">
        <v>70.19</v>
      </c>
      <c r="Z13" s="11">
        <f t="shared" si="13"/>
        <v>84.227999999999994</v>
      </c>
      <c r="AA13" s="6">
        <v>4</v>
      </c>
      <c r="AB13" s="1">
        <v>1.2</v>
      </c>
      <c r="AC13" s="21" t="str">
        <f t="shared" si="4"/>
        <v>20:50</v>
      </c>
      <c r="AD13" s="27" t="str">
        <f t="shared" si="5"/>
        <v/>
      </c>
      <c r="AE13" s="27" t="str">
        <f t="shared" si="6"/>
        <v/>
      </c>
      <c r="AF13" s="14">
        <f t="shared" si="7"/>
        <v>45840.326388888891</v>
      </c>
      <c r="AG13" s="12">
        <f t="shared" si="8"/>
        <v>45840</v>
      </c>
      <c r="AH13" s="24">
        <f t="shared" si="9"/>
        <v>0.32638888889050577</v>
      </c>
    </row>
    <row r="14" spans="1:37" ht="19.95" customHeight="1" x14ac:dyDescent="0.4">
      <c r="A14" s="2">
        <v>1167</v>
      </c>
      <c r="B14" s="16">
        <f>VLOOKUP(A14,[1]PLAN!$A$3:$BG$1149,18,)+VLOOKUP(A14,[1]PLAN!$A$3:$BG$1149,19,)</f>
        <v>45839.583333333336</v>
      </c>
      <c r="C14" s="22">
        <f t="shared" si="0"/>
        <v>45839</v>
      </c>
      <c r="D14" s="23">
        <f t="shared" si="1"/>
        <v>0.58333333333575865</v>
      </c>
      <c r="E14" s="14">
        <f>VLOOKUP(A14,[1]PLAN!$A$3:$BG$1149,54,)+VLOOKUP(A14,[1]PLAN!$A$3:$BG$1149,22,)</f>
        <v>45840.333333333336</v>
      </c>
      <c r="F14" s="12">
        <f t="shared" si="2"/>
        <v>45840</v>
      </c>
      <c r="G14" s="24">
        <f t="shared" si="3"/>
        <v>0.33333333333575865</v>
      </c>
      <c r="H14" s="14"/>
      <c r="I14" s="14"/>
      <c r="J14" s="29"/>
      <c r="K14" s="30"/>
      <c r="M14" s="17">
        <f>VLOOKUP($A14,[1]PLAN!$A$3:$BG$1149,23,)</f>
        <v>24.323999999999998</v>
      </c>
      <c r="N14" s="7">
        <f t="shared" si="10"/>
        <v>29.188799999999997</v>
      </c>
      <c r="O14" s="5">
        <f>VLOOKUP($A14,[1]PLAN!$A$3:$BG$1149,49,)</f>
        <v>4</v>
      </c>
      <c r="P14" s="3"/>
      <c r="Q14" s="5">
        <f>VLOOKUP($A14,[1]PLAN!$A$3:$BG$1149,24,)/1.2</f>
        <v>21.32</v>
      </c>
      <c r="R14" s="7">
        <f t="shared" si="11"/>
        <v>25.584</v>
      </c>
      <c r="S14" s="5">
        <f>VLOOKUP($A14,[1]PLAN!$A$3:$BG$1149,50,)</f>
        <v>4</v>
      </c>
      <c r="U14" s="10">
        <v>70.959999999999994</v>
      </c>
      <c r="V14" s="11">
        <f t="shared" si="12"/>
        <v>85.151999999999987</v>
      </c>
      <c r="W14" s="6">
        <v>4</v>
      </c>
      <c r="Y14" s="10">
        <v>70.010000000000005</v>
      </c>
      <c r="Z14" s="11">
        <f t="shared" si="13"/>
        <v>84.012</v>
      </c>
      <c r="AA14" s="6">
        <v>4</v>
      </c>
      <c r="AB14" s="1">
        <v>1.2</v>
      </c>
      <c r="AC14" s="21" t="str">
        <f t="shared" si="4"/>
        <v>18:00</v>
      </c>
      <c r="AD14" s="27" t="str">
        <f t="shared" si="5"/>
        <v/>
      </c>
      <c r="AE14" s="27" t="str">
        <f t="shared" si="6"/>
        <v/>
      </c>
      <c r="AF14" s="14">
        <f t="shared" si="7"/>
        <v>45840.333333333336</v>
      </c>
      <c r="AG14" s="12">
        <f t="shared" si="8"/>
        <v>45840</v>
      </c>
      <c r="AH14" s="24">
        <f t="shared" si="9"/>
        <v>0.33333333333575865</v>
      </c>
    </row>
    <row r="15" spans="1:37" ht="19.95" customHeight="1" x14ac:dyDescent="0.4">
      <c r="A15" s="2">
        <v>1168</v>
      </c>
      <c r="B15" s="16">
        <f>VLOOKUP(A15,[1]PLAN!$A$3:$BG$1149,18,)+VLOOKUP(A15,[1]PLAN!$A$3:$BG$1149,19,)</f>
        <v>45839.583333333336</v>
      </c>
      <c r="C15" s="22">
        <f t="shared" si="0"/>
        <v>45839</v>
      </c>
      <c r="D15" s="23">
        <f t="shared" si="1"/>
        <v>0.58333333333575865</v>
      </c>
      <c r="E15" s="14">
        <f>VLOOKUP(A15,[1]PLAN!$A$3:$BG$1149,54,)+VLOOKUP(A15,[1]PLAN!$A$3:$BG$1149,22,)</f>
        <v>45841.3125</v>
      </c>
      <c r="F15" s="12">
        <f t="shared" si="2"/>
        <v>45841</v>
      </c>
      <c r="G15" s="24">
        <f t="shared" si="3"/>
        <v>0.3125</v>
      </c>
      <c r="H15" s="14"/>
      <c r="I15" s="14"/>
      <c r="J15" s="29"/>
      <c r="K15" s="30"/>
      <c r="M15" s="17">
        <f>VLOOKUP($A15,[1]PLAN!$A$3:$BG$1149,23,)</f>
        <v>28.86</v>
      </c>
      <c r="N15" s="7">
        <f t="shared" si="10"/>
        <v>34.631999999999998</v>
      </c>
      <c r="O15" s="5">
        <f>VLOOKUP($A15,[1]PLAN!$A$3:$BG$1149,49,)</f>
        <v>4</v>
      </c>
      <c r="P15" s="3"/>
      <c r="Q15" s="5">
        <f>VLOOKUP($A15,[1]PLAN!$A$3:$BG$1149,24,)/1.2</f>
        <v>23.275000000000002</v>
      </c>
      <c r="R15" s="7">
        <f t="shared" si="11"/>
        <v>27.930000000000003</v>
      </c>
      <c r="S15" s="5">
        <f>VLOOKUP($A15,[1]PLAN!$A$3:$BG$1149,50,)</f>
        <v>4</v>
      </c>
      <c r="U15" s="10">
        <v>70.510000000000005</v>
      </c>
      <c r="V15" s="11">
        <f t="shared" si="12"/>
        <v>84.612000000000009</v>
      </c>
      <c r="W15" s="6">
        <v>4</v>
      </c>
      <c r="Y15" s="10">
        <v>69.95</v>
      </c>
      <c r="Z15" s="11">
        <f t="shared" si="13"/>
        <v>83.94</v>
      </c>
      <c r="AA15" s="6">
        <v>4</v>
      </c>
      <c r="AB15" s="1">
        <v>1.2</v>
      </c>
      <c r="AC15" s="21" t="str">
        <f t="shared" si="4"/>
        <v>41:30</v>
      </c>
      <c r="AD15" s="27" t="str">
        <f t="shared" si="5"/>
        <v/>
      </c>
      <c r="AE15" s="27" t="str">
        <f t="shared" si="6"/>
        <v/>
      </c>
      <c r="AF15" s="14">
        <f t="shared" si="7"/>
        <v>45841.3125</v>
      </c>
      <c r="AG15" s="12">
        <f t="shared" si="8"/>
        <v>45841</v>
      </c>
      <c r="AH15" s="24">
        <f t="shared" si="9"/>
        <v>0.3125</v>
      </c>
    </row>
    <row r="16" spans="1:37" ht="19.95" customHeight="1" x14ac:dyDescent="0.4">
      <c r="A16" s="2">
        <v>1169</v>
      </c>
      <c r="B16" s="16">
        <f>VLOOKUP(A16,[1]PLAN!$A$3:$BG$1149,18,)+VLOOKUP(A16,[1]PLAN!$A$3:$BG$1149,19,)</f>
        <v>45842.385416666664</v>
      </c>
      <c r="C16" s="22">
        <f t="shared" si="0"/>
        <v>45842</v>
      </c>
      <c r="D16" s="23">
        <f t="shared" si="1"/>
        <v>0.38541666666424135</v>
      </c>
      <c r="E16" s="14">
        <f>VLOOKUP(A16,[1]PLAN!$A$3:$BG$1149,54,)+VLOOKUP(A16,[1]PLAN!$A$3:$BG$1149,22,)</f>
        <v>45843.291666666664</v>
      </c>
      <c r="F16" s="12">
        <f t="shared" si="2"/>
        <v>45843</v>
      </c>
      <c r="G16" s="24">
        <f t="shared" si="3"/>
        <v>0.29166666666424135</v>
      </c>
      <c r="H16" s="14"/>
      <c r="I16" s="14"/>
      <c r="J16" s="29"/>
      <c r="K16" s="30"/>
      <c r="M16" s="17">
        <f>VLOOKUP($A16,[1]PLAN!$A$3:$BG$1149,23,)</f>
        <v>31.692</v>
      </c>
      <c r="N16" s="7">
        <f t="shared" si="10"/>
        <v>38.0304</v>
      </c>
      <c r="O16" s="5">
        <f>VLOOKUP($A16,[1]PLAN!$A$3:$BG$1149,49,)</f>
        <v>4</v>
      </c>
      <c r="P16" s="3"/>
      <c r="Q16" s="5">
        <f>VLOOKUP($A16,[1]PLAN!$A$3:$BG$1149,24,)/1.2</f>
        <v>26.45</v>
      </c>
      <c r="R16" s="7">
        <f t="shared" si="11"/>
        <v>31.74</v>
      </c>
      <c r="S16" s="5">
        <f>VLOOKUP($A16,[1]PLAN!$A$3:$BG$1149,50,)</f>
        <v>4</v>
      </c>
      <c r="U16" s="10">
        <v>70.28</v>
      </c>
      <c r="V16" s="11">
        <f t="shared" si="12"/>
        <v>84.335999999999999</v>
      </c>
      <c r="W16" s="6">
        <v>4</v>
      </c>
      <c r="Y16" s="10">
        <v>71.25</v>
      </c>
      <c r="Z16" s="11">
        <f t="shared" si="13"/>
        <v>85.5</v>
      </c>
      <c r="AA16" s="6">
        <v>4</v>
      </c>
      <c r="AB16" s="1">
        <v>1.2</v>
      </c>
      <c r="AC16" s="21" t="str">
        <f t="shared" si="4"/>
        <v>21:45</v>
      </c>
      <c r="AD16" s="27" t="str">
        <f t="shared" si="5"/>
        <v/>
      </c>
      <c r="AE16" s="27" t="str">
        <f t="shared" si="6"/>
        <v/>
      </c>
      <c r="AF16" s="14">
        <f t="shared" si="7"/>
        <v>45843.291666666664</v>
      </c>
      <c r="AG16" s="12">
        <f t="shared" si="8"/>
        <v>45843</v>
      </c>
      <c r="AH16" s="24">
        <f t="shared" si="9"/>
        <v>0.29166666666424135</v>
      </c>
    </row>
    <row r="17" spans="1:34" ht="19.95" customHeight="1" x14ac:dyDescent="0.4">
      <c r="A17" s="2">
        <v>1170</v>
      </c>
      <c r="B17" s="16">
        <f>VLOOKUP(A17,[1]PLAN!$A$3:$BG$1149,18,)+VLOOKUP(A17,[1]PLAN!$A$3:$BG$1149,19,)</f>
        <v>45842.409722222219</v>
      </c>
      <c r="C17" s="22">
        <f t="shared" si="0"/>
        <v>45842</v>
      </c>
      <c r="D17" s="23">
        <f t="shared" si="1"/>
        <v>0.40972222221898846</v>
      </c>
      <c r="E17" s="14">
        <f>VLOOKUP(A17,[1]PLAN!$A$3:$BG$1149,54,)+VLOOKUP(A17,[1]PLAN!$A$3:$BG$1149,22,)</f>
        <v>45843.295138888891</v>
      </c>
      <c r="F17" s="12">
        <f t="shared" si="2"/>
        <v>45843</v>
      </c>
      <c r="G17" s="24">
        <f t="shared" si="3"/>
        <v>0.29513888889050577</v>
      </c>
      <c r="H17" s="14"/>
      <c r="I17" s="14"/>
      <c r="J17" s="29"/>
      <c r="K17" s="30"/>
      <c r="M17" s="17">
        <f>VLOOKUP($A17,[1]PLAN!$A$3:$BG$1149,23,)</f>
        <v>27.276</v>
      </c>
      <c r="N17" s="7">
        <f t="shared" si="10"/>
        <v>32.731200000000001</v>
      </c>
      <c r="O17" s="5">
        <f>VLOOKUP($A17,[1]PLAN!$A$3:$BG$1149,49,)</f>
        <v>4</v>
      </c>
      <c r="P17" s="3"/>
      <c r="Q17" s="5">
        <f>VLOOKUP($A17,[1]PLAN!$A$3:$BG$1149,24,)/1.2</f>
        <v>22.39</v>
      </c>
      <c r="R17" s="7">
        <f t="shared" si="11"/>
        <v>26.867999999999999</v>
      </c>
      <c r="S17" s="5">
        <f>VLOOKUP($A17,[1]PLAN!$A$3:$BG$1149,50,)</f>
        <v>4</v>
      </c>
      <c r="U17" s="10">
        <v>70.319999999999993</v>
      </c>
      <c r="V17" s="11">
        <f t="shared" si="12"/>
        <v>84.383999999999986</v>
      </c>
      <c r="W17" s="6">
        <v>4</v>
      </c>
      <c r="Y17" s="10">
        <v>70.31</v>
      </c>
      <c r="Z17" s="11">
        <f t="shared" si="13"/>
        <v>84.372</v>
      </c>
      <c r="AA17" s="6">
        <v>4</v>
      </c>
      <c r="AB17" s="1">
        <v>1.2</v>
      </c>
      <c r="AC17" s="21" t="str">
        <f t="shared" si="4"/>
        <v>21:15</v>
      </c>
      <c r="AD17" s="27" t="str">
        <f t="shared" si="5"/>
        <v/>
      </c>
      <c r="AE17" s="27" t="str">
        <f t="shared" si="6"/>
        <v/>
      </c>
      <c r="AF17" s="14">
        <f t="shared" si="7"/>
        <v>45843.295138888891</v>
      </c>
      <c r="AG17" s="12">
        <f t="shared" si="8"/>
        <v>45843</v>
      </c>
      <c r="AH17" s="24">
        <f t="shared" si="9"/>
        <v>0.29513888889050577</v>
      </c>
    </row>
    <row r="18" spans="1:34" ht="19.95" customHeight="1" x14ac:dyDescent="0.4">
      <c r="A18" s="2">
        <v>1171</v>
      </c>
      <c r="B18" s="16">
        <f>VLOOKUP(A18,[1]PLAN!$A$3:$BG$1149,18,)+VLOOKUP(A18,[1]PLAN!$A$3:$BG$1149,19,)</f>
        <v>45842.440972222219</v>
      </c>
      <c r="C18" s="22">
        <f t="shared" si="0"/>
        <v>45842</v>
      </c>
      <c r="D18" s="23">
        <f t="shared" si="1"/>
        <v>0.44097222221898846</v>
      </c>
      <c r="E18" s="14">
        <f>VLOOKUP(A18,[1]PLAN!$A$3:$BG$1149,54,)+VLOOKUP(A18,[1]PLAN!$A$3:$BG$1149,22,)</f>
        <v>45843.298611111109</v>
      </c>
      <c r="F18" s="12">
        <f t="shared" si="2"/>
        <v>45843</v>
      </c>
      <c r="G18" s="24">
        <f t="shared" si="3"/>
        <v>0.29861111110949423</v>
      </c>
      <c r="H18" s="14"/>
      <c r="I18" s="14"/>
      <c r="J18" s="29"/>
      <c r="K18" s="30"/>
      <c r="M18" s="17">
        <f>VLOOKUP($A18,[1]PLAN!$A$3:$BG$1149,23,)</f>
        <v>24.347999999999999</v>
      </c>
      <c r="N18" s="7">
        <f t="shared" si="10"/>
        <v>29.217599999999997</v>
      </c>
      <c r="O18" s="5">
        <f>VLOOKUP($A18,[1]PLAN!$A$3:$BG$1149,49,)</f>
        <v>4</v>
      </c>
      <c r="P18" s="3"/>
      <c r="Q18" s="5">
        <f>VLOOKUP($A18,[1]PLAN!$A$3:$BG$1149,24,)/1.2</f>
        <v>23.9</v>
      </c>
      <c r="R18" s="7">
        <f t="shared" si="11"/>
        <v>28.679999999999996</v>
      </c>
      <c r="S18" s="5">
        <f>VLOOKUP($A18,[1]PLAN!$A$3:$BG$1149,50,)</f>
        <v>4</v>
      </c>
      <c r="U18" s="10">
        <v>70.67</v>
      </c>
      <c r="V18" s="11">
        <f t="shared" si="12"/>
        <v>84.804000000000002</v>
      </c>
      <c r="W18" s="6">
        <v>4</v>
      </c>
      <c r="Y18" s="10">
        <v>70.27</v>
      </c>
      <c r="Z18" s="11">
        <f t="shared" si="13"/>
        <v>84.323999999999998</v>
      </c>
      <c r="AA18" s="6">
        <v>4</v>
      </c>
      <c r="AB18" s="1">
        <v>1.2</v>
      </c>
      <c r="AC18" s="21" t="str">
        <f t="shared" si="4"/>
        <v>20:35</v>
      </c>
      <c r="AD18" s="27" t="str">
        <f t="shared" si="5"/>
        <v/>
      </c>
      <c r="AE18" s="27" t="str">
        <f t="shared" si="6"/>
        <v/>
      </c>
      <c r="AF18" s="14">
        <f t="shared" si="7"/>
        <v>45843.298611111109</v>
      </c>
      <c r="AG18" s="12">
        <f t="shared" si="8"/>
        <v>45843</v>
      </c>
      <c r="AH18" s="24">
        <f t="shared" si="9"/>
        <v>0.29861111110949423</v>
      </c>
    </row>
    <row r="19" spans="1:34" ht="19.95" customHeight="1" x14ac:dyDescent="0.4">
      <c r="A19" s="2">
        <v>1172</v>
      </c>
      <c r="B19" s="16">
        <f>VLOOKUP(A19,[1]PLAN!$A$3:$BG$1149,18,)+VLOOKUP(A19,[1]PLAN!$A$3:$BG$1149,19,)</f>
        <v>45842.465277777781</v>
      </c>
      <c r="C19" s="22">
        <f t="shared" si="0"/>
        <v>45842</v>
      </c>
      <c r="D19" s="23">
        <f t="shared" si="1"/>
        <v>0.46527777778101154</v>
      </c>
      <c r="E19" s="14">
        <f>VLOOKUP(A19,[1]PLAN!$A$3:$BG$1149,54,)+VLOOKUP(A19,[1]PLAN!$A$3:$BG$1149,22,)</f>
        <v>45843.302083333336</v>
      </c>
      <c r="F19" s="12">
        <f t="shared" si="2"/>
        <v>45843</v>
      </c>
      <c r="G19" s="24">
        <f t="shared" si="3"/>
        <v>0.30208333333575865</v>
      </c>
      <c r="H19" s="14"/>
      <c r="I19" s="14"/>
      <c r="J19" s="29"/>
      <c r="K19" s="30"/>
      <c r="M19" s="17">
        <f>VLOOKUP($A19,[1]PLAN!$A$3:$BG$1149,23,)</f>
        <v>27.804000000000002</v>
      </c>
      <c r="N19" s="7">
        <f t="shared" si="10"/>
        <v>33.364800000000002</v>
      </c>
      <c r="O19" s="5">
        <f>VLOOKUP($A19,[1]PLAN!$A$3:$BG$1149,49,)</f>
        <v>4</v>
      </c>
      <c r="P19" s="3"/>
      <c r="Q19" s="5">
        <f>VLOOKUP($A19,[1]PLAN!$A$3:$BG$1149,24,)/1.2</f>
        <v>23.9</v>
      </c>
      <c r="R19" s="7">
        <f t="shared" si="11"/>
        <v>28.679999999999996</v>
      </c>
      <c r="S19" s="5">
        <f>VLOOKUP($A19,[1]PLAN!$A$3:$BG$1149,50,)</f>
        <v>4</v>
      </c>
      <c r="U19" s="10">
        <v>70.23</v>
      </c>
      <c r="V19" s="11">
        <f t="shared" si="12"/>
        <v>84.275999999999996</v>
      </c>
      <c r="W19" s="6">
        <v>4</v>
      </c>
      <c r="Y19" s="10">
        <v>72.19</v>
      </c>
      <c r="Z19" s="11">
        <f t="shared" si="13"/>
        <v>86.628</v>
      </c>
      <c r="AA19" s="6">
        <v>4</v>
      </c>
      <c r="AB19" s="1">
        <v>1.2</v>
      </c>
      <c r="AC19" s="21" t="str">
        <f t="shared" si="4"/>
        <v>20:05</v>
      </c>
      <c r="AD19" s="27" t="str">
        <f t="shared" si="5"/>
        <v/>
      </c>
      <c r="AE19" s="27" t="str">
        <f t="shared" si="6"/>
        <v/>
      </c>
      <c r="AF19" s="14">
        <f t="shared" si="7"/>
        <v>45843.302083333336</v>
      </c>
      <c r="AG19" s="12">
        <f t="shared" si="8"/>
        <v>45843</v>
      </c>
      <c r="AH19" s="24">
        <f t="shared" si="9"/>
        <v>0.30208333333575865</v>
      </c>
    </row>
    <row r="20" spans="1:34" ht="19.95" customHeight="1" x14ac:dyDescent="0.4">
      <c r="A20" s="2">
        <v>1173</v>
      </c>
      <c r="B20" s="16">
        <f>VLOOKUP(A20,[1]PLAN!$A$3:$BG$1149,18,)+VLOOKUP(A20,[1]PLAN!$A$3:$BG$1149,19,)</f>
        <v>45842.493055555555</v>
      </c>
      <c r="C20" s="22">
        <f t="shared" si="0"/>
        <v>45842</v>
      </c>
      <c r="D20" s="23">
        <f t="shared" si="1"/>
        <v>0.49305555555474712</v>
      </c>
      <c r="E20" s="14">
        <f>VLOOKUP(A20,[1]PLAN!$A$3:$BG$1149,54,)+VLOOKUP(A20,[1]PLAN!$A$3:$BG$1149,22,)</f>
        <v>45845.291666666664</v>
      </c>
      <c r="F20" s="12">
        <f t="shared" si="2"/>
        <v>45845</v>
      </c>
      <c r="G20" s="24">
        <f t="shared" si="3"/>
        <v>0.29166666666424135</v>
      </c>
      <c r="H20" s="14"/>
      <c r="I20" s="14"/>
      <c r="J20" s="29"/>
      <c r="K20" s="30"/>
      <c r="M20" s="17">
        <f>VLOOKUP($A20,[1]PLAN!$A$3:$BG$1149,23,)</f>
        <v>46.68</v>
      </c>
      <c r="N20" s="7">
        <f t="shared" si="10"/>
        <v>56.015999999999998</v>
      </c>
      <c r="O20" s="5">
        <f>VLOOKUP($A20,[1]PLAN!$A$3:$BG$1149,49,)</f>
        <v>4</v>
      </c>
      <c r="P20" s="3"/>
      <c r="Q20" s="5">
        <f>VLOOKUP($A20,[1]PLAN!$A$3:$BG$1149,24,)/1.2</f>
        <v>39.01</v>
      </c>
      <c r="R20" s="7">
        <f t="shared" si="11"/>
        <v>46.811999999999998</v>
      </c>
      <c r="S20" s="5">
        <f>VLOOKUP($A20,[1]PLAN!$A$3:$BG$1149,50,)</f>
        <v>4</v>
      </c>
      <c r="U20" s="10">
        <v>69.25</v>
      </c>
      <c r="V20" s="11">
        <f t="shared" si="12"/>
        <v>83.1</v>
      </c>
      <c r="W20" s="6">
        <v>4</v>
      </c>
      <c r="Y20" s="10">
        <v>68.59</v>
      </c>
      <c r="Z20" s="11">
        <f t="shared" si="13"/>
        <v>82.308000000000007</v>
      </c>
      <c r="AA20" s="6">
        <v>4</v>
      </c>
      <c r="AB20" s="1">
        <v>1.2</v>
      </c>
      <c r="AC20" s="21" t="str">
        <f t="shared" si="4"/>
        <v>67:10</v>
      </c>
      <c r="AD20" s="27" t="str">
        <f t="shared" si="5"/>
        <v/>
      </c>
      <c r="AE20" s="27" t="str">
        <f t="shared" si="6"/>
        <v/>
      </c>
      <c r="AF20" s="14">
        <f t="shared" si="7"/>
        <v>45845.291666666664</v>
      </c>
      <c r="AG20" s="12">
        <f t="shared" si="8"/>
        <v>45845</v>
      </c>
      <c r="AH20" s="24">
        <f t="shared" si="9"/>
        <v>0.29166666666424135</v>
      </c>
    </row>
    <row r="21" spans="1:34" ht="19.95" customHeight="1" x14ac:dyDescent="0.4">
      <c r="A21" s="2">
        <v>1174</v>
      </c>
      <c r="B21" s="16">
        <f>VLOOKUP(A21,[1]PLAN!$A$3:$BG$1149,18,)+VLOOKUP(A21,[1]PLAN!$A$3:$BG$1149,19,)</f>
        <v>45842.569444444445</v>
      </c>
      <c r="C21" s="22">
        <f t="shared" si="0"/>
        <v>45842</v>
      </c>
      <c r="D21" s="23">
        <f t="shared" si="1"/>
        <v>0.56944444444525288</v>
      </c>
      <c r="E21" s="14">
        <f>VLOOKUP(A21,[1]PLAN!$A$3:$BG$1149,54,)+VLOOKUP(A21,[1]PLAN!$A$3:$BG$1149,22,)</f>
        <v>45845.295138888891</v>
      </c>
      <c r="F21" s="12">
        <f t="shared" si="2"/>
        <v>45845</v>
      </c>
      <c r="G21" s="24">
        <f t="shared" si="3"/>
        <v>0.29513888889050577</v>
      </c>
      <c r="H21" s="14"/>
      <c r="I21" s="14"/>
      <c r="J21" s="29"/>
      <c r="K21" s="30"/>
      <c r="M21" s="17">
        <f>VLOOKUP($A21,[1]PLAN!$A$3:$BG$1149,23,)</f>
        <v>56.652000000000001</v>
      </c>
      <c r="N21" s="7">
        <f t="shared" si="10"/>
        <v>67.982399999999998</v>
      </c>
      <c r="O21" s="5">
        <f>VLOOKUP($A21,[1]PLAN!$A$3:$BG$1149,49,)</f>
        <v>4</v>
      </c>
      <c r="P21" s="3"/>
      <c r="Q21" s="5">
        <f>VLOOKUP($A21,[1]PLAN!$A$3:$BG$1149,24,)/1.2</f>
        <v>49.02</v>
      </c>
      <c r="R21" s="7">
        <f t="shared" si="11"/>
        <v>58.823999999999998</v>
      </c>
      <c r="S21" s="5">
        <f>VLOOKUP($A21,[1]PLAN!$A$3:$BG$1149,50,)</f>
        <v>4</v>
      </c>
      <c r="U21" s="10">
        <v>73.92</v>
      </c>
      <c r="V21" s="11">
        <f t="shared" si="12"/>
        <v>88.703999999999994</v>
      </c>
      <c r="W21" s="6">
        <v>4</v>
      </c>
      <c r="Y21" s="10">
        <v>72.56</v>
      </c>
      <c r="Z21" s="11">
        <f t="shared" si="13"/>
        <v>87.072000000000003</v>
      </c>
      <c r="AA21" s="6">
        <v>4</v>
      </c>
      <c r="AB21" s="1">
        <v>1.2</v>
      </c>
      <c r="AC21" s="21" t="str">
        <f t="shared" si="4"/>
        <v>65:25</v>
      </c>
      <c r="AD21" s="27" t="str">
        <f t="shared" si="5"/>
        <v/>
      </c>
      <c r="AE21" s="27" t="str">
        <f t="shared" si="6"/>
        <v/>
      </c>
      <c r="AF21" s="14">
        <f t="shared" si="7"/>
        <v>45845.295138888891</v>
      </c>
      <c r="AG21" s="12">
        <f t="shared" si="8"/>
        <v>45845</v>
      </c>
      <c r="AH21" s="24">
        <f t="shared" si="9"/>
        <v>0.29513888889050577</v>
      </c>
    </row>
    <row r="22" spans="1:34" ht="19.95" customHeight="1" x14ac:dyDescent="0.4">
      <c r="A22" s="2">
        <v>1175</v>
      </c>
      <c r="B22" s="16">
        <f>VLOOKUP(A22,[1]PLAN!$A$3:$BG$1149,18,)+VLOOKUP(A22,[1]PLAN!$A$3:$BG$1149,19,)</f>
        <v>45842.604166666664</v>
      </c>
      <c r="C22" s="22">
        <f t="shared" si="0"/>
        <v>45842</v>
      </c>
      <c r="D22" s="23">
        <f t="shared" si="1"/>
        <v>0.60416666666424135</v>
      </c>
      <c r="E22" s="14">
        <f>VLOOKUP(A22,[1]PLAN!$A$3:$BG$1149,54,)+VLOOKUP(A22,[1]PLAN!$A$3:$BG$1149,22,)</f>
        <v>45845.298611111109</v>
      </c>
      <c r="F22" s="12">
        <f t="shared" si="2"/>
        <v>45845</v>
      </c>
      <c r="G22" s="24">
        <f t="shared" si="3"/>
        <v>0.29861111110949423</v>
      </c>
      <c r="H22" s="14"/>
      <c r="I22" s="14"/>
      <c r="J22" s="29"/>
      <c r="K22" s="30"/>
      <c r="M22" s="17">
        <f>VLOOKUP($A22,[1]PLAN!$A$3:$BG$1149,23,)</f>
        <v>40.691999999999993</v>
      </c>
      <c r="N22" s="7">
        <f t="shared" si="10"/>
        <v>48.83039999999999</v>
      </c>
      <c r="O22" s="5">
        <f>VLOOKUP($A22,[1]PLAN!$A$3:$BG$1149,49,)</f>
        <v>4</v>
      </c>
      <c r="P22" s="3"/>
      <c r="Q22" s="5">
        <f>VLOOKUP($A22,[1]PLAN!$A$3:$BG$1149,24,)/1.2</f>
        <v>32.74</v>
      </c>
      <c r="R22" s="7">
        <f t="shared" si="11"/>
        <v>39.288000000000004</v>
      </c>
      <c r="S22" s="5">
        <f>VLOOKUP($A22,[1]PLAN!$A$3:$BG$1149,50,)</f>
        <v>4</v>
      </c>
      <c r="U22" s="10">
        <v>65.34</v>
      </c>
      <c r="V22" s="11">
        <f t="shared" si="12"/>
        <v>78.408000000000001</v>
      </c>
      <c r="W22" s="6">
        <v>3</v>
      </c>
      <c r="Y22" s="10">
        <v>64.290000000000006</v>
      </c>
      <c r="Z22" s="11">
        <f t="shared" si="13"/>
        <v>77.14800000000001</v>
      </c>
      <c r="AA22" s="6">
        <v>4</v>
      </c>
      <c r="AB22" s="1">
        <v>1.2</v>
      </c>
      <c r="AC22" s="21" t="str">
        <f t="shared" si="4"/>
        <v>64:40</v>
      </c>
      <c r="AD22" s="27" t="str">
        <f t="shared" si="5"/>
        <v/>
      </c>
      <c r="AE22" s="27" t="str">
        <f t="shared" si="6"/>
        <v/>
      </c>
      <c r="AF22" s="14">
        <f t="shared" si="7"/>
        <v>45845.298611111109</v>
      </c>
      <c r="AG22" s="12">
        <f t="shared" si="8"/>
        <v>45845</v>
      </c>
      <c r="AH22" s="24">
        <f t="shared" si="9"/>
        <v>0.29861111110949423</v>
      </c>
    </row>
    <row r="23" spans="1:34" ht="19.95" customHeight="1" x14ac:dyDescent="0.4">
      <c r="A23" s="2">
        <v>1176</v>
      </c>
      <c r="B23" s="16">
        <f>VLOOKUP(A23,[1]PLAN!$A$3:$BG$1149,18,)+VLOOKUP(A23,[1]PLAN!$A$3:$BG$1149,19,)</f>
        <v>45842.645833333336</v>
      </c>
      <c r="C23" s="22">
        <f t="shared" si="0"/>
        <v>45842</v>
      </c>
      <c r="D23" s="23">
        <f t="shared" si="1"/>
        <v>0.64583333333575865</v>
      </c>
      <c r="E23" s="14">
        <f>VLOOKUP(A23,[1]PLAN!$A$3:$BG$1149,54,)+VLOOKUP(A23,[1]PLAN!$A$3:$BG$1149,22,)</f>
        <v>45845.302083333336</v>
      </c>
      <c r="F23" s="12">
        <f t="shared" si="2"/>
        <v>45845</v>
      </c>
      <c r="G23" s="24">
        <f t="shared" si="3"/>
        <v>0.30208333333575865</v>
      </c>
      <c r="H23" s="14"/>
      <c r="I23" s="14"/>
      <c r="J23" s="29"/>
      <c r="K23" s="30"/>
      <c r="M23" s="17">
        <f>VLOOKUP($A23,[1]PLAN!$A$3:$BG$1149,23,)</f>
        <v>49.943999999999996</v>
      </c>
      <c r="N23" s="7">
        <f t="shared" si="10"/>
        <v>59.932799999999993</v>
      </c>
      <c r="O23" s="5">
        <f>VLOOKUP($A23,[1]PLAN!$A$3:$BG$1149,49,)</f>
        <v>4</v>
      </c>
      <c r="P23" s="3"/>
      <c r="Q23" s="5">
        <f>VLOOKUP($A23,[1]PLAN!$A$3:$BG$1149,24,)/1.2</f>
        <v>42.86</v>
      </c>
      <c r="R23" s="7">
        <f t="shared" si="11"/>
        <v>51.431999999999995</v>
      </c>
      <c r="S23" s="5">
        <f>VLOOKUP($A23,[1]PLAN!$A$3:$BG$1149,50,)</f>
        <v>4</v>
      </c>
      <c r="U23" s="10">
        <v>70.459999999999994</v>
      </c>
      <c r="V23" s="11">
        <f t="shared" si="12"/>
        <v>84.551999999999992</v>
      </c>
      <c r="W23" s="6">
        <v>4</v>
      </c>
      <c r="Y23" s="10">
        <v>70.260000000000005</v>
      </c>
      <c r="Z23" s="11">
        <f t="shared" si="13"/>
        <v>84.311999999999998</v>
      </c>
      <c r="AA23" s="6">
        <v>4</v>
      </c>
      <c r="AB23" s="1">
        <v>1.2</v>
      </c>
      <c r="AC23" s="21" t="str">
        <f t="shared" si="4"/>
        <v>63:45</v>
      </c>
      <c r="AD23" s="27" t="str">
        <f t="shared" si="5"/>
        <v/>
      </c>
      <c r="AE23" s="27" t="str">
        <f t="shared" si="6"/>
        <v/>
      </c>
      <c r="AF23" s="14">
        <f t="shared" si="7"/>
        <v>45845.302083333336</v>
      </c>
      <c r="AG23" s="12">
        <f t="shared" si="8"/>
        <v>45845</v>
      </c>
      <c r="AH23" s="24">
        <f t="shared" si="9"/>
        <v>0.30208333333575865</v>
      </c>
    </row>
    <row r="24" spans="1:34" ht="19.95" customHeight="1" x14ac:dyDescent="0.4">
      <c r="A24" s="2">
        <v>1177</v>
      </c>
      <c r="B24" s="16">
        <f>VLOOKUP(A24,[1]PLAN!$A$3:$BG$1149,18,)+VLOOKUP(A24,[1]PLAN!$A$3:$BG$1149,19,)</f>
        <v>45842.673611111109</v>
      </c>
      <c r="C24" s="22">
        <f t="shared" si="0"/>
        <v>45842</v>
      </c>
      <c r="D24" s="23">
        <f t="shared" si="1"/>
        <v>0.67361111110949423</v>
      </c>
      <c r="E24" s="14">
        <f>VLOOKUP(A24,[1]PLAN!$A$3:$BG$1149,54,)+VLOOKUP(A24,[1]PLAN!$A$3:$BG$1149,22,)</f>
        <v>45843.305555555555</v>
      </c>
      <c r="F24" s="12">
        <f t="shared" si="2"/>
        <v>45843</v>
      </c>
      <c r="G24" s="24">
        <f t="shared" si="3"/>
        <v>0.30555555555474712</v>
      </c>
      <c r="H24" s="14"/>
      <c r="I24" s="14"/>
      <c r="J24" s="29"/>
      <c r="K24" s="30"/>
      <c r="M24" s="17">
        <f>VLOOKUP($A24,[1]PLAN!$A$3:$BG$1149,23,)</f>
        <v>24.251999999999999</v>
      </c>
      <c r="N24" s="7">
        <f t="shared" si="10"/>
        <v>29.102399999999996</v>
      </c>
      <c r="O24" s="5">
        <f>VLOOKUP($A24,[1]PLAN!$A$3:$BG$1149,49,)</f>
        <v>4</v>
      </c>
      <c r="P24" s="3"/>
      <c r="Q24" s="5">
        <f>VLOOKUP($A24,[1]PLAN!$A$3:$BG$1149,24,)/1.2</f>
        <v>19.989999999999998</v>
      </c>
      <c r="R24" s="7">
        <f t="shared" si="11"/>
        <v>23.987999999999996</v>
      </c>
      <c r="S24" s="5">
        <f>VLOOKUP($A24,[1]PLAN!$A$3:$BG$1149,50,)</f>
        <v>4</v>
      </c>
      <c r="U24" s="10">
        <v>70.069999999999993</v>
      </c>
      <c r="V24" s="11">
        <f t="shared" si="12"/>
        <v>84.083999999999989</v>
      </c>
      <c r="W24" s="6">
        <v>4</v>
      </c>
      <c r="Y24" s="10">
        <v>71.02</v>
      </c>
      <c r="Z24" s="11">
        <f t="shared" si="13"/>
        <v>85.22399999999999</v>
      </c>
      <c r="AA24" s="6">
        <v>4</v>
      </c>
      <c r="AB24" s="1">
        <v>1.2</v>
      </c>
      <c r="AC24" s="21" t="str">
        <f t="shared" si="4"/>
        <v>15:10</v>
      </c>
      <c r="AD24" s="27" t="str">
        <f t="shared" si="5"/>
        <v/>
      </c>
      <c r="AE24" s="27" t="str">
        <f t="shared" si="6"/>
        <v/>
      </c>
      <c r="AF24" s="14">
        <f t="shared" si="7"/>
        <v>45843.305555555555</v>
      </c>
      <c r="AG24" s="12">
        <f t="shared" si="8"/>
        <v>45843</v>
      </c>
      <c r="AH24" s="24">
        <f t="shared" si="9"/>
        <v>0.30555555555474712</v>
      </c>
    </row>
    <row r="25" spans="1:34" ht="19.95" customHeight="1" x14ac:dyDescent="0.4">
      <c r="A25" s="2">
        <v>1178</v>
      </c>
      <c r="B25" s="16">
        <f>VLOOKUP(A25,[1]PLAN!$A$3:$BG$1149,18,)+VLOOKUP(A25,[1]PLAN!$A$3:$BG$1149,19,)</f>
        <v>45848.368055555555</v>
      </c>
      <c r="C25" s="22">
        <f t="shared" si="0"/>
        <v>45848</v>
      </c>
      <c r="D25" s="23">
        <f t="shared" si="1"/>
        <v>0.36805555555474712</v>
      </c>
      <c r="E25" s="14">
        <f>VLOOKUP(A25,[1]PLAN!$A$3:$BG$1149,54,)+VLOOKUP(A25,[1]PLAN!$A$3:$BG$1149,22,)</f>
        <v>45849.3125</v>
      </c>
      <c r="F25" s="12">
        <f t="shared" si="2"/>
        <v>45849</v>
      </c>
      <c r="G25" s="24">
        <f t="shared" si="3"/>
        <v>0.3125</v>
      </c>
      <c r="H25" s="14"/>
      <c r="I25" s="14"/>
      <c r="J25" s="29"/>
      <c r="K25" s="30"/>
      <c r="M25" s="17">
        <f>VLOOKUP($A25,[1]PLAN!$A$3:$BG$1149,23,)</f>
        <v>26.98</v>
      </c>
      <c r="N25" s="7">
        <f t="shared" si="10"/>
        <v>32.375999999999998</v>
      </c>
      <c r="O25" s="5">
        <f>VLOOKUP($A25,[1]PLAN!$A$3:$BG$1149,49,)</f>
        <v>4</v>
      </c>
      <c r="P25" s="3"/>
      <c r="Q25" s="5">
        <f>VLOOKUP($A25,[1]PLAN!$A$3:$BG$1149,24,)/1.2</f>
        <v>23.041666666666668</v>
      </c>
      <c r="R25" s="7">
        <f t="shared" si="11"/>
        <v>27.650000000000002</v>
      </c>
      <c r="S25" s="5">
        <f>VLOOKUP($A25,[1]PLAN!$A$3:$BG$1149,50,)</f>
        <v>4</v>
      </c>
      <c r="U25" s="10">
        <v>68.680000000000007</v>
      </c>
      <c r="V25" s="11">
        <f t="shared" si="12"/>
        <v>82.416000000000011</v>
      </c>
      <c r="W25" s="6">
        <v>4</v>
      </c>
      <c r="Y25" s="10">
        <v>69.97</v>
      </c>
      <c r="Z25" s="11">
        <f t="shared" si="13"/>
        <v>83.963999999999999</v>
      </c>
      <c r="AA25" s="6">
        <v>4</v>
      </c>
      <c r="AB25" s="1">
        <v>1.2</v>
      </c>
      <c r="AC25" s="21" t="str">
        <f t="shared" si="4"/>
        <v>22:40</v>
      </c>
      <c r="AD25" s="27" t="str">
        <f t="shared" si="5"/>
        <v/>
      </c>
      <c r="AE25" s="27" t="str">
        <f t="shared" si="6"/>
        <v/>
      </c>
      <c r="AF25" s="14">
        <f t="shared" si="7"/>
        <v>45849.3125</v>
      </c>
      <c r="AG25" s="12">
        <f t="shared" si="8"/>
        <v>45849</v>
      </c>
      <c r="AH25" s="24">
        <f t="shared" si="9"/>
        <v>0.3125</v>
      </c>
    </row>
    <row r="26" spans="1:34" ht="19.95" customHeight="1" x14ac:dyDescent="0.4">
      <c r="A26" s="2">
        <v>1179</v>
      </c>
      <c r="B26" s="16">
        <f>VLOOKUP(A26,[1]PLAN!$A$3:$BG$1149,18,)+VLOOKUP(A26,[1]PLAN!$A$3:$BG$1149,19,)</f>
        <v>45848.381944444445</v>
      </c>
      <c r="C26" s="22">
        <f t="shared" si="0"/>
        <v>45848</v>
      </c>
      <c r="D26" s="23">
        <f t="shared" si="1"/>
        <v>0.38194444444525288</v>
      </c>
      <c r="E26" s="14">
        <f>VLOOKUP(A26,[1]PLAN!$A$3:$BG$1149,54,)+VLOOKUP(A26,[1]PLAN!$A$3:$BG$1149,22,)</f>
        <v>45849.315972222219</v>
      </c>
      <c r="F26" s="12">
        <f t="shared" si="2"/>
        <v>45849</v>
      </c>
      <c r="G26" s="24">
        <f t="shared" si="3"/>
        <v>0.31597222221898846</v>
      </c>
      <c r="H26" s="14"/>
      <c r="I26" s="14"/>
      <c r="J26" s="29"/>
      <c r="K26" s="30"/>
      <c r="M26" s="17">
        <f>VLOOKUP($A26,[1]PLAN!$A$3:$BG$1149,23,)</f>
        <v>31.667999999999999</v>
      </c>
      <c r="N26" s="7">
        <f t="shared" si="10"/>
        <v>38.001599999999996</v>
      </c>
      <c r="O26" s="5">
        <f>VLOOKUP($A26,[1]PLAN!$A$3:$BG$1149,49,)</f>
        <v>4</v>
      </c>
      <c r="P26" s="3"/>
      <c r="Q26" s="5">
        <f>VLOOKUP($A26,[1]PLAN!$A$3:$BG$1149,24,)/1.2</f>
        <v>25.76</v>
      </c>
      <c r="R26" s="7">
        <f t="shared" si="11"/>
        <v>30.911999999999999</v>
      </c>
      <c r="S26" s="5">
        <f>VLOOKUP($A26,[1]PLAN!$A$3:$BG$1149,50,)</f>
        <v>4</v>
      </c>
      <c r="U26" s="10">
        <v>70.56</v>
      </c>
      <c r="V26" s="11">
        <f t="shared" si="12"/>
        <v>84.671999999999997</v>
      </c>
      <c r="W26" s="6">
        <v>4</v>
      </c>
      <c r="Y26" s="10">
        <v>70.83</v>
      </c>
      <c r="Z26" s="11">
        <f t="shared" si="13"/>
        <v>84.995999999999995</v>
      </c>
      <c r="AA26" s="6">
        <v>4</v>
      </c>
      <c r="AB26" s="1">
        <v>1.2</v>
      </c>
      <c r="AC26" s="21" t="str">
        <f t="shared" si="4"/>
        <v>22:25</v>
      </c>
      <c r="AD26" s="27" t="str">
        <f t="shared" si="5"/>
        <v/>
      </c>
      <c r="AE26" s="27" t="str">
        <f t="shared" si="6"/>
        <v/>
      </c>
      <c r="AF26" s="14">
        <f t="shared" si="7"/>
        <v>45849.315972222219</v>
      </c>
      <c r="AG26" s="12">
        <f t="shared" si="8"/>
        <v>45849</v>
      </c>
      <c r="AH26" s="24">
        <f t="shared" si="9"/>
        <v>0.31597222221898846</v>
      </c>
    </row>
    <row r="27" spans="1:34" ht="19.95" customHeight="1" x14ac:dyDescent="0.4">
      <c r="A27" s="2">
        <v>1180</v>
      </c>
      <c r="B27" s="16">
        <f>VLOOKUP(A27,[1]PLAN!$A$3:$BG$1149,18,)+VLOOKUP(A27,[1]PLAN!$A$3:$BG$1149,19,)</f>
        <v>45848.40625</v>
      </c>
      <c r="C27" s="22">
        <f t="shared" si="0"/>
        <v>45848</v>
      </c>
      <c r="D27" s="23">
        <f t="shared" si="1"/>
        <v>0.40625</v>
      </c>
      <c r="E27" s="14">
        <f>VLOOKUP(A27,[1]PLAN!$A$3:$BG$1149,54,)+VLOOKUP(A27,[1]PLAN!$A$3:$BG$1149,22,)</f>
        <v>45849.319444444445</v>
      </c>
      <c r="F27" s="12">
        <f t="shared" si="2"/>
        <v>45849</v>
      </c>
      <c r="G27" s="24">
        <f t="shared" si="3"/>
        <v>0.31944444444525288</v>
      </c>
      <c r="H27" s="14"/>
      <c r="I27" s="14"/>
      <c r="J27" s="29"/>
      <c r="K27" s="30"/>
      <c r="M27" s="17">
        <f>VLOOKUP($A27,[1]PLAN!$A$3:$BG$1149,23,)</f>
        <v>33.06</v>
      </c>
      <c r="N27" s="7">
        <f t="shared" si="10"/>
        <v>39.672000000000004</v>
      </c>
      <c r="O27" s="5">
        <f>VLOOKUP($A27,[1]PLAN!$A$3:$BG$1149,49,)</f>
        <v>4</v>
      </c>
      <c r="P27" s="3"/>
      <c r="Q27" s="5">
        <f>VLOOKUP($A27,[1]PLAN!$A$3:$BG$1149,24,)/1.2</f>
        <v>30.458333333333332</v>
      </c>
      <c r="R27" s="7">
        <f t="shared" si="11"/>
        <v>36.549999999999997</v>
      </c>
      <c r="S27" s="5">
        <f>VLOOKUP($A27,[1]PLAN!$A$3:$BG$1149,50,)</f>
        <v>4</v>
      </c>
      <c r="U27" s="10">
        <v>70.67</v>
      </c>
      <c r="V27" s="11">
        <f t="shared" si="12"/>
        <v>84.804000000000002</v>
      </c>
      <c r="W27" s="6">
        <v>4</v>
      </c>
      <c r="Y27" s="10">
        <v>70.239999999999995</v>
      </c>
      <c r="Z27" s="11">
        <f t="shared" si="13"/>
        <v>84.287999999999997</v>
      </c>
      <c r="AA27" s="6">
        <v>4</v>
      </c>
      <c r="AB27" s="1">
        <v>1.2</v>
      </c>
      <c r="AC27" s="21" t="str">
        <f t="shared" si="4"/>
        <v>21:55</v>
      </c>
      <c r="AD27" s="27" t="str">
        <f t="shared" si="5"/>
        <v/>
      </c>
      <c r="AE27" s="27" t="str">
        <f t="shared" si="6"/>
        <v/>
      </c>
      <c r="AF27" s="14">
        <f t="shared" si="7"/>
        <v>45849.319444444445</v>
      </c>
      <c r="AG27" s="12">
        <f t="shared" si="8"/>
        <v>45849</v>
      </c>
      <c r="AH27" s="24">
        <f t="shared" si="9"/>
        <v>0.31944444444525288</v>
      </c>
    </row>
    <row r="28" spans="1:34" ht="19.95" customHeight="1" x14ac:dyDescent="0.4">
      <c r="A28" s="2">
        <v>1181</v>
      </c>
      <c r="B28" s="16">
        <f>VLOOKUP(A28,[1]PLAN!$A$3:$BG$1149,18,)+VLOOKUP(A28,[1]PLAN!$A$3:$BG$1149,19,)</f>
        <v>45848.423611111109</v>
      </c>
      <c r="C28" s="22">
        <f t="shared" si="0"/>
        <v>45848</v>
      </c>
      <c r="D28" s="23">
        <f t="shared" si="1"/>
        <v>0.42361111110949423</v>
      </c>
      <c r="E28" s="14">
        <f>VLOOKUP(A28,[1]PLAN!$A$3:$BG$1149,54,)+VLOOKUP(A28,[1]PLAN!$A$3:$BG$1149,22,)</f>
        <v>45849.322916666664</v>
      </c>
      <c r="F28" s="12">
        <f t="shared" si="2"/>
        <v>45849</v>
      </c>
      <c r="G28" s="24">
        <f t="shared" si="3"/>
        <v>0.32291666666424135</v>
      </c>
      <c r="H28" s="14"/>
      <c r="I28" s="14"/>
      <c r="J28" s="29"/>
      <c r="K28" s="30"/>
      <c r="M28" s="17">
        <f>VLOOKUP($A28,[1]PLAN!$A$3:$BG$1149,23,)</f>
        <v>38.363999999999997</v>
      </c>
      <c r="N28" s="7">
        <f t="shared" si="10"/>
        <v>46.036799999999992</v>
      </c>
      <c r="O28" s="5">
        <f>VLOOKUP($A28,[1]PLAN!$A$3:$BG$1149,49,)</f>
        <v>4</v>
      </c>
      <c r="P28" s="3"/>
      <c r="Q28" s="5">
        <f>VLOOKUP($A28,[1]PLAN!$A$3:$BG$1149,24,)/1.2</f>
        <v>30.51</v>
      </c>
      <c r="R28" s="7">
        <f t="shared" si="11"/>
        <v>36.612000000000002</v>
      </c>
      <c r="S28" s="5">
        <f>VLOOKUP($A28,[1]PLAN!$A$3:$BG$1149,50,)</f>
        <v>4</v>
      </c>
      <c r="U28" s="10">
        <v>69.680000000000007</v>
      </c>
      <c r="V28" s="11">
        <f t="shared" si="12"/>
        <v>83.616</v>
      </c>
      <c r="W28" s="6">
        <v>4</v>
      </c>
      <c r="Y28" s="10">
        <v>70.06</v>
      </c>
      <c r="Z28" s="11">
        <f t="shared" si="13"/>
        <v>84.072000000000003</v>
      </c>
      <c r="AA28" s="6">
        <v>4</v>
      </c>
      <c r="AB28" s="1">
        <v>1.2</v>
      </c>
      <c r="AC28" s="21" t="str">
        <f t="shared" si="4"/>
        <v>21:35</v>
      </c>
      <c r="AD28" s="27" t="str">
        <f t="shared" si="5"/>
        <v/>
      </c>
      <c r="AE28" s="27" t="str">
        <f t="shared" si="6"/>
        <v/>
      </c>
      <c r="AF28" s="14">
        <f t="shared" si="7"/>
        <v>45849.322916666664</v>
      </c>
      <c r="AG28" s="12">
        <f t="shared" si="8"/>
        <v>45849</v>
      </c>
      <c r="AH28" s="24">
        <f t="shared" si="9"/>
        <v>0.32291666666424135</v>
      </c>
    </row>
    <row r="29" spans="1:34" ht="19.95" customHeight="1" x14ac:dyDescent="0.4">
      <c r="A29" s="2">
        <v>1182</v>
      </c>
      <c r="B29" s="16">
        <f>VLOOKUP(A29,[1]PLAN!$A$3:$BG$1149,18,)+VLOOKUP(A29,[1]PLAN!$A$3:$BG$1149,19,)</f>
        <v>45848.625</v>
      </c>
      <c r="C29" s="22">
        <f t="shared" si="0"/>
        <v>45848</v>
      </c>
      <c r="D29" s="23">
        <f t="shared" si="1"/>
        <v>0.625</v>
      </c>
      <c r="E29" s="14">
        <f>VLOOKUP(A29,[1]PLAN!$A$3:$BG$1149,54,)+VLOOKUP(A29,[1]PLAN!$A$3:$BG$1149,22,)</f>
        <v>45849.326388888891</v>
      </c>
      <c r="F29" s="12">
        <f t="shared" si="2"/>
        <v>45849</v>
      </c>
      <c r="G29" s="24">
        <f t="shared" si="3"/>
        <v>0.32638888889050577</v>
      </c>
      <c r="H29" s="14"/>
      <c r="I29" s="14"/>
      <c r="J29" s="29"/>
      <c r="K29" s="30"/>
      <c r="M29" s="17">
        <f>VLOOKUP($A29,[1]PLAN!$A$3:$BG$1149,23,)</f>
        <v>23.7</v>
      </c>
      <c r="N29" s="7">
        <f t="shared" si="10"/>
        <v>28.439999999999998</v>
      </c>
      <c r="O29" s="5">
        <f>VLOOKUP($A29,[1]PLAN!$A$3:$BG$1149,49,)</f>
        <v>4</v>
      </c>
      <c r="P29" s="3"/>
      <c r="Q29" s="5">
        <f>VLOOKUP($A29,[1]PLAN!$A$3:$BG$1149,24,)/1.2</f>
        <v>20.149999999999999</v>
      </c>
      <c r="R29" s="7">
        <f t="shared" si="11"/>
        <v>24.179999999999996</v>
      </c>
      <c r="S29" s="5">
        <f>VLOOKUP($A29,[1]PLAN!$A$3:$BG$1149,50,)</f>
        <v>4</v>
      </c>
      <c r="U29" s="10">
        <v>70.61</v>
      </c>
      <c r="V29" s="11">
        <f t="shared" si="12"/>
        <v>84.731999999999999</v>
      </c>
      <c r="W29" s="6">
        <v>4</v>
      </c>
      <c r="Y29" s="10">
        <v>70.959999999999994</v>
      </c>
      <c r="Z29" s="11">
        <f t="shared" si="13"/>
        <v>85.151999999999987</v>
      </c>
      <c r="AA29" s="6">
        <v>4</v>
      </c>
      <c r="AB29" s="1">
        <v>1.2</v>
      </c>
      <c r="AC29" s="21" t="str">
        <f t="shared" si="4"/>
        <v>16:50</v>
      </c>
      <c r="AD29" s="27" t="str">
        <f t="shared" si="5"/>
        <v/>
      </c>
      <c r="AE29" s="27" t="str">
        <f t="shared" si="6"/>
        <v/>
      </c>
      <c r="AF29" s="14">
        <f t="shared" si="7"/>
        <v>45849.326388888891</v>
      </c>
      <c r="AG29" s="12">
        <f t="shared" si="8"/>
        <v>45849</v>
      </c>
      <c r="AH29" s="24">
        <f t="shared" si="9"/>
        <v>0.32638888889050577</v>
      </c>
    </row>
    <row r="30" spans="1:34" ht="19.95" customHeight="1" x14ac:dyDescent="0.4">
      <c r="A30" s="2">
        <v>1183</v>
      </c>
      <c r="B30" s="16">
        <f>VLOOKUP(A30,[1]PLAN!$A$3:$BG$1149,18,)+VLOOKUP(A30,[1]PLAN!$A$3:$BG$1149,19,)</f>
        <v>45850.465277777781</v>
      </c>
      <c r="C30" s="22">
        <f t="shared" si="0"/>
        <v>45850</v>
      </c>
      <c r="D30" s="23">
        <f t="shared" si="1"/>
        <v>0.46527777778101154</v>
      </c>
      <c r="E30" s="14">
        <f>VLOOKUP(A30,[1]PLAN!$A$3:$BG$1149,54,)+VLOOKUP(A30,[1]PLAN!$A$3:$BG$1149,22,)</f>
        <v>45852.291666666664</v>
      </c>
      <c r="F30" s="12">
        <f t="shared" si="2"/>
        <v>45852</v>
      </c>
      <c r="G30" s="24">
        <f t="shared" si="3"/>
        <v>0.29166666666424135</v>
      </c>
      <c r="H30" s="14"/>
      <c r="I30" s="14"/>
      <c r="J30" s="29"/>
      <c r="K30" s="30"/>
      <c r="M30" s="17">
        <f>VLOOKUP($A30,[1]PLAN!$A$3:$BG$1149,23,)</f>
        <v>50.879999999999995</v>
      </c>
      <c r="N30" s="7">
        <f t="shared" si="10"/>
        <v>61.05599999999999</v>
      </c>
      <c r="O30" s="5">
        <f>VLOOKUP($A30,[1]PLAN!$A$3:$BG$1149,49,)</f>
        <v>4</v>
      </c>
      <c r="P30" s="3"/>
      <c r="Q30" s="5">
        <f>VLOOKUP($A30,[1]PLAN!$A$3:$BG$1149,24,)/1.2</f>
        <v>41.95</v>
      </c>
      <c r="R30" s="7">
        <f t="shared" si="11"/>
        <v>50.34</v>
      </c>
      <c r="S30" s="5">
        <f>VLOOKUP($A30,[1]PLAN!$A$3:$BG$1149,50,)</f>
        <v>4</v>
      </c>
      <c r="U30" s="10">
        <v>70.05</v>
      </c>
      <c r="V30" s="11">
        <f t="shared" si="12"/>
        <v>84.059999999999988</v>
      </c>
      <c r="W30" s="6">
        <v>4</v>
      </c>
      <c r="Y30" s="10">
        <v>70.23</v>
      </c>
      <c r="Z30" s="11">
        <f t="shared" si="13"/>
        <v>84.275999999999996</v>
      </c>
      <c r="AA30" s="6">
        <v>4</v>
      </c>
      <c r="AB30" s="1">
        <v>1.2</v>
      </c>
      <c r="AC30" s="21" t="str">
        <f t="shared" si="4"/>
        <v>43:50</v>
      </c>
      <c r="AD30" s="27" t="str">
        <f t="shared" si="5"/>
        <v/>
      </c>
      <c r="AE30" s="27" t="str">
        <f t="shared" si="6"/>
        <v/>
      </c>
      <c r="AF30" s="14">
        <f t="shared" si="7"/>
        <v>45852.291666666664</v>
      </c>
      <c r="AG30" s="12">
        <f t="shared" si="8"/>
        <v>45852</v>
      </c>
      <c r="AH30" s="24">
        <f t="shared" si="9"/>
        <v>0.29166666666424135</v>
      </c>
    </row>
    <row r="31" spans="1:34" ht="19.95" customHeight="1" x14ac:dyDescent="0.4">
      <c r="A31" s="2">
        <v>1184</v>
      </c>
      <c r="B31" s="16">
        <f>VLOOKUP(A31,[1]PLAN!$A$3:$BG$1149,18,)+VLOOKUP(A31,[1]PLAN!$A$3:$BG$1149,19,)</f>
        <v>45850.597222222219</v>
      </c>
      <c r="C31" s="22">
        <f t="shared" si="0"/>
        <v>45850</v>
      </c>
      <c r="D31" s="23">
        <f t="shared" si="1"/>
        <v>0.59722222221898846</v>
      </c>
      <c r="E31" s="14">
        <f>VLOOKUP(A31,[1]PLAN!$A$3:$BG$1149,54,)+VLOOKUP(A31,[1]PLAN!$A$3:$BG$1149,22,)</f>
        <v>45852.295138888891</v>
      </c>
      <c r="F31" s="12">
        <f t="shared" si="2"/>
        <v>45852</v>
      </c>
      <c r="G31" s="24">
        <f t="shared" si="3"/>
        <v>0.29513888889050577</v>
      </c>
      <c r="H31" s="14"/>
      <c r="I31" s="14"/>
      <c r="J31" s="29"/>
      <c r="K31" s="30"/>
      <c r="M31" s="17">
        <f>VLOOKUP($A31,[1]PLAN!$A$3:$BG$1149,23,)</f>
        <v>43.536000000000001</v>
      </c>
      <c r="N31" s="7">
        <f t="shared" si="10"/>
        <v>52.243200000000002</v>
      </c>
      <c r="O31" s="5">
        <f>VLOOKUP($A31,[1]PLAN!$A$3:$BG$1149,49,)</f>
        <v>4</v>
      </c>
      <c r="P31" s="3"/>
      <c r="Q31" s="5">
        <f>VLOOKUP($A31,[1]PLAN!$A$3:$BG$1149,24,)/1.2</f>
        <v>36.479999999999997</v>
      </c>
      <c r="R31" s="7">
        <f t="shared" si="11"/>
        <v>43.775999999999996</v>
      </c>
      <c r="S31" s="5">
        <f>VLOOKUP($A31,[1]PLAN!$A$3:$BG$1149,50,)</f>
        <v>4</v>
      </c>
      <c r="U31" s="10">
        <v>70.11</v>
      </c>
      <c r="V31" s="11">
        <f t="shared" si="12"/>
        <v>84.131999999999991</v>
      </c>
      <c r="W31" s="6">
        <v>4</v>
      </c>
      <c r="Y31" s="10">
        <v>69.36</v>
      </c>
      <c r="Z31" s="11">
        <f t="shared" si="13"/>
        <v>83.231999999999999</v>
      </c>
      <c r="AA31" s="6">
        <v>4</v>
      </c>
      <c r="AB31" s="1">
        <v>1.2</v>
      </c>
      <c r="AC31" s="21" t="str">
        <f t="shared" si="4"/>
        <v>40:45</v>
      </c>
      <c r="AD31" s="27" t="str">
        <f t="shared" si="5"/>
        <v/>
      </c>
      <c r="AE31" s="27" t="str">
        <f t="shared" si="6"/>
        <v/>
      </c>
      <c r="AF31" s="14">
        <f t="shared" si="7"/>
        <v>45852.295138888891</v>
      </c>
      <c r="AG31" s="12">
        <f t="shared" si="8"/>
        <v>45852</v>
      </c>
      <c r="AH31" s="24">
        <f t="shared" si="9"/>
        <v>0.29513888889050577</v>
      </c>
    </row>
    <row r="32" spans="1:34" ht="19.95" customHeight="1" x14ac:dyDescent="0.4">
      <c r="A32" s="2">
        <v>1185</v>
      </c>
      <c r="B32" s="16">
        <f>VLOOKUP(A32,[1]PLAN!$A$3:$BG$1149,18,)+VLOOKUP(A32,[1]PLAN!$A$3:$BG$1149,19,)</f>
        <v>45850.625</v>
      </c>
      <c r="C32" s="22">
        <f t="shared" si="0"/>
        <v>45850</v>
      </c>
      <c r="D32" s="23">
        <f t="shared" si="1"/>
        <v>0.625</v>
      </c>
      <c r="E32" s="14">
        <f>VLOOKUP(A32,[1]PLAN!$A$3:$BG$1149,54,)+VLOOKUP(A32,[1]PLAN!$A$3:$BG$1149,22,)</f>
        <v>45852.298611111109</v>
      </c>
      <c r="F32" s="12">
        <f t="shared" si="2"/>
        <v>45852</v>
      </c>
      <c r="G32" s="24">
        <f t="shared" si="3"/>
        <v>0.29861111110949423</v>
      </c>
      <c r="H32" s="14"/>
      <c r="I32" s="14"/>
      <c r="J32" s="29"/>
      <c r="K32" s="30"/>
      <c r="M32" s="17">
        <f>VLOOKUP($A32,[1]PLAN!$A$3:$BG$1149,23,)</f>
        <v>47.771999999999998</v>
      </c>
      <c r="N32" s="7">
        <f t="shared" si="10"/>
        <v>57.3264</v>
      </c>
      <c r="O32" s="5">
        <f>VLOOKUP($A32,[1]PLAN!$A$3:$BG$1149,49,)</f>
        <v>4</v>
      </c>
      <c r="P32" s="3"/>
      <c r="Q32" s="5">
        <f>VLOOKUP($A32,[1]PLAN!$A$3:$BG$1149,24,)/1.2</f>
        <v>41.96</v>
      </c>
      <c r="R32" s="7">
        <f t="shared" si="11"/>
        <v>50.351999999999997</v>
      </c>
      <c r="S32" s="5">
        <f>VLOOKUP($A32,[1]PLAN!$A$3:$BG$1149,50,)</f>
        <v>4</v>
      </c>
      <c r="U32" s="10">
        <v>70.02</v>
      </c>
      <c r="V32" s="11">
        <f t="shared" si="12"/>
        <v>84.023999999999987</v>
      </c>
      <c r="W32" s="6">
        <v>4</v>
      </c>
      <c r="Y32" s="10">
        <v>70.319999999999993</v>
      </c>
      <c r="Z32" s="11">
        <f t="shared" si="13"/>
        <v>84.383999999999986</v>
      </c>
      <c r="AA32" s="6">
        <v>4</v>
      </c>
      <c r="AB32" s="1">
        <v>1.2</v>
      </c>
      <c r="AC32" s="21" t="str">
        <f t="shared" si="4"/>
        <v>40:10</v>
      </c>
      <c r="AD32" s="27" t="str">
        <f t="shared" si="5"/>
        <v/>
      </c>
      <c r="AE32" s="27" t="str">
        <f t="shared" si="6"/>
        <v/>
      </c>
      <c r="AF32" s="14">
        <f t="shared" si="7"/>
        <v>45852.298611111109</v>
      </c>
      <c r="AG32" s="12">
        <f t="shared" si="8"/>
        <v>45852</v>
      </c>
      <c r="AH32" s="24">
        <f t="shared" si="9"/>
        <v>0.29861111110949423</v>
      </c>
    </row>
    <row r="33" spans="1:34" ht="19.95" customHeight="1" x14ac:dyDescent="0.4">
      <c r="A33" s="2">
        <v>1186</v>
      </c>
      <c r="B33" s="16">
        <f>VLOOKUP(A33,[1]PLAN!$A$3:$BG$1149,18,)+VLOOKUP(A33,[1]PLAN!$A$3:$BG$1149,19,)</f>
        <v>45850.659722222219</v>
      </c>
      <c r="C33" s="22">
        <f t="shared" si="0"/>
        <v>45850</v>
      </c>
      <c r="D33" s="23">
        <f t="shared" si="1"/>
        <v>0.65972222221898846</v>
      </c>
      <c r="E33" s="14">
        <f>VLOOKUP(A33,[1]PLAN!$A$3:$BG$1149,54,)+VLOOKUP(A33,[1]PLAN!$A$3:$BG$1149,22,)</f>
        <v>45852.302083333336</v>
      </c>
      <c r="F33" s="12">
        <f t="shared" si="2"/>
        <v>45852</v>
      </c>
      <c r="G33" s="24">
        <f t="shared" si="3"/>
        <v>0.30208333333575865</v>
      </c>
      <c r="H33" s="14"/>
      <c r="I33" s="14"/>
      <c r="J33" s="29"/>
      <c r="K33" s="30"/>
      <c r="M33" s="17">
        <f>VLOOKUP($A33,[1]PLAN!$A$3:$BG$1149,23,)</f>
        <v>39.527999999999999</v>
      </c>
      <c r="N33" s="7">
        <f t="shared" si="10"/>
        <v>47.433599999999998</v>
      </c>
      <c r="O33" s="5">
        <f>VLOOKUP($A33,[1]PLAN!$A$3:$BG$1149,49,)</f>
        <v>4</v>
      </c>
      <c r="P33" s="3"/>
      <c r="Q33" s="5">
        <f>VLOOKUP($A33,[1]PLAN!$A$3:$BG$1149,24,)/1.2</f>
        <v>31.71</v>
      </c>
      <c r="R33" s="7">
        <f t="shared" si="11"/>
        <v>38.052</v>
      </c>
      <c r="S33" s="5">
        <f>VLOOKUP($A33,[1]PLAN!$A$3:$BG$1149,50,)</f>
        <v>4</v>
      </c>
      <c r="U33" s="10">
        <v>70.540000000000006</v>
      </c>
      <c r="V33" s="11">
        <f t="shared" si="12"/>
        <v>84.64800000000001</v>
      </c>
      <c r="W33" s="6">
        <v>4</v>
      </c>
      <c r="Y33" s="10">
        <v>70.290000000000006</v>
      </c>
      <c r="Z33" s="11">
        <f t="shared" si="13"/>
        <v>84.347999999999999</v>
      </c>
      <c r="AA33" s="6">
        <v>4</v>
      </c>
      <c r="AB33" s="1">
        <v>1.2</v>
      </c>
      <c r="AC33" s="21" t="str">
        <f t="shared" si="4"/>
        <v>39:25</v>
      </c>
      <c r="AD33" s="27" t="str">
        <f t="shared" si="5"/>
        <v/>
      </c>
      <c r="AE33" s="27" t="str">
        <f t="shared" si="6"/>
        <v/>
      </c>
      <c r="AF33" s="14">
        <f t="shared" si="7"/>
        <v>45852.302083333336</v>
      </c>
      <c r="AG33" s="12">
        <f t="shared" si="8"/>
        <v>45852</v>
      </c>
      <c r="AH33" s="24">
        <f t="shared" si="9"/>
        <v>0.30208333333575865</v>
      </c>
    </row>
    <row r="34" spans="1:34" ht="19.95" customHeight="1" x14ac:dyDescent="0.4">
      <c r="A34" s="2">
        <v>1187</v>
      </c>
      <c r="B34" s="16">
        <f>VLOOKUP(A34,[1]PLAN!$A$3:$BG$1149,18,)+VLOOKUP(A34,[1]PLAN!$A$3:$BG$1149,19,)</f>
        <v>45853.375</v>
      </c>
      <c r="C34" s="22">
        <f t="shared" si="0"/>
        <v>45853</v>
      </c>
      <c r="D34" s="23">
        <f t="shared" si="1"/>
        <v>0.375</v>
      </c>
      <c r="E34" s="14">
        <f>VLOOKUP(A34,[1]PLAN!$A$3:$BG$1149,54,)+VLOOKUP(A34,[1]PLAN!$A$3:$BG$1149,22,)</f>
        <v>45855.3125</v>
      </c>
      <c r="F34" s="12">
        <f t="shared" si="2"/>
        <v>45855</v>
      </c>
      <c r="G34" s="24">
        <f t="shared" si="3"/>
        <v>0.3125</v>
      </c>
      <c r="H34" s="14"/>
      <c r="I34" s="14"/>
      <c r="J34" s="29"/>
      <c r="K34" s="30"/>
      <c r="M34" s="17">
        <f>VLOOKUP($A34,[1]PLAN!$A$3:$BG$1149,23,)</f>
        <v>36.587999999999994</v>
      </c>
      <c r="N34" s="7">
        <f t="shared" si="10"/>
        <v>43.905599999999993</v>
      </c>
      <c r="O34" s="5">
        <f>VLOOKUP($A34,[1]PLAN!$A$3:$BG$1149,49,)</f>
        <v>4</v>
      </c>
      <c r="P34" s="3"/>
      <c r="Q34" s="5">
        <f>VLOOKUP($A34,[1]PLAN!$A$3:$BG$1149,24,)/1.2</f>
        <v>29.74</v>
      </c>
      <c r="R34" s="7">
        <f t="shared" si="11"/>
        <v>35.687999999999995</v>
      </c>
      <c r="S34" s="5">
        <f>VLOOKUP($A34,[1]PLAN!$A$3:$BG$1149,50,)</f>
        <v>4</v>
      </c>
      <c r="U34" s="10">
        <v>72.36</v>
      </c>
      <c r="V34" s="11">
        <f t="shared" si="12"/>
        <v>86.831999999999994</v>
      </c>
      <c r="W34" s="6">
        <v>4</v>
      </c>
      <c r="Y34" s="10">
        <v>71.56</v>
      </c>
      <c r="Z34" s="11">
        <f t="shared" si="13"/>
        <v>85.872</v>
      </c>
      <c r="AA34" s="6">
        <v>4</v>
      </c>
      <c r="AB34" s="1">
        <v>1.2</v>
      </c>
      <c r="AC34" s="21" t="str">
        <f t="shared" si="4"/>
        <v>46:30</v>
      </c>
      <c r="AD34" s="27" t="str">
        <f t="shared" si="5"/>
        <v/>
      </c>
      <c r="AE34" s="27" t="str">
        <f t="shared" si="6"/>
        <v/>
      </c>
      <c r="AF34" s="14">
        <f t="shared" si="7"/>
        <v>45855.3125</v>
      </c>
      <c r="AG34" s="12">
        <f t="shared" si="8"/>
        <v>45855</v>
      </c>
      <c r="AH34" s="24">
        <f t="shared" si="9"/>
        <v>0.3125</v>
      </c>
    </row>
    <row r="35" spans="1:34" ht="19.95" customHeight="1" x14ac:dyDescent="0.4">
      <c r="A35" s="2">
        <v>1188</v>
      </c>
      <c r="B35" s="16">
        <f>VLOOKUP(A35,[1]PLAN!$A$3:$BG$1149,18,)+VLOOKUP(A35,[1]PLAN!$A$3:$BG$1149,19,)</f>
        <v>45853.395833333336</v>
      </c>
      <c r="C35" s="22">
        <f t="shared" si="0"/>
        <v>45853</v>
      </c>
      <c r="D35" s="23">
        <f t="shared" si="1"/>
        <v>0.39583333333575865</v>
      </c>
      <c r="E35" s="14">
        <f>VLOOKUP(A35,[1]PLAN!$A$3:$BG$1149,54,)+VLOOKUP(A35,[1]PLAN!$A$3:$BG$1149,22,)</f>
        <v>45855.315972222219</v>
      </c>
      <c r="F35" s="12">
        <f t="shared" si="2"/>
        <v>45855</v>
      </c>
      <c r="G35" s="24">
        <f t="shared" si="3"/>
        <v>0.31597222221898846</v>
      </c>
      <c r="H35" s="14"/>
      <c r="I35" s="14"/>
      <c r="J35" s="29"/>
      <c r="K35" s="30"/>
      <c r="M35" s="17">
        <f>VLOOKUP($A35,[1]PLAN!$A$3:$BG$1149,23,)</f>
        <v>36.792000000000002</v>
      </c>
      <c r="N35" s="7">
        <f t="shared" si="10"/>
        <v>44.150399999999998</v>
      </c>
      <c r="O35" s="5">
        <f>VLOOKUP($A35,[1]PLAN!$A$3:$BG$1149,49,)</f>
        <v>4</v>
      </c>
      <c r="P35" s="3"/>
      <c r="Q35" s="5">
        <f>VLOOKUP($A35,[1]PLAN!$A$3:$BG$1149,24,)/1.2</f>
        <v>29.33</v>
      </c>
      <c r="R35" s="7">
        <f t="shared" si="11"/>
        <v>35.195999999999998</v>
      </c>
      <c r="S35" s="5">
        <f>VLOOKUP($A35,[1]PLAN!$A$3:$BG$1149,50,)</f>
        <v>4</v>
      </c>
      <c r="U35" s="10">
        <v>70.14</v>
      </c>
      <c r="V35" s="11">
        <f t="shared" si="12"/>
        <v>84.167999999999992</v>
      </c>
      <c r="W35" s="6">
        <v>4</v>
      </c>
      <c r="Y35" s="10">
        <v>70.569999999999993</v>
      </c>
      <c r="Z35" s="11">
        <f t="shared" si="13"/>
        <v>84.683999999999983</v>
      </c>
      <c r="AA35" s="6">
        <v>4</v>
      </c>
      <c r="AB35" s="1">
        <v>1.2</v>
      </c>
      <c r="AC35" s="21" t="str">
        <f t="shared" si="4"/>
        <v>46:05</v>
      </c>
      <c r="AD35" s="27" t="str">
        <f t="shared" si="5"/>
        <v/>
      </c>
      <c r="AE35" s="27" t="str">
        <f t="shared" si="6"/>
        <v/>
      </c>
      <c r="AF35" s="14">
        <f t="shared" si="7"/>
        <v>45855.315972222219</v>
      </c>
      <c r="AG35" s="12">
        <f t="shared" si="8"/>
        <v>45855</v>
      </c>
      <c r="AH35" s="24">
        <f t="shared" si="9"/>
        <v>0.31597222221898846</v>
      </c>
    </row>
    <row r="36" spans="1:34" ht="19.95" customHeight="1" x14ac:dyDescent="0.4">
      <c r="A36" s="2">
        <v>1189</v>
      </c>
      <c r="B36" s="16">
        <f>VLOOKUP(A36,[1]PLAN!$A$3:$BG$1149,18,)+VLOOKUP(A36,[1]PLAN!$A$3:$BG$1149,19,)</f>
        <v>45853.416666666664</v>
      </c>
      <c r="C36" s="22">
        <f t="shared" si="0"/>
        <v>45853</v>
      </c>
      <c r="D36" s="23">
        <f t="shared" si="1"/>
        <v>0.41666666666424135</v>
      </c>
      <c r="E36" s="14">
        <f>VLOOKUP(A36,[1]PLAN!$A$3:$BG$1149,54,)+VLOOKUP(A36,[1]PLAN!$A$3:$BG$1149,22,)</f>
        <v>45855.319444444445</v>
      </c>
      <c r="F36" s="12">
        <f t="shared" si="2"/>
        <v>45855</v>
      </c>
      <c r="G36" s="24">
        <f t="shared" si="3"/>
        <v>0.31944444444525288</v>
      </c>
      <c r="H36" s="14"/>
      <c r="I36" s="14"/>
      <c r="J36" s="29"/>
      <c r="K36" s="30"/>
      <c r="M36" s="17">
        <f>VLOOKUP($A36,[1]PLAN!$A$3:$BG$1149,23,)</f>
        <v>35.676000000000002</v>
      </c>
      <c r="N36" s="7">
        <f t="shared" si="10"/>
        <v>42.811199999999999</v>
      </c>
      <c r="O36" s="5">
        <f>VLOOKUP($A36,[1]PLAN!$A$3:$BG$1149,49,)</f>
        <v>4</v>
      </c>
      <c r="P36" s="3"/>
      <c r="Q36" s="5">
        <f>VLOOKUP($A36,[1]PLAN!$A$3:$BG$1149,24,)/1.2</f>
        <v>30.6</v>
      </c>
      <c r="R36" s="7">
        <f t="shared" si="11"/>
        <v>36.72</v>
      </c>
      <c r="S36" s="5">
        <f>VLOOKUP($A36,[1]PLAN!$A$3:$BG$1149,50,)</f>
        <v>4</v>
      </c>
      <c r="U36" s="10">
        <v>69.45</v>
      </c>
      <c r="V36" s="11">
        <f t="shared" si="12"/>
        <v>83.34</v>
      </c>
      <c r="W36" s="6">
        <v>4</v>
      </c>
      <c r="Y36" s="10">
        <v>69.25</v>
      </c>
      <c r="Z36" s="11">
        <f t="shared" si="13"/>
        <v>83.1</v>
      </c>
      <c r="AA36" s="6">
        <v>4</v>
      </c>
      <c r="AB36" s="1">
        <v>1.2</v>
      </c>
      <c r="AC36" s="21" t="str">
        <f t="shared" si="4"/>
        <v>45:40</v>
      </c>
      <c r="AD36" s="27" t="str">
        <f t="shared" si="5"/>
        <v/>
      </c>
      <c r="AE36" s="27" t="str">
        <f t="shared" si="6"/>
        <v/>
      </c>
      <c r="AF36" s="14">
        <f t="shared" si="7"/>
        <v>45855.319444444445</v>
      </c>
      <c r="AG36" s="12">
        <f t="shared" si="8"/>
        <v>45855</v>
      </c>
      <c r="AH36" s="24">
        <f t="shared" si="9"/>
        <v>0.31944444444525288</v>
      </c>
    </row>
    <row r="37" spans="1:34" ht="19.95" customHeight="1" x14ac:dyDescent="0.4">
      <c r="A37" s="2">
        <v>1190</v>
      </c>
      <c r="B37" s="16">
        <f>VLOOKUP(A37,[1]PLAN!$A$3:$BG$1149,18,)+VLOOKUP(A37,[1]PLAN!$A$3:$BG$1149,19,)</f>
        <v>45853.458333333336</v>
      </c>
      <c r="C37" s="22">
        <f t="shared" si="0"/>
        <v>45853</v>
      </c>
      <c r="D37" s="23">
        <f t="shared" si="1"/>
        <v>0.45833333333575865</v>
      </c>
      <c r="E37" s="14">
        <f>VLOOKUP(A37,[1]PLAN!$A$3:$BG$1149,54,)+VLOOKUP(A37,[1]PLAN!$A$3:$BG$1149,22,)</f>
        <v>45855.322916666664</v>
      </c>
      <c r="F37" s="12">
        <f t="shared" si="2"/>
        <v>45855</v>
      </c>
      <c r="G37" s="24">
        <f t="shared" si="3"/>
        <v>0.32291666666424135</v>
      </c>
      <c r="H37" s="14"/>
      <c r="I37" s="14"/>
      <c r="J37" s="29"/>
      <c r="K37" s="30"/>
      <c r="M37" s="17">
        <f>VLOOKUP($A37,[1]PLAN!$A$3:$BG$1149,23,)</f>
        <v>35.663999999999994</v>
      </c>
      <c r="N37" s="7">
        <f t="shared" si="10"/>
        <v>42.79679999999999</v>
      </c>
      <c r="O37" s="5">
        <f>VLOOKUP($A37,[1]PLAN!$A$3:$BG$1149,49,)</f>
        <v>4</v>
      </c>
      <c r="P37" s="3"/>
      <c r="Q37" s="5">
        <f>VLOOKUP($A37,[1]PLAN!$A$3:$BG$1149,24,)/1.2</f>
        <v>30.6</v>
      </c>
      <c r="R37" s="7">
        <f t="shared" si="11"/>
        <v>36.72</v>
      </c>
      <c r="S37" s="5">
        <f>VLOOKUP($A37,[1]PLAN!$A$3:$BG$1149,50,)</f>
        <v>4</v>
      </c>
      <c r="U37" s="10">
        <v>70.239999999999995</v>
      </c>
      <c r="V37" s="11">
        <f t="shared" si="12"/>
        <v>84.287999999999997</v>
      </c>
      <c r="W37" s="6">
        <v>4</v>
      </c>
      <c r="Y37" s="10">
        <v>70.540000000000006</v>
      </c>
      <c r="Z37" s="11">
        <f t="shared" si="13"/>
        <v>84.64800000000001</v>
      </c>
      <c r="AA37" s="6">
        <v>4</v>
      </c>
      <c r="AB37" s="1">
        <v>1.2</v>
      </c>
      <c r="AC37" s="21" t="str">
        <f t="shared" si="4"/>
        <v>44:45</v>
      </c>
      <c r="AD37" s="27" t="str">
        <f t="shared" si="5"/>
        <v/>
      </c>
      <c r="AE37" s="27" t="str">
        <f t="shared" si="6"/>
        <v/>
      </c>
      <c r="AF37" s="14">
        <f t="shared" si="7"/>
        <v>45855.322916666664</v>
      </c>
      <c r="AG37" s="12">
        <f t="shared" si="8"/>
        <v>45855</v>
      </c>
      <c r="AH37" s="24">
        <f t="shared" si="9"/>
        <v>0.32291666666424135</v>
      </c>
    </row>
    <row r="38" spans="1:34" ht="19.95" customHeight="1" x14ac:dyDescent="0.4">
      <c r="A38" s="2">
        <v>1191</v>
      </c>
      <c r="B38" s="16">
        <f>VLOOKUP(A38,[1]PLAN!$A$3:$BG$1149,18,)+VLOOKUP(A38,[1]PLAN!$A$3:$BG$1149,19,)</f>
        <v>45853.625</v>
      </c>
      <c r="C38" s="22">
        <f t="shared" si="0"/>
        <v>45853</v>
      </c>
      <c r="D38" s="23">
        <f t="shared" si="1"/>
        <v>0.625</v>
      </c>
      <c r="E38" s="14">
        <f>VLOOKUP(A38,[1]PLAN!$A$3:$BG$1149,54,)+VLOOKUP(A38,[1]PLAN!$A$3:$BG$1149,22,)</f>
        <v>45855.326388888891</v>
      </c>
      <c r="F38" s="12">
        <f t="shared" si="2"/>
        <v>45855</v>
      </c>
      <c r="G38" s="24">
        <f t="shared" si="3"/>
        <v>0.32638888889050577</v>
      </c>
      <c r="H38" s="14"/>
      <c r="I38" s="14"/>
      <c r="J38" s="29"/>
      <c r="K38" s="30"/>
      <c r="M38" s="17">
        <f>VLOOKUP($A38,[1]PLAN!$A$3:$BG$1149,23,)</f>
        <v>15.96</v>
      </c>
      <c r="N38" s="7">
        <f t="shared" si="10"/>
        <v>19.152000000000001</v>
      </c>
      <c r="O38" s="5">
        <f>VLOOKUP($A38,[1]PLAN!$A$3:$BG$1149,49,)</f>
        <v>4</v>
      </c>
      <c r="P38" s="3"/>
      <c r="Q38" s="5">
        <f>VLOOKUP($A38,[1]PLAN!$A$3:$BG$1149,24,)/1.2</f>
        <v>15.04</v>
      </c>
      <c r="R38" s="7">
        <f t="shared" si="11"/>
        <v>18.047999999999998</v>
      </c>
      <c r="S38" s="5">
        <f>VLOOKUP($A38,[1]PLAN!$A$3:$BG$1149,50,)</f>
        <v>4</v>
      </c>
      <c r="U38" s="10">
        <v>71.13</v>
      </c>
      <c r="V38" s="11">
        <f t="shared" si="12"/>
        <v>85.355999999999995</v>
      </c>
      <c r="W38" s="6">
        <v>4</v>
      </c>
      <c r="Y38" s="10">
        <v>70.94</v>
      </c>
      <c r="Z38" s="11">
        <f t="shared" si="13"/>
        <v>85.128</v>
      </c>
      <c r="AA38" s="6">
        <v>4</v>
      </c>
      <c r="AB38" s="1">
        <v>1.2</v>
      </c>
      <c r="AC38" s="21" t="str">
        <f t="shared" si="4"/>
        <v>40:50</v>
      </c>
      <c r="AD38" s="27" t="str">
        <f t="shared" si="5"/>
        <v/>
      </c>
      <c r="AE38" s="27" t="str">
        <f t="shared" si="6"/>
        <v/>
      </c>
      <c r="AF38" s="14">
        <f t="shared" si="7"/>
        <v>45855.326388888891</v>
      </c>
      <c r="AG38" s="12">
        <f t="shared" si="8"/>
        <v>45855</v>
      </c>
      <c r="AH38" s="24">
        <f t="shared" si="9"/>
        <v>0.32638888889050577</v>
      </c>
    </row>
    <row r="39" spans="1:34" ht="19.95" customHeight="1" x14ac:dyDescent="0.4">
      <c r="A39" s="2">
        <v>1192</v>
      </c>
      <c r="B39" s="16">
        <f>VLOOKUP(A39,[1]PLAN!$A$3:$BG$1149,18,)+VLOOKUP(A39,[1]PLAN!$A$3:$BG$1149,19,)</f>
        <v>45854.416666666664</v>
      </c>
      <c r="C39" s="22">
        <f t="shared" si="0"/>
        <v>45854</v>
      </c>
      <c r="D39" s="23">
        <f t="shared" si="1"/>
        <v>0.41666666666424135</v>
      </c>
      <c r="E39" s="14">
        <f>VLOOKUP(A39,[1]PLAN!$A$3:$BG$1149,54,)+VLOOKUP(A39,[1]PLAN!$A$3:$BG$1149,22,)</f>
        <v>45855.3125</v>
      </c>
      <c r="F39" s="12">
        <f t="shared" si="2"/>
        <v>45855</v>
      </c>
      <c r="G39" s="24">
        <f t="shared" si="3"/>
        <v>0.3125</v>
      </c>
      <c r="H39" s="14"/>
      <c r="I39" s="14"/>
      <c r="J39" s="29"/>
      <c r="K39" s="30"/>
      <c r="M39" s="17">
        <f>VLOOKUP($A39,[1]PLAN!$A$3:$BG$1149,23,)</f>
        <v>31.979999999999997</v>
      </c>
      <c r="N39" s="7">
        <f t="shared" si="10"/>
        <v>38.375999999999998</v>
      </c>
      <c r="O39" s="5">
        <f>VLOOKUP($A39,[1]PLAN!$A$3:$BG$1149,49,)</f>
        <v>4</v>
      </c>
      <c r="P39" s="3"/>
      <c r="Q39" s="5">
        <f>VLOOKUP($A39,[1]PLAN!$A$3:$BG$1149,24,)/1.2</f>
        <v>27.8</v>
      </c>
      <c r="R39" s="7">
        <f t="shared" si="11"/>
        <v>33.36</v>
      </c>
      <c r="S39" s="5">
        <f>VLOOKUP($A39,[1]PLAN!$A$3:$BG$1149,50,)</f>
        <v>4</v>
      </c>
      <c r="U39" s="10">
        <v>70.819999999999993</v>
      </c>
      <c r="V39" s="11">
        <f t="shared" si="12"/>
        <v>84.983999999999995</v>
      </c>
      <c r="W39" s="6">
        <v>4</v>
      </c>
      <c r="Y39" s="10">
        <v>70.39</v>
      </c>
      <c r="Z39" s="11">
        <f t="shared" si="13"/>
        <v>84.468000000000004</v>
      </c>
      <c r="AA39" s="6">
        <v>4</v>
      </c>
      <c r="AB39" s="1">
        <v>1.2</v>
      </c>
      <c r="AC39" s="21" t="str">
        <f t="shared" si="4"/>
        <v>21:30</v>
      </c>
      <c r="AD39" s="27" t="str">
        <f t="shared" si="5"/>
        <v/>
      </c>
      <c r="AE39" s="27" t="str">
        <f t="shared" si="6"/>
        <v/>
      </c>
      <c r="AF39" s="14">
        <f t="shared" si="7"/>
        <v>45855.3125</v>
      </c>
      <c r="AG39" s="12">
        <f t="shared" si="8"/>
        <v>45855</v>
      </c>
      <c r="AH39" s="24">
        <f t="shared" si="9"/>
        <v>0.3125</v>
      </c>
    </row>
    <row r="40" spans="1:34" ht="19.95" customHeight="1" x14ac:dyDescent="0.4">
      <c r="A40" s="2">
        <v>1193</v>
      </c>
      <c r="B40" s="16">
        <f>VLOOKUP(A40,[1]PLAN!$A$3:$BG$1149,18,)+VLOOKUP(A40,[1]PLAN!$A$3:$BG$1149,19,)</f>
        <v>45854.489583333336</v>
      </c>
      <c r="C40" s="22">
        <f t="shared" si="0"/>
        <v>45854</v>
      </c>
      <c r="D40" s="23">
        <f t="shared" si="1"/>
        <v>0.48958333333575865</v>
      </c>
      <c r="E40" s="14">
        <f>VLOOKUP(A40,[1]PLAN!$A$3:$BG$1149,54,)+VLOOKUP(A40,[1]PLAN!$A$3:$BG$1149,22,)</f>
        <v>45855.319444444445</v>
      </c>
      <c r="F40" s="12">
        <f t="shared" si="2"/>
        <v>45855</v>
      </c>
      <c r="G40" s="24">
        <f t="shared" si="3"/>
        <v>0.31944444444525288</v>
      </c>
      <c r="H40" s="14"/>
      <c r="I40" s="14"/>
      <c r="J40" s="29"/>
      <c r="K40" s="30"/>
      <c r="M40" s="17">
        <f>VLOOKUP($A40,[1]PLAN!$A$3:$BG$1149,23,)</f>
        <v>26.747999999999998</v>
      </c>
      <c r="N40" s="7">
        <f t="shared" si="10"/>
        <v>32.097599999999993</v>
      </c>
      <c r="O40" s="5">
        <f>VLOOKUP($A40,[1]PLAN!$A$3:$BG$1149,49,)</f>
        <v>4</v>
      </c>
      <c r="P40" s="3"/>
      <c r="Q40" s="5">
        <f>VLOOKUP($A40,[1]PLAN!$A$3:$BG$1149,24,)/1.2</f>
        <v>23.39</v>
      </c>
      <c r="R40" s="7">
        <f t="shared" si="11"/>
        <v>28.068000000000001</v>
      </c>
      <c r="S40" s="5">
        <f>VLOOKUP($A40,[1]PLAN!$A$3:$BG$1149,50,)</f>
        <v>4</v>
      </c>
      <c r="U40" s="10">
        <v>70.010000000000005</v>
      </c>
      <c r="V40" s="11">
        <f t="shared" si="12"/>
        <v>84.012</v>
      </c>
      <c r="W40" s="6">
        <v>4</v>
      </c>
      <c r="Y40" s="10">
        <v>70.27</v>
      </c>
      <c r="Z40" s="11">
        <f t="shared" si="13"/>
        <v>84.323999999999998</v>
      </c>
      <c r="AA40" s="6">
        <v>4</v>
      </c>
      <c r="AB40" s="1">
        <v>1.2</v>
      </c>
      <c r="AC40" s="21" t="str">
        <f t="shared" si="4"/>
        <v>19:55</v>
      </c>
      <c r="AD40" s="27" t="str">
        <f t="shared" si="5"/>
        <v/>
      </c>
      <c r="AE40" s="27" t="str">
        <f t="shared" si="6"/>
        <v/>
      </c>
      <c r="AF40" s="14">
        <f t="shared" si="7"/>
        <v>45855.319444444445</v>
      </c>
      <c r="AG40" s="12">
        <f t="shared" si="8"/>
        <v>45855</v>
      </c>
      <c r="AH40" s="24">
        <f t="shared" si="9"/>
        <v>0.31944444444525288</v>
      </c>
    </row>
    <row r="41" spans="1:34" ht="19.95" customHeight="1" x14ac:dyDescent="0.4">
      <c r="A41" s="2">
        <v>1194</v>
      </c>
      <c r="B41" s="16">
        <f>VLOOKUP(A41,[1]PLAN!$A$3:$BG$1149,18,)+VLOOKUP(A41,[1]PLAN!$A$3:$BG$1149,19,)</f>
        <v>45854.590277777781</v>
      </c>
      <c r="C41" s="22">
        <f t="shared" si="0"/>
        <v>45854</v>
      </c>
      <c r="D41" s="23">
        <f t="shared" si="1"/>
        <v>0.59027777778101154</v>
      </c>
      <c r="E41" s="14">
        <f>VLOOKUP(A41,[1]PLAN!$A$3:$BG$1149,54,)+VLOOKUP(A41,[1]PLAN!$A$3:$BG$1149,22,)</f>
        <v>45855.322916666664</v>
      </c>
      <c r="F41" s="12">
        <f t="shared" si="2"/>
        <v>45855</v>
      </c>
      <c r="G41" s="24">
        <f t="shared" si="3"/>
        <v>0.32291666666424135</v>
      </c>
      <c r="H41" s="14"/>
      <c r="I41" s="14"/>
      <c r="J41" s="29"/>
      <c r="K41" s="30"/>
      <c r="M41" s="17">
        <f>VLOOKUP($A41,[1]PLAN!$A$3:$BG$1149,23,)</f>
        <v>32.304000000000002</v>
      </c>
      <c r="N41" s="7">
        <f t="shared" si="10"/>
        <v>38.764800000000001</v>
      </c>
      <c r="O41" s="5">
        <f>VLOOKUP($A41,[1]PLAN!$A$3:$BG$1149,49,)</f>
        <v>4</v>
      </c>
      <c r="P41" s="3"/>
      <c r="Q41" s="5">
        <f>VLOOKUP($A41,[1]PLAN!$A$3:$BG$1149,24,)/1.2</f>
        <v>25.02</v>
      </c>
      <c r="R41" s="7">
        <f t="shared" si="11"/>
        <v>30.023999999999997</v>
      </c>
      <c r="S41" s="5">
        <f>VLOOKUP($A41,[1]PLAN!$A$3:$BG$1149,50,)</f>
        <v>4</v>
      </c>
      <c r="U41" s="10">
        <v>70.930000000000007</v>
      </c>
      <c r="V41" s="11">
        <f t="shared" si="12"/>
        <v>85.116</v>
      </c>
      <c r="W41" s="6">
        <v>4</v>
      </c>
      <c r="Y41" s="10">
        <v>70.510000000000005</v>
      </c>
      <c r="Z41" s="11">
        <f t="shared" si="13"/>
        <v>84.612000000000009</v>
      </c>
      <c r="AA41" s="6">
        <v>4</v>
      </c>
      <c r="AB41" s="1">
        <v>1.2</v>
      </c>
      <c r="AC41" s="21" t="str">
        <f t="shared" si="4"/>
        <v>17:35</v>
      </c>
      <c r="AD41" s="27" t="str">
        <f t="shared" si="5"/>
        <v/>
      </c>
      <c r="AE41" s="27" t="str">
        <f t="shared" si="6"/>
        <v/>
      </c>
      <c r="AF41" s="14">
        <f t="shared" si="7"/>
        <v>45855.322916666664</v>
      </c>
      <c r="AG41" s="12">
        <f t="shared" si="8"/>
        <v>45855</v>
      </c>
      <c r="AH41" s="24">
        <f t="shared" si="9"/>
        <v>0.32291666666424135</v>
      </c>
    </row>
    <row r="42" spans="1:34" ht="19.95" customHeight="1" x14ac:dyDescent="0.4">
      <c r="A42" s="2">
        <v>1195</v>
      </c>
      <c r="B42" s="16">
        <f>VLOOKUP(A42,[1]PLAN!$A$3:$BG$1149,18,)+VLOOKUP(A42,[1]PLAN!$A$3:$BG$1149,19,)</f>
        <v>45854.625</v>
      </c>
      <c r="C42" s="22">
        <f t="shared" si="0"/>
        <v>45854</v>
      </c>
      <c r="D42" s="23">
        <f t="shared" si="1"/>
        <v>0.625</v>
      </c>
      <c r="E42" s="14">
        <f>VLOOKUP(A42,[1]PLAN!$A$3:$BG$1149,54,)+VLOOKUP(A42,[1]PLAN!$A$3:$BG$1149,22,)</f>
        <v>45855.326388888891</v>
      </c>
      <c r="F42" s="12">
        <f t="shared" si="2"/>
        <v>45855</v>
      </c>
      <c r="G42" s="24">
        <f t="shared" si="3"/>
        <v>0.32638888889050577</v>
      </c>
      <c r="H42" s="14"/>
      <c r="I42" s="14"/>
      <c r="J42" s="29"/>
      <c r="K42" s="30"/>
      <c r="M42" s="17">
        <f>VLOOKUP($A42,[1]PLAN!$A$3:$BG$1149,23,)</f>
        <v>31.776</v>
      </c>
      <c r="N42" s="7">
        <f t="shared" si="10"/>
        <v>38.1312</v>
      </c>
      <c r="O42" s="5">
        <f>VLOOKUP($A42,[1]PLAN!$A$3:$BG$1149,49,)</f>
        <v>4</v>
      </c>
      <c r="P42" s="3"/>
      <c r="Q42" s="5">
        <f>VLOOKUP($A42,[1]PLAN!$A$3:$BG$1149,24,)/1.2</f>
        <v>26.89</v>
      </c>
      <c r="R42" s="7">
        <f t="shared" si="11"/>
        <v>32.268000000000001</v>
      </c>
      <c r="S42" s="5">
        <f>VLOOKUP($A42,[1]PLAN!$A$3:$BG$1149,50,)</f>
        <v>4</v>
      </c>
      <c r="U42" s="10">
        <v>70.52</v>
      </c>
      <c r="V42" s="11">
        <f t="shared" si="12"/>
        <v>84.623999999999995</v>
      </c>
      <c r="W42" s="6">
        <v>4</v>
      </c>
      <c r="Y42" s="10">
        <v>69.989999999999995</v>
      </c>
      <c r="Z42" s="11">
        <f t="shared" si="13"/>
        <v>83.987999999999985</v>
      </c>
      <c r="AA42" s="6">
        <v>4</v>
      </c>
      <c r="AB42" s="1">
        <v>1.2</v>
      </c>
      <c r="AC42" s="21" t="str">
        <f t="shared" si="4"/>
        <v>16:50</v>
      </c>
      <c r="AD42" s="27" t="str">
        <f t="shared" ref="AD42:AD105" si="14">IF(H42="","",TEXT(H42-B42,"[hh]:mm"))</f>
        <v/>
      </c>
      <c r="AE42" s="27" t="str">
        <f t="shared" si="6"/>
        <v/>
      </c>
      <c r="AF42" s="14">
        <f t="shared" si="7"/>
        <v>45855.326388888891</v>
      </c>
      <c r="AG42" s="12">
        <f t="shared" si="8"/>
        <v>45855</v>
      </c>
      <c r="AH42" s="24">
        <f t="shared" si="9"/>
        <v>0.32638888889050577</v>
      </c>
    </row>
    <row r="43" spans="1:34" ht="19.95" customHeight="1" x14ac:dyDescent="0.4">
      <c r="A43" s="2">
        <v>1196</v>
      </c>
      <c r="B43" s="16">
        <f>VLOOKUP(A43,[1]PLAN!$A$3:$BG$1149,18,)+VLOOKUP(A43,[1]PLAN!$A$3:$BG$1149,19,)</f>
        <v>45855.548611111109</v>
      </c>
      <c r="C43" s="22">
        <f t="shared" si="0"/>
        <v>45855</v>
      </c>
      <c r="D43" s="23">
        <f t="shared" si="1"/>
        <v>0.54861111110949423</v>
      </c>
      <c r="E43" s="14">
        <f>VLOOKUP(A43,[1]PLAN!$A$3:$BG$1149,54,)+VLOOKUP(A43,[1]PLAN!$A$3:$BG$1149,22,)</f>
        <v>45856.333333333336</v>
      </c>
      <c r="F43" s="12">
        <f t="shared" si="2"/>
        <v>45856</v>
      </c>
      <c r="G43" s="24">
        <f t="shared" si="3"/>
        <v>0.33333333333575865</v>
      </c>
      <c r="H43" s="14"/>
      <c r="I43" s="14"/>
      <c r="J43" s="29"/>
      <c r="K43" s="30"/>
      <c r="M43" s="17">
        <f>VLOOKUP($A43,[1]PLAN!$A$3:$BG$1149,23,)</f>
        <v>31.523999999999997</v>
      </c>
      <c r="N43" s="7">
        <f t="shared" si="10"/>
        <v>37.828799999999994</v>
      </c>
      <c r="O43" s="5">
        <f>VLOOKUP($A43,[1]PLAN!$A$3:$BG$1149,49,)</f>
        <v>4</v>
      </c>
      <c r="P43" s="3"/>
      <c r="Q43" s="5">
        <f>VLOOKUP($A43,[1]PLAN!$A$3:$BG$1149,24,)/1.2</f>
        <v>27.539999999999996</v>
      </c>
      <c r="R43" s="7">
        <f t="shared" si="11"/>
        <v>33.047999999999995</v>
      </c>
      <c r="S43" s="5">
        <f>VLOOKUP($A43,[1]PLAN!$A$3:$BG$1149,50,)</f>
        <v>4</v>
      </c>
      <c r="U43" s="10">
        <v>70.03</v>
      </c>
      <c r="V43" s="11">
        <f t="shared" si="12"/>
        <v>84.036000000000001</v>
      </c>
      <c r="W43" s="6">
        <v>4</v>
      </c>
      <c r="Y43" s="10">
        <v>70.58</v>
      </c>
      <c r="Z43" s="11">
        <f t="shared" si="13"/>
        <v>84.695999999999998</v>
      </c>
      <c r="AA43" s="6">
        <v>4</v>
      </c>
      <c r="AB43" s="1">
        <v>1.2</v>
      </c>
      <c r="AC43" s="21" t="str">
        <f t="shared" si="4"/>
        <v>18:50</v>
      </c>
      <c r="AD43" s="27" t="str">
        <f t="shared" si="14"/>
        <v/>
      </c>
      <c r="AE43" s="27" t="str">
        <f t="shared" si="6"/>
        <v/>
      </c>
      <c r="AF43" s="14">
        <f t="shared" si="7"/>
        <v>45856.333333333336</v>
      </c>
      <c r="AG43" s="12">
        <f t="shared" si="8"/>
        <v>45856</v>
      </c>
      <c r="AH43" s="24">
        <f t="shared" si="9"/>
        <v>0.33333333333575865</v>
      </c>
    </row>
    <row r="44" spans="1:34" ht="19.95" customHeight="1" x14ac:dyDescent="0.4">
      <c r="A44" s="2">
        <v>1197</v>
      </c>
      <c r="B44" s="16">
        <f>VLOOKUP(A44,[1]PLAN!$A$3:$BG$1149,18,)+VLOOKUP(A44,[1]PLAN!$A$3:$BG$1149,19,)</f>
        <v>45855.569444444445</v>
      </c>
      <c r="C44" s="22">
        <f t="shared" si="0"/>
        <v>45855</v>
      </c>
      <c r="D44" s="23">
        <f t="shared" si="1"/>
        <v>0.56944444444525288</v>
      </c>
      <c r="E44" s="14">
        <f>VLOOKUP(A44,[1]PLAN!$A$3:$BG$1149,54,)+VLOOKUP(A44,[1]PLAN!$A$3:$BG$1149,22,)</f>
        <v>45856.340277777781</v>
      </c>
      <c r="F44" s="12">
        <f t="shared" si="2"/>
        <v>45856</v>
      </c>
      <c r="G44" s="24">
        <f t="shared" si="3"/>
        <v>0.34027777778101154</v>
      </c>
      <c r="H44" s="14"/>
      <c r="I44" s="14"/>
      <c r="J44" s="29"/>
      <c r="K44" s="30"/>
      <c r="M44" s="17">
        <f>VLOOKUP($A44,[1]PLAN!$A$3:$BG$1149,23,)</f>
        <v>34.775999999999996</v>
      </c>
      <c r="N44" s="7">
        <f t="shared" si="10"/>
        <v>41.731199999999994</v>
      </c>
      <c r="O44" s="5">
        <f>VLOOKUP($A44,[1]PLAN!$A$3:$BG$1149,49,)</f>
        <v>4</v>
      </c>
      <c r="P44" s="3"/>
      <c r="Q44" s="5">
        <f>VLOOKUP($A44,[1]PLAN!$A$3:$BG$1149,24,)/1.2</f>
        <v>29.700000000000003</v>
      </c>
      <c r="R44" s="7">
        <f t="shared" si="11"/>
        <v>35.64</v>
      </c>
      <c r="S44" s="5">
        <f>VLOOKUP($A44,[1]PLAN!$A$3:$BG$1149,50,)</f>
        <v>4</v>
      </c>
      <c r="U44" s="10">
        <v>73.58</v>
      </c>
      <c r="V44" s="11">
        <f t="shared" si="12"/>
        <v>88.295999999999992</v>
      </c>
      <c r="W44" s="6">
        <v>4</v>
      </c>
      <c r="Y44" s="10">
        <v>74.89</v>
      </c>
      <c r="Z44" s="11">
        <f t="shared" si="13"/>
        <v>89.867999999999995</v>
      </c>
      <c r="AA44" s="6">
        <v>4</v>
      </c>
      <c r="AB44" s="1">
        <v>1.2</v>
      </c>
      <c r="AC44" s="21" t="str">
        <f t="shared" si="4"/>
        <v>18:30</v>
      </c>
      <c r="AD44" s="27" t="str">
        <f t="shared" si="14"/>
        <v/>
      </c>
      <c r="AE44" s="27" t="str">
        <f t="shared" si="6"/>
        <v/>
      </c>
      <c r="AF44" s="14">
        <f t="shared" si="7"/>
        <v>45856.340277777781</v>
      </c>
      <c r="AG44" s="12">
        <f t="shared" si="8"/>
        <v>45856</v>
      </c>
      <c r="AH44" s="24">
        <f t="shared" si="9"/>
        <v>0.34027777778101154</v>
      </c>
    </row>
    <row r="45" spans="1:34" ht="19.95" customHeight="1" x14ac:dyDescent="0.4">
      <c r="A45" s="2">
        <v>1198</v>
      </c>
      <c r="B45" s="16">
        <f>VLOOKUP(A45,[1]PLAN!$A$3:$BG$1149,18,)+VLOOKUP(A45,[1]PLAN!$A$3:$BG$1149,19,)</f>
        <v>45855.645833333336</v>
      </c>
      <c r="C45" s="22">
        <f t="shared" si="0"/>
        <v>45855</v>
      </c>
      <c r="D45" s="23">
        <f t="shared" si="1"/>
        <v>0.64583333333575865</v>
      </c>
      <c r="E45" s="14">
        <f>VLOOKUP(A45,[1]PLAN!$A$3:$BG$1149,54,)+VLOOKUP(A45,[1]PLAN!$A$3:$BG$1149,22,)</f>
        <v>45856.347222222219</v>
      </c>
      <c r="F45" s="12">
        <f t="shared" si="2"/>
        <v>45856</v>
      </c>
      <c r="G45" s="24">
        <f t="shared" si="3"/>
        <v>0.34722222221898846</v>
      </c>
      <c r="H45" s="14"/>
      <c r="I45" s="14"/>
      <c r="J45" s="29"/>
      <c r="K45" s="30"/>
      <c r="M45" s="17">
        <f>VLOOKUP($A45,[1]PLAN!$A$3:$BG$1149,23,)</f>
        <v>34.295999999999999</v>
      </c>
      <c r="N45" s="7">
        <f t="shared" si="10"/>
        <v>41.155200000000001</v>
      </c>
      <c r="O45" s="5">
        <f>VLOOKUP($A45,[1]PLAN!$A$3:$BG$1149,49,)</f>
        <v>4</v>
      </c>
      <c r="P45" s="3"/>
      <c r="Q45" s="5">
        <f>VLOOKUP($A45,[1]PLAN!$A$3:$BG$1149,24,)/1.2</f>
        <v>30.92</v>
      </c>
      <c r="R45" s="7">
        <f t="shared" si="11"/>
        <v>37.103999999999999</v>
      </c>
      <c r="S45" s="5">
        <f>VLOOKUP($A45,[1]PLAN!$A$3:$BG$1149,50,)</f>
        <v>4</v>
      </c>
      <c r="U45" s="10">
        <v>70.94</v>
      </c>
      <c r="V45" s="11">
        <f t="shared" si="12"/>
        <v>85.128</v>
      </c>
      <c r="W45" s="6">
        <v>4</v>
      </c>
      <c r="Y45" s="10">
        <v>70.319999999999993</v>
      </c>
      <c r="Z45" s="11">
        <f t="shared" si="13"/>
        <v>84.383999999999986</v>
      </c>
      <c r="AA45" s="6">
        <v>4</v>
      </c>
      <c r="AB45" s="1">
        <v>1.2</v>
      </c>
      <c r="AC45" s="21" t="str">
        <f t="shared" si="4"/>
        <v>16:50</v>
      </c>
      <c r="AD45" s="27" t="str">
        <f t="shared" si="14"/>
        <v/>
      </c>
      <c r="AE45" s="27" t="str">
        <f t="shared" si="6"/>
        <v/>
      </c>
      <c r="AF45" s="14">
        <f t="shared" si="7"/>
        <v>45856.347222222219</v>
      </c>
      <c r="AG45" s="12">
        <f t="shared" si="8"/>
        <v>45856</v>
      </c>
      <c r="AH45" s="24">
        <f t="shared" si="9"/>
        <v>0.34722222221898846</v>
      </c>
    </row>
    <row r="46" spans="1:34" ht="19.95" customHeight="1" x14ac:dyDescent="0.4">
      <c r="A46" s="2">
        <v>1199</v>
      </c>
      <c r="B46" s="16">
        <f>VLOOKUP(A46,[1]PLAN!$A$3:$BG$1149,18,)+VLOOKUP(A46,[1]PLAN!$A$3:$BG$1149,19,)</f>
        <v>45855.666666666664</v>
      </c>
      <c r="C46" s="22">
        <f t="shared" si="0"/>
        <v>45855</v>
      </c>
      <c r="D46" s="23">
        <f t="shared" si="1"/>
        <v>0.66666666666424135</v>
      </c>
      <c r="E46" s="14">
        <f>VLOOKUP(A46,[1]PLAN!$A$3:$BG$1149,54,)+VLOOKUP(A46,[1]PLAN!$A$3:$BG$1149,22,)</f>
        <v>45856.354166666664</v>
      </c>
      <c r="F46" s="12">
        <f t="shared" si="2"/>
        <v>45856</v>
      </c>
      <c r="G46" s="24">
        <f t="shared" si="3"/>
        <v>0.35416666666424135</v>
      </c>
      <c r="H46" s="14"/>
      <c r="I46" s="14"/>
      <c r="J46" s="29"/>
      <c r="K46" s="30"/>
      <c r="M46" s="17">
        <f>VLOOKUP($A46,[1]PLAN!$A$3:$BG$1149,23,)</f>
        <v>26.135999999999999</v>
      </c>
      <c r="N46" s="7">
        <f t="shared" si="10"/>
        <v>31.363199999999999</v>
      </c>
      <c r="O46" s="5">
        <f>VLOOKUP($A46,[1]PLAN!$A$3:$BG$1149,49,)</f>
        <v>4</v>
      </c>
      <c r="P46" s="3"/>
      <c r="Q46" s="5">
        <f>VLOOKUP($A46,[1]PLAN!$A$3:$BG$1149,24,)/1.2</f>
        <v>19.989999999999998</v>
      </c>
      <c r="R46" s="7">
        <f t="shared" si="11"/>
        <v>23.987999999999996</v>
      </c>
      <c r="S46" s="5">
        <f>VLOOKUP($A46,[1]PLAN!$A$3:$BG$1149,50,)</f>
        <v>4</v>
      </c>
      <c r="U46" s="10">
        <v>69.39</v>
      </c>
      <c r="V46" s="11">
        <f t="shared" si="12"/>
        <v>83.268000000000001</v>
      </c>
      <c r="W46" s="6">
        <v>4</v>
      </c>
      <c r="Y46" s="10">
        <v>69.78</v>
      </c>
      <c r="Z46" s="11">
        <f t="shared" si="13"/>
        <v>83.736000000000004</v>
      </c>
      <c r="AA46" s="6">
        <v>4</v>
      </c>
      <c r="AB46" s="1">
        <v>1.2</v>
      </c>
      <c r="AC46" s="21" t="str">
        <f t="shared" si="4"/>
        <v>16:30</v>
      </c>
      <c r="AD46" s="27" t="str">
        <f t="shared" si="14"/>
        <v/>
      </c>
      <c r="AE46" s="27" t="str">
        <f t="shared" si="6"/>
        <v/>
      </c>
      <c r="AF46" s="14">
        <f t="shared" si="7"/>
        <v>45856.354166666664</v>
      </c>
      <c r="AG46" s="12">
        <f t="shared" si="8"/>
        <v>45856</v>
      </c>
      <c r="AH46" s="24">
        <f t="shared" si="9"/>
        <v>0.35416666666424135</v>
      </c>
    </row>
    <row r="47" spans="1:34" ht="19.95" customHeight="1" x14ac:dyDescent="0.4">
      <c r="A47" s="2">
        <v>1200</v>
      </c>
      <c r="B47" s="16">
        <f>VLOOKUP(A47,[1]PLAN!$A$3:$BG$1149,18,)+VLOOKUP(A47,[1]PLAN!$A$3:$BG$1149,19,)</f>
        <v>45856.541666666664</v>
      </c>
      <c r="C47" s="22">
        <f t="shared" si="0"/>
        <v>45856</v>
      </c>
      <c r="D47" s="23">
        <f t="shared" si="1"/>
        <v>0.54166666666424135</v>
      </c>
      <c r="E47" s="14">
        <f>VLOOKUP(A47,[1]PLAN!$A$3:$BG$1149,54,)+VLOOKUP(A47,[1]PLAN!$A$3:$BG$1149,22,)</f>
        <v>45857.354166666664</v>
      </c>
      <c r="F47" s="12">
        <f t="shared" si="2"/>
        <v>45857</v>
      </c>
      <c r="G47" s="24">
        <f t="shared" si="3"/>
        <v>0.35416666666424135</v>
      </c>
      <c r="H47" s="14"/>
      <c r="I47" s="14"/>
      <c r="J47" s="29"/>
      <c r="K47" s="30"/>
      <c r="M47" s="17">
        <f>VLOOKUP($A47,[1]PLAN!$A$3:$BG$1149,23,)</f>
        <v>31.655999999999999</v>
      </c>
      <c r="N47" s="7">
        <f t="shared" si="10"/>
        <v>37.987199999999994</v>
      </c>
      <c r="O47" s="5">
        <f>VLOOKUP($A47,[1]PLAN!$A$3:$BG$1149,49,)</f>
        <v>4</v>
      </c>
      <c r="P47" s="3"/>
      <c r="Q47" s="5">
        <f>VLOOKUP($A47,[1]PLAN!$A$3:$BG$1149,24,)/1.2</f>
        <v>24.43</v>
      </c>
      <c r="R47" s="7">
        <f t="shared" si="11"/>
        <v>29.315999999999999</v>
      </c>
      <c r="S47" s="5">
        <f>VLOOKUP($A47,[1]PLAN!$A$3:$BG$1149,50,)</f>
        <v>4</v>
      </c>
      <c r="U47" s="10">
        <v>70.319999999999993</v>
      </c>
      <c r="V47" s="11">
        <f t="shared" si="12"/>
        <v>84.383999999999986</v>
      </c>
      <c r="W47" s="6">
        <v>4</v>
      </c>
      <c r="Y47" s="10">
        <v>70.22</v>
      </c>
      <c r="Z47" s="11">
        <f t="shared" si="13"/>
        <v>84.263999999999996</v>
      </c>
      <c r="AA47" s="6">
        <v>4</v>
      </c>
      <c r="AB47" s="1">
        <v>1.2</v>
      </c>
      <c r="AC47" s="21" t="str">
        <f t="shared" si="4"/>
        <v>19:30</v>
      </c>
      <c r="AD47" s="27" t="str">
        <f t="shared" si="14"/>
        <v/>
      </c>
      <c r="AE47" s="27" t="str">
        <f t="shared" si="6"/>
        <v/>
      </c>
      <c r="AF47" s="14">
        <f t="shared" si="7"/>
        <v>45857.354166666664</v>
      </c>
      <c r="AG47" s="12">
        <f t="shared" si="8"/>
        <v>45857</v>
      </c>
      <c r="AH47" s="24">
        <f t="shared" si="9"/>
        <v>0.35416666666424135</v>
      </c>
    </row>
    <row r="48" spans="1:34" ht="19.95" customHeight="1" x14ac:dyDescent="0.4">
      <c r="A48" s="2">
        <v>1201</v>
      </c>
      <c r="B48" s="16">
        <f>VLOOKUP(A48,[1]PLAN!$A$3:$BG$1149,18,)+VLOOKUP(A48,[1]PLAN!$A$3:$BG$1149,19,)</f>
        <v>45856.555555555555</v>
      </c>
      <c r="C48" s="22">
        <f t="shared" si="0"/>
        <v>45856</v>
      </c>
      <c r="D48" s="23">
        <f t="shared" si="1"/>
        <v>0.55555555555474712</v>
      </c>
      <c r="E48" s="14">
        <f>VLOOKUP(A48,[1]PLAN!$A$3:$BG$1149,54,)+VLOOKUP(A48,[1]PLAN!$A$3:$BG$1149,22,)</f>
        <v>45857.357638888891</v>
      </c>
      <c r="F48" s="12">
        <f t="shared" si="2"/>
        <v>45857</v>
      </c>
      <c r="G48" s="24">
        <f t="shared" si="3"/>
        <v>0.35763888889050577</v>
      </c>
      <c r="H48" s="14"/>
      <c r="I48" s="14"/>
      <c r="J48" s="29"/>
      <c r="K48" s="30"/>
      <c r="M48" s="17">
        <f>VLOOKUP($A48,[1]PLAN!$A$3:$BG$1149,23,)</f>
        <v>29.879999999999995</v>
      </c>
      <c r="N48" s="7">
        <f t="shared" si="10"/>
        <v>35.855999999999995</v>
      </c>
      <c r="O48" s="5">
        <f>VLOOKUP($A48,[1]PLAN!$A$3:$BG$1149,49,)</f>
        <v>4</v>
      </c>
      <c r="P48" s="3"/>
      <c r="Q48" s="5">
        <f>VLOOKUP($A48,[1]PLAN!$A$3:$BG$1149,24,)/1.2</f>
        <v>27.089999999999996</v>
      </c>
      <c r="R48" s="7">
        <f t="shared" si="11"/>
        <v>32.507999999999996</v>
      </c>
      <c r="S48" s="5">
        <f>VLOOKUP($A48,[1]PLAN!$A$3:$BG$1149,50,)</f>
        <v>4</v>
      </c>
      <c r="U48" s="10">
        <v>69.31</v>
      </c>
      <c r="V48" s="11">
        <f t="shared" si="12"/>
        <v>83.171999999999997</v>
      </c>
      <c r="W48" s="6">
        <v>4</v>
      </c>
      <c r="Y48" s="10">
        <v>70.25</v>
      </c>
      <c r="Z48" s="11">
        <f t="shared" si="13"/>
        <v>84.3</v>
      </c>
      <c r="AA48" s="6">
        <v>4</v>
      </c>
      <c r="AB48" s="1">
        <v>1.2</v>
      </c>
      <c r="AC48" s="21" t="str">
        <f t="shared" si="4"/>
        <v>19:15</v>
      </c>
      <c r="AD48" s="27" t="str">
        <f t="shared" si="14"/>
        <v/>
      </c>
      <c r="AE48" s="27" t="str">
        <f t="shared" si="6"/>
        <v/>
      </c>
      <c r="AF48" s="14">
        <f t="shared" si="7"/>
        <v>45857.357638888891</v>
      </c>
      <c r="AG48" s="12">
        <f t="shared" si="8"/>
        <v>45857</v>
      </c>
      <c r="AH48" s="24">
        <f t="shared" si="9"/>
        <v>0.35763888889050577</v>
      </c>
    </row>
    <row r="49" spans="1:34" ht="19.95" customHeight="1" x14ac:dyDescent="0.4">
      <c r="A49" s="2">
        <v>1202</v>
      </c>
      <c r="B49" s="16">
        <f>VLOOKUP(A49,[1]PLAN!$A$3:$BG$1149,18,)+VLOOKUP(A49,[1]PLAN!$A$3:$BG$1149,19,)</f>
        <v>45856.59375</v>
      </c>
      <c r="C49" s="22">
        <f t="shared" si="0"/>
        <v>45856</v>
      </c>
      <c r="D49" s="23">
        <f t="shared" si="1"/>
        <v>0.59375</v>
      </c>
      <c r="E49" s="14">
        <f>VLOOKUP(A49,[1]PLAN!$A$3:$BG$1149,54,)+VLOOKUP(A49,[1]PLAN!$A$3:$BG$1149,22,)</f>
        <v>45857.361111111109</v>
      </c>
      <c r="F49" s="12">
        <f t="shared" si="2"/>
        <v>45857</v>
      </c>
      <c r="G49" s="24">
        <f t="shared" si="3"/>
        <v>0.36111111110949423</v>
      </c>
      <c r="H49" s="14"/>
      <c r="I49" s="14"/>
      <c r="J49" s="29"/>
      <c r="K49" s="30"/>
      <c r="M49" s="17">
        <f>VLOOKUP($A49,[1]PLAN!$A$3:$BG$1149,23,)</f>
        <v>32.256</v>
      </c>
      <c r="N49" s="7">
        <f t="shared" si="10"/>
        <v>38.7072</v>
      </c>
      <c r="O49" s="5">
        <f>VLOOKUP($A49,[1]PLAN!$A$3:$BG$1149,49,)</f>
        <v>4</v>
      </c>
      <c r="P49" s="3"/>
      <c r="Q49" s="5">
        <f>VLOOKUP($A49,[1]PLAN!$A$3:$BG$1149,24,)/1.2</f>
        <v>26.720000000000002</v>
      </c>
      <c r="R49" s="7">
        <f t="shared" si="11"/>
        <v>32.064</v>
      </c>
      <c r="S49" s="5">
        <f>VLOOKUP($A49,[1]PLAN!$A$3:$BG$1149,50,)</f>
        <v>4</v>
      </c>
      <c r="U49" s="10">
        <v>69.97</v>
      </c>
      <c r="V49" s="11">
        <f t="shared" si="12"/>
        <v>83.963999999999999</v>
      </c>
      <c r="W49" s="6">
        <v>4</v>
      </c>
      <c r="Y49" s="10">
        <v>69.239999999999995</v>
      </c>
      <c r="Z49" s="11">
        <f t="shared" si="13"/>
        <v>83.087999999999994</v>
      </c>
      <c r="AA49" s="6">
        <v>4</v>
      </c>
      <c r="AB49" s="1">
        <v>1.2</v>
      </c>
      <c r="AC49" s="21" t="str">
        <f t="shared" si="4"/>
        <v>18:25</v>
      </c>
      <c r="AD49" s="27" t="str">
        <f t="shared" si="14"/>
        <v/>
      </c>
      <c r="AE49" s="27" t="str">
        <f t="shared" si="6"/>
        <v/>
      </c>
      <c r="AF49" s="14">
        <f t="shared" si="7"/>
        <v>45857.361111111109</v>
      </c>
      <c r="AG49" s="12">
        <f t="shared" si="8"/>
        <v>45857</v>
      </c>
      <c r="AH49" s="24">
        <f t="shared" si="9"/>
        <v>0.36111111110949423</v>
      </c>
    </row>
    <row r="50" spans="1:34" ht="19.95" customHeight="1" x14ac:dyDescent="0.4">
      <c r="A50" s="2">
        <v>1203</v>
      </c>
      <c r="B50" s="16">
        <f>VLOOKUP(A50,[1]PLAN!$A$3:$BG$1149,18,)+VLOOKUP(A50,[1]PLAN!$A$3:$BG$1149,19,)</f>
        <v>45856.645833333336</v>
      </c>
      <c r="C50" s="22">
        <f t="shared" si="0"/>
        <v>45856</v>
      </c>
      <c r="D50" s="23">
        <f t="shared" si="1"/>
        <v>0.64583333333575865</v>
      </c>
      <c r="E50" s="14">
        <f>VLOOKUP(A50,[1]PLAN!$A$3:$BG$1149,54,)+VLOOKUP(A50,[1]PLAN!$A$3:$BG$1149,22,)</f>
        <v>45857.364583333336</v>
      </c>
      <c r="F50" s="12">
        <f t="shared" si="2"/>
        <v>45857</v>
      </c>
      <c r="G50" s="24">
        <f t="shared" si="3"/>
        <v>0.36458333333575865</v>
      </c>
      <c r="H50" s="14"/>
      <c r="I50" s="14"/>
      <c r="J50" s="29"/>
      <c r="K50" s="30"/>
      <c r="M50" s="17">
        <f>VLOOKUP($A50,[1]PLAN!$A$3:$BG$1149,23,)</f>
        <v>30.047999999999998</v>
      </c>
      <c r="N50" s="7">
        <f t="shared" si="10"/>
        <v>36.057599999999994</v>
      </c>
      <c r="O50" s="5">
        <f>VLOOKUP($A50,[1]PLAN!$A$3:$BG$1149,49,)</f>
        <v>4</v>
      </c>
      <c r="P50" s="3"/>
      <c r="Q50" s="5">
        <f>VLOOKUP($A50,[1]PLAN!$A$3:$BG$1149,24,)/1.2</f>
        <v>25.22</v>
      </c>
      <c r="R50" s="7">
        <f t="shared" si="11"/>
        <v>30.263999999999996</v>
      </c>
      <c r="S50" s="5">
        <f>VLOOKUP($A50,[1]PLAN!$A$3:$BG$1149,50,)</f>
        <v>4</v>
      </c>
      <c r="U50" s="10">
        <v>70.150000000000006</v>
      </c>
      <c r="V50" s="11">
        <f t="shared" si="12"/>
        <v>84.18</v>
      </c>
      <c r="W50" s="6">
        <v>4</v>
      </c>
      <c r="Y50" s="10">
        <v>70.290000000000006</v>
      </c>
      <c r="Z50" s="11">
        <f t="shared" si="13"/>
        <v>84.347999999999999</v>
      </c>
      <c r="AA50" s="6">
        <v>4</v>
      </c>
      <c r="AB50" s="1">
        <v>1.2</v>
      </c>
      <c r="AC50" s="21" t="str">
        <f t="shared" si="4"/>
        <v>17:15</v>
      </c>
      <c r="AD50" s="27" t="str">
        <f t="shared" si="14"/>
        <v/>
      </c>
      <c r="AE50" s="27" t="str">
        <f t="shared" si="6"/>
        <v/>
      </c>
      <c r="AF50" s="14">
        <f t="shared" si="7"/>
        <v>45857.364583333336</v>
      </c>
      <c r="AG50" s="12">
        <f t="shared" si="8"/>
        <v>45857</v>
      </c>
      <c r="AH50" s="24">
        <f t="shared" si="9"/>
        <v>0.36458333333575865</v>
      </c>
    </row>
    <row r="51" spans="1:34" ht="19.95" customHeight="1" x14ac:dyDescent="0.4">
      <c r="A51" s="2">
        <v>1204</v>
      </c>
      <c r="B51" s="16">
        <f>VLOOKUP(A51,[1]PLAN!$A$3:$BG$1149,18,)+VLOOKUP(A51,[1]PLAN!$A$3:$BG$1149,19,)</f>
        <v>45856.6875</v>
      </c>
      <c r="C51" s="22">
        <f t="shared" si="0"/>
        <v>45856</v>
      </c>
      <c r="D51" s="23">
        <f t="shared" si="1"/>
        <v>0.6875</v>
      </c>
      <c r="E51" s="14">
        <f>VLOOKUP(A51,[1]PLAN!$A$3:$BG$1149,54,)+VLOOKUP(A51,[1]PLAN!$A$3:$BG$1149,22,)</f>
        <v>45857.368055555555</v>
      </c>
      <c r="F51" s="12">
        <f t="shared" si="2"/>
        <v>45857</v>
      </c>
      <c r="G51" s="24">
        <f t="shared" si="3"/>
        <v>0.36805555555474712</v>
      </c>
      <c r="H51" s="14"/>
      <c r="I51" s="14"/>
      <c r="J51" s="29"/>
      <c r="K51" s="30"/>
      <c r="M51" s="17">
        <f>VLOOKUP($A51,[1]PLAN!$A$3:$BG$1149,23,)</f>
        <v>16.271999999999998</v>
      </c>
      <c r="N51" s="7">
        <f t="shared" si="10"/>
        <v>19.526399999999999</v>
      </c>
      <c r="O51" s="5">
        <f>VLOOKUP($A51,[1]PLAN!$A$3:$BG$1149,49,)</f>
        <v>4</v>
      </c>
      <c r="P51" s="3"/>
      <c r="Q51" s="5">
        <f>VLOOKUP($A51,[1]PLAN!$A$3:$BG$1149,24,)/1.2</f>
        <v>14.52</v>
      </c>
      <c r="R51" s="7">
        <f t="shared" si="11"/>
        <v>17.423999999999999</v>
      </c>
      <c r="S51" s="5">
        <f>VLOOKUP($A51,[1]PLAN!$A$3:$BG$1149,50,)</f>
        <v>4</v>
      </c>
      <c r="U51" s="10">
        <v>69.91</v>
      </c>
      <c r="V51" s="11">
        <f t="shared" si="12"/>
        <v>83.891999999999996</v>
      </c>
      <c r="W51" s="6">
        <v>4</v>
      </c>
      <c r="Y51" s="10">
        <v>70.12</v>
      </c>
      <c r="Z51" s="11">
        <f t="shared" si="13"/>
        <v>84.144000000000005</v>
      </c>
      <c r="AA51" s="6">
        <v>4</v>
      </c>
      <c r="AB51" s="1">
        <v>1.2</v>
      </c>
      <c r="AC51" s="21" t="str">
        <f t="shared" si="4"/>
        <v>16:20</v>
      </c>
      <c r="AD51" s="27" t="str">
        <f t="shared" si="14"/>
        <v/>
      </c>
      <c r="AE51" s="27" t="str">
        <f t="shared" si="6"/>
        <v/>
      </c>
      <c r="AF51" s="14">
        <f t="shared" si="7"/>
        <v>45857.368055555555</v>
      </c>
      <c r="AG51" s="12">
        <f t="shared" si="8"/>
        <v>45857</v>
      </c>
      <c r="AH51" s="24">
        <f t="shared" si="9"/>
        <v>0.36805555555474712</v>
      </c>
    </row>
    <row r="52" spans="1:34" ht="19.95" customHeight="1" x14ac:dyDescent="0.4">
      <c r="A52" s="2">
        <v>1205</v>
      </c>
      <c r="B52" s="16">
        <f>VLOOKUP(A52,[1]PLAN!$A$3:$BG$1149,18,)+VLOOKUP(A52,[1]PLAN!$A$3:$BG$1149,19,)</f>
        <v>45857.458333333336</v>
      </c>
      <c r="C52" s="22">
        <f t="shared" si="0"/>
        <v>45857</v>
      </c>
      <c r="D52" s="23">
        <f t="shared" si="1"/>
        <v>0.45833333333575865</v>
      </c>
      <c r="E52" s="14">
        <f>VLOOKUP(A52,[1]PLAN!$A$3:$BG$1149,54,)+VLOOKUP(A52,[1]PLAN!$A$3:$BG$1149,22,)</f>
        <v>45859.3125</v>
      </c>
      <c r="F52" s="12">
        <f t="shared" si="2"/>
        <v>45859</v>
      </c>
      <c r="G52" s="24">
        <f t="shared" si="3"/>
        <v>0.3125</v>
      </c>
      <c r="H52" s="14"/>
      <c r="I52" s="14"/>
      <c r="J52" s="29"/>
      <c r="K52" s="30"/>
      <c r="M52" s="17">
        <f>VLOOKUP($A52,[1]PLAN!$A$3:$BG$1149,23,)</f>
        <v>50.76</v>
      </c>
      <c r="N52" s="7">
        <f t="shared" si="10"/>
        <v>60.911999999999992</v>
      </c>
      <c r="O52" s="5">
        <f>VLOOKUP($A52,[1]PLAN!$A$3:$BG$1149,49,)</f>
        <v>4</v>
      </c>
      <c r="P52" s="3"/>
      <c r="Q52" s="5">
        <f>VLOOKUP($A52,[1]PLAN!$A$3:$BG$1149,24,)/1.2</f>
        <v>44.38</v>
      </c>
      <c r="R52" s="7">
        <f t="shared" si="11"/>
        <v>53.256</v>
      </c>
      <c r="S52" s="5">
        <f>VLOOKUP($A52,[1]PLAN!$A$3:$BG$1149,50,)</f>
        <v>4</v>
      </c>
      <c r="U52" s="10">
        <v>70.14</v>
      </c>
      <c r="V52" s="11">
        <f t="shared" si="12"/>
        <v>84.167999999999992</v>
      </c>
      <c r="W52" s="6">
        <v>4</v>
      </c>
      <c r="Y52" s="10">
        <v>70.56</v>
      </c>
      <c r="Z52" s="11">
        <f t="shared" si="13"/>
        <v>84.671999999999997</v>
      </c>
      <c r="AA52" s="6">
        <v>4</v>
      </c>
      <c r="AB52" s="1">
        <v>1.2</v>
      </c>
      <c r="AC52" s="21" t="str">
        <f t="shared" si="4"/>
        <v>44:30</v>
      </c>
      <c r="AD52" s="27" t="str">
        <f t="shared" si="14"/>
        <v/>
      </c>
      <c r="AE52" s="27" t="str">
        <f t="shared" si="6"/>
        <v/>
      </c>
      <c r="AF52" s="14">
        <f t="shared" si="7"/>
        <v>45859.3125</v>
      </c>
      <c r="AG52" s="12">
        <f t="shared" si="8"/>
        <v>45859</v>
      </c>
      <c r="AH52" s="24">
        <f t="shared" si="9"/>
        <v>0.3125</v>
      </c>
    </row>
    <row r="53" spans="1:34" ht="19.95" customHeight="1" x14ac:dyDescent="0.4">
      <c r="A53" s="2">
        <v>1206</v>
      </c>
      <c r="B53" s="16">
        <f>VLOOKUP(A53,[1]PLAN!$A$3:$BG$1149,18,)+VLOOKUP(A53,[1]PLAN!$A$3:$BG$1149,19,)</f>
        <v>45857.5625</v>
      </c>
      <c r="C53" s="22">
        <f t="shared" si="0"/>
        <v>45857</v>
      </c>
      <c r="D53" s="23">
        <f t="shared" si="1"/>
        <v>0.5625</v>
      </c>
      <c r="E53" s="14">
        <f>VLOOKUP(A53,[1]PLAN!$A$3:$BG$1149,54,)+VLOOKUP(A53,[1]PLAN!$A$3:$BG$1149,22,)</f>
        <v>45859.315972222219</v>
      </c>
      <c r="F53" s="12">
        <f t="shared" si="2"/>
        <v>45859</v>
      </c>
      <c r="G53" s="24">
        <f t="shared" si="3"/>
        <v>0.31597222221898846</v>
      </c>
      <c r="H53" s="14"/>
      <c r="I53" s="14"/>
      <c r="J53" s="29"/>
      <c r="K53" s="30"/>
      <c r="M53" s="17">
        <f>VLOOKUP($A53,[1]PLAN!$A$3:$BG$1149,23,)</f>
        <v>45.6</v>
      </c>
      <c r="N53" s="7">
        <f t="shared" si="10"/>
        <v>54.72</v>
      </c>
      <c r="O53" s="5">
        <f>VLOOKUP($A53,[1]PLAN!$A$3:$BG$1149,49,)</f>
        <v>4</v>
      </c>
      <c r="P53" s="3"/>
      <c r="Q53" s="5">
        <f>VLOOKUP($A53,[1]PLAN!$A$3:$BG$1149,24,)/1.2</f>
        <v>36.229999999999997</v>
      </c>
      <c r="R53" s="7">
        <f t="shared" si="11"/>
        <v>43.475999999999992</v>
      </c>
      <c r="S53" s="5">
        <f>VLOOKUP($A53,[1]PLAN!$A$3:$BG$1149,50,)</f>
        <v>4</v>
      </c>
      <c r="U53" s="10">
        <v>71.69</v>
      </c>
      <c r="V53" s="11">
        <f t="shared" si="12"/>
        <v>86.027999999999992</v>
      </c>
      <c r="W53" s="6">
        <v>4</v>
      </c>
      <c r="Y53" s="10">
        <v>70.959999999999994</v>
      </c>
      <c r="Z53" s="11">
        <f t="shared" si="13"/>
        <v>85.151999999999987</v>
      </c>
      <c r="AA53" s="6">
        <v>4</v>
      </c>
      <c r="AB53" s="1">
        <v>1.2</v>
      </c>
      <c r="AC53" s="21" t="str">
        <f t="shared" si="4"/>
        <v>42:05</v>
      </c>
      <c r="AD53" s="27" t="str">
        <f t="shared" si="14"/>
        <v/>
      </c>
      <c r="AE53" s="27" t="str">
        <f t="shared" si="6"/>
        <v/>
      </c>
      <c r="AF53" s="14">
        <f t="shared" si="7"/>
        <v>45859.315972222219</v>
      </c>
      <c r="AG53" s="12">
        <f t="shared" si="8"/>
        <v>45859</v>
      </c>
      <c r="AH53" s="24">
        <f t="shared" si="9"/>
        <v>0.31597222221898846</v>
      </c>
    </row>
    <row r="54" spans="1:34" ht="19.95" customHeight="1" x14ac:dyDescent="0.4">
      <c r="A54" s="2">
        <v>1207</v>
      </c>
      <c r="B54" s="16">
        <f>VLOOKUP(A54,[1]PLAN!$A$3:$BG$1149,18,)+VLOOKUP(A54,[1]PLAN!$A$3:$BG$1149,19,)</f>
        <v>45857.583333333336</v>
      </c>
      <c r="C54" s="22">
        <f t="shared" si="0"/>
        <v>45857</v>
      </c>
      <c r="D54" s="23">
        <f t="shared" si="1"/>
        <v>0.58333333333575865</v>
      </c>
      <c r="E54" s="14">
        <f>VLOOKUP(A54,[1]PLAN!$A$3:$BG$1149,54,)+VLOOKUP(A54,[1]PLAN!$A$3:$BG$1149,22,)</f>
        <v>45859.319444444445</v>
      </c>
      <c r="F54" s="12">
        <f t="shared" si="2"/>
        <v>45859</v>
      </c>
      <c r="G54" s="24">
        <f t="shared" si="3"/>
        <v>0.31944444444525288</v>
      </c>
      <c r="H54" s="14"/>
      <c r="I54" s="14"/>
      <c r="J54" s="29"/>
      <c r="K54" s="30"/>
      <c r="M54" s="17">
        <f>VLOOKUP($A54,[1]PLAN!$A$3:$BG$1149,23,)</f>
        <v>37.043999999999997</v>
      </c>
      <c r="N54" s="7">
        <f t="shared" si="10"/>
        <v>44.452799999999996</v>
      </c>
      <c r="O54" s="5">
        <f>VLOOKUP($A54,[1]PLAN!$A$3:$BG$1149,49,)</f>
        <v>4</v>
      </c>
      <c r="P54" s="3"/>
      <c r="Q54" s="5">
        <f>VLOOKUP($A54,[1]PLAN!$A$3:$BG$1149,24,)/1.2</f>
        <v>29.74</v>
      </c>
      <c r="R54" s="7">
        <f t="shared" si="11"/>
        <v>35.687999999999995</v>
      </c>
      <c r="S54" s="5">
        <f>VLOOKUP($A54,[1]PLAN!$A$3:$BG$1149,50,)</f>
        <v>4</v>
      </c>
      <c r="U54" s="10">
        <v>70.040000000000006</v>
      </c>
      <c r="V54" s="11">
        <f t="shared" si="12"/>
        <v>84.048000000000002</v>
      </c>
      <c r="W54" s="6">
        <v>4</v>
      </c>
      <c r="Y54" s="10">
        <v>69.849999999999994</v>
      </c>
      <c r="Z54" s="11">
        <f t="shared" si="13"/>
        <v>83.82</v>
      </c>
      <c r="AA54" s="6">
        <v>4</v>
      </c>
      <c r="AB54" s="1">
        <v>1.2</v>
      </c>
      <c r="AC54" s="21" t="str">
        <f t="shared" si="4"/>
        <v>41:40</v>
      </c>
      <c r="AD54" s="27" t="str">
        <f t="shared" si="14"/>
        <v/>
      </c>
      <c r="AE54" s="27" t="str">
        <f t="shared" si="6"/>
        <v/>
      </c>
      <c r="AF54" s="14">
        <f t="shared" si="7"/>
        <v>45859.319444444445</v>
      </c>
      <c r="AG54" s="12">
        <f t="shared" si="8"/>
        <v>45859</v>
      </c>
      <c r="AH54" s="24">
        <f t="shared" si="9"/>
        <v>0.31944444444525288</v>
      </c>
    </row>
    <row r="55" spans="1:34" ht="19.95" customHeight="1" x14ac:dyDescent="0.4">
      <c r="A55" s="2">
        <v>1208</v>
      </c>
      <c r="B55" s="16">
        <f>VLOOKUP(A55,[1]PLAN!$A$3:$BG$1149,18,)+VLOOKUP(A55,[1]PLAN!$A$3:$BG$1149,19,)</f>
        <v>45857.631944444445</v>
      </c>
      <c r="C55" s="22">
        <f t="shared" si="0"/>
        <v>45857</v>
      </c>
      <c r="D55" s="23">
        <f t="shared" si="1"/>
        <v>0.63194444444525288</v>
      </c>
      <c r="E55" s="14">
        <f>VLOOKUP(A55,[1]PLAN!$A$3:$BG$1149,54,)+VLOOKUP(A55,[1]PLAN!$A$3:$BG$1149,22,)</f>
        <v>45859.326388888891</v>
      </c>
      <c r="F55" s="12">
        <f t="shared" si="2"/>
        <v>45859</v>
      </c>
      <c r="G55" s="24">
        <f t="shared" si="3"/>
        <v>0.32638888889050577</v>
      </c>
      <c r="H55" s="14"/>
      <c r="I55" s="14"/>
      <c r="J55" s="29"/>
      <c r="K55" s="30"/>
      <c r="M55" s="17">
        <f>VLOOKUP($A55,[1]PLAN!$A$3:$BG$1149,23,)</f>
        <v>40.199999999999996</v>
      </c>
      <c r="N55" s="7">
        <f t="shared" si="10"/>
        <v>48.239999999999995</v>
      </c>
      <c r="O55" s="5">
        <f>VLOOKUP($A55,[1]PLAN!$A$3:$BG$1149,49,)</f>
        <v>4</v>
      </c>
      <c r="P55" s="3"/>
      <c r="Q55" s="5">
        <f>VLOOKUP($A55,[1]PLAN!$A$3:$BG$1149,24,)/1.2</f>
        <v>34.78</v>
      </c>
      <c r="R55" s="7">
        <f t="shared" si="11"/>
        <v>41.735999999999997</v>
      </c>
      <c r="S55" s="5">
        <f>VLOOKUP($A55,[1]PLAN!$A$3:$BG$1149,50,)</f>
        <v>4</v>
      </c>
      <c r="U55" s="10">
        <v>69.84</v>
      </c>
      <c r="V55" s="11">
        <f t="shared" si="12"/>
        <v>83.808000000000007</v>
      </c>
      <c r="W55" s="6">
        <v>4</v>
      </c>
      <c r="Y55" s="10">
        <v>69.78</v>
      </c>
      <c r="Z55" s="11">
        <f t="shared" si="13"/>
        <v>83.736000000000004</v>
      </c>
      <c r="AA55" s="6">
        <v>4</v>
      </c>
      <c r="AB55" s="1">
        <v>1.2</v>
      </c>
      <c r="AC55" s="21" t="str">
        <f t="shared" si="4"/>
        <v>40:40</v>
      </c>
      <c r="AD55" s="27" t="str">
        <f t="shared" si="14"/>
        <v/>
      </c>
      <c r="AE55" s="27" t="str">
        <f t="shared" si="6"/>
        <v/>
      </c>
      <c r="AF55" s="14">
        <f t="shared" si="7"/>
        <v>45859.326388888891</v>
      </c>
      <c r="AG55" s="12">
        <f t="shared" si="8"/>
        <v>45859</v>
      </c>
      <c r="AH55" s="24">
        <f t="shared" si="9"/>
        <v>0.32638888889050577</v>
      </c>
    </row>
    <row r="56" spans="1:34" ht="19.95" customHeight="1" x14ac:dyDescent="0.4">
      <c r="A56" s="2">
        <v>1209</v>
      </c>
      <c r="B56" s="16">
        <f>VLOOKUP(A56,[1]PLAN!$A$3:$BG$1149,18,)+VLOOKUP(A56,[1]PLAN!$A$3:$BG$1149,19,)</f>
        <v>45859.583333333336</v>
      </c>
      <c r="C56" s="22">
        <f t="shared" si="0"/>
        <v>45859</v>
      </c>
      <c r="D56" s="23">
        <f t="shared" si="1"/>
        <v>0.58333333333575865</v>
      </c>
      <c r="E56" s="14">
        <f>VLOOKUP(A56,[1]PLAN!$A$3:$BG$1149,54,)+VLOOKUP(A56,[1]PLAN!$A$3:$BG$1149,22,)</f>
        <v>45860.333333333336</v>
      </c>
      <c r="F56" s="12">
        <f t="shared" si="2"/>
        <v>45860</v>
      </c>
      <c r="G56" s="24">
        <f t="shared" si="3"/>
        <v>0.33333333333575865</v>
      </c>
      <c r="H56" s="14"/>
      <c r="I56" s="14"/>
      <c r="J56" s="29"/>
      <c r="K56" s="30"/>
      <c r="M56" s="17">
        <f>VLOOKUP($A56,[1]PLAN!$A$3:$BG$1149,23,)</f>
        <v>24.012</v>
      </c>
      <c r="N56" s="7">
        <f t="shared" si="10"/>
        <v>28.814399999999999</v>
      </c>
      <c r="O56" s="5">
        <f>VLOOKUP($A56,[1]PLAN!$A$3:$BG$1149,49,)</f>
        <v>4</v>
      </c>
      <c r="P56" s="3"/>
      <c r="Q56" s="5">
        <f>VLOOKUP($A56,[1]PLAN!$A$3:$BG$1149,24,)/1.2</f>
        <v>19.62</v>
      </c>
      <c r="R56" s="7">
        <f t="shared" si="11"/>
        <v>23.544</v>
      </c>
      <c r="S56" s="5">
        <f>VLOOKUP($A56,[1]PLAN!$A$3:$BG$1149,50,)</f>
        <v>4</v>
      </c>
      <c r="U56" s="10">
        <v>68.64</v>
      </c>
      <c r="V56" s="11">
        <f t="shared" si="12"/>
        <v>82.367999999999995</v>
      </c>
      <c r="W56" s="6">
        <v>4</v>
      </c>
      <c r="Y56" s="10">
        <v>68.69</v>
      </c>
      <c r="Z56" s="11">
        <f t="shared" si="13"/>
        <v>82.427999999999997</v>
      </c>
      <c r="AA56" s="6">
        <v>4</v>
      </c>
      <c r="AB56" s="1">
        <v>1.2</v>
      </c>
      <c r="AC56" s="21" t="str">
        <f t="shared" si="4"/>
        <v>18:00</v>
      </c>
      <c r="AD56" s="27" t="str">
        <f t="shared" si="14"/>
        <v/>
      </c>
      <c r="AE56" s="27" t="str">
        <f t="shared" si="6"/>
        <v/>
      </c>
      <c r="AF56" s="14">
        <f t="shared" si="7"/>
        <v>45860.333333333336</v>
      </c>
      <c r="AG56" s="12">
        <f t="shared" si="8"/>
        <v>45860</v>
      </c>
      <c r="AH56" s="24">
        <f t="shared" si="9"/>
        <v>0.33333333333575865</v>
      </c>
    </row>
    <row r="57" spans="1:34" ht="19.95" customHeight="1" x14ac:dyDescent="0.4">
      <c r="A57" s="2">
        <v>1210</v>
      </c>
      <c r="B57" s="16">
        <f>VLOOKUP(A57,[1]PLAN!$A$3:$BG$1149,18,)+VLOOKUP(A57,[1]PLAN!$A$3:$BG$1149,19,)</f>
        <v>45859.395833333336</v>
      </c>
      <c r="C57" s="22">
        <f t="shared" si="0"/>
        <v>45859</v>
      </c>
      <c r="D57" s="23">
        <f t="shared" si="1"/>
        <v>0.39583333333575865</v>
      </c>
      <c r="E57" s="14">
        <f>VLOOKUP(A57,[1]PLAN!$A$3:$BG$1149,54,)+VLOOKUP(A57,[1]PLAN!$A$3:$BG$1149,22,)</f>
        <v>45860.3125</v>
      </c>
      <c r="F57" s="12">
        <f t="shared" si="2"/>
        <v>45860</v>
      </c>
      <c r="G57" s="24">
        <f t="shared" si="3"/>
        <v>0.3125</v>
      </c>
      <c r="H57" s="14"/>
      <c r="I57" s="14"/>
      <c r="J57" s="29"/>
      <c r="K57" s="30"/>
      <c r="M57" s="17">
        <f>VLOOKUP($A57,[1]PLAN!$A$3:$BG$1149,23,)</f>
        <v>33.42</v>
      </c>
      <c r="N57" s="7">
        <f t="shared" si="10"/>
        <v>40.103999999999999</v>
      </c>
      <c r="O57" s="5">
        <f>VLOOKUP($A57,[1]PLAN!$A$3:$BG$1149,49,)</f>
        <v>4</v>
      </c>
      <c r="P57" s="3"/>
      <c r="Q57" s="5">
        <f>VLOOKUP($A57,[1]PLAN!$A$3:$BG$1149,24,)/1.2</f>
        <v>26.14</v>
      </c>
      <c r="R57" s="7">
        <f t="shared" si="11"/>
        <v>31.367999999999999</v>
      </c>
      <c r="S57" s="5">
        <f>VLOOKUP($A57,[1]PLAN!$A$3:$BG$1149,50,)</f>
        <v>4</v>
      </c>
      <c r="U57" s="10">
        <v>70.03</v>
      </c>
      <c r="V57" s="11">
        <f t="shared" si="12"/>
        <v>84.036000000000001</v>
      </c>
      <c r="W57" s="6">
        <v>4</v>
      </c>
      <c r="Y57" s="10">
        <v>69.58</v>
      </c>
      <c r="Z57" s="11">
        <f t="shared" si="13"/>
        <v>83.495999999999995</v>
      </c>
      <c r="AA57" s="6">
        <v>4</v>
      </c>
      <c r="AB57" s="1">
        <v>1.2</v>
      </c>
      <c r="AC57" s="21" t="str">
        <f t="shared" si="4"/>
        <v>22:00</v>
      </c>
      <c r="AD57" s="27" t="str">
        <f t="shared" si="14"/>
        <v/>
      </c>
      <c r="AE57" s="27" t="str">
        <f t="shared" si="6"/>
        <v/>
      </c>
      <c r="AF57" s="14">
        <f t="shared" si="7"/>
        <v>45860.3125</v>
      </c>
      <c r="AG57" s="12">
        <f t="shared" si="8"/>
        <v>45860</v>
      </c>
      <c r="AH57" s="24">
        <f t="shared" si="9"/>
        <v>0.3125</v>
      </c>
    </row>
    <row r="58" spans="1:34" ht="19.95" customHeight="1" x14ac:dyDescent="0.4">
      <c r="A58" s="2">
        <v>1211</v>
      </c>
      <c r="B58" s="16">
        <f>VLOOKUP(A58,[1]PLAN!$A$3:$BG$1149,18,)+VLOOKUP(A58,[1]PLAN!$A$3:$BG$1149,19,)</f>
        <v>45859.416666666664</v>
      </c>
      <c r="C58" s="22">
        <f t="shared" si="0"/>
        <v>45859</v>
      </c>
      <c r="D58" s="23">
        <f t="shared" si="1"/>
        <v>0.41666666666424135</v>
      </c>
      <c r="E58" s="14">
        <f>VLOOKUP(A58,[1]PLAN!$A$3:$BG$1149,54,)+VLOOKUP(A58,[1]PLAN!$A$3:$BG$1149,22,)</f>
        <v>45860.315972222219</v>
      </c>
      <c r="F58" s="12">
        <f t="shared" si="2"/>
        <v>45860</v>
      </c>
      <c r="G58" s="24">
        <f t="shared" si="3"/>
        <v>0.31597222221898846</v>
      </c>
      <c r="H58" s="14"/>
      <c r="I58" s="14"/>
      <c r="J58" s="29"/>
      <c r="K58" s="30"/>
      <c r="M58" s="17">
        <f>VLOOKUP($A58,[1]PLAN!$A$3:$BG$1149,23,)</f>
        <v>32.832000000000001</v>
      </c>
      <c r="N58" s="7">
        <f t="shared" si="10"/>
        <v>39.398400000000002</v>
      </c>
      <c r="O58" s="5">
        <f>VLOOKUP($A58,[1]PLAN!$A$3:$BG$1149,49,)</f>
        <v>4</v>
      </c>
      <c r="P58" s="3"/>
      <c r="Q58" s="5">
        <f>VLOOKUP($A58,[1]PLAN!$A$3:$BG$1149,24,)/1.2</f>
        <v>27.119999999999997</v>
      </c>
      <c r="R58" s="7">
        <f t="shared" si="11"/>
        <v>32.543999999999997</v>
      </c>
      <c r="S58" s="5">
        <f>VLOOKUP($A58,[1]PLAN!$A$3:$BG$1149,50,)</f>
        <v>4</v>
      </c>
      <c r="U58" s="10">
        <v>70.5</v>
      </c>
      <c r="V58" s="11">
        <f t="shared" si="12"/>
        <v>84.6</v>
      </c>
      <c r="W58" s="6">
        <v>4</v>
      </c>
      <c r="Y58" s="10">
        <v>70.25</v>
      </c>
      <c r="Z58" s="11">
        <f t="shared" si="13"/>
        <v>84.3</v>
      </c>
      <c r="AA58" s="6">
        <v>4</v>
      </c>
      <c r="AB58" s="1">
        <v>1.2</v>
      </c>
      <c r="AC58" s="21" t="str">
        <f t="shared" si="4"/>
        <v>21:35</v>
      </c>
      <c r="AD58" s="27" t="str">
        <f t="shared" si="14"/>
        <v/>
      </c>
      <c r="AE58" s="27" t="str">
        <f t="shared" si="6"/>
        <v/>
      </c>
      <c r="AF58" s="14">
        <f t="shared" si="7"/>
        <v>45860.315972222219</v>
      </c>
      <c r="AG58" s="12">
        <f t="shared" si="8"/>
        <v>45860</v>
      </c>
      <c r="AH58" s="24">
        <f t="shared" si="9"/>
        <v>0.31597222221898846</v>
      </c>
    </row>
    <row r="59" spans="1:34" ht="19.95" customHeight="1" x14ac:dyDescent="0.4">
      <c r="A59" s="2">
        <v>1212</v>
      </c>
      <c r="B59" s="16">
        <f>VLOOKUP(A59,[1]PLAN!$A$3:$BG$1149,18,)+VLOOKUP(A59,[1]PLAN!$A$3:$BG$1149,19,)</f>
        <v>45859.458333333336</v>
      </c>
      <c r="C59" s="22">
        <f t="shared" si="0"/>
        <v>45859</v>
      </c>
      <c r="D59" s="23">
        <f t="shared" si="1"/>
        <v>0.45833333333575865</v>
      </c>
      <c r="E59" s="14">
        <f>VLOOKUP(A59,[1]PLAN!$A$3:$BG$1149,54,)+VLOOKUP(A59,[1]PLAN!$A$3:$BG$1149,22,)</f>
        <v>45860.319444444445</v>
      </c>
      <c r="F59" s="12">
        <f t="shared" si="2"/>
        <v>45860</v>
      </c>
      <c r="G59" s="24">
        <f t="shared" si="3"/>
        <v>0.31944444444525288</v>
      </c>
      <c r="H59" s="14"/>
      <c r="I59" s="14"/>
      <c r="J59" s="29"/>
      <c r="K59" s="30"/>
      <c r="M59" s="17">
        <f>VLOOKUP($A59,[1]PLAN!$A$3:$BG$1149,23,)</f>
        <v>33.887999999999998</v>
      </c>
      <c r="N59" s="7">
        <f t="shared" si="10"/>
        <v>40.665599999999998</v>
      </c>
      <c r="O59" s="5">
        <f>VLOOKUP($A59,[1]PLAN!$A$3:$BG$1149,49,)</f>
        <v>4</v>
      </c>
      <c r="P59" s="3"/>
      <c r="Q59" s="5">
        <f>VLOOKUP($A59,[1]PLAN!$A$3:$BG$1149,24,)/1.2</f>
        <v>28.57</v>
      </c>
      <c r="R59" s="7">
        <f t="shared" si="11"/>
        <v>34.283999999999999</v>
      </c>
      <c r="S59" s="5">
        <f>VLOOKUP($A59,[1]PLAN!$A$3:$BG$1149,50,)</f>
        <v>4</v>
      </c>
      <c r="U59" s="10">
        <v>70.099999999999994</v>
      </c>
      <c r="V59" s="11">
        <f t="shared" si="12"/>
        <v>84.11999999999999</v>
      </c>
      <c r="W59" s="6">
        <v>4</v>
      </c>
      <c r="Y59" s="10">
        <v>70.95</v>
      </c>
      <c r="Z59" s="11">
        <f t="shared" si="13"/>
        <v>85.14</v>
      </c>
      <c r="AA59" s="6">
        <v>4</v>
      </c>
      <c r="AB59" s="1">
        <v>1.2</v>
      </c>
      <c r="AC59" s="21" t="str">
        <f t="shared" si="4"/>
        <v>20:40</v>
      </c>
      <c r="AD59" s="27" t="str">
        <f t="shared" si="14"/>
        <v/>
      </c>
      <c r="AE59" s="27" t="str">
        <f t="shared" si="6"/>
        <v/>
      </c>
      <c r="AF59" s="14">
        <f t="shared" si="7"/>
        <v>45860.319444444445</v>
      </c>
      <c r="AG59" s="12">
        <f t="shared" si="8"/>
        <v>45860</v>
      </c>
      <c r="AH59" s="24">
        <f t="shared" si="9"/>
        <v>0.31944444444525288</v>
      </c>
    </row>
    <row r="60" spans="1:34" ht="19.95" customHeight="1" x14ac:dyDescent="0.4">
      <c r="A60" s="2">
        <v>1213</v>
      </c>
      <c r="B60" s="16">
        <f>VLOOKUP(A60,[1]PLAN!$A$3:$BG$1149,18,)+VLOOKUP(A60,[1]PLAN!$A$3:$BG$1149,19,)</f>
        <v>45859.479166666664</v>
      </c>
      <c r="C60" s="22">
        <f t="shared" si="0"/>
        <v>45859</v>
      </c>
      <c r="D60" s="23">
        <f t="shared" si="1"/>
        <v>0.47916666666424135</v>
      </c>
      <c r="E60" s="14">
        <f>VLOOKUP(A60,[1]PLAN!$A$3:$BG$1149,54,)+VLOOKUP(A60,[1]PLAN!$A$3:$BG$1149,22,)</f>
        <v>45860.291666666664</v>
      </c>
      <c r="F60" s="12">
        <f t="shared" si="2"/>
        <v>45860</v>
      </c>
      <c r="G60" s="24">
        <f t="shared" si="3"/>
        <v>0.29166666666424135</v>
      </c>
      <c r="H60" s="14"/>
      <c r="I60" s="14"/>
      <c r="J60" s="29"/>
      <c r="K60" s="30"/>
      <c r="M60" s="17">
        <f>VLOOKUP($A60,[1]PLAN!$A$3:$BG$1149,23,)</f>
        <v>33.851999999999997</v>
      </c>
      <c r="N60" s="7">
        <f t="shared" si="10"/>
        <v>40.622399999999992</v>
      </c>
      <c r="O60" s="5">
        <f>VLOOKUP($A60,[1]PLAN!$A$3:$BG$1149,49,)</f>
        <v>4</v>
      </c>
      <c r="P60" s="3"/>
      <c r="Q60" s="5">
        <f>VLOOKUP($A60,[1]PLAN!$A$3:$BG$1149,24,)/1.2</f>
        <v>28.59</v>
      </c>
      <c r="R60" s="7">
        <f t="shared" si="11"/>
        <v>34.308</v>
      </c>
      <c r="S60" s="5">
        <f>VLOOKUP($A60,[1]PLAN!$A$3:$BG$1149,50,)</f>
        <v>4</v>
      </c>
      <c r="U60" s="10">
        <v>70.36</v>
      </c>
      <c r="V60" s="11">
        <f t="shared" si="12"/>
        <v>84.432000000000002</v>
      </c>
      <c r="W60" s="6">
        <v>4</v>
      </c>
      <c r="Y60" s="10">
        <v>70.87</v>
      </c>
      <c r="Z60" s="11">
        <f t="shared" si="13"/>
        <v>85.043999999999997</v>
      </c>
      <c r="AA60" s="6">
        <v>4</v>
      </c>
      <c r="AB60" s="1">
        <v>1.2</v>
      </c>
      <c r="AC60" s="21" t="str">
        <f t="shared" si="4"/>
        <v>19:30</v>
      </c>
      <c r="AD60" s="27" t="str">
        <f t="shared" si="14"/>
        <v/>
      </c>
      <c r="AE60" s="27" t="str">
        <f t="shared" si="6"/>
        <v/>
      </c>
      <c r="AF60" s="14">
        <f t="shared" si="7"/>
        <v>45860.291666666664</v>
      </c>
      <c r="AG60" s="12">
        <f t="shared" si="8"/>
        <v>45860</v>
      </c>
      <c r="AH60" s="24">
        <f t="shared" si="9"/>
        <v>0.29166666666424135</v>
      </c>
    </row>
    <row r="61" spans="1:34" ht="19.95" customHeight="1" x14ac:dyDescent="0.4">
      <c r="A61" s="2">
        <v>1214</v>
      </c>
      <c r="B61" s="16">
        <f>VLOOKUP(A61,[1]PLAN!$A$3:$BG$1149,18,)+VLOOKUP(A61,[1]PLAN!$A$3:$BG$1149,19,)</f>
        <v>45861.395833333336</v>
      </c>
      <c r="C61" s="22">
        <f t="shared" si="0"/>
        <v>45861</v>
      </c>
      <c r="D61" s="23">
        <f t="shared" si="1"/>
        <v>0.39583333333575865</v>
      </c>
      <c r="E61" s="14">
        <f>VLOOKUP(A61,[1]PLAN!$A$3:$BG$1149,54,)+VLOOKUP(A61,[1]PLAN!$A$3:$BG$1149,22,)</f>
        <v>45862.333333333336</v>
      </c>
      <c r="F61" s="12">
        <f t="shared" si="2"/>
        <v>45862</v>
      </c>
      <c r="G61" s="24">
        <f t="shared" si="3"/>
        <v>0.33333333333575865</v>
      </c>
      <c r="H61" s="14"/>
      <c r="I61" s="14"/>
      <c r="J61" s="29"/>
      <c r="K61" s="30"/>
      <c r="M61" s="17">
        <f>VLOOKUP($A61,[1]PLAN!$A$3:$BG$1149,23,)</f>
        <v>35.484000000000002</v>
      </c>
      <c r="N61" s="7">
        <f t="shared" si="10"/>
        <v>42.580800000000004</v>
      </c>
      <c r="O61" s="5">
        <f>VLOOKUP($A61,[1]PLAN!$A$3:$BG$1149,49,)</f>
        <v>4</v>
      </c>
      <c r="P61" s="3"/>
      <c r="Q61" s="5">
        <f>VLOOKUP($A61,[1]PLAN!$A$3:$BG$1149,24,)/1.2</f>
        <v>28.7</v>
      </c>
      <c r="R61" s="7">
        <f t="shared" si="11"/>
        <v>34.44</v>
      </c>
      <c r="S61" s="5">
        <f>VLOOKUP($A61,[1]PLAN!$A$3:$BG$1149,50,)</f>
        <v>4</v>
      </c>
      <c r="U61" s="10">
        <v>70.48</v>
      </c>
      <c r="V61" s="11">
        <f t="shared" si="12"/>
        <v>84.576000000000008</v>
      </c>
      <c r="W61" s="6">
        <v>4</v>
      </c>
      <c r="Y61" s="10">
        <v>70.59</v>
      </c>
      <c r="Z61" s="11">
        <f t="shared" si="13"/>
        <v>84.707999999999998</v>
      </c>
      <c r="AA61" s="6">
        <v>4</v>
      </c>
      <c r="AB61" s="1">
        <v>1.2</v>
      </c>
      <c r="AC61" s="21" t="str">
        <f t="shared" si="4"/>
        <v>22:30</v>
      </c>
      <c r="AD61" s="27" t="str">
        <f t="shared" si="14"/>
        <v/>
      </c>
      <c r="AE61" s="27" t="str">
        <f t="shared" si="6"/>
        <v/>
      </c>
      <c r="AF61" s="14">
        <f t="shared" si="7"/>
        <v>45862.333333333336</v>
      </c>
      <c r="AG61" s="12">
        <f t="shared" si="8"/>
        <v>45862</v>
      </c>
      <c r="AH61" s="24">
        <f t="shared" si="9"/>
        <v>0.33333333333575865</v>
      </c>
    </row>
    <row r="62" spans="1:34" ht="19.95" customHeight="1" x14ac:dyDescent="0.4">
      <c r="A62" s="2">
        <v>1215</v>
      </c>
      <c r="B62" s="16">
        <f>VLOOKUP(A62,[1]PLAN!$A$3:$BG$1149,18,)+VLOOKUP(A62,[1]PLAN!$A$3:$BG$1149,19,)</f>
        <v>45861.416666666664</v>
      </c>
      <c r="C62" s="22">
        <f t="shared" si="0"/>
        <v>45861</v>
      </c>
      <c r="D62" s="23">
        <f t="shared" si="1"/>
        <v>0.41666666666424135</v>
      </c>
      <c r="E62" s="14">
        <f>VLOOKUP(A62,[1]PLAN!$A$3:$BG$1149,54,)+VLOOKUP(A62,[1]PLAN!$A$3:$BG$1149,22,)</f>
        <v>45862.336805555555</v>
      </c>
      <c r="F62" s="12">
        <f t="shared" si="2"/>
        <v>45862</v>
      </c>
      <c r="G62" s="24">
        <f t="shared" si="3"/>
        <v>0.33680555555474712</v>
      </c>
      <c r="H62" s="14"/>
      <c r="I62" s="14"/>
      <c r="J62" s="29"/>
      <c r="K62" s="30"/>
      <c r="M62" s="17">
        <f>VLOOKUP($A62,[1]PLAN!$A$3:$BG$1149,23,)</f>
        <v>32.628</v>
      </c>
      <c r="N62" s="7">
        <f t="shared" si="10"/>
        <v>39.153599999999997</v>
      </c>
      <c r="O62" s="5">
        <f>VLOOKUP($A62,[1]PLAN!$A$3:$BG$1149,49,)</f>
        <v>4</v>
      </c>
      <c r="P62" s="3"/>
      <c r="Q62" s="5">
        <f>VLOOKUP($A62,[1]PLAN!$A$3:$BG$1149,24,)/1.2</f>
        <v>28.209999999999997</v>
      </c>
      <c r="R62" s="7">
        <f t="shared" si="11"/>
        <v>33.851999999999997</v>
      </c>
      <c r="S62" s="5">
        <f>VLOOKUP($A62,[1]PLAN!$A$3:$BG$1149,50,)</f>
        <v>4</v>
      </c>
      <c r="U62" s="10">
        <v>70.22</v>
      </c>
      <c r="V62" s="11">
        <f t="shared" si="12"/>
        <v>84.263999999999996</v>
      </c>
      <c r="W62" s="6">
        <v>4</v>
      </c>
      <c r="Y62" s="10">
        <v>70.41</v>
      </c>
      <c r="Z62" s="11">
        <f t="shared" si="13"/>
        <v>84.49199999999999</v>
      </c>
      <c r="AA62" s="6">
        <v>4</v>
      </c>
      <c r="AB62" s="1">
        <v>1.2</v>
      </c>
      <c r="AC62" s="21" t="str">
        <f t="shared" si="4"/>
        <v>22:05</v>
      </c>
      <c r="AD62" s="27" t="str">
        <f t="shared" si="14"/>
        <v/>
      </c>
      <c r="AE62" s="27" t="str">
        <f t="shared" si="6"/>
        <v/>
      </c>
      <c r="AF62" s="14">
        <f t="shared" si="7"/>
        <v>45862.336805555555</v>
      </c>
      <c r="AG62" s="12">
        <f t="shared" si="8"/>
        <v>45862</v>
      </c>
      <c r="AH62" s="24">
        <f t="shared" si="9"/>
        <v>0.33680555555474712</v>
      </c>
    </row>
    <row r="63" spans="1:34" ht="19.95" customHeight="1" x14ac:dyDescent="0.4">
      <c r="A63" s="2">
        <v>1216</v>
      </c>
      <c r="B63" s="16">
        <f>VLOOKUP(A63,[1]PLAN!$A$3:$BG$1149,18,)+VLOOKUP(A63,[1]PLAN!$A$3:$BG$1149,19,)</f>
        <v>45861.458333333336</v>
      </c>
      <c r="C63" s="22">
        <f t="shared" si="0"/>
        <v>45861</v>
      </c>
      <c r="D63" s="23">
        <f t="shared" si="1"/>
        <v>0.45833333333575865</v>
      </c>
      <c r="E63" s="14">
        <f>VLOOKUP(A63,[1]PLAN!$A$3:$BG$1149,54,)+VLOOKUP(A63,[1]PLAN!$A$3:$BG$1149,22,)</f>
        <v>45862.340277777781</v>
      </c>
      <c r="F63" s="12">
        <f t="shared" si="2"/>
        <v>45862</v>
      </c>
      <c r="G63" s="24">
        <f t="shared" si="3"/>
        <v>0.34027777778101154</v>
      </c>
      <c r="H63" s="14"/>
      <c r="I63" s="14"/>
      <c r="J63" s="29"/>
      <c r="K63" s="30"/>
      <c r="M63" s="17">
        <f>VLOOKUP($A63,[1]PLAN!$A$3:$BG$1149,23,)</f>
        <v>37.955999999999996</v>
      </c>
      <c r="N63" s="7">
        <f t="shared" si="10"/>
        <v>45.547199999999997</v>
      </c>
      <c r="O63" s="5">
        <f>VLOOKUP($A63,[1]PLAN!$A$3:$BG$1149,49,)</f>
        <v>4</v>
      </c>
      <c r="P63" s="3"/>
      <c r="Q63" s="5">
        <f>VLOOKUP($A63,[1]PLAN!$A$3:$BG$1149,24,)/1.2</f>
        <v>30.649999999999995</v>
      </c>
      <c r="R63" s="7">
        <f t="shared" si="11"/>
        <v>36.779999999999994</v>
      </c>
      <c r="S63" s="5">
        <f>VLOOKUP($A63,[1]PLAN!$A$3:$BG$1149,50,)</f>
        <v>4</v>
      </c>
      <c r="U63" s="10">
        <v>69.55</v>
      </c>
      <c r="V63" s="11">
        <f t="shared" si="12"/>
        <v>83.46</v>
      </c>
      <c r="W63" s="6">
        <v>4</v>
      </c>
      <c r="Y63" s="10">
        <v>68.260000000000005</v>
      </c>
      <c r="Z63" s="11">
        <f t="shared" si="13"/>
        <v>81.912000000000006</v>
      </c>
      <c r="AA63" s="6">
        <v>4</v>
      </c>
      <c r="AB63" s="1">
        <v>1.2</v>
      </c>
      <c r="AC63" s="21" t="str">
        <f t="shared" si="4"/>
        <v>21:10</v>
      </c>
      <c r="AD63" s="27" t="str">
        <f t="shared" si="14"/>
        <v/>
      </c>
      <c r="AE63" s="27" t="str">
        <f t="shared" si="6"/>
        <v/>
      </c>
      <c r="AF63" s="14">
        <f t="shared" si="7"/>
        <v>45862.340277777781</v>
      </c>
      <c r="AG63" s="12">
        <f t="shared" si="8"/>
        <v>45862</v>
      </c>
      <c r="AH63" s="24">
        <f t="shared" si="9"/>
        <v>0.34027777778101154</v>
      </c>
    </row>
    <row r="64" spans="1:34" ht="19.95" customHeight="1" x14ac:dyDescent="0.4">
      <c r="A64" s="2">
        <v>1217</v>
      </c>
      <c r="B64" s="16">
        <f>VLOOKUP(A64,[1]PLAN!$A$3:$BG$1149,18,)+VLOOKUP(A64,[1]PLAN!$A$3:$BG$1149,19,)</f>
        <v>45861.479166666664</v>
      </c>
      <c r="C64" s="22">
        <f t="shared" si="0"/>
        <v>45861</v>
      </c>
      <c r="D64" s="23">
        <f t="shared" si="1"/>
        <v>0.47916666666424135</v>
      </c>
      <c r="E64" s="14">
        <f>VLOOKUP(A64,[1]PLAN!$A$3:$BG$1149,54,)+VLOOKUP(A64,[1]PLAN!$A$3:$BG$1149,22,)</f>
        <v>45862.34375</v>
      </c>
      <c r="F64" s="12">
        <f t="shared" si="2"/>
        <v>45862</v>
      </c>
      <c r="G64" s="24">
        <f t="shared" si="3"/>
        <v>0.34375</v>
      </c>
      <c r="H64" s="14"/>
      <c r="I64" s="14"/>
      <c r="J64" s="29"/>
      <c r="K64" s="30"/>
      <c r="M64" s="17">
        <f>VLOOKUP($A64,[1]PLAN!$A$3:$BG$1149,23,)</f>
        <v>35.256</v>
      </c>
      <c r="N64" s="7">
        <f t="shared" si="10"/>
        <v>42.307200000000002</v>
      </c>
      <c r="O64" s="5">
        <f>VLOOKUP($A64,[1]PLAN!$A$3:$BG$1149,49,)</f>
        <v>4</v>
      </c>
      <c r="P64" s="3"/>
      <c r="Q64" s="5">
        <f>VLOOKUP($A64,[1]PLAN!$A$3:$BG$1149,24,)/1.2</f>
        <v>31.76</v>
      </c>
      <c r="R64" s="7">
        <f t="shared" si="11"/>
        <v>38.112000000000002</v>
      </c>
      <c r="S64" s="5">
        <f>VLOOKUP($A64,[1]PLAN!$A$3:$BG$1149,50,)</f>
        <v>4</v>
      </c>
      <c r="U64" s="10">
        <v>69.28</v>
      </c>
      <c r="V64" s="11">
        <f t="shared" si="12"/>
        <v>83.135999999999996</v>
      </c>
      <c r="W64" s="6">
        <v>4</v>
      </c>
      <c r="Y64" s="10">
        <v>68.59</v>
      </c>
      <c r="Z64" s="11">
        <f t="shared" si="13"/>
        <v>82.308000000000007</v>
      </c>
      <c r="AA64" s="6">
        <v>4</v>
      </c>
      <c r="AB64" s="1">
        <v>1.2</v>
      </c>
      <c r="AC64" s="21" t="str">
        <f t="shared" si="4"/>
        <v>20:45</v>
      </c>
      <c r="AD64" s="27" t="str">
        <f t="shared" si="14"/>
        <v/>
      </c>
      <c r="AE64" s="27" t="str">
        <f t="shared" si="6"/>
        <v/>
      </c>
      <c r="AF64" s="14">
        <f t="shared" si="7"/>
        <v>45862.34375</v>
      </c>
      <c r="AG64" s="12">
        <f t="shared" si="8"/>
        <v>45862</v>
      </c>
      <c r="AH64" s="24">
        <f t="shared" si="9"/>
        <v>0.34375</v>
      </c>
    </row>
    <row r="65" spans="1:34" ht="19.95" customHeight="1" x14ac:dyDescent="0.4">
      <c r="A65" s="2">
        <v>1218</v>
      </c>
      <c r="B65" s="16">
        <f>VLOOKUP(A65,[1]PLAN!$A$3:$BG$1149,18,)+VLOOKUP(A65,[1]PLAN!$A$3:$BG$1149,19,)</f>
        <v>45861.583333333336</v>
      </c>
      <c r="C65" s="22">
        <f t="shared" si="0"/>
        <v>45861</v>
      </c>
      <c r="D65" s="23">
        <f t="shared" si="1"/>
        <v>0.58333333333575865</v>
      </c>
      <c r="E65" s="14">
        <f>VLOOKUP(A65,[1]PLAN!$A$3:$BG$1149,54,)+VLOOKUP(A65,[1]PLAN!$A$3:$BG$1149,22,)</f>
        <v>45862.347222222219</v>
      </c>
      <c r="F65" s="12">
        <f t="shared" si="2"/>
        <v>45862</v>
      </c>
      <c r="G65" s="24">
        <f t="shared" si="3"/>
        <v>0.34722222221898846</v>
      </c>
      <c r="H65" s="14"/>
      <c r="I65" s="14"/>
      <c r="J65" s="29"/>
      <c r="K65" s="30"/>
      <c r="M65" s="17">
        <f>VLOOKUP($A65,[1]PLAN!$A$3:$BG$1149,23,)</f>
        <v>26.099999999999998</v>
      </c>
      <c r="N65" s="7">
        <f t="shared" si="10"/>
        <v>31.319999999999997</v>
      </c>
      <c r="O65" s="5">
        <f>VLOOKUP($A65,[1]PLAN!$A$3:$BG$1149,49,)</f>
        <v>4</v>
      </c>
      <c r="P65" s="3"/>
      <c r="Q65" s="5">
        <f>VLOOKUP($A65,[1]PLAN!$A$3:$BG$1149,24,)/1.2</f>
        <v>20.39</v>
      </c>
      <c r="R65" s="7">
        <f t="shared" si="11"/>
        <v>24.468</v>
      </c>
      <c r="S65" s="5">
        <f>VLOOKUP($A65,[1]PLAN!$A$3:$BG$1149,50,)</f>
        <v>4</v>
      </c>
      <c r="U65" s="10">
        <v>70.34</v>
      </c>
      <c r="V65" s="11">
        <f t="shared" si="12"/>
        <v>84.408000000000001</v>
      </c>
      <c r="W65" s="6">
        <v>4</v>
      </c>
      <c r="Y65" s="10">
        <v>70.02</v>
      </c>
      <c r="Z65" s="11">
        <f t="shared" si="13"/>
        <v>84.023999999999987</v>
      </c>
      <c r="AA65" s="6">
        <v>4</v>
      </c>
      <c r="AB65" s="1">
        <v>1.2</v>
      </c>
      <c r="AC65" s="21" t="str">
        <f t="shared" si="4"/>
        <v>18:20</v>
      </c>
      <c r="AD65" s="27" t="str">
        <f t="shared" si="14"/>
        <v/>
      </c>
      <c r="AE65" s="27" t="str">
        <f t="shared" si="6"/>
        <v/>
      </c>
      <c r="AF65" s="14">
        <f t="shared" si="7"/>
        <v>45862.347222222219</v>
      </c>
      <c r="AG65" s="12">
        <f t="shared" si="8"/>
        <v>45862</v>
      </c>
      <c r="AH65" s="24">
        <f t="shared" si="9"/>
        <v>0.34722222221898846</v>
      </c>
    </row>
    <row r="66" spans="1:34" ht="19.95" customHeight="1" x14ac:dyDescent="0.4">
      <c r="A66" s="2">
        <v>1219</v>
      </c>
      <c r="B66" s="16">
        <f>VLOOKUP(A66,[1]PLAN!$A$3:$BG$1149,18,)+VLOOKUP(A66,[1]PLAN!$A$3:$BG$1149,19,)</f>
        <v>45862.545138888891</v>
      </c>
      <c r="C66" s="22">
        <f t="shared" si="0"/>
        <v>45862</v>
      </c>
      <c r="D66" s="23">
        <f t="shared" si="1"/>
        <v>0.54513888889050577</v>
      </c>
      <c r="E66" s="14">
        <f>VLOOKUP(A66,[1]PLAN!$A$3:$BG$1149,54,)+VLOOKUP(A66,[1]PLAN!$A$3:$BG$1149,22,)</f>
        <v>45863.3125</v>
      </c>
      <c r="F66" s="12">
        <f t="shared" si="2"/>
        <v>45863</v>
      </c>
      <c r="G66" s="24">
        <f t="shared" si="3"/>
        <v>0.3125</v>
      </c>
      <c r="H66" s="14"/>
      <c r="I66" s="14"/>
      <c r="J66" s="29"/>
      <c r="K66" s="30"/>
      <c r="M66" s="17">
        <f>VLOOKUP($A66,[1]PLAN!$A$3:$BG$1149,23,)</f>
        <v>30.791999999999998</v>
      </c>
      <c r="N66" s="7">
        <f t="shared" si="10"/>
        <v>36.950399999999995</v>
      </c>
      <c r="O66" s="5">
        <f>VLOOKUP($A66,[1]PLAN!$A$3:$BG$1149,49,)</f>
        <v>4</v>
      </c>
      <c r="P66" s="3"/>
      <c r="Q66" s="5">
        <f>VLOOKUP($A66,[1]PLAN!$A$3:$BG$1149,24,)/1.2</f>
        <v>26.07</v>
      </c>
      <c r="R66" s="7">
        <f t="shared" si="11"/>
        <v>31.283999999999999</v>
      </c>
      <c r="S66" s="5">
        <f>VLOOKUP($A66,[1]PLAN!$A$3:$BG$1149,50,)</f>
        <v>4</v>
      </c>
      <c r="U66" s="10">
        <v>70.040000000000006</v>
      </c>
      <c r="V66" s="11">
        <f t="shared" si="12"/>
        <v>84.048000000000002</v>
      </c>
      <c r="W66" s="6">
        <v>4</v>
      </c>
      <c r="Y66" s="10">
        <v>70.540000000000006</v>
      </c>
      <c r="Z66" s="11">
        <f t="shared" si="13"/>
        <v>84.64800000000001</v>
      </c>
      <c r="AA66" s="6">
        <v>4</v>
      </c>
      <c r="AB66" s="1">
        <v>1.2</v>
      </c>
      <c r="AC66" s="21" t="str">
        <f t="shared" si="4"/>
        <v>18:25</v>
      </c>
      <c r="AD66" s="27" t="str">
        <f t="shared" si="14"/>
        <v/>
      </c>
      <c r="AE66" s="27" t="str">
        <f t="shared" si="6"/>
        <v/>
      </c>
      <c r="AF66" s="14">
        <f t="shared" si="7"/>
        <v>45863.3125</v>
      </c>
      <c r="AG66" s="12">
        <f t="shared" si="8"/>
        <v>45863</v>
      </c>
      <c r="AH66" s="24">
        <f t="shared" si="9"/>
        <v>0.3125</v>
      </c>
    </row>
    <row r="67" spans="1:34" ht="19.95" customHeight="1" x14ac:dyDescent="0.4">
      <c r="A67" s="2">
        <v>1220</v>
      </c>
      <c r="B67" s="16">
        <f>VLOOKUP(A67,[1]PLAN!$A$3:$BG$1149,18,)+VLOOKUP(A67,[1]PLAN!$A$3:$BG$1149,19,)</f>
        <v>45862.5625</v>
      </c>
      <c r="C67" s="22">
        <f t="shared" si="0"/>
        <v>45862</v>
      </c>
      <c r="D67" s="23">
        <f t="shared" si="1"/>
        <v>0.5625</v>
      </c>
      <c r="E67" s="14">
        <f>VLOOKUP(A67,[1]PLAN!$A$3:$BG$1149,54,)+VLOOKUP(A67,[1]PLAN!$A$3:$BG$1149,22,)</f>
        <v>45863.319444444445</v>
      </c>
      <c r="F67" s="12">
        <f t="shared" si="2"/>
        <v>45863</v>
      </c>
      <c r="G67" s="24">
        <f t="shared" si="3"/>
        <v>0.31944444444525288</v>
      </c>
      <c r="H67" s="14"/>
      <c r="I67" s="14"/>
      <c r="J67" s="29"/>
      <c r="K67" s="30"/>
      <c r="M67" s="17">
        <f>VLOOKUP($A67,[1]PLAN!$A$3:$BG$1149,23,)</f>
        <v>28.799999999999997</v>
      </c>
      <c r="N67" s="7">
        <f t="shared" si="10"/>
        <v>34.559999999999995</v>
      </c>
      <c r="O67" s="5">
        <f>VLOOKUP($A67,[1]PLAN!$A$3:$BG$1149,49,)</f>
        <v>4</v>
      </c>
      <c r="P67" s="3"/>
      <c r="Q67" s="5">
        <f>VLOOKUP($A67,[1]PLAN!$A$3:$BG$1149,24,)/1.2</f>
        <v>22.93</v>
      </c>
      <c r="R67" s="7">
        <f t="shared" si="11"/>
        <v>27.515999999999998</v>
      </c>
      <c r="S67" s="5">
        <f>VLOOKUP($A67,[1]PLAN!$A$3:$BG$1149,50,)</f>
        <v>4</v>
      </c>
      <c r="U67" s="10">
        <v>70.53</v>
      </c>
      <c r="V67" s="11">
        <f t="shared" si="12"/>
        <v>84.635999999999996</v>
      </c>
      <c r="W67" s="6">
        <v>4</v>
      </c>
      <c r="Y67" s="10">
        <v>70.56</v>
      </c>
      <c r="Z67" s="11">
        <f t="shared" si="13"/>
        <v>84.671999999999997</v>
      </c>
      <c r="AA67" s="6">
        <v>4</v>
      </c>
      <c r="AB67" s="1">
        <v>1.2</v>
      </c>
      <c r="AC67" s="21" t="str">
        <f t="shared" si="4"/>
        <v>18:10</v>
      </c>
      <c r="AD67" s="27" t="str">
        <f t="shared" si="14"/>
        <v/>
      </c>
      <c r="AE67" s="27" t="str">
        <f t="shared" si="6"/>
        <v/>
      </c>
      <c r="AF67" s="14">
        <f t="shared" si="7"/>
        <v>45863.319444444445</v>
      </c>
      <c r="AG67" s="12">
        <f t="shared" si="8"/>
        <v>45863</v>
      </c>
      <c r="AH67" s="24">
        <f t="shared" si="9"/>
        <v>0.31944444444525288</v>
      </c>
    </row>
    <row r="68" spans="1:34" ht="19.95" customHeight="1" x14ac:dyDescent="0.4">
      <c r="A68" s="2">
        <v>1221</v>
      </c>
      <c r="B68" s="16">
        <f>VLOOKUP(A68,[1]PLAN!$A$3:$BG$1149,18,)+VLOOKUP(A68,[1]PLAN!$A$3:$BG$1149,19,)</f>
        <v>45862.583333333336</v>
      </c>
      <c r="C68" s="22">
        <f t="shared" ref="C68:C131" si="15">INT(B68)</f>
        <v>45862</v>
      </c>
      <c r="D68" s="23">
        <f t="shared" ref="D68:D131" si="16">B68-INT(B68)</f>
        <v>0.58333333333575865</v>
      </c>
      <c r="E68" s="14">
        <f>VLOOKUP(A68,[1]PLAN!$A$3:$BG$1149,54,)+VLOOKUP(A68,[1]PLAN!$A$3:$BG$1149,22,)</f>
        <v>45863.34375</v>
      </c>
      <c r="F68" s="12">
        <f t="shared" ref="F68:F131" si="17">INT(E68)</f>
        <v>45863</v>
      </c>
      <c r="G68" s="24">
        <f t="shared" ref="G68:G131" si="18">E68-INT(E68)</f>
        <v>0.34375</v>
      </c>
      <c r="H68" s="14"/>
      <c r="I68" s="14"/>
      <c r="J68" s="29"/>
      <c r="K68" s="30"/>
      <c r="M68" s="17">
        <f>VLOOKUP($A68,[1]PLAN!$A$3:$BG$1149,23,)</f>
        <v>30.012</v>
      </c>
      <c r="N68" s="7">
        <f t="shared" si="10"/>
        <v>36.014400000000002</v>
      </c>
      <c r="O68" s="5">
        <f>VLOOKUP($A68,[1]PLAN!$A$3:$BG$1149,49,)</f>
        <v>4</v>
      </c>
      <c r="P68" s="3"/>
      <c r="Q68" s="5">
        <f>VLOOKUP($A68,[1]PLAN!$A$3:$BG$1149,24,)/1.2</f>
        <v>24.07</v>
      </c>
      <c r="R68" s="7">
        <f t="shared" si="11"/>
        <v>28.884</v>
      </c>
      <c r="S68" s="5">
        <f>VLOOKUP($A68,[1]PLAN!$A$3:$BG$1149,50,)</f>
        <v>4</v>
      </c>
      <c r="U68" s="10">
        <v>70.099999999999994</v>
      </c>
      <c r="V68" s="11">
        <f t="shared" si="12"/>
        <v>84.11999999999999</v>
      </c>
      <c r="W68" s="6">
        <v>4</v>
      </c>
      <c r="Y68" s="10">
        <v>70.510000000000005</v>
      </c>
      <c r="Z68" s="11">
        <f t="shared" si="13"/>
        <v>84.612000000000009</v>
      </c>
      <c r="AA68" s="6">
        <v>4</v>
      </c>
      <c r="AB68" s="1">
        <v>1.2</v>
      </c>
      <c r="AC68" s="21" t="str">
        <f t="shared" si="4"/>
        <v>18:15</v>
      </c>
      <c r="AD68" s="27" t="str">
        <f t="shared" si="14"/>
        <v/>
      </c>
      <c r="AE68" s="27" t="str">
        <f t="shared" si="6"/>
        <v/>
      </c>
      <c r="AF68" s="14">
        <f t="shared" si="7"/>
        <v>45863.34375</v>
      </c>
      <c r="AG68" s="12">
        <f t="shared" ref="AG68:AG131" si="19">INT(AF68)</f>
        <v>45863</v>
      </c>
      <c r="AH68" s="24">
        <f t="shared" ref="AH68:AH131" si="20">AF68-INT(AF68)</f>
        <v>0.34375</v>
      </c>
    </row>
    <row r="69" spans="1:34" ht="19.95" customHeight="1" x14ac:dyDescent="0.4">
      <c r="A69" s="2">
        <v>1222</v>
      </c>
      <c r="B69" s="16">
        <f>VLOOKUP(A69,[1]PLAN!$A$3:$BG$1149,18,)+VLOOKUP(A69,[1]PLAN!$A$3:$BG$1149,19,)</f>
        <v>45862.645833333336</v>
      </c>
      <c r="C69" s="22">
        <f t="shared" si="15"/>
        <v>45862</v>
      </c>
      <c r="D69" s="23">
        <f t="shared" si="16"/>
        <v>0.64583333333575865</v>
      </c>
      <c r="E69" s="14">
        <f>VLOOKUP(A69,[1]PLAN!$A$3:$BG$1149,54,)+VLOOKUP(A69,[1]PLAN!$A$3:$BG$1149,22,)</f>
        <v>45863.322916666664</v>
      </c>
      <c r="F69" s="12">
        <f t="shared" si="17"/>
        <v>45863</v>
      </c>
      <c r="G69" s="24">
        <f t="shared" si="18"/>
        <v>0.32291666666424135</v>
      </c>
      <c r="H69" s="14"/>
      <c r="I69" s="14"/>
      <c r="J69" s="29"/>
      <c r="K69" s="30"/>
      <c r="M69" s="17">
        <f>VLOOKUP($A69,[1]PLAN!$A$3:$BG$1149,23,)</f>
        <v>29.567999999999998</v>
      </c>
      <c r="N69" s="7">
        <f t="shared" si="10"/>
        <v>35.481599999999993</v>
      </c>
      <c r="O69" s="5">
        <f>VLOOKUP($A69,[1]PLAN!$A$3:$BG$1149,49,)</f>
        <v>4</v>
      </c>
      <c r="P69" s="3"/>
      <c r="Q69" s="5">
        <f>VLOOKUP($A69,[1]PLAN!$A$3:$BG$1149,24,)/1.2</f>
        <v>26.959999999999997</v>
      </c>
      <c r="R69" s="7">
        <f t="shared" si="11"/>
        <v>32.351999999999997</v>
      </c>
      <c r="S69" s="5">
        <f>VLOOKUP($A69,[1]PLAN!$A$3:$BG$1149,50,)</f>
        <v>4</v>
      </c>
      <c r="U69" s="10">
        <v>70.25</v>
      </c>
      <c r="V69" s="11">
        <f t="shared" si="12"/>
        <v>84.3</v>
      </c>
      <c r="W69" s="6">
        <v>4</v>
      </c>
      <c r="Y69" s="10">
        <v>69.95</v>
      </c>
      <c r="Z69" s="11">
        <f t="shared" si="13"/>
        <v>83.94</v>
      </c>
      <c r="AA69" s="6">
        <v>4</v>
      </c>
      <c r="AB69" s="1">
        <v>1.2</v>
      </c>
      <c r="AC69" s="21" t="str">
        <f t="shared" ref="AC69:AC132" si="21">IF(B69="","",TEXT(E69-B69,"[hh]:mm"))</f>
        <v>16:15</v>
      </c>
      <c r="AD69" s="27" t="str">
        <f t="shared" si="14"/>
        <v/>
      </c>
      <c r="AE69" s="27" t="str">
        <f t="shared" ref="AE69:AE132" si="22">IF(I69="","",TEXT(I69-B69,"[hh]:mm"))</f>
        <v/>
      </c>
      <c r="AF69" s="14">
        <f t="shared" ref="AF69:AF132" si="23">MAX(E69,H69,I69)</f>
        <v>45863.322916666664</v>
      </c>
      <c r="AG69" s="12">
        <f t="shared" si="19"/>
        <v>45863</v>
      </c>
      <c r="AH69" s="24">
        <f t="shared" si="20"/>
        <v>0.32291666666424135</v>
      </c>
    </row>
    <row r="70" spans="1:34" ht="19.95" customHeight="1" x14ac:dyDescent="0.4">
      <c r="A70" s="2">
        <v>1223</v>
      </c>
      <c r="B70" s="16">
        <f>VLOOKUP(A70,[1]PLAN!$A$3:$BG$1149,18,)+VLOOKUP(A70,[1]PLAN!$A$3:$BG$1149,19,)</f>
        <v>45862.645833333336</v>
      </c>
      <c r="C70" s="22">
        <f t="shared" si="15"/>
        <v>45862</v>
      </c>
      <c r="D70" s="23">
        <f t="shared" si="16"/>
        <v>0.64583333333575865</v>
      </c>
      <c r="E70" s="14">
        <f>VLOOKUP(A70,[1]PLAN!$A$3:$BG$1149,54,)+VLOOKUP(A70,[1]PLAN!$A$3:$BG$1149,22,)</f>
        <v>45863.326388888891</v>
      </c>
      <c r="F70" s="12">
        <f t="shared" si="17"/>
        <v>45863</v>
      </c>
      <c r="G70" s="24">
        <f t="shared" si="18"/>
        <v>0.32638888889050577</v>
      </c>
      <c r="H70" s="14"/>
      <c r="I70" s="14"/>
      <c r="J70" s="29"/>
      <c r="K70" s="30"/>
      <c r="M70" s="17">
        <f>VLOOKUP($A70,[1]PLAN!$A$3:$BG$1149,23,)</f>
        <v>29.063999999999997</v>
      </c>
      <c r="N70" s="7">
        <f t="shared" si="10"/>
        <v>34.876799999999996</v>
      </c>
      <c r="O70" s="5">
        <f>VLOOKUP($A70,[1]PLAN!$A$3:$BG$1149,49,)</f>
        <v>4</v>
      </c>
      <c r="P70" s="3"/>
      <c r="Q70" s="5">
        <f>VLOOKUP($A70,[1]PLAN!$A$3:$BG$1149,24,)/1.2</f>
        <v>26.42</v>
      </c>
      <c r="R70" s="7">
        <f t="shared" si="11"/>
        <v>31.704000000000001</v>
      </c>
      <c r="S70" s="5">
        <f>VLOOKUP($A70,[1]PLAN!$A$3:$BG$1149,50,)</f>
        <v>4</v>
      </c>
      <c r="U70" s="10">
        <v>70.739999999999995</v>
      </c>
      <c r="V70" s="11">
        <f t="shared" si="12"/>
        <v>84.887999999999991</v>
      </c>
      <c r="W70" s="6">
        <v>4</v>
      </c>
      <c r="Y70" s="10">
        <v>70.25</v>
      </c>
      <c r="Z70" s="11">
        <f t="shared" si="13"/>
        <v>84.3</v>
      </c>
      <c r="AA70" s="6">
        <v>4</v>
      </c>
      <c r="AB70" s="1">
        <v>1.2</v>
      </c>
      <c r="AC70" s="21" t="str">
        <f t="shared" si="21"/>
        <v>16:20</v>
      </c>
      <c r="AD70" s="27" t="str">
        <f t="shared" si="14"/>
        <v/>
      </c>
      <c r="AE70" s="27" t="str">
        <f t="shared" si="22"/>
        <v/>
      </c>
      <c r="AF70" s="14">
        <f t="shared" si="23"/>
        <v>45863.326388888891</v>
      </c>
      <c r="AG70" s="12">
        <f t="shared" si="19"/>
        <v>45863</v>
      </c>
      <c r="AH70" s="24">
        <f t="shared" si="20"/>
        <v>0.32638888889050577</v>
      </c>
    </row>
    <row r="71" spans="1:34" ht="19.95" customHeight="1" x14ac:dyDescent="0.4">
      <c r="A71" s="2">
        <v>1224</v>
      </c>
      <c r="B71" s="16">
        <f>VLOOKUP(A71,[1]PLAN!$A$3:$BG$1149,18,)+VLOOKUP(A71,[1]PLAN!$A$3:$BG$1149,19,)</f>
        <v>45863.548611111109</v>
      </c>
      <c r="C71" s="22">
        <f t="shared" si="15"/>
        <v>45863</v>
      </c>
      <c r="D71" s="23">
        <f t="shared" si="16"/>
        <v>0.54861111110949423</v>
      </c>
      <c r="E71" s="14">
        <f>VLOOKUP(A71,[1]PLAN!$A$3:$BG$1149,54,)+VLOOKUP(A71,[1]PLAN!$A$3:$BG$1149,22,)</f>
        <v>45864.3125</v>
      </c>
      <c r="F71" s="12">
        <f t="shared" si="17"/>
        <v>45864</v>
      </c>
      <c r="G71" s="24">
        <f t="shared" si="18"/>
        <v>0.3125</v>
      </c>
      <c r="H71" s="14"/>
      <c r="I71" s="14"/>
      <c r="J71" s="29"/>
      <c r="K71" s="30"/>
      <c r="M71" s="17">
        <f>VLOOKUP($A71,[1]PLAN!$A$3:$BG$1149,23,)</f>
        <v>34.704000000000001</v>
      </c>
      <c r="N71" s="7">
        <f t="shared" si="10"/>
        <v>41.644799999999996</v>
      </c>
      <c r="O71" s="5">
        <f>VLOOKUP($A71,[1]PLAN!$A$3:$BG$1149,49,)</f>
        <v>4</v>
      </c>
      <c r="P71" s="3"/>
      <c r="Q71" s="5">
        <f>VLOOKUP($A71,[1]PLAN!$A$3:$BG$1149,24,)/1.2</f>
        <v>29.98</v>
      </c>
      <c r="R71" s="7">
        <f t="shared" si="11"/>
        <v>35.975999999999999</v>
      </c>
      <c r="S71" s="5">
        <f>VLOOKUP($A71,[1]PLAN!$A$3:$BG$1149,50,)</f>
        <v>4</v>
      </c>
      <c r="U71" s="10">
        <v>71.41</v>
      </c>
      <c r="V71" s="11">
        <f t="shared" si="12"/>
        <v>85.691999999999993</v>
      </c>
      <c r="W71" s="6">
        <v>4</v>
      </c>
      <c r="Y71" s="10">
        <v>71.290000000000006</v>
      </c>
      <c r="Z71" s="11">
        <f t="shared" si="13"/>
        <v>85.548000000000002</v>
      </c>
      <c r="AA71" s="6">
        <v>4</v>
      </c>
      <c r="AB71" s="1">
        <v>1.2</v>
      </c>
      <c r="AC71" s="21" t="str">
        <f t="shared" si="21"/>
        <v>18:20</v>
      </c>
      <c r="AD71" s="27" t="str">
        <f t="shared" si="14"/>
        <v/>
      </c>
      <c r="AE71" s="27" t="str">
        <f t="shared" si="22"/>
        <v/>
      </c>
      <c r="AF71" s="14">
        <f t="shared" si="23"/>
        <v>45864.3125</v>
      </c>
      <c r="AG71" s="12">
        <f t="shared" si="19"/>
        <v>45864</v>
      </c>
      <c r="AH71" s="24">
        <f t="shared" si="20"/>
        <v>0.3125</v>
      </c>
    </row>
    <row r="72" spans="1:34" ht="19.95" customHeight="1" x14ac:dyDescent="0.4">
      <c r="A72" s="2">
        <v>1225</v>
      </c>
      <c r="B72" s="16">
        <f>VLOOKUP(A72,[1]PLAN!$A$3:$BG$1149,18,)+VLOOKUP(A72,[1]PLAN!$A$3:$BG$1149,19,)</f>
        <v>45863.572916666664</v>
      </c>
      <c r="C72" s="22">
        <f t="shared" si="15"/>
        <v>45863</v>
      </c>
      <c r="D72" s="23">
        <f t="shared" si="16"/>
        <v>0.57291666666424135</v>
      </c>
      <c r="E72" s="14">
        <f>VLOOKUP(A72,[1]PLAN!$A$3:$BG$1149,54,)+VLOOKUP(A72,[1]PLAN!$A$3:$BG$1149,22,)</f>
        <v>45864.319444444445</v>
      </c>
      <c r="F72" s="12">
        <f t="shared" si="17"/>
        <v>45864</v>
      </c>
      <c r="G72" s="24">
        <f t="shared" si="18"/>
        <v>0.31944444444525288</v>
      </c>
      <c r="H72" s="14"/>
      <c r="I72" s="14"/>
      <c r="J72" s="29"/>
      <c r="K72" s="30"/>
      <c r="M72" s="17">
        <f>VLOOKUP($A72,[1]PLAN!$A$3:$BG$1149,23,)</f>
        <v>35.699999999999996</v>
      </c>
      <c r="N72" s="7">
        <f t="shared" ref="N72:N135" si="24">IF(M72="","",M72*AB72)</f>
        <v>42.839999999999996</v>
      </c>
      <c r="O72" s="5">
        <f>VLOOKUP($A72,[1]PLAN!$A$3:$BG$1149,49,)</f>
        <v>4</v>
      </c>
      <c r="P72" s="3"/>
      <c r="Q72" s="5">
        <f>VLOOKUP($A72,[1]PLAN!$A$3:$BG$1149,24,)/1.2</f>
        <v>28.44</v>
      </c>
      <c r="R72" s="7">
        <f t="shared" ref="R72:R135" si="25">IF(Q72="","",Q72*AB72)</f>
        <v>34.128</v>
      </c>
      <c r="S72" s="5">
        <f>VLOOKUP($A72,[1]PLAN!$A$3:$BG$1149,50,)</f>
        <v>4</v>
      </c>
      <c r="U72" s="10">
        <v>70.23</v>
      </c>
      <c r="V72" s="11">
        <f t="shared" ref="V72:V135" si="26">IF(U72="","",U72*AB72)</f>
        <v>84.275999999999996</v>
      </c>
      <c r="W72" s="6">
        <v>4</v>
      </c>
      <c r="Y72" s="10">
        <v>70.25</v>
      </c>
      <c r="Z72" s="11">
        <f t="shared" ref="Z72:Z135" si="27">IF(Y72="","",Y72*AB72)</f>
        <v>84.3</v>
      </c>
      <c r="AA72" s="6">
        <v>3</v>
      </c>
      <c r="AB72" s="1">
        <v>1.2</v>
      </c>
      <c r="AC72" s="21" t="str">
        <f t="shared" si="21"/>
        <v>17:55</v>
      </c>
      <c r="AD72" s="27" t="str">
        <f t="shared" si="14"/>
        <v/>
      </c>
      <c r="AE72" s="27" t="str">
        <f t="shared" si="22"/>
        <v/>
      </c>
      <c r="AF72" s="14">
        <f t="shared" si="23"/>
        <v>45864.319444444445</v>
      </c>
      <c r="AG72" s="12">
        <f t="shared" si="19"/>
        <v>45864</v>
      </c>
      <c r="AH72" s="24">
        <f t="shared" si="20"/>
        <v>0.31944444444525288</v>
      </c>
    </row>
    <row r="73" spans="1:34" ht="19.95" customHeight="1" x14ac:dyDescent="0.4">
      <c r="A73" s="2">
        <v>1226</v>
      </c>
      <c r="B73" s="16">
        <f>VLOOKUP(A73,[1]PLAN!$A$3:$BG$1149,18,)+VLOOKUP(A73,[1]PLAN!$A$3:$BG$1149,19,)</f>
        <v>45863.604166666664</v>
      </c>
      <c r="C73" s="22">
        <f t="shared" si="15"/>
        <v>45863</v>
      </c>
      <c r="D73" s="23">
        <f t="shared" si="16"/>
        <v>0.60416666666424135</v>
      </c>
      <c r="E73" s="14">
        <f>VLOOKUP(A73,[1]PLAN!$A$3:$BG$1149,54,)+VLOOKUP(A73,[1]PLAN!$A$3:$BG$1149,22,)</f>
        <v>45864.322916666664</v>
      </c>
      <c r="F73" s="12">
        <f t="shared" si="17"/>
        <v>45864</v>
      </c>
      <c r="G73" s="24">
        <f t="shared" si="18"/>
        <v>0.32291666666424135</v>
      </c>
      <c r="H73" s="14"/>
      <c r="I73" s="14"/>
      <c r="J73" s="29"/>
      <c r="K73" s="30"/>
      <c r="M73" s="17">
        <f>VLOOKUP($A73,[1]PLAN!$A$3:$BG$1149,23,)</f>
        <v>33.252000000000002</v>
      </c>
      <c r="N73" s="7">
        <f t="shared" si="24"/>
        <v>39.9024</v>
      </c>
      <c r="O73" s="5">
        <f>VLOOKUP($A73,[1]PLAN!$A$3:$BG$1149,49,)</f>
        <v>4</v>
      </c>
      <c r="P73" s="3"/>
      <c r="Q73" s="5">
        <f>VLOOKUP($A73,[1]PLAN!$A$3:$BG$1149,24,)/1.2</f>
        <v>28.43</v>
      </c>
      <c r="R73" s="7">
        <f t="shared" si="25"/>
        <v>34.116</v>
      </c>
      <c r="S73" s="5">
        <f>VLOOKUP($A73,[1]PLAN!$A$3:$BG$1149,50,)</f>
        <v>4</v>
      </c>
      <c r="U73" s="10">
        <v>69.900000000000006</v>
      </c>
      <c r="V73" s="11">
        <f t="shared" si="26"/>
        <v>83.88000000000001</v>
      </c>
      <c r="W73" s="6">
        <v>4</v>
      </c>
      <c r="Y73" s="10">
        <v>70.650000000000006</v>
      </c>
      <c r="Z73" s="11">
        <f t="shared" si="27"/>
        <v>84.78</v>
      </c>
      <c r="AA73" s="6">
        <v>4</v>
      </c>
      <c r="AB73" s="1">
        <v>1.2</v>
      </c>
      <c r="AC73" s="21" t="str">
        <f t="shared" si="21"/>
        <v>17:15</v>
      </c>
      <c r="AD73" s="27" t="str">
        <f t="shared" si="14"/>
        <v/>
      </c>
      <c r="AE73" s="27" t="str">
        <f t="shared" si="22"/>
        <v/>
      </c>
      <c r="AF73" s="14">
        <f t="shared" si="23"/>
        <v>45864.322916666664</v>
      </c>
      <c r="AG73" s="12">
        <f t="shared" si="19"/>
        <v>45864</v>
      </c>
      <c r="AH73" s="24">
        <f t="shared" si="20"/>
        <v>0.32291666666424135</v>
      </c>
    </row>
    <row r="74" spans="1:34" ht="19.95" customHeight="1" x14ac:dyDescent="0.4">
      <c r="A74" s="2">
        <v>1227</v>
      </c>
      <c r="B74" s="16">
        <f>VLOOKUP(A74,[1]PLAN!$A$3:$BG$1149,18,)+VLOOKUP(A74,[1]PLAN!$A$3:$BG$1149,19,)</f>
        <v>45863.635416666664</v>
      </c>
      <c r="C74" s="22">
        <f t="shared" si="15"/>
        <v>45863</v>
      </c>
      <c r="D74" s="23">
        <f t="shared" si="16"/>
        <v>0.63541666666424135</v>
      </c>
      <c r="E74" s="14">
        <f>VLOOKUP(A74,[1]PLAN!$A$3:$BG$1149,54,)+VLOOKUP(A74,[1]PLAN!$A$3:$BG$1149,22,)</f>
        <v>45864.326388888891</v>
      </c>
      <c r="F74" s="12">
        <f t="shared" si="17"/>
        <v>45864</v>
      </c>
      <c r="G74" s="24">
        <f t="shared" si="18"/>
        <v>0.32638888889050577</v>
      </c>
      <c r="H74" s="14"/>
      <c r="I74" s="14"/>
      <c r="J74" s="29"/>
      <c r="K74" s="30"/>
      <c r="M74" s="17">
        <f>VLOOKUP($A74,[1]PLAN!$A$3:$BG$1149,23,)</f>
        <v>27.671999999999997</v>
      </c>
      <c r="N74" s="7">
        <f t="shared" si="24"/>
        <v>33.206399999999995</v>
      </c>
      <c r="O74" s="5">
        <f>VLOOKUP($A74,[1]PLAN!$A$3:$BG$1149,49,)</f>
        <v>4</v>
      </c>
      <c r="P74" s="3"/>
      <c r="Q74" s="5">
        <f>VLOOKUP($A74,[1]PLAN!$A$3:$BG$1149,24,)/1.2</f>
        <v>22.77</v>
      </c>
      <c r="R74" s="7">
        <f t="shared" si="25"/>
        <v>27.323999999999998</v>
      </c>
      <c r="S74" s="5">
        <f>VLOOKUP($A74,[1]PLAN!$A$3:$BG$1149,50,)</f>
        <v>4</v>
      </c>
      <c r="U74" s="10">
        <v>70.56</v>
      </c>
      <c r="V74" s="11">
        <f t="shared" si="26"/>
        <v>84.671999999999997</v>
      </c>
      <c r="W74" s="6">
        <v>4</v>
      </c>
      <c r="Y74" s="10">
        <v>70.59</v>
      </c>
      <c r="Z74" s="11">
        <f t="shared" si="27"/>
        <v>84.707999999999998</v>
      </c>
      <c r="AA74" s="6">
        <v>4</v>
      </c>
      <c r="AB74" s="1">
        <v>1.2</v>
      </c>
      <c r="AC74" s="21" t="str">
        <f t="shared" si="21"/>
        <v>16:35</v>
      </c>
      <c r="AD74" s="27" t="str">
        <f t="shared" si="14"/>
        <v/>
      </c>
      <c r="AE74" s="27" t="str">
        <f t="shared" si="22"/>
        <v/>
      </c>
      <c r="AF74" s="14">
        <f t="shared" si="23"/>
        <v>45864.326388888891</v>
      </c>
      <c r="AG74" s="12">
        <f t="shared" si="19"/>
        <v>45864</v>
      </c>
      <c r="AH74" s="24">
        <f t="shared" si="20"/>
        <v>0.32638888889050577</v>
      </c>
    </row>
    <row r="75" spans="1:34" ht="19.95" customHeight="1" x14ac:dyDescent="0.4">
      <c r="A75" s="2">
        <v>1228</v>
      </c>
      <c r="B75" s="16">
        <f>VLOOKUP(A75,[1]PLAN!$A$3:$BG$1149,18,)+VLOOKUP(A75,[1]PLAN!$A$3:$BG$1149,19,)</f>
        <v>45863.666666666664</v>
      </c>
      <c r="C75" s="22">
        <f t="shared" si="15"/>
        <v>45863</v>
      </c>
      <c r="D75" s="23">
        <f t="shared" si="16"/>
        <v>0.66666666666424135</v>
      </c>
      <c r="E75" s="14">
        <f>VLOOKUP(A75,[1]PLAN!$A$3:$BG$1149,54,)+VLOOKUP(A75,[1]PLAN!$A$3:$BG$1149,22,)</f>
        <v>45864.333333333336</v>
      </c>
      <c r="F75" s="12">
        <f t="shared" si="17"/>
        <v>45864</v>
      </c>
      <c r="G75" s="24">
        <f t="shared" si="18"/>
        <v>0.33333333333575865</v>
      </c>
      <c r="H75" s="14"/>
      <c r="I75" s="14"/>
      <c r="J75" s="29"/>
      <c r="K75" s="30"/>
      <c r="M75" s="17">
        <f>VLOOKUP($A75,[1]PLAN!$A$3:$BG$1149,23,)</f>
        <v>27.887999999999998</v>
      </c>
      <c r="N75" s="7">
        <f t="shared" si="24"/>
        <v>33.465599999999995</v>
      </c>
      <c r="O75" s="5">
        <f>VLOOKUP($A75,[1]PLAN!$A$3:$BG$1149,49,)</f>
        <v>4</v>
      </c>
      <c r="P75" s="3"/>
      <c r="Q75" s="5">
        <f>VLOOKUP($A75,[1]PLAN!$A$3:$BG$1149,24,)/1.2</f>
        <v>22.31</v>
      </c>
      <c r="R75" s="7">
        <f t="shared" si="25"/>
        <v>26.771999999999998</v>
      </c>
      <c r="S75" s="5">
        <f>VLOOKUP($A75,[1]PLAN!$A$3:$BG$1149,50,)</f>
        <v>4</v>
      </c>
      <c r="U75" s="10">
        <v>71.239999999999995</v>
      </c>
      <c r="V75" s="11">
        <f t="shared" si="26"/>
        <v>85.487999999999985</v>
      </c>
      <c r="W75" s="6">
        <v>4</v>
      </c>
      <c r="Y75" s="10">
        <v>70.94</v>
      </c>
      <c r="Z75" s="11">
        <f t="shared" si="27"/>
        <v>85.128</v>
      </c>
      <c r="AA75" s="6">
        <v>4</v>
      </c>
      <c r="AB75" s="1">
        <v>1.2</v>
      </c>
      <c r="AC75" s="21" t="str">
        <f t="shared" si="21"/>
        <v>16:00</v>
      </c>
      <c r="AD75" s="27" t="str">
        <f t="shared" si="14"/>
        <v/>
      </c>
      <c r="AE75" s="27" t="str">
        <f t="shared" si="22"/>
        <v/>
      </c>
      <c r="AF75" s="14">
        <f t="shared" si="23"/>
        <v>45864.333333333336</v>
      </c>
      <c r="AG75" s="12">
        <f t="shared" si="19"/>
        <v>45864</v>
      </c>
      <c r="AH75" s="24">
        <f t="shared" si="20"/>
        <v>0.33333333333575865</v>
      </c>
    </row>
    <row r="76" spans="1:34" ht="19.95" customHeight="1" x14ac:dyDescent="0.4">
      <c r="A76" s="2">
        <v>1229</v>
      </c>
      <c r="B76" s="16">
        <f>VLOOKUP(A76,[1]PLAN!$A$3:$BG$1149,18,)+VLOOKUP(A76,[1]PLAN!$A$3:$BG$1149,19,)</f>
        <v>45864.548611111109</v>
      </c>
      <c r="C76" s="22">
        <f t="shared" si="15"/>
        <v>45864</v>
      </c>
      <c r="D76" s="23">
        <f t="shared" si="16"/>
        <v>0.54861111110949423</v>
      </c>
      <c r="E76" s="14">
        <f>VLOOKUP(A76,[1]PLAN!$A$3:$BG$1149,54,)+VLOOKUP(A76,[1]PLAN!$A$3:$BG$1149,22,)</f>
        <v>45866.291666666664</v>
      </c>
      <c r="F76" s="12">
        <f t="shared" si="17"/>
        <v>45866</v>
      </c>
      <c r="G76" s="24">
        <f t="shared" si="18"/>
        <v>0.29166666666424135</v>
      </c>
      <c r="H76" s="14"/>
      <c r="I76" s="14"/>
      <c r="J76" s="29"/>
      <c r="K76" s="30"/>
      <c r="M76" s="17">
        <f>VLOOKUP($A76,[1]PLAN!$A$3:$BG$1149,23,)</f>
        <v>47.16</v>
      </c>
      <c r="N76" s="7">
        <f t="shared" si="24"/>
        <v>56.591999999999992</v>
      </c>
      <c r="O76" s="5">
        <f>VLOOKUP($A76,[1]PLAN!$A$3:$BG$1149,49,)</f>
        <v>4</v>
      </c>
      <c r="P76" s="3"/>
      <c r="Q76" s="5">
        <f>VLOOKUP($A76,[1]PLAN!$A$3:$BG$1149,24,)/1.2</f>
        <v>40.9</v>
      </c>
      <c r="R76" s="7">
        <f t="shared" si="25"/>
        <v>49.08</v>
      </c>
      <c r="S76" s="5">
        <f>VLOOKUP($A76,[1]PLAN!$A$3:$BG$1149,50,)</f>
        <v>4</v>
      </c>
      <c r="U76" s="10">
        <v>71.180000000000007</v>
      </c>
      <c r="V76" s="11">
        <f t="shared" si="26"/>
        <v>85.416000000000011</v>
      </c>
      <c r="W76" s="6">
        <v>4</v>
      </c>
      <c r="Y76" s="10">
        <v>70.819999999999993</v>
      </c>
      <c r="Z76" s="11">
        <f t="shared" si="27"/>
        <v>84.983999999999995</v>
      </c>
      <c r="AA76" s="6">
        <v>4</v>
      </c>
      <c r="AB76" s="1">
        <v>1.2</v>
      </c>
      <c r="AC76" s="21" t="str">
        <f t="shared" si="21"/>
        <v>41:50</v>
      </c>
      <c r="AD76" s="27" t="str">
        <f t="shared" si="14"/>
        <v/>
      </c>
      <c r="AE76" s="27" t="str">
        <f t="shared" si="22"/>
        <v/>
      </c>
      <c r="AF76" s="14">
        <f t="shared" si="23"/>
        <v>45866.291666666664</v>
      </c>
      <c r="AG76" s="12">
        <f t="shared" si="19"/>
        <v>45866</v>
      </c>
      <c r="AH76" s="24">
        <f t="shared" si="20"/>
        <v>0.29166666666424135</v>
      </c>
    </row>
    <row r="77" spans="1:34" ht="19.95" customHeight="1" x14ac:dyDescent="0.4">
      <c r="A77" s="2">
        <v>1230</v>
      </c>
      <c r="B77" s="16">
        <f>VLOOKUP(A77,[1]PLAN!$A$3:$BG$1149,18,)+VLOOKUP(A77,[1]PLAN!$A$3:$BG$1149,19,)</f>
        <v>45864.576388888891</v>
      </c>
      <c r="C77" s="22">
        <f t="shared" si="15"/>
        <v>45864</v>
      </c>
      <c r="D77" s="23">
        <f t="shared" si="16"/>
        <v>0.57638888889050577</v>
      </c>
      <c r="E77" s="14">
        <f>VLOOKUP(A77,[1]PLAN!$A$3:$BG$1149,54,)+VLOOKUP(A77,[1]PLAN!$A$3:$BG$1149,22,)</f>
        <v>45866.298611111109</v>
      </c>
      <c r="F77" s="12">
        <f t="shared" si="17"/>
        <v>45866</v>
      </c>
      <c r="G77" s="24">
        <f t="shared" si="18"/>
        <v>0.29861111110949423</v>
      </c>
      <c r="H77" s="14"/>
      <c r="I77" s="14"/>
      <c r="J77" s="29"/>
      <c r="K77" s="30"/>
      <c r="M77" s="17">
        <f>VLOOKUP($A77,[1]PLAN!$A$3:$BG$1149,23,)</f>
        <v>43.247999999999998</v>
      </c>
      <c r="N77" s="7">
        <f t="shared" si="24"/>
        <v>51.897599999999997</v>
      </c>
      <c r="O77" s="5">
        <f>VLOOKUP($A77,[1]PLAN!$A$3:$BG$1149,49,)</f>
        <v>4</v>
      </c>
      <c r="P77" s="3"/>
      <c r="Q77" s="5">
        <f>VLOOKUP($A77,[1]PLAN!$A$3:$BG$1149,24,)/1.2</f>
        <v>35.520000000000003</v>
      </c>
      <c r="R77" s="7">
        <f t="shared" si="25"/>
        <v>42.624000000000002</v>
      </c>
      <c r="S77" s="5">
        <f>VLOOKUP($A77,[1]PLAN!$A$3:$BG$1149,50,)</f>
        <v>4</v>
      </c>
      <c r="U77" s="10">
        <v>69.959999999999994</v>
      </c>
      <c r="V77" s="11">
        <f t="shared" si="26"/>
        <v>83.951999999999984</v>
      </c>
      <c r="W77" s="6">
        <v>4</v>
      </c>
      <c r="Y77" s="10">
        <v>69.45</v>
      </c>
      <c r="Z77" s="11">
        <f t="shared" si="27"/>
        <v>83.34</v>
      </c>
      <c r="AA77" s="6">
        <v>4</v>
      </c>
      <c r="AB77" s="1">
        <v>1.2</v>
      </c>
      <c r="AC77" s="21" t="str">
        <f t="shared" si="21"/>
        <v>41:20</v>
      </c>
      <c r="AD77" s="27" t="str">
        <f t="shared" si="14"/>
        <v/>
      </c>
      <c r="AE77" s="27" t="str">
        <f t="shared" si="22"/>
        <v/>
      </c>
      <c r="AF77" s="14">
        <f t="shared" si="23"/>
        <v>45866.298611111109</v>
      </c>
      <c r="AG77" s="12">
        <f t="shared" si="19"/>
        <v>45866</v>
      </c>
      <c r="AH77" s="24">
        <f t="shared" si="20"/>
        <v>0.29861111110949423</v>
      </c>
    </row>
    <row r="78" spans="1:34" ht="19.95" customHeight="1" x14ac:dyDescent="0.4">
      <c r="A78" s="2">
        <v>1231</v>
      </c>
      <c r="B78" s="16">
        <f>VLOOKUP(A78,[1]PLAN!$A$3:$BG$1149,18,)+VLOOKUP(A78,[1]PLAN!$A$3:$BG$1149,19,)</f>
        <v>45864.600694444445</v>
      </c>
      <c r="C78" s="22">
        <f t="shared" si="15"/>
        <v>45864</v>
      </c>
      <c r="D78" s="23">
        <f t="shared" si="16"/>
        <v>0.60069444444525288</v>
      </c>
      <c r="E78" s="14">
        <f>VLOOKUP(A78,[1]PLAN!$A$3:$BG$1149,54,)+VLOOKUP(A78,[1]PLAN!$A$3:$BG$1149,22,)</f>
        <v>45866.302083333336</v>
      </c>
      <c r="F78" s="12">
        <f t="shared" si="17"/>
        <v>45866</v>
      </c>
      <c r="G78" s="24">
        <f t="shared" si="18"/>
        <v>0.30208333333575865</v>
      </c>
      <c r="H78" s="14"/>
      <c r="I78" s="14"/>
      <c r="J78" s="29"/>
      <c r="K78" s="30"/>
      <c r="M78" s="17">
        <f>VLOOKUP($A78,[1]PLAN!$A$3:$BG$1149,23,)</f>
        <v>44.591999999999992</v>
      </c>
      <c r="N78" s="7">
        <f t="shared" si="24"/>
        <v>53.51039999999999</v>
      </c>
      <c r="O78" s="5">
        <f>VLOOKUP($A78,[1]PLAN!$A$3:$BG$1149,49,)</f>
        <v>4</v>
      </c>
      <c r="P78" s="3"/>
      <c r="Q78" s="5">
        <f>VLOOKUP($A78,[1]PLAN!$A$3:$BG$1149,24,)/1.2</f>
        <v>37.06</v>
      </c>
      <c r="R78" s="7">
        <f t="shared" si="25"/>
        <v>44.472000000000001</v>
      </c>
      <c r="S78" s="5">
        <f>VLOOKUP($A78,[1]PLAN!$A$3:$BG$1149,50,)</f>
        <v>4</v>
      </c>
      <c r="U78" s="10">
        <v>69.08</v>
      </c>
      <c r="V78" s="11">
        <f t="shared" si="26"/>
        <v>82.896000000000001</v>
      </c>
      <c r="W78" s="6">
        <v>4</v>
      </c>
      <c r="Y78" s="10">
        <v>69.989999999999995</v>
      </c>
      <c r="Z78" s="11">
        <f t="shared" si="27"/>
        <v>83.987999999999985</v>
      </c>
      <c r="AA78" s="6">
        <v>4</v>
      </c>
      <c r="AB78" s="1">
        <v>1.2</v>
      </c>
      <c r="AC78" s="21" t="str">
        <f t="shared" si="21"/>
        <v>40:50</v>
      </c>
      <c r="AD78" s="27" t="str">
        <f t="shared" si="14"/>
        <v/>
      </c>
      <c r="AE78" s="27" t="str">
        <f t="shared" si="22"/>
        <v/>
      </c>
      <c r="AF78" s="14">
        <f t="shared" si="23"/>
        <v>45866.302083333336</v>
      </c>
      <c r="AG78" s="12">
        <f t="shared" si="19"/>
        <v>45866</v>
      </c>
      <c r="AH78" s="24">
        <f t="shared" si="20"/>
        <v>0.30208333333575865</v>
      </c>
    </row>
    <row r="79" spans="1:34" ht="19.95" customHeight="1" x14ac:dyDescent="0.4">
      <c r="A79" s="2">
        <v>1232</v>
      </c>
      <c r="B79" s="16">
        <f>VLOOKUP(A79,[1]PLAN!$A$3:$BG$1149,18,)+VLOOKUP(A79,[1]PLAN!$A$3:$BG$1149,19,)</f>
        <v>45864.645833333336</v>
      </c>
      <c r="C79" s="22">
        <f t="shared" si="15"/>
        <v>45864</v>
      </c>
      <c r="D79" s="23">
        <f t="shared" si="16"/>
        <v>0.64583333333575865</v>
      </c>
      <c r="E79" s="14">
        <f>VLOOKUP(A79,[1]PLAN!$A$3:$BG$1149,54,)+VLOOKUP(A79,[1]PLAN!$A$3:$BG$1149,22,)</f>
        <v>45866.305555555555</v>
      </c>
      <c r="F79" s="12">
        <f t="shared" si="17"/>
        <v>45866</v>
      </c>
      <c r="G79" s="24">
        <f t="shared" si="18"/>
        <v>0.30555555555474712</v>
      </c>
      <c r="H79" s="14"/>
      <c r="I79" s="14"/>
      <c r="J79" s="29"/>
      <c r="K79" s="30"/>
      <c r="M79" s="17">
        <f>VLOOKUP($A79,[1]PLAN!$A$3:$BG$1149,23,)</f>
        <v>41.735999999999997</v>
      </c>
      <c r="N79" s="7">
        <f t="shared" si="24"/>
        <v>50.083199999999998</v>
      </c>
      <c r="O79" s="5">
        <f>VLOOKUP($A79,[1]PLAN!$A$3:$BG$1149,49,)</f>
        <v>4</v>
      </c>
      <c r="P79" s="3"/>
      <c r="Q79" s="5">
        <f>VLOOKUP($A79,[1]PLAN!$A$3:$BG$1149,24,)/1.2</f>
        <v>35.630000000000003</v>
      </c>
      <c r="R79" s="7">
        <f t="shared" si="25"/>
        <v>42.756</v>
      </c>
      <c r="S79" s="5">
        <f>VLOOKUP($A79,[1]PLAN!$A$3:$BG$1149,50,)</f>
        <v>4</v>
      </c>
      <c r="U79" s="10">
        <v>71.2</v>
      </c>
      <c r="V79" s="11">
        <f t="shared" si="26"/>
        <v>85.44</v>
      </c>
      <c r="W79" s="6">
        <v>4</v>
      </c>
      <c r="Y79" s="10">
        <v>72.25</v>
      </c>
      <c r="Z79" s="11">
        <f t="shared" si="27"/>
        <v>86.7</v>
      </c>
      <c r="AA79" s="6">
        <v>4</v>
      </c>
      <c r="AB79" s="1">
        <v>1.2</v>
      </c>
      <c r="AC79" s="21" t="str">
        <f t="shared" si="21"/>
        <v>39:50</v>
      </c>
      <c r="AD79" s="27" t="str">
        <f t="shared" si="14"/>
        <v/>
      </c>
      <c r="AE79" s="27" t="str">
        <f t="shared" si="22"/>
        <v/>
      </c>
      <c r="AF79" s="14">
        <f t="shared" si="23"/>
        <v>45866.305555555555</v>
      </c>
      <c r="AG79" s="12">
        <f t="shared" si="19"/>
        <v>45866</v>
      </c>
      <c r="AH79" s="24">
        <f t="shared" si="20"/>
        <v>0.30555555555474712</v>
      </c>
    </row>
    <row r="80" spans="1:34" ht="19.95" customHeight="1" x14ac:dyDescent="0.4">
      <c r="A80" s="2">
        <v>1233</v>
      </c>
      <c r="B80" s="16">
        <f>VLOOKUP(A80,[1]PLAN!$A$3:$BG$1149,18,)+VLOOKUP(A80,[1]PLAN!$A$3:$BG$1149,19,)</f>
        <v>45867.427083333336</v>
      </c>
      <c r="C80" s="22">
        <f t="shared" si="15"/>
        <v>45867</v>
      </c>
      <c r="D80" s="23">
        <f t="shared" si="16"/>
        <v>0.42708333333575865</v>
      </c>
      <c r="E80" s="14">
        <f>VLOOKUP(A80,[1]PLAN!$A$3:$BG$1149,54,)+VLOOKUP(A80,[1]PLAN!$A$3:$BG$1149,22,)</f>
        <v>45868.3125</v>
      </c>
      <c r="F80" s="12">
        <f t="shared" si="17"/>
        <v>45868</v>
      </c>
      <c r="G80" s="24">
        <f t="shared" si="18"/>
        <v>0.3125</v>
      </c>
      <c r="H80" s="14"/>
      <c r="I80" s="14"/>
      <c r="J80" s="29"/>
      <c r="K80" s="30"/>
      <c r="M80" s="17">
        <f>VLOOKUP($A80,[1]PLAN!$A$3:$BG$1149,23,)</f>
        <v>35.448</v>
      </c>
      <c r="N80" s="7">
        <f t="shared" si="24"/>
        <v>42.537599999999998</v>
      </c>
      <c r="O80" s="5">
        <f>VLOOKUP($A80,[1]PLAN!$A$3:$BG$1149,49,)</f>
        <v>4</v>
      </c>
      <c r="P80" s="3"/>
      <c r="Q80" s="5">
        <f>VLOOKUP($A80,[1]PLAN!$A$3:$BG$1149,24,)/1.2</f>
        <v>29.589999999999996</v>
      </c>
      <c r="R80" s="7">
        <f t="shared" si="25"/>
        <v>35.507999999999996</v>
      </c>
      <c r="S80" s="5">
        <f>VLOOKUP($A80,[1]PLAN!$A$3:$BG$1149,50,)</f>
        <v>4</v>
      </c>
      <c r="U80" s="10">
        <v>70.89</v>
      </c>
      <c r="V80" s="11">
        <f t="shared" si="26"/>
        <v>85.067999999999998</v>
      </c>
      <c r="W80" s="6">
        <v>4</v>
      </c>
      <c r="Y80" s="10">
        <v>71.02</v>
      </c>
      <c r="Z80" s="11">
        <f t="shared" si="27"/>
        <v>85.22399999999999</v>
      </c>
      <c r="AA80" s="6">
        <v>4</v>
      </c>
      <c r="AB80" s="1">
        <v>1.2</v>
      </c>
      <c r="AC80" s="21" t="str">
        <f t="shared" si="21"/>
        <v>21:15</v>
      </c>
      <c r="AD80" s="27" t="str">
        <f t="shared" si="14"/>
        <v/>
      </c>
      <c r="AE80" s="27" t="str">
        <f t="shared" si="22"/>
        <v/>
      </c>
      <c r="AF80" s="14">
        <f t="shared" si="23"/>
        <v>45868.3125</v>
      </c>
      <c r="AG80" s="12">
        <f t="shared" si="19"/>
        <v>45868</v>
      </c>
      <c r="AH80" s="24">
        <f t="shared" si="20"/>
        <v>0.3125</v>
      </c>
    </row>
    <row r="81" spans="1:34" ht="19.95" customHeight="1" x14ac:dyDescent="0.4">
      <c r="A81" s="2">
        <v>1234</v>
      </c>
      <c r="B81" s="16">
        <f>VLOOKUP(A81,[1]PLAN!$A$3:$BG$1149,18,)+VLOOKUP(A81,[1]PLAN!$A$3:$BG$1149,19,)</f>
        <v>45867.4375</v>
      </c>
      <c r="C81" s="22">
        <f t="shared" si="15"/>
        <v>45867</v>
      </c>
      <c r="D81" s="23">
        <f t="shared" si="16"/>
        <v>0.4375</v>
      </c>
      <c r="E81" s="14">
        <f>VLOOKUP(A81,[1]PLAN!$A$3:$BG$1149,54,)+VLOOKUP(A81,[1]PLAN!$A$3:$BG$1149,22,)</f>
        <v>45868.315972222219</v>
      </c>
      <c r="F81" s="12">
        <f t="shared" si="17"/>
        <v>45868</v>
      </c>
      <c r="G81" s="24">
        <f t="shared" si="18"/>
        <v>0.31597222221898846</v>
      </c>
      <c r="H81" s="14"/>
      <c r="I81" s="14"/>
      <c r="J81" s="29"/>
      <c r="K81" s="30"/>
      <c r="M81" s="17">
        <f>VLOOKUP($A81,[1]PLAN!$A$3:$BG$1149,23,)</f>
        <v>33</v>
      </c>
      <c r="N81" s="7">
        <f t="shared" si="24"/>
        <v>39.6</v>
      </c>
      <c r="O81" s="5">
        <f>VLOOKUP($A81,[1]PLAN!$A$3:$BG$1149,49,)</f>
        <v>4</v>
      </c>
      <c r="P81" s="3"/>
      <c r="Q81" s="5">
        <f>VLOOKUP($A81,[1]PLAN!$A$3:$BG$1149,24,)/1.2</f>
        <v>26.21</v>
      </c>
      <c r="R81" s="7">
        <f t="shared" si="25"/>
        <v>31.451999999999998</v>
      </c>
      <c r="S81" s="5">
        <f>VLOOKUP($A81,[1]PLAN!$A$3:$BG$1149,50,)</f>
        <v>4</v>
      </c>
      <c r="U81" s="10">
        <v>70.59</v>
      </c>
      <c r="V81" s="11">
        <f t="shared" si="26"/>
        <v>84.707999999999998</v>
      </c>
      <c r="W81" s="6">
        <v>4</v>
      </c>
      <c r="Y81" s="10">
        <v>70.540000000000006</v>
      </c>
      <c r="Z81" s="11">
        <f t="shared" si="27"/>
        <v>84.64800000000001</v>
      </c>
      <c r="AA81" s="6">
        <v>4</v>
      </c>
      <c r="AB81" s="1">
        <v>1.2</v>
      </c>
      <c r="AC81" s="21" t="str">
        <f t="shared" si="21"/>
        <v>21:05</v>
      </c>
      <c r="AD81" s="27" t="str">
        <f t="shared" si="14"/>
        <v/>
      </c>
      <c r="AE81" s="27" t="str">
        <f t="shared" si="22"/>
        <v/>
      </c>
      <c r="AF81" s="14">
        <f t="shared" si="23"/>
        <v>45868.315972222219</v>
      </c>
      <c r="AG81" s="12">
        <f t="shared" si="19"/>
        <v>45868</v>
      </c>
      <c r="AH81" s="24">
        <f t="shared" si="20"/>
        <v>0.31597222221898846</v>
      </c>
    </row>
    <row r="82" spans="1:34" ht="19.95" customHeight="1" x14ac:dyDescent="0.4">
      <c r="A82" s="2">
        <v>1235</v>
      </c>
      <c r="B82" s="16">
        <f>VLOOKUP(A82,[1]PLAN!$A$3:$BG$1149,18,)+VLOOKUP(A82,[1]PLAN!$A$3:$BG$1149,19,)</f>
        <v>45867.472222222219</v>
      </c>
      <c r="C82" s="22">
        <f t="shared" si="15"/>
        <v>45867</v>
      </c>
      <c r="D82" s="23">
        <f t="shared" si="16"/>
        <v>0.47222222221898846</v>
      </c>
      <c r="E82" s="14">
        <f>VLOOKUP(A82,[1]PLAN!$A$3:$BG$1149,54,)+VLOOKUP(A82,[1]PLAN!$A$3:$BG$1149,22,)</f>
        <v>45868.319444444445</v>
      </c>
      <c r="F82" s="12">
        <f t="shared" si="17"/>
        <v>45868</v>
      </c>
      <c r="G82" s="24">
        <f t="shared" si="18"/>
        <v>0.31944444444525288</v>
      </c>
      <c r="H82" s="14"/>
      <c r="I82" s="14"/>
      <c r="J82" s="29"/>
      <c r="K82" s="30"/>
      <c r="M82" s="17">
        <f>VLOOKUP($A82,[1]PLAN!$A$3:$BG$1149,23,)</f>
        <v>30.12</v>
      </c>
      <c r="N82" s="7">
        <f t="shared" si="24"/>
        <v>36.143999999999998</v>
      </c>
      <c r="O82" s="5">
        <f>VLOOKUP($A82,[1]PLAN!$A$3:$BG$1149,49,)</f>
        <v>4</v>
      </c>
      <c r="P82" s="3"/>
      <c r="Q82" s="5">
        <f>VLOOKUP($A82,[1]PLAN!$A$3:$BG$1149,24,)/1.2</f>
        <v>23.78</v>
      </c>
      <c r="R82" s="7">
        <f t="shared" si="25"/>
        <v>28.536000000000001</v>
      </c>
      <c r="S82" s="5">
        <f>VLOOKUP($A82,[1]PLAN!$A$3:$BG$1149,50,)</f>
        <v>4</v>
      </c>
      <c r="U82" s="10">
        <v>69.94</v>
      </c>
      <c r="V82" s="11">
        <f t="shared" si="26"/>
        <v>83.927999999999997</v>
      </c>
      <c r="W82" s="6">
        <v>4</v>
      </c>
      <c r="Y82" s="10">
        <v>70.25</v>
      </c>
      <c r="Z82" s="11">
        <f t="shared" si="27"/>
        <v>84.3</v>
      </c>
      <c r="AA82" s="6">
        <v>4</v>
      </c>
      <c r="AB82" s="1">
        <v>1.2</v>
      </c>
      <c r="AC82" s="21" t="str">
        <f t="shared" si="21"/>
        <v>20:20</v>
      </c>
      <c r="AD82" s="27" t="str">
        <f t="shared" si="14"/>
        <v/>
      </c>
      <c r="AE82" s="27" t="str">
        <f t="shared" si="22"/>
        <v/>
      </c>
      <c r="AF82" s="14">
        <f t="shared" si="23"/>
        <v>45868.319444444445</v>
      </c>
      <c r="AG82" s="12">
        <f t="shared" si="19"/>
        <v>45868</v>
      </c>
      <c r="AH82" s="24">
        <f t="shared" si="20"/>
        <v>0.31944444444525288</v>
      </c>
    </row>
    <row r="83" spans="1:34" ht="19.95" customHeight="1" x14ac:dyDescent="0.4">
      <c r="A83" s="2">
        <v>1236</v>
      </c>
      <c r="B83" s="16">
        <f>VLOOKUP(A83,[1]PLAN!$A$3:$BG$1149,18,)+VLOOKUP(A83,[1]PLAN!$A$3:$BG$1149,19,)</f>
        <v>45867.5</v>
      </c>
      <c r="C83" s="22">
        <f t="shared" si="15"/>
        <v>45867</v>
      </c>
      <c r="D83" s="23">
        <f t="shared" si="16"/>
        <v>0.5</v>
      </c>
      <c r="E83" s="14">
        <f>VLOOKUP(A83,[1]PLAN!$A$3:$BG$1149,54,)+VLOOKUP(A83,[1]PLAN!$A$3:$BG$1149,22,)</f>
        <v>45868.326388888891</v>
      </c>
      <c r="F83" s="12">
        <f t="shared" si="17"/>
        <v>45868</v>
      </c>
      <c r="G83" s="24">
        <f t="shared" si="18"/>
        <v>0.32638888889050577</v>
      </c>
      <c r="H83" s="14"/>
      <c r="I83" s="14"/>
      <c r="J83" s="29"/>
      <c r="K83" s="30"/>
      <c r="M83" s="17">
        <f>VLOOKUP($A83,[1]PLAN!$A$3:$BG$1149,23,)</f>
        <v>24.889700000000001</v>
      </c>
      <c r="N83" s="7">
        <f t="shared" si="24"/>
        <v>29.867640000000002</v>
      </c>
      <c r="O83" s="5">
        <f>VLOOKUP($A83,[1]PLAN!$A$3:$BG$1149,49,)</f>
        <v>4</v>
      </c>
      <c r="P83" s="3"/>
      <c r="Q83" s="5">
        <f>VLOOKUP($A83,[1]PLAN!$A$3:$BG$1149,24,)/1.2</f>
        <v>20.46</v>
      </c>
      <c r="R83" s="7">
        <f t="shared" si="25"/>
        <v>24.552</v>
      </c>
      <c r="S83" s="5">
        <f>VLOOKUP($A83,[1]PLAN!$A$3:$BG$1149,50,)</f>
        <v>4</v>
      </c>
      <c r="U83" s="10">
        <v>70.88</v>
      </c>
      <c r="V83" s="11">
        <f t="shared" si="26"/>
        <v>85.055999999999997</v>
      </c>
      <c r="W83" s="6">
        <v>4</v>
      </c>
      <c r="Y83" s="10">
        <v>70.59</v>
      </c>
      <c r="Z83" s="11">
        <f t="shared" si="27"/>
        <v>84.707999999999998</v>
      </c>
      <c r="AA83" s="6">
        <v>4</v>
      </c>
      <c r="AB83" s="1">
        <v>1.2</v>
      </c>
      <c r="AC83" s="21" t="str">
        <f t="shared" si="21"/>
        <v>19:50</v>
      </c>
      <c r="AD83" s="27" t="str">
        <f t="shared" si="14"/>
        <v/>
      </c>
      <c r="AE83" s="27" t="str">
        <f t="shared" si="22"/>
        <v/>
      </c>
      <c r="AF83" s="14">
        <f t="shared" si="23"/>
        <v>45868.326388888891</v>
      </c>
      <c r="AG83" s="12">
        <f t="shared" si="19"/>
        <v>45868</v>
      </c>
      <c r="AH83" s="24">
        <f t="shared" si="20"/>
        <v>0.32638888889050577</v>
      </c>
    </row>
    <row r="84" spans="1:34" ht="19.95" customHeight="1" x14ac:dyDescent="0.4">
      <c r="A84" s="2">
        <v>1237</v>
      </c>
      <c r="B84" s="16">
        <f>VLOOKUP(A84,[1]PLAN!$A$3:$BG$1149,18,)+VLOOKUP(A84,[1]PLAN!$A$3:$BG$1149,19,)</f>
        <v>45867.666666666664</v>
      </c>
      <c r="C84" s="22">
        <f t="shared" si="15"/>
        <v>45867</v>
      </c>
      <c r="D84" s="23">
        <f t="shared" si="16"/>
        <v>0.66666666666424135</v>
      </c>
      <c r="E84" s="14">
        <f>VLOOKUP(A84,[1]PLAN!$A$3:$BG$1149,54,)+VLOOKUP(A84,[1]PLAN!$A$3:$BG$1149,22,)</f>
        <v>45868.329861111109</v>
      </c>
      <c r="F84" s="12">
        <f t="shared" si="17"/>
        <v>45868</v>
      </c>
      <c r="G84" s="24">
        <f t="shared" si="18"/>
        <v>0.32986111110949423</v>
      </c>
      <c r="H84" s="14"/>
      <c r="I84" s="14"/>
      <c r="J84" s="29"/>
      <c r="K84" s="30"/>
      <c r="M84" s="17">
        <f>VLOOKUP($A84,[1]PLAN!$A$3:$BG$1149,23,)</f>
        <v>24.563999999999997</v>
      </c>
      <c r="N84" s="7">
        <f t="shared" si="24"/>
        <v>29.476799999999994</v>
      </c>
      <c r="O84" s="5">
        <f>VLOOKUP($A84,[1]PLAN!$A$3:$BG$1149,49,)</f>
        <v>4</v>
      </c>
      <c r="P84" s="3"/>
      <c r="Q84" s="5">
        <f>VLOOKUP($A84,[1]PLAN!$A$3:$BG$1149,24,)/1.2</f>
        <v>20.39</v>
      </c>
      <c r="R84" s="7">
        <f t="shared" si="25"/>
        <v>24.468</v>
      </c>
      <c r="S84" s="5">
        <f>VLOOKUP($A84,[1]PLAN!$A$3:$BG$1149,50,)</f>
        <v>4</v>
      </c>
      <c r="U84" s="10">
        <v>69.92</v>
      </c>
      <c r="V84" s="11">
        <f t="shared" si="26"/>
        <v>83.903999999999996</v>
      </c>
      <c r="W84" s="6">
        <v>4</v>
      </c>
      <c r="Y84" s="10">
        <v>70.56</v>
      </c>
      <c r="Z84" s="11">
        <f t="shared" si="27"/>
        <v>84.671999999999997</v>
      </c>
      <c r="AA84" s="6">
        <v>4</v>
      </c>
      <c r="AB84" s="1">
        <v>1.2</v>
      </c>
      <c r="AC84" s="21" t="str">
        <f t="shared" si="21"/>
        <v>15:55</v>
      </c>
      <c r="AD84" s="27" t="str">
        <f t="shared" si="14"/>
        <v/>
      </c>
      <c r="AE84" s="27" t="str">
        <f t="shared" si="22"/>
        <v/>
      </c>
      <c r="AF84" s="14">
        <f t="shared" si="23"/>
        <v>45868.329861111109</v>
      </c>
      <c r="AG84" s="12">
        <f t="shared" si="19"/>
        <v>45868</v>
      </c>
      <c r="AH84" s="24">
        <f t="shared" si="20"/>
        <v>0.32986111110949423</v>
      </c>
    </row>
    <row r="85" spans="1:34" ht="19.95" customHeight="1" x14ac:dyDescent="0.4">
      <c r="A85" s="2">
        <v>1238</v>
      </c>
      <c r="B85" s="16">
        <f>VLOOKUP(A85,[1]PLAN!$A$3:$BG$1149,18,)+VLOOKUP(A85,[1]PLAN!$A$3:$BG$1149,19,)</f>
        <v>45868.447916666664</v>
      </c>
      <c r="C85" s="22">
        <f t="shared" si="15"/>
        <v>45868</v>
      </c>
      <c r="D85" s="23">
        <f t="shared" si="16"/>
        <v>0.44791666666424135</v>
      </c>
      <c r="E85" s="14">
        <f>VLOOKUP(A85,[1]PLAN!$A$3:$BG$1149,54,)+VLOOKUP(A85,[1]PLAN!$A$3:$BG$1149,22,)</f>
        <v>45869.333333333336</v>
      </c>
      <c r="F85" s="12">
        <f t="shared" si="17"/>
        <v>45869</v>
      </c>
      <c r="G85" s="24">
        <f t="shared" si="18"/>
        <v>0.33333333333575865</v>
      </c>
      <c r="H85" s="14"/>
      <c r="I85" s="14"/>
      <c r="J85" s="29"/>
      <c r="K85" s="30"/>
      <c r="M85" s="17">
        <f>VLOOKUP($A85,[1]PLAN!$A$3:$BG$1149,23,)</f>
        <v>28.163999999999998</v>
      </c>
      <c r="N85" s="7">
        <f t="shared" si="24"/>
        <v>33.796799999999998</v>
      </c>
      <c r="O85" s="5">
        <f>VLOOKUP($A85,[1]PLAN!$A$3:$BG$1149,49,)</f>
        <v>4</v>
      </c>
      <c r="P85" s="3"/>
      <c r="Q85" s="5">
        <f>VLOOKUP($A85,[1]PLAN!$A$3:$BG$1149,24,)/1.2</f>
        <v>23.04</v>
      </c>
      <c r="R85" s="7">
        <f t="shared" si="25"/>
        <v>27.648</v>
      </c>
      <c r="S85" s="5">
        <f>VLOOKUP($A85,[1]PLAN!$A$3:$BG$1149,50,)</f>
        <v>4</v>
      </c>
      <c r="U85" s="10">
        <v>70.760000000000005</v>
      </c>
      <c r="V85" s="11">
        <f t="shared" si="26"/>
        <v>84.912000000000006</v>
      </c>
      <c r="W85" s="6">
        <v>4</v>
      </c>
      <c r="Y85" s="10">
        <v>70.75</v>
      </c>
      <c r="Z85" s="11">
        <f t="shared" si="27"/>
        <v>84.899999999999991</v>
      </c>
      <c r="AA85" s="6">
        <v>4</v>
      </c>
      <c r="AB85" s="1">
        <v>1.2</v>
      </c>
      <c r="AC85" s="21" t="str">
        <f t="shared" si="21"/>
        <v>21:15</v>
      </c>
      <c r="AD85" s="27" t="str">
        <f t="shared" si="14"/>
        <v/>
      </c>
      <c r="AE85" s="27" t="str">
        <f t="shared" si="22"/>
        <v/>
      </c>
      <c r="AF85" s="14">
        <f t="shared" si="23"/>
        <v>45869.333333333336</v>
      </c>
      <c r="AG85" s="12">
        <f t="shared" si="19"/>
        <v>45869</v>
      </c>
      <c r="AH85" s="24">
        <f t="shared" si="20"/>
        <v>0.33333333333575865</v>
      </c>
    </row>
    <row r="86" spans="1:34" ht="19.95" customHeight="1" x14ac:dyDescent="0.4">
      <c r="A86" s="2">
        <v>1239</v>
      </c>
      <c r="B86" s="16">
        <f>VLOOKUP(A86,[1]PLAN!$A$3:$BG$1149,18,)+VLOOKUP(A86,[1]PLAN!$A$3:$BG$1149,19,)</f>
        <v>45868.458333333336</v>
      </c>
      <c r="C86" s="22">
        <f t="shared" si="15"/>
        <v>45868</v>
      </c>
      <c r="D86" s="23">
        <f t="shared" si="16"/>
        <v>0.45833333333575865</v>
      </c>
      <c r="E86" s="14">
        <f>VLOOKUP(A86,[1]PLAN!$A$3:$BG$1149,54,)+VLOOKUP(A86,[1]PLAN!$A$3:$BG$1149,22,)</f>
        <v>45869.340277777781</v>
      </c>
      <c r="F86" s="12">
        <f t="shared" si="17"/>
        <v>45869</v>
      </c>
      <c r="G86" s="24">
        <f t="shared" si="18"/>
        <v>0.34027777778101154</v>
      </c>
      <c r="H86" s="14"/>
      <c r="I86" s="14"/>
      <c r="J86" s="29"/>
      <c r="K86" s="30"/>
      <c r="M86" s="17">
        <f>VLOOKUP($A86,[1]PLAN!$A$3:$BG$1149,23,)</f>
        <v>30.0564</v>
      </c>
      <c r="N86" s="7">
        <f t="shared" si="24"/>
        <v>36.067679999999996</v>
      </c>
      <c r="O86" s="5">
        <f>VLOOKUP($A86,[1]PLAN!$A$3:$BG$1149,49,)</f>
        <v>4</v>
      </c>
      <c r="P86" s="3"/>
      <c r="Q86" s="5">
        <f>VLOOKUP($A86,[1]PLAN!$A$3:$BG$1149,24,)/1.2</f>
        <v>24.82</v>
      </c>
      <c r="R86" s="7">
        <f t="shared" si="25"/>
        <v>29.783999999999999</v>
      </c>
      <c r="S86" s="5">
        <f>VLOOKUP($A86,[1]PLAN!$A$3:$BG$1149,50,)</f>
        <v>4</v>
      </c>
      <c r="U86" s="10">
        <v>70.98</v>
      </c>
      <c r="V86" s="11">
        <f t="shared" si="26"/>
        <v>85.176000000000002</v>
      </c>
      <c r="W86" s="6">
        <v>4</v>
      </c>
      <c r="Y86" s="10">
        <v>71.540000000000006</v>
      </c>
      <c r="Z86" s="11">
        <f t="shared" si="27"/>
        <v>85.847999999999999</v>
      </c>
      <c r="AA86" s="6">
        <v>4</v>
      </c>
      <c r="AB86" s="1">
        <v>1.2</v>
      </c>
      <c r="AC86" s="21" t="str">
        <f t="shared" si="21"/>
        <v>21:10</v>
      </c>
      <c r="AD86" s="27" t="str">
        <f t="shared" si="14"/>
        <v/>
      </c>
      <c r="AE86" s="27" t="str">
        <f t="shared" si="22"/>
        <v/>
      </c>
      <c r="AF86" s="14">
        <f t="shared" si="23"/>
        <v>45869.340277777781</v>
      </c>
      <c r="AG86" s="12">
        <f t="shared" si="19"/>
        <v>45869</v>
      </c>
      <c r="AH86" s="24">
        <f t="shared" si="20"/>
        <v>0.34027777778101154</v>
      </c>
    </row>
    <row r="87" spans="1:34" ht="19.95" customHeight="1" x14ac:dyDescent="0.4">
      <c r="A87" s="2">
        <v>1240</v>
      </c>
      <c r="B87" s="16">
        <f>VLOOKUP(A87,[1]PLAN!$A$3:$BG$1149,18,)+VLOOKUP(A87,[1]PLAN!$A$3:$BG$1149,19,)</f>
        <v>45868.489583333336</v>
      </c>
      <c r="C87" s="22">
        <f t="shared" si="15"/>
        <v>45868</v>
      </c>
      <c r="D87" s="23">
        <f t="shared" si="16"/>
        <v>0.48958333333575865</v>
      </c>
      <c r="E87" s="14">
        <f>VLOOKUP(A87,[1]PLAN!$A$3:$BG$1149,54,)+VLOOKUP(A87,[1]PLAN!$A$3:$BG$1149,22,)</f>
        <v>45869.34375</v>
      </c>
      <c r="F87" s="12">
        <f t="shared" si="17"/>
        <v>45869</v>
      </c>
      <c r="G87" s="24">
        <f t="shared" si="18"/>
        <v>0.34375</v>
      </c>
      <c r="H87" s="14"/>
      <c r="I87" s="14"/>
      <c r="J87" s="29"/>
      <c r="K87" s="30"/>
      <c r="M87" s="17">
        <f>VLOOKUP($A87,[1]PLAN!$A$3:$BG$1149,23,)</f>
        <v>27.204000000000001</v>
      </c>
      <c r="N87" s="7">
        <f t="shared" si="24"/>
        <v>32.644799999999996</v>
      </c>
      <c r="O87" s="5">
        <f>VLOOKUP($A87,[1]PLAN!$A$3:$BG$1149,49,)</f>
        <v>4</v>
      </c>
      <c r="P87" s="3"/>
      <c r="Q87" s="5">
        <f>VLOOKUP($A87,[1]PLAN!$A$3:$BG$1149,24,)/1.2</f>
        <v>22.08</v>
      </c>
      <c r="R87" s="7">
        <f t="shared" si="25"/>
        <v>26.495999999999999</v>
      </c>
      <c r="S87" s="5">
        <f>VLOOKUP($A87,[1]PLAN!$A$3:$BG$1149,50,)</f>
        <v>4</v>
      </c>
      <c r="U87" s="10">
        <v>70.099999999999994</v>
      </c>
      <c r="V87" s="11">
        <f t="shared" si="26"/>
        <v>84.11999999999999</v>
      </c>
      <c r="W87" s="6">
        <v>4</v>
      </c>
      <c r="Y87" s="10">
        <v>70.12</v>
      </c>
      <c r="Z87" s="11">
        <f t="shared" si="27"/>
        <v>84.144000000000005</v>
      </c>
      <c r="AA87" s="6">
        <v>4</v>
      </c>
      <c r="AB87" s="1">
        <v>1.2</v>
      </c>
      <c r="AC87" s="21" t="str">
        <f t="shared" si="21"/>
        <v>20:30</v>
      </c>
      <c r="AD87" s="27" t="str">
        <f t="shared" si="14"/>
        <v/>
      </c>
      <c r="AE87" s="27" t="str">
        <f t="shared" si="22"/>
        <v/>
      </c>
      <c r="AF87" s="14">
        <f t="shared" si="23"/>
        <v>45869.34375</v>
      </c>
      <c r="AG87" s="12">
        <f t="shared" si="19"/>
        <v>45869</v>
      </c>
      <c r="AH87" s="24">
        <f t="shared" si="20"/>
        <v>0.34375</v>
      </c>
    </row>
    <row r="88" spans="1:34" ht="19.95" customHeight="1" x14ac:dyDescent="0.4">
      <c r="A88" s="2">
        <v>1241</v>
      </c>
      <c r="B88" s="16">
        <f>VLOOKUP(A88,[1]PLAN!$A$3:$BG$1149,18,)+VLOOKUP(A88,[1]PLAN!$A$3:$BG$1149,19,)</f>
        <v>45868.625</v>
      </c>
      <c r="C88" s="22">
        <f t="shared" si="15"/>
        <v>45868</v>
      </c>
      <c r="D88" s="23">
        <f t="shared" si="16"/>
        <v>0.625</v>
      </c>
      <c r="E88" s="14">
        <f>VLOOKUP(A88,[1]PLAN!$A$3:$BG$1149,54,)+VLOOKUP(A88,[1]PLAN!$A$3:$BG$1149,22,)</f>
        <v>45869.354166666664</v>
      </c>
      <c r="F88" s="12">
        <f t="shared" si="17"/>
        <v>45869</v>
      </c>
      <c r="G88" s="24">
        <f t="shared" si="18"/>
        <v>0.35416666666424135</v>
      </c>
      <c r="H88" s="14"/>
      <c r="I88" s="14"/>
      <c r="J88" s="29"/>
      <c r="K88" s="30"/>
      <c r="M88" s="17">
        <f>VLOOKUP($A88,[1]PLAN!$A$3:$BG$1149,23,)</f>
        <v>28.236000000000001</v>
      </c>
      <c r="N88" s="7">
        <f t="shared" si="24"/>
        <v>33.883200000000002</v>
      </c>
      <c r="O88" s="5">
        <f>VLOOKUP($A88,[1]PLAN!$A$3:$BG$1149,49,)</f>
        <v>4</v>
      </c>
      <c r="P88" s="3"/>
      <c r="Q88" s="5">
        <f>VLOOKUP($A88,[1]PLAN!$A$3:$BG$1149,24,)/1.2</f>
        <v>23.76</v>
      </c>
      <c r="R88" s="7">
        <f t="shared" si="25"/>
        <v>28.512</v>
      </c>
      <c r="S88" s="5">
        <f>VLOOKUP($A88,[1]PLAN!$A$3:$BG$1149,50,)</f>
        <v>4</v>
      </c>
      <c r="U88" s="10">
        <v>70.78</v>
      </c>
      <c r="V88" s="11">
        <f t="shared" si="26"/>
        <v>84.935999999999993</v>
      </c>
      <c r="W88" s="6">
        <v>4</v>
      </c>
      <c r="Y88" s="10">
        <v>70.260000000000005</v>
      </c>
      <c r="Z88" s="11">
        <f t="shared" si="27"/>
        <v>84.311999999999998</v>
      </c>
      <c r="AA88" s="6">
        <v>4</v>
      </c>
      <c r="AB88" s="1">
        <v>1.2</v>
      </c>
      <c r="AC88" s="21" t="str">
        <f t="shared" si="21"/>
        <v>17:30</v>
      </c>
      <c r="AD88" s="27" t="str">
        <f t="shared" si="14"/>
        <v/>
      </c>
      <c r="AE88" s="27" t="str">
        <f t="shared" si="22"/>
        <v/>
      </c>
      <c r="AF88" s="14">
        <f t="shared" si="23"/>
        <v>45869.354166666664</v>
      </c>
      <c r="AG88" s="12">
        <f t="shared" si="19"/>
        <v>45869</v>
      </c>
      <c r="AH88" s="24">
        <f t="shared" si="20"/>
        <v>0.35416666666424135</v>
      </c>
    </row>
    <row r="89" spans="1:34" ht="19.95" customHeight="1" x14ac:dyDescent="0.4">
      <c r="A89" s="2">
        <v>1242</v>
      </c>
      <c r="B89" s="16">
        <f>VLOOKUP(A89,[1]PLAN!$A$3:$BG$1149,18,)+VLOOKUP(A89,[1]PLAN!$A$3:$BG$1149,19,)</f>
        <v>45870.395833333336</v>
      </c>
      <c r="C89" s="22">
        <f t="shared" si="15"/>
        <v>45870</v>
      </c>
      <c r="D89" s="23">
        <f t="shared" si="16"/>
        <v>0.39583333333575865</v>
      </c>
      <c r="E89" s="14">
        <f>VLOOKUP(A89,[1]PLAN!$A$3:$BG$1149,54,)+VLOOKUP(A89,[1]PLAN!$A$3:$BG$1149,22,)</f>
        <v>45871.333333333336</v>
      </c>
      <c r="F89" s="12">
        <f t="shared" si="17"/>
        <v>45871</v>
      </c>
      <c r="G89" s="24">
        <f t="shared" si="18"/>
        <v>0.33333333333575865</v>
      </c>
      <c r="H89" s="14"/>
      <c r="I89" s="14"/>
      <c r="J89" s="29"/>
      <c r="K89" s="30"/>
      <c r="M89" s="17">
        <f>VLOOKUP($A89,[1]PLAN!$A$3:$BG$1149,23,)</f>
        <v>30.995999999999995</v>
      </c>
      <c r="N89" s="7">
        <f t="shared" si="24"/>
        <v>37.195199999999993</v>
      </c>
      <c r="O89" s="5">
        <f>VLOOKUP($A89,[1]PLAN!$A$3:$BG$1149,49,)</f>
        <v>4</v>
      </c>
      <c r="P89" s="3"/>
      <c r="Q89" s="5">
        <f>VLOOKUP($A89,[1]PLAN!$A$3:$BG$1149,24,)/1.2</f>
        <v>26.01</v>
      </c>
      <c r="R89" s="7">
        <f t="shared" si="25"/>
        <v>31.212</v>
      </c>
      <c r="S89" s="5">
        <f>VLOOKUP($A89,[1]PLAN!$A$3:$BG$1149,50,)</f>
        <v>4</v>
      </c>
      <c r="U89" s="10">
        <v>72.37</v>
      </c>
      <c r="V89" s="11">
        <f t="shared" si="26"/>
        <v>86.844000000000008</v>
      </c>
      <c r="W89" s="6">
        <v>4</v>
      </c>
      <c r="Y89" s="10">
        <v>71.98</v>
      </c>
      <c r="Z89" s="11">
        <f t="shared" si="27"/>
        <v>86.376000000000005</v>
      </c>
      <c r="AA89" s="6">
        <v>4</v>
      </c>
      <c r="AB89" s="1">
        <v>1.2</v>
      </c>
      <c r="AC89" s="21" t="str">
        <f t="shared" si="21"/>
        <v>22:30</v>
      </c>
      <c r="AD89" s="27" t="str">
        <f t="shared" si="14"/>
        <v/>
      </c>
      <c r="AE89" s="27" t="str">
        <f t="shared" si="22"/>
        <v/>
      </c>
      <c r="AF89" s="14">
        <f t="shared" si="23"/>
        <v>45871.333333333336</v>
      </c>
      <c r="AG89" s="12">
        <f t="shared" si="19"/>
        <v>45871</v>
      </c>
      <c r="AH89" s="24">
        <f t="shared" si="20"/>
        <v>0.33333333333575865</v>
      </c>
    </row>
    <row r="90" spans="1:34" ht="19.95" customHeight="1" x14ac:dyDescent="0.4">
      <c r="A90" s="2">
        <v>1243</v>
      </c>
      <c r="B90" s="16">
        <f>VLOOKUP(A90,[1]PLAN!$A$3:$BG$1149,18,)+VLOOKUP(A90,[1]PLAN!$A$3:$BG$1149,19,)</f>
        <v>45870.416666666664</v>
      </c>
      <c r="C90" s="22">
        <f t="shared" si="15"/>
        <v>45870</v>
      </c>
      <c r="D90" s="23">
        <f t="shared" si="16"/>
        <v>0.41666666666424135</v>
      </c>
      <c r="E90" s="14">
        <f>VLOOKUP(A90,[1]PLAN!$A$3:$BG$1149,54,)+VLOOKUP(A90,[1]PLAN!$A$3:$BG$1149,22,)</f>
        <v>45871.336805555555</v>
      </c>
      <c r="F90" s="12">
        <f t="shared" si="17"/>
        <v>45871</v>
      </c>
      <c r="G90" s="24">
        <f t="shared" si="18"/>
        <v>0.33680555555474712</v>
      </c>
      <c r="H90" s="14"/>
      <c r="I90" s="14"/>
      <c r="J90" s="29"/>
      <c r="K90" s="30"/>
      <c r="M90" s="17">
        <f>VLOOKUP($A90,[1]PLAN!$A$3:$BG$1149,23,)</f>
        <v>26.675999999999998</v>
      </c>
      <c r="N90" s="7">
        <f t="shared" si="24"/>
        <v>32.011199999999995</v>
      </c>
      <c r="O90" s="5">
        <f>VLOOKUP($A90,[1]PLAN!$A$3:$BG$1149,49,)</f>
        <v>4</v>
      </c>
      <c r="P90" s="3"/>
      <c r="Q90" s="5">
        <f>VLOOKUP($A90,[1]PLAN!$A$3:$BG$1149,24,)/1.2</f>
        <v>21.58</v>
      </c>
      <c r="R90" s="7">
        <f t="shared" si="25"/>
        <v>25.895999999999997</v>
      </c>
      <c r="S90" s="5">
        <f>VLOOKUP($A90,[1]PLAN!$A$3:$BG$1149,50,)</f>
        <v>4</v>
      </c>
      <c r="U90" s="10">
        <v>71.72</v>
      </c>
      <c r="V90" s="11">
        <f t="shared" si="26"/>
        <v>86.063999999999993</v>
      </c>
      <c r="W90" s="6">
        <v>4</v>
      </c>
      <c r="Y90" s="10">
        <v>71.59</v>
      </c>
      <c r="Z90" s="11">
        <f t="shared" si="27"/>
        <v>85.908000000000001</v>
      </c>
      <c r="AA90" s="6">
        <v>4</v>
      </c>
      <c r="AB90" s="1">
        <v>1.2</v>
      </c>
      <c r="AC90" s="21" t="str">
        <f t="shared" si="21"/>
        <v>22:05</v>
      </c>
      <c r="AD90" s="27" t="str">
        <f t="shared" si="14"/>
        <v/>
      </c>
      <c r="AE90" s="27" t="str">
        <f t="shared" si="22"/>
        <v/>
      </c>
      <c r="AF90" s="14">
        <f t="shared" si="23"/>
        <v>45871.336805555555</v>
      </c>
      <c r="AG90" s="12">
        <f t="shared" si="19"/>
        <v>45871</v>
      </c>
      <c r="AH90" s="24">
        <f t="shared" si="20"/>
        <v>0.33680555555474712</v>
      </c>
    </row>
    <row r="91" spans="1:34" ht="19.95" customHeight="1" x14ac:dyDescent="0.4">
      <c r="A91" s="2">
        <v>1244</v>
      </c>
      <c r="B91" s="16">
        <f>VLOOKUP(A91,[1]PLAN!$A$3:$BG$1149,18,)+VLOOKUP(A91,[1]PLAN!$A$3:$BG$1149,19,)</f>
        <v>45870.458333333336</v>
      </c>
      <c r="C91" s="22">
        <f t="shared" si="15"/>
        <v>45870</v>
      </c>
      <c r="D91" s="23">
        <f t="shared" si="16"/>
        <v>0.45833333333575865</v>
      </c>
      <c r="E91" s="14">
        <f>VLOOKUP(A91,[1]PLAN!$A$3:$BG$1149,54,)+VLOOKUP(A91,[1]PLAN!$A$3:$BG$1149,22,)</f>
        <v>45871.340277777781</v>
      </c>
      <c r="F91" s="12">
        <f t="shared" si="17"/>
        <v>45871</v>
      </c>
      <c r="G91" s="24">
        <f t="shared" si="18"/>
        <v>0.34027777778101154</v>
      </c>
      <c r="H91" s="14"/>
      <c r="I91" s="14"/>
      <c r="J91" s="29"/>
      <c r="K91" s="30"/>
      <c r="M91" s="17">
        <f>VLOOKUP($A91,[1]PLAN!$A$3:$BG$1149,23,)</f>
        <v>27.312000000000001</v>
      </c>
      <c r="N91" s="7">
        <f t="shared" si="24"/>
        <v>32.7744</v>
      </c>
      <c r="O91" s="5">
        <f>VLOOKUP($A91,[1]PLAN!$A$3:$BG$1149,49,)</f>
        <v>4</v>
      </c>
      <c r="P91" s="3"/>
      <c r="Q91" s="5">
        <f>VLOOKUP($A91,[1]PLAN!$A$3:$BG$1149,24,)/1.2</f>
        <v>23.42</v>
      </c>
      <c r="R91" s="7">
        <f t="shared" si="25"/>
        <v>28.104000000000003</v>
      </c>
      <c r="S91" s="5">
        <f>VLOOKUP($A91,[1]PLAN!$A$3:$BG$1149,50,)</f>
        <v>4</v>
      </c>
      <c r="U91" s="10">
        <v>71.42</v>
      </c>
      <c r="V91" s="11">
        <f t="shared" si="26"/>
        <v>85.703999999999994</v>
      </c>
      <c r="W91" s="6">
        <v>4</v>
      </c>
      <c r="Y91" s="10">
        <v>70.84</v>
      </c>
      <c r="Z91" s="11">
        <f t="shared" si="27"/>
        <v>85.007999999999996</v>
      </c>
      <c r="AA91" s="6">
        <v>4</v>
      </c>
      <c r="AB91" s="1">
        <v>1.2</v>
      </c>
      <c r="AC91" s="21" t="str">
        <f t="shared" si="21"/>
        <v>21:10</v>
      </c>
      <c r="AD91" s="27" t="str">
        <f t="shared" si="14"/>
        <v/>
      </c>
      <c r="AE91" s="27" t="str">
        <f t="shared" si="22"/>
        <v/>
      </c>
      <c r="AF91" s="14">
        <f t="shared" si="23"/>
        <v>45871.340277777781</v>
      </c>
      <c r="AG91" s="12">
        <f t="shared" si="19"/>
        <v>45871</v>
      </c>
      <c r="AH91" s="24">
        <f t="shared" si="20"/>
        <v>0.34027777778101154</v>
      </c>
    </row>
    <row r="92" spans="1:34" ht="19.95" customHeight="1" x14ac:dyDescent="0.4">
      <c r="A92" s="2">
        <v>1245</v>
      </c>
      <c r="B92" s="16">
        <f>VLOOKUP(A92,[1]PLAN!$A$3:$BG$1149,18,)+VLOOKUP(A92,[1]PLAN!$A$3:$BG$1149,19,)</f>
        <v>45870.479166666664</v>
      </c>
      <c r="C92" s="22">
        <f t="shared" si="15"/>
        <v>45870</v>
      </c>
      <c r="D92" s="23">
        <f t="shared" si="16"/>
        <v>0.47916666666424135</v>
      </c>
      <c r="E92" s="14">
        <f>VLOOKUP(A92,[1]PLAN!$A$3:$BG$1149,54,)+VLOOKUP(A92,[1]PLAN!$A$3:$BG$1149,22,)</f>
        <v>45871.34375</v>
      </c>
      <c r="F92" s="12">
        <f t="shared" si="17"/>
        <v>45871</v>
      </c>
      <c r="G92" s="24">
        <f t="shared" si="18"/>
        <v>0.34375</v>
      </c>
      <c r="H92" s="14"/>
      <c r="I92" s="14"/>
      <c r="J92" s="29"/>
      <c r="K92" s="30"/>
      <c r="M92" s="17">
        <f>VLOOKUP($A92,[1]PLAN!$A$3:$BG$1149,23,)</f>
        <v>25.86</v>
      </c>
      <c r="N92" s="7">
        <f t="shared" si="24"/>
        <v>31.031999999999996</v>
      </c>
      <c r="O92" s="5">
        <f>VLOOKUP($A92,[1]PLAN!$A$3:$BG$1149,49,)</f>
        <v>4</v>
      </c>
      <c r="P92" s="3"/>
      <c r="Q92" s="5">
        <f>VLOOKUP($A92,[1]PLAN!$A$3:$BG$1149,24,)/1.2</f>
        <v>20.27</v>
      </c>
      <c r="R92" s="7">
        <f t="shared" si="25"/>
        <v>24.323999999999998</v>
      </c>
      <c r="S92" s="5">
        <f>VLOOKUP($A92,[1]PLAN!$A$3:$BG$1149,50,)</f>
        <v>4</v>
      </c>
      <c r="U92" s="10">
        <v>69.55</v>
      </c>
      <c r="V92" s="11">
        <f t="shared" si="26"/>
        <v>83.46</v>
      </c>
      <c r="W92" s="6">
        <v>4</v>
      </c>
      <c r="Y92" s="10">
        <v>70.540000000000006</v>
      </c>
      <c r="Z92" s="11">
        <f t="shared" si="27"/>
        <v>84.64800000000001</v>
      </c>
      <c r="AA92" s="6">
        <v>4</v>
      </c>
      <c r="AB92" s="1">
        <v>1.2</v>
      </c>
      <c r="AC92" s="21" t="str">
        <f t="shared" si="21"/>
        <v>20:45</v>
      </c>
      <c r="AD92" s="27" t="str">
        <f t="shared" si="14"/>
        <v/>
      </c>
      <c r="AE92" s="27" t="str">
        <f t="shared" si="22"/>
        <v/>
      </c>
      <c r="AF92" s="14">
        <f t="shared" si="23"/>
        <v>45871.34375</v>
      </c>
      <c r="AG92" s="12">
        <f t="shared" si="19"/>
        <v>45871</v>
      </c>
      <c r="AH92" s="24">
        <f t="shared" si="20"/>
        <v>0.34375</v>
      </c>
    </row>
    <row r="93" spans="1:34" ht="19.95" customHeight="1" x14ac:dyDescent="0.4">
      <c r="A93" s="2">
        <v>1246</v>
      </c>
      <c r="B93" s="16">
        <f>VLOOKUP(A93,[1]PLAN!$A$3:$BG$1149,18,)+VLOOKUP(A93,[1]PLAN!$A$3:$BG$1149,19,)</f>
        <v>45870.625</v>
      </c>
      <c r="C93" s="22">
        <f t="shared" si="15"/>
        <v>45870</v>
      </c>
      <c r="D93" s="23">
        <f t="shared" si="16"/>
        <v>0.625</v>
      </c>
      <c r="E93" s="14">
        <f>VLOOKUP(A93,[1]PLAN!$A$3:$BG$1149,54,)+VLOOKUP(A93,[1]PLAN!$A$3:$BG$1149,22,)</f>
        <v>45871.347222222219</v>
      </c>
      <c r="F93" s="12">
        <f t="shared" si="17"/>
        <v>45871</v>
      </c>
      <c r="G93" s="24">
        <f t="shared" si="18"/>
        <v>0.34722222221898846</v>
      </c>
      <c r="H93" s="14"/>
      <c r="I93" s="14"/>
      <c r="J93" s="29"/>
      <c r="K93" s="30"/>
      <c r="M93" s="17">
        <f>VLOOKUP($A93,[1]PLAN!$A$3:$BG$1149,23,)</f>
        <v>23.88</v>
      </c>
      <c r="N93" s="7">
        <f t="shared" si="24"/>
        <v>28.655999999999999</v>
      </c>
      <c r="O93" s="5">
        <f>VLOOKUP($A93,[1]PLAN!$A$3:$BG$1149,49,)</f>
        <v>4</v>
      </c>
      <c r="P93" s="3"/>
      <c r="Q93" s="5">
        <f>VLOOKUP($A93,[1]PLAN!$A$3:$BG$1149,24,)/1.2</f>
        <v>20</v>
      </c>
      <c r="R93" s="7">
        <f t="shared" si="25"/>
        <v>24</v>
      </c>
      <c r="S93" s="5">
        <f>VLOOKUP($A93,[1]PLAN!$A$3:$BG$1149,50,)</f>
        <v>4</v>
      </c>
      <c r="U93" s="10">
        <v>70.81</v>
      </c>
      <c r="V93" s="11">
        <f t="shared" si="26"/>
        <v>84.971999999999994</v>
      </c>
      <c r="W93" s="6">
        <v>4</v>
      </c>
      <c r="Y93" s="10">
        <v>70.59</v>
      </c>
      <c r="Z93" s="11">
        <f t="shared" si="27"/>
        <v>84.707999999999998</v>
      </c>
      <c r="AA93" s="6">
        <v>4</v>
      </c>
      <c r="AB93" s="1">
        <v>1.2</v>
      </c>
      <c r="AC93" s="21" t="str">
        <f t="shared" si="21"/>
        <v>17:20</v>
      </c>
      <c r="AD93" s="27" t="str">
        <f t="shared" si="14"/>
        <v/>
      </c>
      <c r="AE93" s="27" t="str">
        <f t="shared" si="22"/>
        <v/>
      </c>
      <c r="AF93" s="14">
        <f t="shared" si="23"/>
        <v>45871.347222222219</v>
      </c>
      <c r="AG93" s="12">
        <f t="shared" si="19"/>
        <v>45871</v>
      </c>
      <c r="AH93" s="24">
        <f t="shared" si="20"/>
        <v>0.34722222221898846</v>
      </c>
    </row>
    <row r="94" spans="1:34" ht="19.95" customHeight="1" x14ac:dyDescent="0.4">
      <c r="A94" s="2">
        <v>1247</v>
      </c>
      <c r="B94" s="16">
        <f>VLOOKUP(A94,[1]PLAN!$A$3:$BG$1149,18,)+VLOOKUP(A94,[1]PLAN!$A$3:$BG$1149,19,)</f>
        <v>45871.416666666664</v>
      </c>
      <c r="C94" s="22">
        <f t="shared" si="15"/>
        <v>45871</v>
      </c>
      <c r="D94" s="23">
        <f t="shared" si="16"/>
        <v>0.41666666666424135</v>
      </c>
      <c r="E94" s="14">
        <f>VLOOKUP(A94,[1]PLAN!$A$3:$BG$1149,54,)+VLOOKUP(A94,[1]PLAN!$A$3:$BG$1149,22,)</f>
        <v>45873.3125</v>
      </c>
      <c r="F94" s="12">
        <f t="shared" si="17"/>
        <v>45873</v>
      </c>
      <c r="G94" s="24">
        <f t="shared" si="18"/>
        <v>0.3125</v>
      </c>
      <c r="H94" s="14"/>
      <c r="I94" s="14"/>
      <c r="J94" s="29"/>
      <c r="K94" s="30"/>
      <c r="M94" s="17">
        <f>VLOOKUP($A94,[1]PLAN!$A$3:$BG$1149,23,)</f>
        <v>51.811199999999999</v>
      </c>
      <c r="N94" s="7">
        <f t="shared" si="24"/>
        <v>62.173439999999999</v>
      </c>
      <c r="O94" s="5">
        <f>VLOOKUP($A94,[1]PLAN!$A$3:$BG$1149,49,)</f>
        <v>4</v>
      </c>
      <c r="P94" s="3"/>
      <c r="Q94" s="5">
        <f>VLOOKUP($A94,[1]PLAN!$A$3:$BG$1149,24,)/1.2</f>
        <v>43.6</v>
      </c>
      <c r="R94" s="7">
        <f t="shared" si="25"/>
        <v>52.32</v>
      </c>
      <c r="S94" s="5">
        <f>VLOOKUP($A94,[1]PLAN!$A$3:$BG$1149,50,)</f>
        <v>4</v>
      </c>
      <c r="U94" s="10">
        <v>71.790000000000006</v>
      </c>
      <c r="V94" s="11">
        <f t="shared" si="26"/>
        <v>86.14800000000001</v>
      </c>
      <c r="W94" s="6">
        <v>4</v>
      </c>
      <c r="Y94" s="10">
        <v>70.94</v>
      </c>
      <c r="Z94" s="11">
        <f t="shared" si="27"/>
        <v>85.128</v>
      </c>
      <c r="AA94" s="6">
        <v>4</v>
      </c>
      <c r="AB94" s="1">
        <v>1.2</v>
      </c>
      <c r="AC94" s="21" t="str">
        <f t="shared" si="21"/>
        <v>45:30</v>
      </c>
      <c r="AD94" s="27" t="str">
        <f t="shared" si="14"/>
        <v/>
      </c>
      <c r="AE94" s="27" t="str">
        <f t="shared" si="22"/>
        <v/>
      </c>
      <c r="AF94" s="14">
        <f t="shared" si="23"/>
        <v>45873.3125</v>
      </c>
      <c r="AG94" s="12">
        <f t="shared" si="19"/>
        <v>45873</v>
      </c>
      <c r="AH94" s="24">
        <f t="shared" si="20"/>
        <v>0.3125</v>
      </c>
    </row>
    <row r="95" spans="1:34" ht="19.95" customHeight="1" x14ac:dyDescent="0.4">
      <c r="A95" s="2">
        <v>1248</v>
      </c>
      <c r="B95" s="16">
        <f>VLOOKUP(A95,[1]PLAN!$A$3:$BG$1149,18,)+VLOOKUP(A95,[1]PLAN!$A$3:$BG$1149,19,)</f>
        <v>45871.4375</v>
      </c>
      <c r="C95" s="22">
        <f t="shared" si="15"/>
        <v>45871</v>
      </c>
      <c r="D95" s="23">
        <f t="shared" si="16"/>
        <v>0.4375</v>
      </c>
      <c r="E95" s="14">
        <f>VLOOKUP(A95,[1]PLAN!$A$3:$BG$1149,54,)+VLOOKUP(A95,[1]PLAN!$A$3:$BG$1149,22,)</f>
        <v>45873.315972222219</v>
      </c>
      <c r="F95" s="12">
        <f t="shared" si="17"/>
        <v>45873</v>
      </c>
      <c r="G95" s="24">
        <f t="shared" si="18"/>
        <v>0.31597222221898846</v>
      </c>
      <c r="H95" s="14"/>
      <c r="I95" s="14"/>
      <c r="J95" s="29"/>
      <c r="K95" s="30"/>
      <c r="M95" s="17">
        <f>VLOOKUP($A95,[1]PLAN!$A$3:$BG$1149,23,)</f>
        <v>46.152000000000001</v>
      </c>
      <c r="N95" s="7">
        <f t="shared" si="24"/>
        <v>55.382399999999997</v>
      </c>
      <c r="O95" s="5">
        <f>VLOOKUP($A95,[1]PLAN!$A$3:$BG$1149,49,)</f>
        <v>4</v>
      </c>
      <c r="P95" s="3"/>
      <c r="Q95" s="5">
        <f>VLOOKUP($A95,[1]PLAN!$A$3:$BG$1149,24,)/1.2</f>
        <v>38.79</v>
      </c>
      <c r="R95" s="7">
        <f t="shared" si="25"/>
        <v>46.547999999999995</v>
      </c>
      <c r="S95" s="5">
        <f>VLOOKUP($A95,[1]PLAN!$A$3:$BG$1149,50,)</f>
        <v>4</v>
      </c>
      <c r="U95" s="10">
        <v>71.62</v>
      </c>
      <c r="V95" s="11">
        <f t="shared" si="26"/>
        <v>85.944000000000003</v>
      </c>
      <c r="W95" s="6">
        <v>4</v>
      </c>
      <c r="Y95" s="10">
        <v>72.05</v>
      </c>
      <c r="Z95" s="11">
        <f t="shared" si="27"/>
        <v>86.46</v>
      </c>
      <c r="AA95" s="6">
        <v>4</v>
      </c>
      <c r="AB95" s="1">
        <v>1.2</v>
      </c>
      <c r="AC95" s="21" t="str">
        <f t="shared" si="21"/>
        <v>45:05</v>
      </c>
      <c r="AD95" s="27" t="str">
        <f t="shared" si="14"/>
        <v/>
      </c>
      <c r="AE95" s="27" t="str">
        <f t="shared" si="22"/>
        <v/>
      </c>
      <c r="AF95" s="14">
        <f t="shared" si="23"/>
        <v>45873.315972222219</v>
      </c>
      <c r="AG95" s="12">
        <f t="shared" si="19"/>
        <v>45873</v>
      </c>
      <c r="AH95" s="24">
        <f t="shared" si="20"/>
        <v>0.31597222221898846</v>
      </c>
    </row>
    <row r="96" spans="1:34" ht="19.95" customHeight="1" x14ac:dyDescent="0.4">
      <c r="A96" s="2">
        <v>1249</v>
      </c>
      <c r="B96" s="16">
        <f>VLOOKUP(A96,[1]PLAN!$A$3:$BG$1149,18,)+VLOOKUP(A96,[1]PLAN!$A$3:$BG$1149,19,)</f>
        <v>45871.479166666664</v>
      </c>
      <c r="C96" s="22">
        <f t="shared" si="15"/>
        <v>45871</v>
      </c>
      <c r="D96" s="23">
        <f t="shared" si="16"/>
        <v>0.47916666666424135</v>
      </c>
      <c r="E96" s="14">
        <f>VLOOKUP(A96,[1]PLAN!$A$3:$BG$1149,54,)+VLOOKUP(A96,[1]PLAN!$A$3:$BG$1149,22,)</f>
        <v>45873.319444444445</v>
      </c>
      <c r="F96" s="12">
        <f t="shared" si="17"/>
        <v>45873</v>
      </c>
      <c r="G96" s="24">
        <f t="shared" si="18"/>
        <v>0.31944444444525288</v>
      </c>
      <c r="H96" s="14"/>
      <c r="I96" s="14"/>
      <c r="J96" s="29"/>
      <c r="K96" s="30"/>
      <c r="M96" s="17">
        <f>VLOOKUP($A96,[1]PLAN!$A$3:$BG$1149,23,)</f>
        <v>49.247999999999998</v>
      </c>
      <c r="N96" s="7">
        <f t="shared" si="24"/>
        <v>59.097599999999993</v>
      </c>
      <c r="O96" s="5">
        <f>VLOOKUP($A96,[1]PLAN!$A$3:$BG$1149,49,)</f>
        <v>4</v>
      </c>
      <c r="P96" s="3"/>
      <c r="Q96" s="5">
        <f>VLOOKUP($A96,[1]PLAN!$A$3:$BG$1149,24,)/1.2</f>
        <v>41.06</v>
      </c>
      <c r="R96" s="7">
        <f t="shared" si="25"/>
        <v>49.271999999999998</v>
      </c>
      <c r="S96" s="5">
        <f>VLOOKUP($A96,[1]PLAN!$A$3:$BG$1149,50,)</f>
        <v>4</v>
      </c>
      <c r="U96" s="10">
        <v>71.45</v>
      </c>
      <c r="V96" s="11">
        <f t="shared" si="26"/>
        <v>85.74</v>
      </c>
      <c r="W96" s="6">
        <v>4</v>
      </c>
      <c r="Y96" s="10">
        <v>71.56</v>
      </c>
      <c r="Z96" s="11">
        <f t="shared" si="27"/>
        <v>85.872</v>
      </c>
      <c r="AA96" s="6">
        <v>4</v>
      </c>
      <c r="AB96" s="1">
        <v>1.2</v>
      </c>
      <c r="AC96" s="21" t="str">
        <f t="shared" si="21"/>
        <v>44:10</v>
      </c>
      <c r="AD96" s="27" t="str">
        <f t="shared" si="14"/>
        <v/>
      </c>
      <c r="AE96" s="27" t="str">
        <f t="shared" si="22"/>
        <v/>
      </c>
      <c r="AF96" s="14">
        <f t="shared" si="23"/>
        <v>45873.319444444445</v>
      </c>
      <c r="AG96" s="12">
        <f t="shared" si="19"/>
        <v>45873</v>
      </c>
      <c r="AH96" s="24">
        <f t="shared" si="20"/>
        <v>0.31944444444525288</v>
      </c>
    </row>
    <row r="97" spans="1:34" ht="19.95" customHeight="1" x14ac:dyDescent="0.4">
      <c r="A97" s="2">
        <v>1250</v>
      </c>
      <c r="B97" s="16">
        <f>VLOOKUP(A97,[1]PLAN!$A$3:$BG$1149,18,)+VLOOKUP(A97,[1]PLAN!$A$3:$BG$1149,19,)</f>
        <v>45871.583333333336</v>
      </c>
      <c r="C97" s="22">
        <f t="shared" si="15"/>
        <v>45871</v>
      </c>
      <c r="D97" s="23">
        <f t="shared" si="16"/>
        <v>0.58333333333575865</v>
      </c>
      <c r="E97" s="14">
        <f>VLOOKUP(A97,[1]PLAN!$A$3:$BG$1149,54,)+VLOOKUP(A97,[1]PLAN!$A$3:$BG$1149,22,)</f>
        <v>45873.326388888891</v>
      </c>
      <c r="F97" s="12">
        <f t="shared" si="17"/>
        <v>45873</v>
      </c>
      <c r="G97" s="24">
        <f t="shared" si="18"/>
        <v>0.32638888889050577</v>
      </c>
      <c r="H97" s="14"/>
      <c r="I97" s="14"/>
      <c r="J97" s="29"/>
      <c r="K97" s="30"/>
      <c r="M97" s="17">
        <f>VLOOKUP($A97,[1]PLAN!$A$3:$BG$1149,23,)</f>
        <v>33.491999999999997</v>
      </c>
      <c r="N97" s="7">
        <f t="shared" si="24"/>
        <v>40.190399999999997</v>
      </c>
      <c r="O97" s="5">
        <f>VLOOKUP($A97,[1]PLAN!$A$3:$BG$1149,49,)</f>
        <v>4</v>
      </c>
      <c r="P97" s="3"/>
      <c r="Q97" s="5">
        <f>VLOOKUP($A97,[1]PLAN!$A$3:$BG$1149,24,)/1.2</f>
        <v>27.77</v>
      </c>
      <c r="R97" s="7">
        <f t="shared" si="25"/>
        <v>33.323999999999998</v>
      </c>
      <c r="S97" s="5">
        <f>VLOOKUP($A97,[1]PLAN!$A$3:$BG$1149,50,)</f>
        <v>4</v>
      </c>
      <c r="U97" s="10">
        <v>70.459999999999994</v>
      </c>
      <c r="V97" s="11">
        <f t="shared" si="26"/>
        <v>84.551999999999992</v>
      </c>
      <c r="W97" s="6">
        <v>4</v>
      </c>
      <c r="Y97" s="10">
        <v>71.959999999999994</v>
      </c>
      <c r="Z97" s="11">
        <f t="shared" si="27"/>
        <v>86.35199999999999</v>
      </c>
      <c r="AA97" s="6">
        <v>4</v>
      </c>
      <c r="AB97" s="1">
        <v>1.2</v>
      </c>
      <c r="AC97" s="21" t="str">
        <f t="shared" si="21"/>
        <v>41:50</v>
      </c>
      <c r="AD97" s="27" t="str">
        <f t="shared" si="14"/>
        <v/>
      </c>
      <c r="AE97" s="27" t="str">
        <f t="shared" si="22"/>
        <v/>
      </c>
      <c r="AF97" s="14">
        <f t="shared" si="23"/>
        <v>45873.326388888891</v>
      </c>
      <c r="AG97" s="12">
        <f t="shared" si="19"/>
        <v>45873</v>
      </c>
      <c r="AH97" s="24">
        <f t="shared" si="20"/>
        <v>0.32638888889050577</v>
      </c>
    </row>
    <row r="98" spans="1:34" ht="19.95" customHeight="1" x14ac:dyDescent="0.4">
      <c r="A98" s="2">
        <v>1251</v>
      </c>
      <c r="B98" s="16">
        <f>VLOOKUP(A98,[1]PLAN!$A$3:$BG$1149,18,)+VLOOKUP(A98,[1]PLAN!$A$3:$BG$1149,19,)</f>
        <v>45873.583333333336</v>
      </c>
      <c r="C98" s="22">
        <f t="shared" si="15"/>
        <v>45873</v>
      </c>
      <c r="D98" s="23">
        <f t="shared" si="16"/>
        <v>0.58333333333575865</v>
      </c>
      <c r="E98" s="14">
        <f>VLOOKUP(A98,[1]PLAN!$A$3:$BG$1149,54,)+VLOOKUP(A98,[1]PLAN!$A$3:$BG$1149,22,)</f>
        <v>45874.3125</v>
      </c>
      <c r="F98" s="12">
        <f t="shared" si="17"/>
        <v>45874</v>
      </c>
      <c r="G98" s="24">
        <f t="shared" si="18"/>
        <v>0.3125</v>
      </c>
      <c r="H98" s="14"/>
      <c r="I98" s="14"/>
      <c r="J98" s="29"/>
      <c r="K98" s="30"/>
      <c r="M98" s="17">
        <f>VLOOKUP($A98,[1]PLAN!$A$3:$BG$1149,23,)</f>
        <v>27.731999999999999</v>
      </c>
      <c r="N98" s="7">
        <f t="shared" si="24"/>
        <v>33.278399999999998</v>
      </c>
      <c r="O98" s="5">
        <f>VLOOKUP($A98,[1]PLAN!$A$3:$BG$1149,49,)</f>
        <v>4</v>
      </c>
      <c r="P98" s="3"/>
      <c r="Q98" s="5">
        <f>VLOOKUP($A98,[1]PLAN!$A$3:$BG$1149,24,)/1.2</f>
        <v>21.52</v>
      </c>
      <c r="R98" s="7">
        <f t="shared" si="25"/>
        <v>25.823999999999998</v>
      </c>
      <c r="S98" s="5">
        <f>VLOOKUP($A98,[1]PLAN!$A$3:$BG$1149,50,)</f>
        <v>4</v>
      </c>
      <c r="U98" s="10">
        <v>70.16</v>
      </c>
      <c r="V98" s="11">
        <f t="shared" si="26"/>
        <v>84.191999999999993</v>
      </c>
      <c r="W98" s="6">
        <v>4</v>
      </c>
      <c r="Y98" s="10">
        <v>70.650000000000006</v>
      </c>
      <c r="Z98" s="11">
        <f t="shared" si="27"/>
        <v>84.78</v>
      </c>
      <c r="AA98" s="6">
        <v>4</v>
      </c>
      <c r="AB98" s="1">
        <v>1.2</v>
      </c>
      <c r="AC98" s="21" t="str">
        <f t="shared" si="21"/>
        <v>17:30</v>
      </c>
      <c r="AD98" s="27" t="str">
        <f t="shared" si="14"/>
        <v/>
      </c>
      <c r="AE98" s="27" t="str">
        <f t="shared" si="22"/>
        <v/>
      </c>
      <c r="AF98" s="14">
        <f t="shared" si="23"/>
        <v>45874.3125</v>
      </c>
      <c r="AG98" s="12">
        <f t="shared" si="19"/>
        <v>45874</v>
      </c>
      <c r="AH98" s="24">
        <f t="shared" si="20"/>
        <v>0.3125</v>
      </c>
    </row>
    <row r="99" spans="1:34" ht="19.95" customHeight="1" x14ac:dyDescent="0.4">
      <c r="A99" s="2">
        <v>1252</v>
      </c>
      <c r="B99" s="16">
        <f>VLOOKUP(A99,[1]PLAN!$A$3:$BG$1149,18,)+VLOOKUP(A99,[1]PLAN!$A$3:$BG$1149,19,)</f>
        <v>45873.604166666664</v>
      </c>
      <c r="C99" s="22">
        <f t="shared" si="15"/>
        <v>45873</v>
      </c>
      <c r="D99" s="23">
        <f t="shared" si="16"/>
        <v>0.60416666666424135</v>
      </c>
      <c r="E99" s="14">
        <f>VLOOKUP(A99,[1]PLAN!$A$3:$BG$1149,54,)+VLOOKUP(A99,[1]PLAN!$A$3:$BG$1149,22,)</f>
        <v>45874.315972222219</v>
      </c>
      <c r="F99" s="12">
        <f t="shared" si="17"/>
        <v>45874</v>
      </c>
      <c r="G99" s="24">
        <f t="shared" si="18"/>
        <v>0.31597222221898846</v>
      </c>
      <c r="H99" s="14"/>
      <c r="I99" s="14"/>
      <c r="J99" s="29"/>
      <c r="K99" s="30"/>
      <c r="M99" s="17">
        <f>VLOOKUP($A99,[1]PLAN!$A$3:$BG$1149,23,)</f>
        <v>31.907999999999998</v>
      </c>
      <c r="N99" s="7">
        <f t="shared" si="24"/>
        <v>38.289599999999993</v>
      </c>
      <c r="O99" s="5">
        <f>VLOOKUP($A99,[1]PLAN!$A$3:$BG$1149,49,)</f>
        <v>4</v>
      </c>
      <c r="P99" s="3"/>
      <c r="Q99" s="5">
        <f>VLOOKUP($A99,[1]PLAN!$A$3:$BG$1149,24,)/1.2</f>
        <v>26.780000000000005</v>
      </c>
      <c r="R99" s="7">
        <f t="shared" si="25"/>
        <v>32.136000000000003</v>
      </c>
      <c r="S99" s="5">
        <f>VLOOKUP($A99,[1]PLAN!$A$3:$BG$1149,50,)</f>
        <v>4</v>
      </c>
      <c r="U99" s="10">
        <v>70.19</v>
      </c>
      <c r="V99" s="11">
        <f t="shared" si="26"/>
        <v>84.227999999999994</v>
      </c>
      <c r="W99" s="6">
        <v>4</v>
      </c>
      <c r="Y99" s="10">
        <v>70.33</v>
      </c>
      <c r="Z99" s="11">
        <f t="shared" si="27"/>
        <v>84.396000000000001</v>
      </c>
      <c r="AA99" s="6">
        <v>4</v>
      </c>
      <c r="AB99" s="1">
        <v>1.2</v>
      </c>
      <c r="AC99" s="21" t="str">
        <f t="shared" si="21"/>
        <v>17:05</v>
      </c>
      <c r="AD99" s="27" t="str">
        <f t="shared" si="14"/>
        <v/>
      </c>
      <c r="AE99" s="27" t="str">
        <f t="shared" si="22"/>
        <v/>
      </c>
      <c r="AF99" s="14">
        <f t="shared" si="23"/>
        <v>45874.315972222219</v>
      </c>
      <c r="AG99" s="12">
        <f t="shared" si="19"/>
        <v>45874</v>
      </c>
      <c r="AH99" s="24">
        <f t="shared" si="20"/>
        <v>0.31597222221898846</v>
      </c>
    </row>
    <row r="100" spans="1:34" ht="19.95" customHeight="1" x14ac:dyDescent="0.4">
      <c r="A100" s="2">
        <v>1253</v>
      </c>
      <c r="B100" s="16">
        <f>VLOOKUP(A100,[1]PLAN!$A$3:$BG$1149,18,)+VLOOKUP(A100,[1]PLAN!$A$3:$BG$1149,19,)</f>
        <v>45873.645833333336</v>
      </c>
      <c r="C100" s="22">
        <f t="shared" si="15"/>
        <v>45873</v>
      </c>
      <c r="D100" s="23">
        <f t="shared" si="16"/>
        <v>0.64583333333575865</v>
      </c>
      <c r="E100" s="14">
        <f>VLOOKUP(A100,[1]PLAN!$A$3:$BG$1149,54,)+VLOOKUP(A100,[1]PLAN!$A$3:$BG$1149,22,)</f>
        <v>45874.319444444445</v>
      </c>
      <c r="F100" s="12">
        <f t="shared" si="17"/>
        <v>45874</v>
      </c>
      <c r="G100" s="24">
        <f t="shared" si="18"/>
        <v>0.31944444444525288</v>
      </c>
      <c r="H100" s="14"/>
      <c r="I100" s="14"/>
      <c r="J100" s="29"/>
      <c r="K100" s="30"/>
      <c r="M100" s="17">
        <f>VLOOKUP($A100,[1]PLAN!$A$3:$BG$1149,23,)</f>
        <v>26.891999999999999</v>
      </c>
      <c r="N100" s="7">
        <f t="shared" si="24"/>
        <v>32.270399999999995</v>
      </c>
      <c r="O100" s="5">
        <f>VLOOKUP($A100,[1]PLAN!$A$3:$BG$1149,49,)</f>
        <v>4</v>
      </c>
      <c r="P100" s="3"/>
      <c r="Q100" s="5">
        <f>VLOOKUP($A100,[1]PLAN!$A$3:$BG$1149,24,)/1.2</f>
        <v>21.89</v>
      </c>
      <c r="R100" s="7">
        <f t="shared" si="25"/>
        <v>26.268000000000001</v>
      </c>
      <c r="S100" s="5">
        <f>VLOOKUP($A100,[1]PLAN!$A$3:$BG$1149,50,)</f>
        <v>4</v>
      </c>
      <c r="U100" s="10">
        <v>70.14</v>
      </c>
      <c r="V100" s="11">
        <f t="shared" si="26"/>
        <v>84.167999999999992</v>
      </c>
      <c r="W100" s="6">
        <v>4</v>
      </c>
      <c r="Y100" s="10">
        <v>70.290000000000006</v>
      </c>
      <c r="Z100" s="11">
        <f t="shared" si="27"/>
        <v>84.347999999999999</v>
      </c>
      <c r="AA100" s="6">
        <v>4</v>
      </c>
      <c r="AB100" s="1">
        <v>1.2</v>
      </c>
      <c r="AC100" s="21" t="str">
        <f t="shared" si="21"/>
        <v>16:10</v>
      </c>
      <c r="AD100" s="27" t="str">
        <f t="shared" si="14"/>
        <v/>
      </c>
      <c r="AE100" s="27" t="str">
        <f t="shared" si="22"/>
        <v/>
      </c>
      <c r="AF100" s="14">
        <f t="shared" si="23"/>
        <v>45874.319444444445</v>
      </c>
      <c r="AG100" s="12">
        <f t="shared" si="19"/>
        <v>45874</v>
      </c>
      <c r="AH100" s="24">
        <f t="shared" si="20"/>
        <v>0.31944444444525288</v>
      </c>
    </row>
    <row r="101" spans="1:34" ht="19.95" customHeight="1" x14ac:dyDescent="0.4">
      <c r="A101" s="2">
        <v>1254</v>
      </c>
      <c r="B101" s="16">
        <f>VLOOKUP(A101,[1]PLAN!$A$3:$BG$1149,18,)+VLOOKUP(A101,[1]PLAN!$A$3:$BG$1149,19,)</f>
        <v>45873.666666666664</v>
      </c>
      <c r="C101" s="22">
        <f t="shared" si="15"/>
        <v>45873</v>
      </c>
      <c r="D101" s="23">
        <f t="shared" si="16"/>
        <v>0.66666666666424135</v>
      </c>
      <c r="E101" s="14">
        <f>VLOOKUP(A101,[1]PLAN!$A$3:$BG$1149,54,)+VLOOKUP(A101,[1]PLAN!$A$3:$BG$1149,22,)</f>
        <v>45874.322916666664</v>
      </c>
      <c r="F101" s="12">
        <f t="shared" si="17"/>
        <v>45874</v>
      </c>
      <c r="G101" s="24">
        <f t="shared" si="18"/>
        <v>0.32291666666424135</v>
      </c>
      <c r="H101" s="14"/>
      <c r="I101" s="14"/>
      <c r="J101" s="29"/>
      <c r="K101" s="30"/>
      <c r="M101" s="17">
        <f>VLOOKUP($A101,[1]PLAN!$A$3:$BG$1149,23,)</f>
        <v>24.563999999999997</v>
      </c>
      <c r="N101" s="7">
        <f t="shared" si="24"/>
        <v>29.476799999999994</v>
      </c>
      <c r="O101" s="5">
        <f>VLOOKUP($A101,[1]PLAN!$A$3:$BG$1149,49,)</f>
        <v>4</v>
      </c>
      <c r="P101" s="3"/>
      <c r="Q101" s="5">
        <f>VLOOKUP($A101,[1]PLAN!$A$3:$BG$1149,24,)/1.2</f>
        <v>20</v>
      </c>
      <c r="R101" s="7">
        <f t="shared" si="25"/>
        <v>24</v>
      </c>
      <c r="S101" s="5">
        <f>VLOOKUP($A101,[1]PLAN!$A$3:$BG$1149,50,)</f>
        <v>4</v>
      </c>
      <c r="U101" s="10">
        <v>70.25</v>
      </c>
      <c r="V101" s="11">
        <f t="shared" si="26"/>
        <v>84.3</v>
      </c>
      <c r="W101" s="6">
        <v>4</v>
      </c>
      <c r="Y101" s="10">
        <v>70.98</v>
      </c>
      <c r="Z101" s="11">
        <f t="shared" si="27"/>
        <v>85.176000000000002</v>
      </c>
      <c r="AA101" s="6">
        <v>4</v>
      </c>
      <c r="AB101" s="1">
        <v>1.2</v>
      </c>
      <c r="AC101" s="21" t="str">
        <f t="shared" si="21"/>
        <v>15:45</v>
      </c>
      <c r="AD101" s="27" t="str">
        <f t="shared" si="14"/>
        <v/>
      </c>
      <c r="AE101" s="27" t="str">
        <f t="shared" si="22"/>
        <v/>
      </c>
      <c r="AF101" s="14">
        <f t="shared" si="23"/>
        <v>45874.322916666664</v>
      </c>
      <c r="AG101" s="12">
        <f t="shared" si="19"/>
        <v>45874</v>
      </c>
      <c r="AH101" s="24">
        <f t="shared" si="20"/>
        <v>0.32291666666424135</v>
      </c>
    </row>
    <row r="102" spans="1:34" ht="19.95" customHeight="1" x14ac:dyDescent="0.4">
      <c r="A102" s="2">
        <v>1255</v>
      </c>
      <c r="B102" s="16">
        <f>VLOOKUP(A102,[1]PLAN!$A$3:$BG$1149,18,)+VLOOKUP(A102,[1]PLAN!$A$3:$BG$1149,19,)</f>
        <v>45874.375</v>
      </c>
      <c r="C102" s="22">
        <f t="shared" si="15"/>
        <v>45874</v>
      </c>
      <c r="D102" s="23">
        <f t="shared" si="16"/>
        <v>0.375</v>
      </c>
      <c r="E102" s="14">
        <f>VLOOKUP(A102,[1]PLAN!$A$3:$BG$1149,54,)+VLOOKUP(A102,[1]PLAN!$A$3:$BG$1149,22,)</f>
        <v>45875.347222222219</v>
      </c>
      <c r="F102" s="12">
        <f t="shared" si="17"/>
        <v>45875</v>
      </c>
      <c r="G102" s="24">
        <f t="shared" si="18"/>
        <v>0.34722222221898846</v>
      </c>
      <c r="H102" s="14"/>
      <c r="I102" s="14"/>
      <c r="J102" s="29"/>
      <c r="K102" s="30"/>
      <c r="M102" s="17">
        <f>VLOOKUP($A102,[1]PLAN!$A$3:$BG$1149,23,)</f>
        <v>29.16</v>
      </c>
      <c r="N102" s="7">
        <f t="shared" si="24"/>
        <v>34.991999999999997</v>
      </c>
      <c r="O102" s="5">
        <f>VLOOKUP($A102,[1]PLAN!$A$3:$BG$1149,49,)</f>
        <v>4</v>
      </c>
      <c r="P102" s="3"/>
      <c r="Q102" s="5">
        <f>VLOOKUP($A102,[1]PLAN!$A$3:$BG$1149,24,)/1.2</f>
        <v>24.57</v>
      </c>
      <c r="R102" s="7">
        <f t="shared" si="25"/>
        <v>29.483999999999998</v>
      </c>
      <c r="S102" s="5">
        <f>VLOOKUP($A102,[1]PLAN!$A$3:$BG$1149,50,)</f>
        <v>4</v>
      </c>
      <c r="U102" s="10">
        <v>71.02</v>
      </c>
      <c r="V102" s="11">
        <f t="shared" si="26"/>
        <v>85.22399999999999</v>
      </c>
      <c r="W102" s="6">
        <v>4</v>
      </c>
      <c r="Y102" s="10">
        <v>70.83</v>
      </c>
      <c r="Z102" s="11">
        <f t="shared" si="27"/>
        <v>84.995999999999995</v>
      </c>
      <c r="AA102" s="6">
        <v>4</v>
      </c>
      <c r="AB102" s="1">
        <v>1.2</v>
      </c>
      <c r="AC102" s="21" t="str">
        <f t="shared" si="21"/>
        <v>23:20</v>
      </c>
      <c r="AD102" s="27" t="str">
        <f t="shared" si="14"/>
        <v/>
      </c>
      <c r="AE102" s="27" t="str">
        <f t="shared" si="22"/>
        <v/>
      </c>
      <c r="AF102" s="14">
        <f t="shared" si="23"/>
        <v>45875.347222222219</v>
      </c>
      <c r="AG102" s="12">
        <f t="shared" si="19"/>
        <v>45875</v>
      </c>
      <c r="AH102" s="24">
        <f t="shared" si="20"/>
        <v>0.34722222221898846</v>
      </c>
    </row>
    <row r="103" spans="1:34" ht="19.95" customHeight="1" x14ac:dyDescent="0.4">
      <c r="A103" s="2">
        <v>1256</v>
      </c>
      <c r="B103" s="16">
        <f>VLOOKUP(A103,[1]PLAN!$A$3:$BG$1149,18,)+VLOOKUP(A103,[1]PLAN!$A$3:$BG$1149,19,)</f>
        <v>45874.395833333336</v>
      </c>
      <c r="C103" s="22">
        <f t="shared" si="15"/>
        <v>45874</v>
      </c>
      <c r="D103" s="23">
        <f t="shared" si="16"/>
        <v>0.39583333333575865</v>
      </c>
      <c r="E103" s="14">
        <f>VLOOKUP(A103,[1]PLAN!$A$3:$BG$1149,54,)+VLOOKUP(A103,[1]PLAN!$A$3:$BG$1149,22,)</f>
        <v>45875.350694444445</v>
      </c>
      <c r="F103" s="12">
        <f t="shared" si="17"/>
        <v>45875</v>
      </c>
      <c r="G103" s="24">
        <f t="shared" si="18"/>
        <v>0.35069444444525288</v>
      </c>
      <c r="H103" s="14"/>
      <c r="I103" s="14"/>
      <c r="J103" s="29"/>
      <c r="K103" s="30"/>
      <c r="M103" s="17">
        <f>VLOOKUP($A103,[1]PLAN!$A$3:$BG$1149,23,)</f>
        <v>24.24</v>
      </c>
      <c r="N103" s="7">
        <f t="shared" si="24"/>
        <v>29.087999999999997</v>
      </c>
      <c r="O103" s="5">
        <f>VLOOKUP($A103,[1]PLAN!$A$3:$BG$1149,49,)</f>
        <v>4</v>
      </c>
      <c r="P103" s="3"/>
      <c r="Q103" s="5">
        <f>VLOOKUP($A103,[1]PLAN!$A$3:$BG$1149,24,)/1.2</f>
        <v>20.66</v>
      </c>
      <c r="R103" s="7">
        <f t="shared" si="25"/>
        <v>24.791999999999998</v>
      </c>
      <c r="S103" s="5">
        <f>VLOOKUP($A103,[1]PLAN!$A$3:$BG$1149,50,)</f>
        <v>4</v>
      </c>
      <c r="U103" s="10">
        <v>68.790000000000006</v>
      </c>
      <c r="V103" s="11">
        <f t="shared" si="26"/>
        <v>82.548000000000002</v>
      </c>
      <c r="W103" s="6">
        <v>4</v>
      </c>
      <c r="Y103" s="10">
        <v>69.540000000000006</v>
      </c>
      <c r="Z103" s="11">
        <f t="shared" si="27"/>
        <v>83.448000000000008</v>
      </c>
      <c r="AA103" s="6">
        <v>4</v>
      </c>
      <c r="AB103" s="1">
        <v>1.2</v>
      </c>
      <c r="AC103" s="21" t="str">
        <f t="shared" si="21"/>
        <v>22:55</v>
      </c>
      <c r="AD103" s="27" t="str">
        <f t="shared" si="14"/>
        <v/>
      </c>
      <c r="AE103" s="27" t="str">
        <f t="shared" si="22"/>
        <v/>
      </c>
      <c r="AF103" s="14">
        <f t="shared" si="23"/>
        <v>45875.350694444445</v>
      </c>
      <c r="AG103" s="12">
        <f t="shared" si="19"/>
        <v>45875</v>
      </c>
      <c r="AH103" s="24">
        <f t="shared" si="20"/>
        <v>0.35069444444525288</v>
      </c>
    </row>
    <row r="104" spans="1:34" ht="19.95" customHeight="1" x14ac:dyDescent="0.4">
      <c r="A104" s="2">
        <v>1257</v>
      </c>
      <c r="B104" s="16">
        <f>VLOOKUP(A104,[1]PLAN!$A$3:$BG$1149,18,)+VLOOKUP(A104,[1]PLAN!$A$3:$BG$1149,19,)</f>
        <v>45874.4375</v>
      </c>
      <c r="C104" s="22">
        <f t="shared" si="15"/>
        <v>45874</v>
      </c>
      <c r="D104" s="23">
        <f t="shared" si="16"/>
        <v>0.4375</v>
      </c>
      <c r="E104" s="14">
        <f>VLOOKUP(A104,[1]PLAN!$A$3:$BG$1149,54,)+VLOOKUP(A104,[1]PLAN!$A$3:$BG$1149,22,)</f>
        <v>45875.354166666664</v>
      </c>
      <c r="F104" s="12">
        <f t="shared" si="17"/>
        <v>45875</v>
      </c>
      <c r="G104" s="24">
        <f t="shared" si="18"/>
        <v>0.35416666666424135</v>
      </c>
      <c r="H104" s="14"/>
      <c r="I104" s="14"/>
      <c r="J104" s="29"/>
      <c r="K104" s="30"/>
      <c r="M104" s="17">
        <f>VLOOKUP($A104,[1]PLAN!$A$3:$BG$1149,23,)</f>
        <v>25.62</v>
      </c>
      <c r="N104" s="7">
        <f t="shared" si="24"/>
        <v>30.744</v>
      </c>
      <c r="O104" s="5">
        <f>VLOOKUP($A104,[1]PLAN!$A$3:$BG$1149,49,)</f>
        <v>4</v>
      </c>
      <c r="P104" s="3"/>
      <c r="Q104" s="5">
        <f>VLOOKUP($A104,[1]PLAN!$A$3:$BG$1149,24,)/1.2</f>
        <v>21.34</v>
      </c>
      <c r="R104" s="7">
        <f t="shared" si="25"/>
        <v>25.608000000000001</v>
      </c>
      <c r="S104" s="5">
        <f>VLOOKUP($A104,[1]PLAN!$A$3:$BG$1149,50,)</f>
        <v>4</v>
      </c>
      <c r="U104" s="10">
        <v>71.13</v>
      </c>
      <c r="V104" s="11">
        <f t="shared" si="26"/>
        <v>85.355999999999995</v>
      </c>
      <c r="W104" s="6">
        <v>4</v>
      </c>
      <c r="Y104" s="10">
        <v>70.489999999999995</v>
      </c>
      <c r="Z104" s="11">
        <f t="shared" si="27"/>
        <v>84.587999999999994</v>
      </c>
      <c r="AA104" s="6">
        <v>4</v>
      </c>
      <c r="AB104" s="1">
        <v>1.2</v>
      </c>
      <c r="AC104" s="21" t="str">
        <f t="shared" si="21"/>
        <v>22:00</v>
      </c>
      <c r="AD104" s="27" t="str">
        <f t="shared" si="14"/>
        <v/>
      </c>
      <c r="AE104" s="27" t="str">
        <f t="shared" si="22"/>
        <v/>
      </c>
      <c r="AF104" s="14">
        <f t="shared" si="23"/>
        <v>45875.354166666664</v>
      </c>
      <c r="AG104" s="12">
        <f t="shared" si="19"/>
        <v>45875</v>
      </c>
      <c r="AH104" s="24">
        <f t="shared" si="20"/>
        <v>0.35416666666424135</v>
      </c>
    </row>
    <row r="105" spans="1:34" ht="19.95" customHeight="1" x14ac:dyDescent="0.4">
      <c r="A105" s="2">
        <v>1258</v>
      </c>
      <c r="B105" s="16">
        <f>VLOOKUP(A105,[1]PLAN!$A$3:$BG$1149,18,)+VLOOKUP(A105,[1]PLAN!$A$3:$BG$1149,19,)</f>
        <v>45874.472222222219</v>
      </c>
      <c r="C105" s="22">
        <f t="shared" si="15"/>
        <v>45874</v>
      </c>
      <c r="D105" s="23">
        <f t="shared" si="16"/>
        <v>0.47222222221898846</v>
      </c>
      <c r="E105" s="14">
        <f>VLOOKUP(A105,[1]PLAN!$A$3:$BG$1149,54,)+VLOOKUP(A105,[1]PLAN!$A$3:$BG$1149,22,)</f>
        <v>45875.357638888891</v>
      </c>
      <c r="F105" s="12">
        <f t="shared" si="17"/>
        <v>45875</v>
      </c>
      <c r="G105" s="24">
        <f t="shared" si="18"/>
        <v>0.35763888889050577</v>
      </c>
      <c r="H105" s="14"/>
      <c r="I105" s="14"/>
      <c r="J105" s="29"/>
      <c r="K105" s="30"/>
      <c r="M105" s="17">
        <f>VLOOKUP($A105,[1]PLAN!$A$3:$BG$1149,23,)</f>
        <v>30.023999999999997</v>
      </c>
      <c r="N105" s="7">
        <f t="shared" si="24"/>
        <v>36.028799999999997</v>
      </c>
      <c r="O105" s="5">
        <f>VLOOKUP($A105,[1]PLAN!$A$3:$BG$1149,49,)</f>
        <v>4</v>
      </c>
      <c r="P105" s="3"/>
      <c r="Q105" s="5">
        <f>VLOOKUP($A105,[1]PLAN!$A$3:$BG$1149,24,)/1.2</f>
        <v>23.54</v>
      </c>
      <c r="R105" s="7">
        <f t="shared" si="25"/>
        <v>28.247999999999998</v>
      </c>
      <c r="S105" s="5">
        <f>VLOOKUP($A105,[1]PLAN!$A$3:$BG$1149,50,)</f>
        <v>4</v>
      </c>
      <c r="U105" s="10">
        <v>74.3</v>
      </c>
      <c r="V105" s="11">
        <f t="shared" si="26"/>
        <v>89.16</v>
      </c>
      <c r="W105" s="6">
        <v>4</v>
      </c>
      <c r="Y105" s="10">
        <v>73.25</v>
      </c>
      <c r="Z105" s="11">
        <f t="shared" si="27"/>
        <v>87.899999999999991</v>
      </c>
      <c r="AA105" s="6">
        <v>4</v>
      </c>
      <c r="AB105" s="1">
        <v>1.2</v>
      </c>
      <c r="AC105" s="21" t="str">
        <f t="shared" si="21"/>
        <v>21:15</v>
      </c>
      <c r="AD105" s="27" t="str">
        <f t="shared" si="14"/>
        <v/>
      </c>
      <c r="AE105" s="27" t="str">
        <f t="shared" si="22"/>
        <v/>
      </c>
      <c r="AF105" s="14">
        <f t="shared" si="23"/>
        <v>45875.357638888891</v>
      </c>
      <c r="AG105" s="12">
        <f t="shared" si="19"/>
        <v>45875</v>
      </c>
      <c r="AH105" s="24">
        <f t="shared" si="20"/>
        <v>0.35763888889050577</v>
      </c>
    </row>
    <row r="106" spans="1:34" ht="19.95" customHeight="1" x14ac:dyDescent="0.4">
      <c r="A106" s="2">
        <v>1259</v>
      </c>
      <c r="B106" s="16">
        <f>VLOOKUP(A106,[1]PLAN!$A$3:$BG$1149,18,)+VLOOKUP(A106,[1]PLAN!$A$3:$BG$1149,19,)</f>
        <v>45874.631944444445</v>
      </c>
      <c r="C106" s="22">
        <f t="shared" si="15"/>
        <v>45874</v>
      </c>
      <c r="D106" s="23">
        <f t="shared" si="16"/>
        <v>0.63194444444525288</v>
      </c>
      <c r="E106" s="14">
        <f>VLOOKUP(A106,[1]PLAN!$A$3:$BG$1149,54,)+VLOOKUP(A106,[1]PLAN!$A$3:$BG$1149,22,)</f>
        <v>45875.361111111109</v>
      </c>
      <c r="F106" s="12">
        <f t="shared" si="17"/>
        <v>45875</v>
      </c>
      <c r="G106" s="24">
        <f t="shared" si="18"/>
        <v>0.36111111110949423</v>
      </c>
      <c r="H106" s="14"/>
      <c r="I106" s="14"/>
      <c r="J106" s="29"/>
      <c r="K106" s="30"/>
      <c r="M106" s="17">
        <f>VLOOKUP($A106,[1]PLAN!$A$3:$BG$1149,23,)</f>
        <v>21.24</v>
      </c>
      <c r="N106" s="7">
        <f t="shared" si="24"/>
        <v>25.487999999999996</v>
      </c>
      <c r="O106" s="5">
        <f>VLOOKUP($A106,[1]PLAN!$A$3:$BG$1149,49,)</f>
        <v>4</v>
      </c>
      <c r="P106" s="3"/>
      <c r="Q106" s="5">
        <f>VLOOKUP($A106,[1]PLAN!$A$3:$BG$1149,24,)/1.2</f>
        <v>16.98</v>
      </c>
      <c r="R106" s="7">
        <f t="shared" si="25"/>
        <v>20.376000000000001</v>
      </c>
      <c r="S106" s="5">
        <f>VLOOKUP($A106,[1]PLAN!$A$3:$BG$1149,50,)</f>
        <v>4</v>
      </c>
      <c r="U106" s="10">
        <v>71.06</v>
      </c>
      <c r="V106" s="11">
        <f t="shared" si="26"/>
        <v>85.272000000000006</v>
      </c>
      <c r="W106" s="6">
        <v>4</v>
      </c>
      <c r="Y106" s="10">
        <v>70.84</v>
      </c>
      <c r="Z106" s="11">
        <f t="shared" si="27"/>
        <v>85.007999999999996</v>
      </c>
      <c r="AA106" s="6">
        <v>4</v>
      </c>
      <c r="AB106" s="1">
        <v>1.2</v>
      </c>
      <c r="AC106" s="21" t="str">
        <f t="shared" si="21"/>
        <v>17:30</v>
      </c>
      <c r="AD106" s="27" t="str">
        <f t="shared" ref="AD106:AD169" si="28">IF(H106="","",TEXT(H106-B106,"[hh]:mm"))</f>
        <v/>
      </c>
      <c r="AE106" s="27" t="str">
        <f t="shared" si="22"/>
        <v/>
      </c>
      <c r="AF106" s="14">
        <f t="shared" si="23"/>
        <v>45875.361111111109</v>
      </c>
      <c r="AG106" s="12">
        <f t="shared" si="19"/>
        <v>45875</v>
      </c>
      <c r="AH106" s="24">
        <f t="shared" si="20"/>
        <v>0.36111111110949423</v>
      </c>
    </row>
    <row r="107" spans="1:34" ht="19.95" customHeight="1" x14ac:dyDescent="0.4">
      <c r="A107" s="2">
        <v>1260</v>
      </c>
      <c r="B107" s="16">
        <f>VLOOKUP(A107,[1]PLAN!$A$3:$BG$1149,18,)+VLOOKUP(A107,[1]PLAN!$A$3:$BG$1149,19,)</f>
        <v>45876.565972222219</v>
      </c>
      <c r="C107" s="22">
        <f t="shared" si="15"/>
        <v>45876</v>
      </c>
      <c r="D107" s="23">
        <f t="shared" si="16"/>
        <v>0.56597222221898846</v>
      </c>
      <c r="E107" s="14">
        <f>VLOOKUP(A107,[1]PLAN!$A$3:$BG$1149,54,)+VLOOKUP(A107,[1]PLAN!$A$3:$BG$1149,22,)</f>
        <v>45877.3125</v>
      </c>
      <c r="F107" s="12">
        <f t="shared" si="17"/>
        <v>45877</v>
      </c>
      <c r="G107" s="24">
        <f t="shared" si="18"/>
        <v>0.3125</v>
      </c>
      <c r="H107" s="14"/>
      <c r="I107" s="14"/>
      <c r="J107" s="29"/>
      <c r="K107" s="30"/>
      <c r="M107" s="17">
        <f>VLOOKUP($A107,[1]PLAN!$A$3:$BG$1149,23,)</f>
        <v>29.783999999999999</v>
      </c>
      <c r="N107" s="7">
        <f t="shared" si="24"/>
        <v>35.7408</v>
      </c>
      <c r="O107" s="5">
        <f>VLOOKUP($A107,[1]PLAN!$A$3:$BG$1149,49,)</f>
        <v>4</v>
      </c>
      <c r="P107" s="3"/>
      <c r="Q107" s="5">
        <f>VLOOKUP($A107,[1]PLAN!$A$3:$BG$1149,24,)/1.2</f>
        <v>26.68</v>
      </c>
      <c r="R107" s="7">
        <f t="shared" si="25"/>
        <v>32.015999999999998</v>
      </c>
      <c r="S107" s="5">
        <f>VLOOKUP($A107,[1]PLAN!$A$3:$BG$1149,50,)</f>
        <v>4</v>
      </c>
      <c r="U107" s="10">
        <v>71.06</v>
      </c>
      <c r="V107" s="11">
        <f t="shared" si="26"/>
        <v>85.272000000000006</v>
      </c>
      <c r="W107" s="6">
        <v>4</v>
      </c>
      <c r="Y107" s="10">
        <v>70.47</v>
      </c>
      <c r="Z107" s="11">
        <f t="shared" si="27"/>
        <v>84.563999999999993</v>
      </c>
      <c r="AA107" s="6">
        <v>4</v>
      </c>
      <c r="AB107" s="1">
        <v>1.2</v>
      </c>
      <c r="AC107" s="21" t="str">
        <f t="shared" si="21"/>
        <v>17:55</v>
      </c>
      <c r="AD107" s="27" t="str">
        <f t="shared" si="28"/>
        <v/>
      </c>
      <c r="AE107" s="27" t="str">
        <f t="shared" si="22"/>
        <v/>
      </c>
      <c r="AF107" s="14">
        <f t="shared" si="23"/>
        <v>45877.3125</v>
      </c>
      <c r="AG107" s="12">
        <f t="shared" si="19"/>
        <v>45877</v>
      </c>
      <c r="AH107" s="24">
        <f t="shared" si="20"/>
        <v>0.3125</v>
      </c>
    </row>
    <row r="108" spans="1:34" ht="19.95" customHeight="1" x14ac:dyDescent="0.4">
      <c r="A108" s="2">
        <v>1261</v>
      </c>
      <c r="B108" s="16">
        <f>VLOOKUP(A108,[1]PLAN!$A$3:$BG$1149,18,)+VLOOKUP(A108,[1]PLAN!$A$3:$BG$1149,19,)</f>
        <v>45876.59375</v>
      </c>
      <c r="C108" s="22">
        <f t="shared" si="15"/>
        <v>45876</v>
      </c>
      <c r="D108" s="23">
        <f t="shared" si="16"/>
        <v>0.59375</v>
      </c>
      <c r="E108" s="14">
        <f>VLOOKUP(A108,[1]PLAN!$A$3:$BG$1149,54,)+VLOOKUP(A108,[1]PLAN!$A$3:$BG$1149,22,)</f>
        <v>45877.315972222219</v>
      </c>
      <c r="F108" s="12">
        <f t="shared" si="17"/>
        <v>45877</v>
      </c>
      <c r="G108" s="24">
        <f t="shared" si="18"/>
        <v>0.31597222221898846</v>
      </c>
      <c r="H108" s="14"/>
      <c r="I108" s="14"/>
      <c r="J108" s="29"/>
      <c r="K108" s="30"/>
      <c r="M108" s="17">
        <f>VLOOKUP($A108,[1]PLAN!$A$3:$BG$1149,23,)</f>
        <v>23.291999999999998</v>
      </c>
      <c r="N108" s="7">
        <f t="shared" si="24"/>
        <v>27.950399999999998</v>
      </c>
      <c r="O108" s="5">
        <f>VLOOKUP($A108,[1]PLAN!$A$3:$BG$1149,49,)</f>
        <v>4</v>
      </c>
      <c r="P108" s="3"/>
      <c r="Q108" s="5">
        <f>VLOOKUP($A108,[1]PLAN!$A$3:$BG$1149,24,)/1.2</f>
        <v>20.72</v>
      </c>
      <c r="R108" s="7">
        <f t="shared" si="25"/>
        <v>24.863999999999997</v>
      </c>
      <c r="S108" s="5">
        <f>VLOOKUP($A108,[1]PLAN!$A$3:$BG$1149,50,)</f>
        <v>4</v>
      </c>
      <c r="U108" s="10">
        <v>70.56</v>
      </c>
      <c r="V108" s="11">
        <f t="shared" si="26"/>
        <v>84.671999999999997</v>
      </c>
      <c r="W108" s="6">
        <v>4</v>
      </c>
      <c r="Y108" s="10">
        <v>70.12</v>
      </c>
      <c r="Z108" s="11">
        <f t="shared" si="27"/>
        <v>84.144000000000005</v>
      </c>
      <c r="AA108" s="6">
        <v>4</v>
      </c>
      <c r="AB108" s="1">
        <v>1.2</v>
      </c>
      <c r="AC108" s="21" t="str">
        <f t="shared" si="21"/>
        <v>17:20</v>
      </c>
      <c r="AD108" s="27" t="str">
        <f t="shared" si="28"/>
        <v/>
      </c>
      <c r="AE108" s="27" t="str">
        <f t="shared" si="22"/>
        <v/>
      </c>
      <c r="AF108" s="14">
        <f t="shared" si="23"/>
        <v>45877.315972222219</v>
      </c>
      <c r="AG108" s="12">
        <f t="shared" si="19"/>
        <v>45877</v>
      </c>
      <c r="AH108" s="24">
        <f t="shared" si="20"/>
        <v>0.31597222221898846</v>
      </c>
    </row>
    <row r="109" spans="1:34" ht="19.95" customHeight="1" x14ac:dyDescent="0.4">
      <c r="A109" s="2">
        <v>1262</v>
      </c>
      <c r="B109" s="16">
        <f>VLOOKUP(A109,[1]PLAN!$A$3:$BG$1149,18,)+VLOOKUP(A109,[1]PLAN!$A$3:$BG$1149,19,)</f>
        <v>45876.625</v>
      </c>
      <c r="C109" s="22">
        <f t="shared" si="15"/>
        <v>45876</v>
      </c>
      <c r="D109" s="23">
        <f t="shared" si="16"/>
        <v>0.625</v>
      </c>
      <c r="E109" s="14">
        <f>VLOOKUP(A109,[1]PLAN!$A$3:$BG$1149,54,)+VLOOKUP(A109,[1]PLAN!$A$3:$BG$1149,22,)</f>
        <v>45877.319444444445</v>
      </c>
      <c r="F109" s="12">
        <f t="shared" si="17"/>
        <v>45877</v>
      </c>
      <c r="G109" s="24">
        <f t="shared" si="18"/>
        <v>0.31944444444525288</v>
      </c>
      <c r="H109" s="14"/>
      <c r="I109" s="14"/>
      <c r="J109" s="29"/>
      <c r="K109" s="30"/>
      <c r="M109" s="17">
        <f>VLOOKUP($A109,[1]PLAN!$A$3:$BG$1149,23,)</f>
        <v>26.255999999999997</v>
      </c>
      <c r="N109" s="7">
        <f t="shared" si="24"/>
        <v>31.507199999999994</v>
      </c>
      <c r="O109" s="5">
        <f>VLOOKUP($A109,[1]PLAN!$A$3:$BG$1149,49,)</f>
        <v>4</v>
      </c>
      <c r="P109" s="3"/>
      <c r="Q109" s="5">
        <f>VLOOKUP($A109,[1]PLAN!$A$3:$BG$1149,24,)/1.2</f>
        <v>23.42</v>
      </c>
      <c r="R109" s="7">
        <f t="shared" si="25"/>
        <v>28.104000000000003</v>
      </c>
      <c r="S109" s="5">
        <f>VLOOKUP($A109,[1]PLAN!$A$3:$BG$1149,50,)</f>
        <v>4</v>
      </c>
      <c r="U109" s="10">
        <v>71.760000000000005</v>
      </c>
      <c r="V109" s="11">
        <f t="shared" si="26"/>
        <v>86.112000000000009</v>
      </c>
      <c r="W109" s="6">
        <v>4</v>
      </c>
      <c r="Y109" s="10">
        <v>70.95</v>
      </c>
      <c r="Z109" s="11">
        <f t="shared" si="27"/>
        <v>85.14</v>
      </c>
      <c r="AA109" s="6">
        <v>4</v>
      </c>
      <c r="AB109" s="1">
        <v>1.2</v>
      </c>
      <c r="AC109" s="21" t="str">
        <f t="shared" si="21"/>
        <v>16:40</v>
      </c>
      <c r="AD109" s="27" t="str">
        <f t="shared" si="28"/>
        <v/>
      </c>
      <c r="AE109" s="27" t="str">
        <f t="shared" si="22"/>
        <v/>
      </c>
      <c r="AF109" s="14">
        <f t="shared" si="23"/>
        <v>45877.319444444445</v>
      </c>
      <c r="AG109" s="12">
        <f t="shared" si="19"/>
        <v>45877</v>
      </c>
      <c r="AH109" s="24">
        <f t="shared" si="20"/>
        <v>0.31944444444525288</v>
      </c>
    </row>
    <row r="110" spans="1:34" ht="19.95" customHeight="1" x14ac:dyDescent="0.4">
      <c r="A110" s="2">
        <v>1263</v>
      </c>
      <c r="B110" s="16">
        <f>VLOOKUP(A110,[1]PLAN!$A$3:$BG$1149,18,)+VLOOKUP(A110,[1]PLAN!$A$3:$BG$1149,19,)</f>
        <v>45876.659722222219</v>
      </c>
      <c r="C110" s="22">
        <f t="shared" si="15"/>
        <v>45876</v>
      </c>
      <c r="D110" s="23">
        <f t="shared" si="16"/>
        <v>0.65972222221898846</v>
      </c>
      <c r="E110" s="14">
        <f>VLOOKUP(A110,[1]PLAN!$A$3:$BG$1149,54,)+VLOOKUP(A110,[1]PLAN!$A$3:$BG$1149,22,)</f>
        <v>45877.322916666664</v>
      </c>
      <c r="F110" s="12">
        <f t="shared" si="17"/>
        <v>45877</v>
      </c>
      <c r="G110" s="24">
        <f t="shared" si="18"/>
        <v>0.32291666666424135</v>
      </c>
      <c r="H110" s="14"/>
      <c r="I110" s="14"/>
      <c r="J110" s="29"/>
      <c r="K110" s="30"/>
      <c r="M110" s="17">
        <f>VLOOKUP($A110,[1]PLAN!$A$3:$BG$1149,23,)</f>
        <v>26.291999999999998</v>
      </c>
      <c r="N110" s="7">
        <f t="shared" si="24"/>
        <v>31.550399999999996</v>
      </c>
      <c r="O110" s="5">
        <f>VLOOKUP($A110,[1]PLAN!$A$3:$BG$1149,49,)</f>
        <v>4</v>
      </c>
      <c r="P110" s="3"/>
      <c r="Q110" s="5">
        <f>VLOOKUP($A110,[1]PLAN!$A$3:$BG$1149,24,)/1.2</f>
        <v>21.43</v>
      </c>
      <c r="R110" s="7">
        <f t="shared" si="25"/>
        <v>25.715999999999998</v>
      </c>
      <c r="S110" s="5">
        <f>VLOOKUP($A110,[1]PLAN!$A$3:$BG$1149,50,)</f>
        <v>4</v>
      </c>
      <c r="U110" s="10">
        <v>70.33</v>
      </c>
      <c r="V110" s="11">
        <f t="shared" si="26"/>
        <v>84.396000000000001</v>
      </c>
      <c r="W110" s="6">
        <v>4</v>
      </c>
      <c r="Y110" s="10">
        <v>70.12</v>
      </c>
      <c r="Z110" s="11">
        <f t="shared" si="27"/>
        <v>84.144000000000005</v>
      </c>
      <c r="AA110" s="6">
        <v>4</v>
      </c>
      <c r="AB110" s="1">
        <v>1.2</v>
      </c>
      <c r="AC110" s="21" t="str">
        <f t="shared" si="21"/>
        <v>15:55</v>
      </c>
      <c r="AD110" s="27" t="str">
        <f t="shared" si="28"/>
        <v/>
      </c>
      <c r="AE110" s="27" t="str">
        <f t="shared" si="22"/>
        <v/>
      </c>
      <c r="AF110" s="14">
        <f t="shared" si="23"/>
        <v>45877.322916666664</v>
      </c>
      <c r="AG110" s="12">
        <f t="shared" si="19"/>
        <v>45877</v>
      </c>
      <c r="AH110" s="24">
        <f t="shared" si="20"/>
        <v>0.32291666666424135</v>
      </c>
    </row>
    <row r="111" spans="1:34" ht="19.95" customHeight="1" x14ac:dyDescent="0.4">
      <c r="A111" s="2">
        <v>1264</v>
      </c>
      <c r="B111" s="16">
        <f>VLOOKUP(A111,[1]PLAN!$A$3:$BG$1149,18,)+VLOOKUP(A111,[1]PLAN!$A$3:$BG$1149,19,)</f>
        <v>45877.5625</v>
      </c>
      <c r="C111" s="22">
        <f t="shared" si="15"/>
        <v>45877</v>
      </c>
      <c r="D111" s="23">
        <f t="shared" si="16"/>
        <v>0.5625</v>
      </c>
      <c r="E111" s="14">
        <f>VLOOKUP(A111,[1]PLAN!$A$3:$BG$1149,54,)+VLOOKUP(A111,[1]PLAN!$A$3:$BG$1149,22,)</f>
        <v>45878.416666666664</v>
      </c>
      <c r="F111" s="12">
        <f t="shared" si="17"/>
        <v>45878</v>
      </c>
      <c r="G111" s="24">
        <f t="shared" si="18"/>
        <v>0.41666666666424135</v>
      </c>
      <c r="H111" s="14"/>
      <c r="I111" s="14"/>
      <c r="J111" s="29"/>
      <c r="K111" s="30"/>
      <c r="M111" s="17">
        <f>VLOOKUP($A111,[1]PLAN!$A$3:$BG$1149,23,)</f>
        <v>36.948</v>
      </c>
      <c r="N111" s="7">
        <f t="shared" si="24"/>
        <v>44.337600000000002</v>
      </c>
      <c r="O111" s="5">
        <f>VLOOKUP($A111,[1]PLAN!$A$3:$BG$1149,49,)</f>
        <v>4</v>
      </c>
      <c r="P111" s="3"/>
      <c r="Q111" s="5">
        <f>VLOOKUP($A111,[1]PLAN!$A$3:$BG$1149,24,)/1.2</f>
        <v>30.999999999999996</v>
      </c>
      <c r="R111" s="7">
        <f t="shared" si="25"/>
        <v>37.199999999999996</v>
      </c>
      <c r="S111" s="5">
        <f>VLOOKUP($A111,[1]PLAN!$A$3:$BG$1149,50,)</f>
        <v>4</v>
      </c>
      <c r="U111" s="10">
        <v>73.650000000000006</v>
      </c>
      <c r="V111" s="11">
        <f t="shared" si="26"/>
        <v>88.38000000000001</v>
      </c>
      <c r="W111" s="6">
        <v>4</v>
      </c>
      <c r="Y111" s="10">
        <v>72.63</v>
      </c>
      <c r="Z111" s="11">
        <f t="shared" si="27"/>
        <v>87.155999999999992</v>
      </c>
      <c r="AA111" s="6">
        <v>4</v>
      </c>
      <c r="AB111" s="1">
        <v>1.2</v>
      </c>
      <c r="AC111" s="21" t="str">
        <f t="shared" si="21"/>
        <v>20:30</v>
      </c>
      <c r="AD111" s="27" t="str">
        <f t="shared" si="28"/>
        <v/>
      </c>
      <c r="AE111" s="27" t="str">
        <f t="shared" si="22"/>
        <v/>
      </c>
      <c r="AF111" s="14">
        <f t="shared" si="23"/>
        <v>45878.416666666664</v>
      </c>
      <c r="AG111" s="12">
        <f t="shared" si="19"/>
        <v>45878</v>
      </c>
      <c r="AH111" s="24">
        <f t="shared" si="20"/>
        <v>0.41666666666424135</v>
      </c>
    </row>
    <row r="112" spans="1:34" ht="19.95" customHeight="1" x14ac:dyDescent="0.4">
      <c r="A112" s="2">
        <v>1265</v>
      </c>
      <c r="B112" s="16">
        <f>VLOOKUP(A112,[1]PLAN!$A$3:$BG$1149,18,)+VLOOKUP(A112,[1]PLAN!$A$3:$BG$1149,19,)</f>
        <v>45877.583333333336</v>
      </c>
      <c r="C112" s="22">
        <f t="shared" si="15"/>
        <v>45877</v>
      </c>
      <c r="D112" s="23">
        <f t="shared" si="16"/>
        <v>0.58333333333575865</v>
      </c>
      <c r="E112" s="14">
        <f>VLOOKUP(A112,[1]PLAN!$A$3:$BG$1149,54,)+VLOOKUP(A112,[1]PLAN!$A$3:$BG$1149,22,)</f>
        <v>45878.423611111109</v>
      </c>
      <c r="F112" s="12">
        <f t="shared" si="17"/>
        <v>45878</v>
      </c>
      <c r="G112" s="24">
        <f t="shared" si="18"/>
        <v>0.42361111110949423</v>
      </c>
      <c r="H112" s="14"/>
      <c r="I112" s="14"/>
      <c r="J112" s="29"/>
      <c r="K112" s="30"/>
      <c r="M112" s="17">
        <f>VLOOKUP($A112,[1]PLAN!$A$3:$BG$1149,23,)</f>
        <v>30.612000000000002</v>
      </c>
      <c r="N112" s="7">
        <f t="shared" si="24"/>
        <v>36.734400000000001</v>
      </c>
      <c r="O112" s="5">
        <f>VLOOKUP($A112,[1]PLAN!$A$3:$BG$1149,49,)</f>
        <v>4</v>
      </c>
      <c r="P112" s="3"/>
      <c r="Q112" s="5">
        <f>VLOOKUP($A112,[1]PLAN!$A$3:$BG$1149,24,)/1.2</f>
        <v>26.51</v>
      </c>
      <c r="R112" s="7">
        <f t="shared" si="25"/>
        <v>31.812000000000001</v>
      </c>
      <c r="S112" s="5">
        <f>VLOOKUP($A112,[1]PLAN!$A$3:$BG$1149,50,)</f>
        <v>4</v>
      </c>
      <c r="U112" s="10">
        <v>70.81</v>
      </c>
      <c r="V112" s="11">
        <f t="shared" si="26"/>
        <v>84.971999999999994</v>
      </c>
      <c r="W112" s="6">
        <v>4</v>
      </c>
      <c r="Y112" s="10">
        <v>70.59</v>
      </c>
      <c r="Z112" s="11">
        <f t="shared" si="27"/>
        <v>84.707999999999998</v>
      </c>
      <c r="AA112" s="6">
        <v>4</v>
      </c>
      <c r="AB112" s="1">
        <v>1.2</v>
      </c>
      <c r="AC112" s="21" t="str">
        <f t="shared" si="21"/>
        <v>20:10</v>
      </c>
      <c r="AD112" s="27" t="str">
        <f t="shared" si="28"/>
        <v/>
      </c>
      <c r="AE112" s="27" t="str">
        <f t="shared" si="22"/>
        <v/>
      </c>
      <c r="AF112" s="14">
        <f t="shared" si="23"/>
        <v>45878.423611111109</v>
      </c>
      <c r="AG112" s="12">
        <f t="shared" si="19"/>
        <v>45878</v>
      </c>
      <c r="AH112" s="24">
        <f t="shared" si="20"/>
        <v>0.42361111110949423</v>
      </c>
    </row>
    <row r="113" spans="1:34" ht="19.95" customHeight="1" x14ac:dyDescent="0.4">
      <c r="A113" s="2">
        <v>1266</v>
      </c>
      <c r="B113" s="16">
        <f>VLOOKUP(A113,[1]PLAN!$A$3:$BG$1149,18,)+VLOOKUP(A113,[1]PLAN!$A$3:$BG$1149,19,)</f>
        <v>45877.625</v>
      </c>
      <c r="C113" s="22">
        <f t="shared" si="15"/>
        <v>45877</v>
      </c>
      <c r="D113" s="23">
        <f t="shared" si="16"/>
        <v>0.625</v>
      </c>
      <c r="E113" s="14">
        <f>VLOOKUP(A113,[1]PLAN!$A$3:$BG$1149,54,)+VLOOKUP(A113,[1]PLAN!$A$3:$BG$1149,22,)</f>
        <v>45878.427083333336</v>
      </c>
      <c r="F113" s="12">
        <f t="shared" si="17"/>
        <v>45878</v>
      </c>
      <c r="G113" s="24">
        <f t="shared" si="18"/>
        <v>0.42708333333575865</v>
      </c>
      <c r="H113" s="14"/>
      <c r="I113" s="14"/>
      <c r="J113" s="29"/>
      <c r="K113" s="30"/>
      <c r="L113" s="19"/>
      <c r="M113" s="17">
        <f>VLOOKUP($A113,[1]PLAN!$A$3:$BG$1149,23,)</f>
        <v>31.763999999999996</v>
      </c>
      <c r="N113" s="7">
        <f t="shared" si="24"/>
        <v>38.116799999999991</v>
      </c>
      <c r="O113" s="5">
        <f>VLOOKUP($A113,[1]PLAN!$A$3:$BG$1149,49,)</f>
        <v>4</v>
      </c>
      <c r="P113" s="3"/>
      <c r="Q113" s="5">
        <f>VLOOKUP($A113,[1]PLAN!$A$3:$BG$1149,24,)/1.2</f>
        <v>27.05</v>
      </c>
      <c r="R113" s="7">
        <f t="shared" si="25"/>
        <v>32.46</v>
      </c>
      <c r="S113" s="5">
        <f>VLOOKUP($A113,[1]PLAN!$A$3:$BG$1149,50,)</f>
        <v>4</v>
      </c>
      <c r="U113" s="10">
        <v>71.180000000000007</v>
      </c>
      <c r="V113" s="11">
        <f t="shared" si="26"/>
        <v>85.416000000000011</v>
      </c>
      <c r="W113" s="6">
        <v>4</v>
      </c>
      <c r="Y113" s="10">
        <v>70.569999999999993</v>
      </c>
      <c r="Z113" s="11">
        <f t="shared" si="27"/>
        <v>84.683999999999983</v>
      </c>
      <c r="AA113" s="6">
        <v>4</v>
      </c>
      <c r="AB113" s="1">
        <v>1.2</v>
      </c>
      <c r="AC113" s="21" t="str">
        <f t="shared" si="21"/>
        <v>19:15</v>
      </c>
      <c r="AD113" s="27" t="str">
        <f t="shared" si="28"/>
        <v/>
      </c>
      <c r="AE113" s="27" t="str">
        <f t="shared" si="22"/>
        <v/>
      </c>
      <c r="AF113" s="14">
        <f t="shared" si="23"/>
        <v>45878.427083333336</v>
      </c>
      <c r="AG113" s="12">
        <f t="shared" si="19"/>
        <v>45878</v>
      </c>
      <c r="AH113" s="24">
        <f t="shared" si="20"/>
        <v>0.42708333333575865</v>
      </c>
    </row>
    <row r="114" spans="1:34" ht="19.95" customHeight="1" x14ac:dyDescent="0.4">
      <c r="A114" s="2">
        <v>1267</v>
      </c>
      <c r="B114" s="16">
        <f>VLOOKUP(A114,[1]PLAN!$A$3:$BG$1149,18,)+VLOOKUP(A114,[1]PLAN!$A$3:$BG$1149,19,)</f>
        <v>45877.666666666664</v>
      </c>
      <c r="C114" s="22">
        <f t="shared" si="15"/>
        <v>45877</v>
      </c>
      <c r="D114" s="23">
        <f t="shared" si="16"/>
        <v>0.66666666666424135</v>
      </c>
      <c r="E114" s="14">
        <f>VLOOKUP(A114,[1]PLAN!$A$3:$BG$1149,54,)+VLOOKUP(A114,[1]PLAN!$A$3:$BG$1149,22,)</f>
        <v>45878.430555555555</v>
      </c>
      <c r="F114" s="12">
        <f t="shared" si="17"/>
        <v>45878</v>
      </c>
      <c r="G114" s="24">
        <f t="shared" si="18"/>
        <v>0.43055555555474712</v>
      </c>
      <c r="H114" s="14"/>
      <c r="I114" s="14"/>
      <c r="J114" s="29"/>
      <c r="K114" s="30"/>
      <c r="M114" s="17">
        <f>VLOOKUP($A114,[1]PLAN!$A$3:$BG$1149,23,)</f>
        <v>35.915999999999997</v>
      </c>
      <c r="N114" s="7">
        <f t="shared" si="24"/>
        <v>43.099199999999996</v>
      </c>
      <c r="O114" s="5">
        <f>VLOOKUP($A114,[1]PLAN!$A$3:$BG$1149,49,)</f>
        <v>4</v>
      </c>
      <c r="P114" s="3"/>
      <c r="Q114" s="5">
        <f>VLOOKUP($A114,[1]PLAN!$A$3:$BG$1149,24,)/1.2</f>
        <v>27.379999999999995</v>
      </c>
      <c r="R114" s="7">
        <f t="shared" si="25"/>
        <v>32.855999999999995</v>
      </c>
      <c r="S114" s="5">
        <f>VLOOKUP($A114,[1]PLAN!$A$3:$BG$1149,50,)</f>
        <v>4</v>
      </c>
      <c r="U114" s="10">
        <v>72.14</v>
      </c>
      <c r="V114" s="11">
        <f t="shared" si="26"/>
        <v>86.567999999999998</v>
      </c>
      <c r="W114" s="6">
        <v>4</v>
      </c>
      <c r="Y114" s="10">
        <v>71.98</v>
      </c>
      <c r="Z114" s="11">
        <f t="shared" si="27"/>
        <v>86.376000000000005</v>
      </c>
      <c r="AA114" s="6">
        <v>4</v>
      </c>
      <c r="AB114" s="1">
        <v>1.2</v>
      </c>
      <c r="AC114" s="21" t="str">
        <f t="shared" si="21"/>
        <v>18:20</v>
      </c>
      <c r="AD114" s="27" t="str">
        <f t="shared" si="28"/>
        <v/>
      </c>
      <c r="AE114" s="27" t="str">
        <f t="shared" si="22"/>
        <v/>
      </c>
      <c r="AF114" s="14">
        <f t="shared" si="23"/>
        <v>45878.430555555555</v>
      </c>
      <c r="AG114" s="12">
        <f t="shared" si="19"/>
        <v>45878</v>
      </c>
      <c r="AH114" s="24">
        <f t="shared" si="20"/>
        <v>0.43055555555474712</v>
      </c>
    </row>
    <row r="115" spans="1:34" ht="19.95" customHeight="1" x14ac:dyDescent="0.4">
      <c r="A115" s="2">
        <v>1268</v>
      </c>
      <c r="B115" s="16">
        <f>VLOOKUP(A115,[1]PLAN!$A$3:$BG$1149,18,)+VLOOKUP(A115,[1]PLAN!$A$3:$BG$1149,19,)</f>
        <v>45878.572916666664</v>
      </c>
      <c r="C115" s="22">
        <f t="shared" si="15"/>
        <v>45878</v>
      </c>
      <c r="D115" s="23">
        <f t="shared" si="16"/>
        <v>0.57291666666424135</v>
      </c>
      <c r="E115" s="14">
        <f>VLOOKUP(A115,[1]PLAN!$A$3:$BG$1149,54,)+VLOOKUP(A115,[1]PLAN!$A$3:$BG$1149,22,)</f>
        <v>45880.326388888891</v>
      </c>
      <c r="F115" s="12">
        <f t="shared" si="17"/>
        <v>45880</v>
      </c>
      <c r="G115" s="24">
        <f t="shared" si="18"/>
        <v>0.32638888889050577</v>
      </c>
      <c r="H115" s="14"/>
      <c r="I115" s="14"/>
      <c r="J115" s="29"/>
      <c r="K115" s="30"/>
      <c r="M115" s="17">
        <f>VLOOKUP($A115,[1]PLAN!$A$3:$BG$1149,23,)</f>
        <v>51.959999999999994</v>
      </c>
      <c r="N115" s="7">
        <f t="shared" si="24"/>
        <v>62.35199999999999</v>
      </c>
      <c r="O115" s="5">
        <f>VLOOKUP($A115,[1]PLAN!$A$3:$BG$1149,49,)</f>
        <v>4</v>
      </c>
      <c r="P115" s="3"/>
      <c r="Q115" s="5">
        <f>VLOOKUP($A115,[1]PLAN!$A$3:$BG$1149,24,)/1.2</f>
        <v>44.02</v>
      </c>
      <c r="R115" s="7">
        <f t="shared" si="25"/>
        <v>52.824000000000005</v>
      </c>
      <c r="S115" s="5">
        <f>VLOOKUP($A115,[1]PLAN!$A$3:$BG$1149,50,)</f>
        <v>4</v>
      </c>
      <c r="U115" s="10">
        <v>71.27</v>
      </c>
      <c r="V115" s="11">
        <f t="shared" si="26"/>
        <v>85.523999999999987</v>
      </c>
      <c r="W115" s="6">
        <v>4</v>
      </c>
      <c r="Y115" s="10">
        <v>70.52</v>
      </c>
      <c r="Z115" s="11">
        <f t="shared" si="27"/>
        <v>84.623999999999995</v>
      </c>
      <c r="AA115" s="6">
        <v>4</v>
      </c>
      <c r="AB115" s="1">
        <v>1.2</v>
      </c>
      <c r="AC115" s="21" t="str">
        <f t="shared" si="21"/>
        <v>42:05</v>
      </c>
      <c r="AD115" s="27" t="str">
        <f t="shared" si="28"/>
        <v/>
      </c>
      <c r="AE115" s="27" t="str">
        <f t="shared" si="22"/>
        <v/>
      </c>
      <c r="AF115" s="14">
        <f t="shared" si="23"/>
        <v>45880.326388888891</v>
      </c>
      <c r="AG115" s="12">
        <f t="shared" si="19"/>
        <v>45880</v>
      </c>
      <c r="AH115" s="24">
        <f t="shared" si="20"/>
        <v>0.32638888889050577</v>
      </c>
    </row>
    <row r="116" spans="1:34" ht="19.95" customHeight="1" x14ac:dyDescent="0.4">
      <c r="A116" s="2">
        <v>1269</v>
      </c>
      <c r="B116" s="16">
        <f>VLOOKUP(A116,[1]PLAN!$A$3:$BG$1149,18,)+VLOOKUP(A116,[1]PLAN!$A$3:$BG$1149,19,)</f>
        <v>45878.597222222219</v>
      </c>
      <c r="C116" s="22">
        <f t="shared" si="15"/>
        <v>45878</v>
      </c>
      <c r="D116" s="23">
        <f t="shared" si="16"/>
        <v>0.59722222221898846</v>
      </c>
      <c r="E116" s="14">
        <f>VLOOKUP(A116,[1]PLAN!$A$3:$BG$1149,54,)+VLOOKUP(A116,[1]PLAN!$A$3:$BG$1149,22,)</f>
        <v>45880.329861111109</v>
      </c>
      <c r="F116" s="12">
        <f t="shared" si="17"/>
        <v>45880</v>
      </c>
      <c r="G116" s="24">
        <f t="shared" si="18"/>
        <v>0.32986111110949423</v>
      </c>
      <c r="H116" s="14"/>
      <c r="I116" s="14"/>
      <c r="J116" s="29"/>
      <c r="K116" s="30"/>
      <c r="M116" s="17">
        <f>VLOOKUP($A116,[1]PLAN!$A$3:$BG$1149,23,)</f>
        <v>39.155999999999999</v>
      </c>
      <c r="N116" s="7">
        <f t="shared" si="24"/>
        <v>46.987199999999994</v>
      </c>
      <c r="O116" s="5">
        <f>VLOOKUP($A116,[1]PLAN!$A$3:$BG$1149,49,)</f>
        <v>4</v>
      </c>
      <c r="P116" s="3"/>
      <c r="Q116" s="5">
        <f>VLOOKUP($A116,[1]PLAN!$A$3:$BG$1149,24,)/1.2</f>
        <v>32.729999999999997</v>
      </c>
      <c r="R116" s="7">
        <f t="shared" si="25"/>
        <v>39.275999999999996</v>
      </c>
      <c r="S116" s="5">
        <f>VLOOKUP($A116,[1]PLAN!$A$3:$BG$1149,50,)</f>
        <v>4</v>
      </c>
      <c r="U116" s="10">
        <v>70.59</v>
      </c>
      <c r="V116" s="11">
        <f t="shared" si="26"/>
        <v>84.707999999999998</v>
      </c>
      <c r="W116" s="6">
        <v>4</v>
      </c>
      <c r="Y116" s="10">
        <v>69.94</v>
      </c>
      <c r="Z116" s="11">
        <f t="shared" si="27"/>
        <v>83.927999999999997</v>
      </c>
      <c r="AA116" s="6">
        <v>4</v>
      </c>
      <c r="AB116" s="1">
        <v>1.2</v>
      </c>
      <c r="AC116" s="21" t="str">
        <f t="shared" si="21"/>
        <v>41:35</v>
      </c>
      <c r="AD116" s="27" t="str">
        <f t="shared" si="28"/>
        <v/>
      </c>
      <c r="AE116" s="27" t="str">
        <f t="shared" si="22"/>
        <v/>
      </c>
      <c r="AF116" s="14">
        <f t="shared" si="23"/>
        <v>45880.329861111109</v>
      </c>
      <c r="AG116" s="12">
        <f t="shared" si="19"/>
        <v>45880</v>
      </c>
      <c r="AH116" s="24">
        <f t="shared" si="20"/>
        <v>0.32986111110949423</v>
      </c>
    </row>
    <row r="117" spans="1:34" ht="19.95" customHeight="1" x14ac:dyDescent="0.4">
      <c r="A117" s="2">
        <v>1270</v>
      </c>
      <c r="B117" s="16">
        <f>VLOOKUP(A117,[1]PLAN!$A$3:$BG$1149,18,)+VLOOKUP(A117,[1]PLAN!$A$3:$BG$1149,19,)</f>
        <v>45878.631944444445</v>
      </c>
      <c r="C117" s="22">
        <f t="shared" si="15"/>
        <v>45878</v>
      </c>
      <c r="D117" s="23">
        <f t="shared" si="16"/>
        <v>0.63194444444525288</v>
      </c>
      <c r="E117" s="14">
        <f>VLOOKUP(A117,[1]PLAN!$A$3:$BG$1149,54,)+VLOOKUP(A117,[1]PLAN!$A$3:$BG$1149,22,)</f>
        <v>45880.333333333336</v>
      </c>
      <c r="F117" s="12">
        <f t="shared" si="17"/>
        <v>45880</v>
      </c>
      <c r="G117" s="24">
        <f t="shared" si="18"/>
        <v>0.33333333333575865</v>
      </c>
      <c r="H117" s="14"/>
      <c r="I117" s="14"/>
      <c r="J117" s="29"/>
      <c r="K117" s="30"/>
      <c r="M117" s="17">
        <f>VLOOKUP($A117,[1]PLAN!$A$3:$BG$1149,23,)</f>
        <v>38.472000000000001</v>
      </c>
      <c r="N117" s="7">
        <f t="shared" si="24"/>
        <v>46.166400000000003</v>
      </c>
      <c r="O117" s="5">
        <f>VLOOKUP($A117,[1]PLAN!$A$3:$BG$1149,49,)</f>
        <v>4</v>
      </c>
      <c r="P117" s="3"/>
      <c r="Q117" s="5">
        <f>VLOOKUP($A117,[1]PLAN!$A$3:$BG$1149,24,)/1.2</f>
        <v>30.62</v>
      </c>
      <c r="R117" s="7">
        <f t="shared" si="25"/>
        <v>36.744</v>
      </c>
      <c r="S117" s="5">
        <f>VLOOKUP($A117,[1]PLAN!$A$3:$BG$1149,50,)</f>
        <v>4</v>
      </c>
      <c r="U117" s="10">
        <v>75.489999999999995</v>
      </c>
      <c r="V117" s="11">
        <f t="shared" si="26"/>
        <v>90.587999999999994</v>
      </c>
      <c r="W117" s="6">
        <v>4</v>
      </c>
      <c r="Y117" s="10">
        <v>74.59</v>
      </c>
      <c r="Z117" s="11">
        <f t="shared" si="27"/>
        <v>89.507999999999996</v>
      </c>
      <c r="AA117" s="6">
        <v>4</v>
      </c>
      <c r="AB117" s="1">
        <v>1.2</v>
      </c>
      <c r="AC117" s="21" t="str">
        <f t="shared" si="21"/>
        <v>40:50</v>
      </c>
      <c r="AD117" s="27" t="str">
        <f t="shared" si="28"/>
        <v/>
      </c>
      <c r="AE117" s="27" t="str">
        <f t="shared" si="22"/>
        <v/>
      </c>
      <c r="AF117" s="14">
        <f t="shared" si="23"/>
        <v>45880.333333333336</v>
      </c>
      <c r="AG117" s="12">
        <f t="shared" si="19"/>
        <v>45880</v>
      </c>
      <c r="AH117" s="24">
        <f t="shared" si="20"/>
        <v>0.33333333333575865</v>
      </c>
    </row>
    <row r="118" spans="1:34" ht="19.95" customHeight="1" x14ac:dyDescent="0.4">
      <c r="A118" s="2">
        <v>1271</v>
      </c>
      <c r="B118" s="16">
        <f>VLOOKUP($A118,[1]PLAN!$A$3:$BG$1149,18,)+VLOOKUP($A118,[1]PLAN!$A$3:$BG$1149,19,)</f>
        <v>45878.659722222219</v>
      </c>
      <c r="C118" s="22">
        <f t="shared" si="15"/>
        <v>45878</v>
      </c>
      <c r="D118" s="23">
        <f t="shared" si="16"/>
        <v>0.65972222221898846</v>
      </c>
      <c r="E118" s="14">
        <f>VLOOKUP(A118,[1]PLAN!$A$3:$BG$1149,54,)+VLOOKUP(A118,[1]PLAN!$A$3:$BG$1149,22,)</f>
        <v>45880.336805555555</v>
      </c>
      <c r="F118" s="12">
        <f t="shared" si="17"/>
        <v>45880</v>
      </c>
      <c r="G118" s="24">
        <f t="shared" si="18"/>
        <v>0.33680555555474712</v>
      </c>
      <c r="H118" s="14"/>
      <c r="I118" s="14"/>
      <c r="J118" s="29"/>
      <c r="K118" s="30"/>
      <c r="M118" s="17">
        <f>VLOOKUP($A118,[1]PLAN!$A$3:$BG$1149,23,)/1.2</f>
        <v>30.09</v>
      </c>
      <c r="N118" s="7">
        <f t="shared" si="24"/>
        <v>36.107999999999997</v>
      </c>
      <c r="O118" s="5">
        <f>VLOOKUP($A118,[1]PLAN!$A$3:$BG$1149,49,)</f>
        <v>4</v>
      </c>
      <c r="P118" s="3"/>
      <c r="Q118" s="5">
        <f>VLOOKUP($A118,[1]PLAN!$A$3:$BG$1149,24,)/1.2</f>
        <v>31.18</v>
      </c>
      <c r="R118" s="7">
        <f t="shared" si="25"/>
        <v>37.415999999999997</v>
      </c>
      <c r="S118" s="5">
        <f>VLOOKUP($A118,[1]PLAN!$A$3:$BG$1149,50,)</f>
        <v>4</v>
      </c>
      <c r="U118" s="10">
        <v>70.25</v>
      </c>
      <c r="V118" s="11">
        <f t="shared" si="26"/>
        <v>84.3</v>
      </c>
      <c r="W118" s="6">
        <v>4</v>
      </c>
      <c r="Y118" s="10">
        <v>70.349999999999994</v>
      </c>
      <c r="Z118" s="11">
        <f t="shared" si="27"/>
        <v>84.419999999999987</v>
      </c>
      <c r="AA118" s="6">
        <v>4</v>
      </c>
      <c r="AB118" s="1">
        <v>1.2</v>
      </c>
      <c r="AC118" s="21" t="str">
        <f t="shared" si="21"/>
        <v>40:15</v>
      </c>
      <c r="AD118" s="27" t="str">
        <f t="shared" si="28"/>
        <v/>
      </c>
      <c r="AE118" s="27" t="str">
        <f t="shared" si="22"/>
        <v/>
      </c>
      <c r="AF118" s="14">
        <f t="shared" si="23"/>
        <v>45880.336805555555</v>
      </c>
      <c r="AG118" s="12">
        <f t="shared" si="19"/>
        <v>45880</v>
      </c>
      <c r="AH118" s="24">
        <f t="shared" si="20"/>
        <v>0.33680555555474712</v>
      </c>
    </row>
    <row r="119" spans="1:34" ht="19.95" customHeight="1" x14ac:dyDescent="0.4">
      <c r="A119" s="2">
        <v>1272</v>
      </c>
      <c r="B119" s="16">
        <f>VLOOKUP(A119,[1]PLAN!$A$3:$BG$1149,18,)+VLOOKUP(A119,[1]PLAN!$A$3:$BG$1149,19,)</f>
        <v>45881.548611111109</v>
      </c>
      <c r="C119" s="22">
        <f t="shared" si="15"/>
        <v>45881</v>
      </c>
      <c r="D119" s="23">
        <f t="shared" si="16"/>
        <v>0.54861111110949423</v>
      </c>
      <c r="E119" s="14">
        <f>VLOOKUP(A119,[1]PLAN!$A$3:$BG$1149,54,)+VLOOKUP(A119,[1]PLAN!$A$3:$BG$1149,22,)</f>
        <v>45882.541666666664</v>
      </c>
      <c r="F119" s="12">
        <f t="shared" si="17"/>
        <v>45882</v>
      </c>
      <c r="G119" s="24">
        <f t="shared" si="18"/>
        <v>0.54166666666424135</v>
      </c>
      <c r="H119" s="14"/>
      <c r="I119" s="14"/>
      <c r="J119" s="29"/>
      <c r="K119" s="30"/>
      <c r="M119" s="17">
        <v>22.28</v>
      </c>
      <c r="N119" s="11">
        <f t="shared" si="24"/>
        <v>26.736000000000001</v>
      </c>
      <c r="O119" s="5">
        <v>4</v>
      </c>
      <c r="P119" s="3"/>
      <c r="Q119" s="5">
        <v>21.18</v>
      </c>
      <c r="R119" s="7">
        <f t="shared" si="25"/>
        <v>25.416</v>
      </c>
      <c r="S119" s="5">
        <v>4</v>
      </c>
      <c r="U119" s="10">
        <v>70.56</v>
      </c>
      <c r="V119" s="11">
        <f t="shared" si="26"/>
        <v>84.671999999999997</v>
      </c>
      <c r="W119" s="6">
        <v>4</v>
      </c>
      <c r="Y119" s="10">
        <v>70.540000000000006</v>
      </c>
      <c r="Z119" s="11">
        <f t="shared" si="27"/>
        <v>84.64800000000001</v>
      </c>
      <c r="AA119" s="6">
        <v>4</v>
      </c>
      <c r="AB119" s="1">
        <v>1.2</v>
      </c>
      <c r="AC119" s="21" t="str">
        <f t="shared" si="21"/>
        <v>23:50</v>
      </c>
      <c r="AD119" s="27" t="str">
        <f t="shared" si="28"/>
        <v/>
      </c>
      <c r="AE119" s="27" t="str">
        <f t="shared" si="22"/>
        <v/>
      </c>
      <c r="AF119" s="14">
        <f t="shared" si="23"/>
        <v>45882.541666666664</v>
      </c>
      <c r="AG119" s="12">
        <f t="shared" si="19"/>
        <v>45882</v>
      </c>
      <c r="AH119" s="24">
        <f t="shared" si="20"/>
        <v>0.54166666666424135</v>
      </c>
    </row>
    <row r="120" spans="1:34" ht="19.95" customHeight="1" x14ac:dyDescent="0.4">
      <c r="A120" s="2">
        <v>1273</v>
      </c>
      <c r="B120" s="16">
        <f>VLOOKUP(A120,[1]PLAN!$A$3:$BG$1149,18,)+VLOOKUP(A120,[1]PLAN!$A$3:$BG$1149,19,)</f>
        <v>45881.590277777781</v>
      </c>
      <c r="C120" s="22">
        <f t="shared" si="15"/>
        <v>45881</v>
      </c>
      <c r="D120" s="23">
        <f t="shared" si="16"/>
        <v>0.59027777778101154</v>
      </c>
      <c r="E120" s="14">
        <f>VLOOKUP(A120,[1]PLAN!$A$3:$BG$1149,54,)+VLOOKUP(A120,[1]PLAN!$A$3:$BG$1149,22,)</f>
        <v>45882.545138888891</v>
      </c>
      <c r="F120" s="12">
        <f t="shared" si="17"/>
        <v>45882</v>
      </c>
      <c r="G120" s="24">
        <f t="shared" si="18"/>
        <v>0.54513888889050577</v>
      </c>
      <c r="H120" s="14"/>
      <c r="I120" s="14"/>
      <c r="J120" s="29"/>
      <c r="K120" s="30"/>
      <c r="M120" s="17">
        <v>20.420000000000002</v>
      </c>
      <c r="N120" s="7">
        <f t="shared" si="24"/>
        <v>24.504000000000001</v>
      </c>
      <c r="O120" s="5">
        <v>4</v>
      </c>
      <c r="P120" s="3"/>
      <c r="Q120" s="5">
        <v>20.04</v>
      </c>
      <c r="R120" s="7">
        <f t="shared" si="25"/>
        <v>24.047999999999998</v>
      </c>
      <c r="S120" s="5">
        <v>4</v>
      </c>
      <c r="U120" s="10">
        <v>71.73</v>
      </c>
      <c r="V120" s="11">
        <f t="shared" si="26"/>
        <v>86.076000000000008</v>
      </c>
      <c r="W120" s="6">
        <v>4</v>
      </c>
      <c r="Y120" s="10">
        <v>70.95</v>
      </c>
      <c r="Z120" s="11">
        <f t="shared" si="27"/>
        <v>85.14</v>
      </c>
      <c r="AA120" s="6">
        <v>4</v>
      </c>
      <c r="AB120" s="1">
        <v>1.2</v>
      </c>
      <c r="AC120" s="21" t="str">
        <f t="shared" si="21"/>
        <v>22:55</v>
      </c>
      <c r="AD120" s="27" t="str">
        <f t="shared" si="28"/>
        <v/>
      </c>
      <c r="AE120" s="27" t="str">
        <f t="shared" si="22"/>
        <v/>
      </c>
      <c r="AF120" s="14">
        <f t="shared" si="23"/>
        <v>45882.545138888891</v>
      </c>
      <c r="AG120" s="12">
        <f t="shared" si="19"/>
        <v>45882</v>
      </c>
      <c r="AH120" s="24">
        <f t="shared" si="20"/>
        <v>0.54513888889050577</v>
      </c>
    </row>
    <row r="121" spans="1:34" ht="19.95" customHeight="1" x14ac:dyDescent="0.4">
      <c r="A121" s="2">
        <v>1274</v>
      </c>
      <c r="B121" s="16">
        <f>VLOOKUP(A121,[1]PLAN!$A$3:$BG$1149,18,)+VLOOKUP(A121,[1]PLAN!$A$3:$BG$1149,19,)</f>
        <v>45881.645833333336</v>
      </c>
      <c r="C121" s="22">
        <f t="shared" si="15"/>
        <v>45881</v>
      </c>
      <c r="D121" s="23">
        <f t="shared" si="16"/>
        <v>0.64583333333575865</v>
      </c>
      <c r="E121" s="14">
        <f>VLOOKUP(A121,[1]PLAN!$A$3:$BG$1149,54,)+VLOOKUP(A121,[1]PLAN!$A$3:$BG$1149,22,)</f>
        <v>45882.548611111109</v>
      </c>
      <c r="F121" s="12">
        <f t="shared" si="17"/>
        <v>45882</v>
      </c>
      <c r="G121" s="24">
        <f t="shared" si="18"/>
        <v>0.54861111110949423</v>
      </c>
      <c r="H121" s="14"/>
      <c r="I121" s="14"/>
      <c r="J121" s="29"/>
      <c r="K121" s="30"/>
      <c r="M121" s="17">
        <v>22.89</v>
      </c>
      <c r="N121" s="7">
        <f t="shared" si="24"/>
        <v>27.468</v>
      </c>
      <c r="O121" s="5">
        <v>4</v>
      </c>
      <c r="P121" s="3"/>
      <c r="Q121" s="5">
        <v>23.08</v>
      </c>
      <c r="R121" s="7">
        <f t="shared" si="25"/>
        <v>27.695999999999998</v>
      </c>
      <c r="S121" s="5">
        <v>4</v>
      </c>
      <c r="U121" s="10">
        <v>70.94</v>
      </c>
      <c r="V121" s="11">
        <f t="shared" si="26"/>
        <v>85.128</v>
      </c>
      <c r="W121" s="6">
        <v>4</v>
      </c>
      <c r="Y121" s="10">
        <v>70.23</v>
      </c>
      <c r="Z121" s="11">
        <f t="shared" si="27"/>
        <v>84.275999999999996</v>
      </c>
      <c r="AA121" s="6">
        <v>4</v>
      </c>
      <c r="AB121" s="1">
        <v>1.2</v>
      </c>
      <c r="AC121" s="21" t="str">
        <f t="shared" si="21"/>
        <v>21:40</v>
      </c>
      <c r="AD121" s="27" t="str">
        <f t="shared" si="28"/>
        <v/>
      </c>
      <c r="AE121" s="27" t="str">
        <f t="shared" si="22"/>
        <v/>
      </c>
      <c r="AF121" s="14">
        <f t="shared" si="23"/>
        <v>45882.548611111109</v>
      </c>
      <c r="AG121" s="12">
        <f t="shared" si="19"/>
        <v>45882</v>
      </c>
      <c r="AH121" s="24">
        <f t="shared" si="20"/>
        <v>0.54861111110949423</v>
      </c>
    </row>
    <row r="122" spans="1:34" ht="19.95" customHeight="1" x14ac:dyDescent="0.4">
      <c r="A122" s="2">
        <v>1275</v>
      </c>
      <c r="B122" s="16">
        <f>VLOOKUP(A122,[1]PLAN!$A$3:$BG$1149,18,)+VLOOKUP(A122,[1]PLAN!$A$3:$BG$1149,19,)</f>
        <v>45881.6875</v>
      </c>
      <c r="C122" s="22">
        <f t="shared" si="15"/>
        <v>45881</v>
      </c>
      <c r="D122" s="23">
        <f t="shared" si="16"/>
        <v>0.6875</v>
      </c>
      <c r="E122" s="14">
        <f>VLOOKUP(A122,[1]PLAN!$A$3:$BG$1149,54,)+VLOOKUP(A122,[1]PLAN!$A$3:$BG$1149,22,)</f>
        <v>45882.552083333336</v>
      </c>
      <c r="F122" s="12">
        <f t="shared" si="17"/>
        <v>45882</v>
      </c>
      <c r="G122" s="24">
        <f t="shared" si="18"/>
        <v>0.55208333333575865</v>
      </c>
      <c r="H122" s="14"/>
      <c r="I122" s="14"/>
      <c r="J122" s="29"/>
      <c r="K122" s="30"/>
      <c r="M122" s="17">
        <v>22.63</v>
      </c>
      <c r="N122" s="7">
        <f t="shared" si="24"/>
        <v>27.155999999999999</v>
      </c>
      <c r="O122" s="5">
        <v>4</v>
      </c>
      <c r="P122" s="3"/>
      <c r="Q122" s="5">
        <v>21.98</v>
      </c>
      <c r="R122" s="7">
        <f t="shared" si="25"/>
        <v>26.376000000000001</v>
      </c>
      <c r="S122" s="5">
        <v>3</v>
      </c>
      <c r="U122" s="10">
        <v>70.95</v>
      </c>
      <c r="V122" s="11">
        <f t="shared" si="26"/>
        <v>85.14</v>
      </c>
      <c r="W122" s="6">
        <v>4</v>
      </c>
      <c r="Y122" s="10">
        <v>70.58</v>
      </c>
      <c r="Z122" s="11">
        <f t="shared" si="27"/>
        <v>84.695999999999998</v>
      </c>
      <c r="AA122" s="6">
        <v>4</v>
      </c>
      <c r="AB122" s="1">
        <v>1.2</v>
      </c>
      <c r="AC122" s="21" t="str">
        <f t="shared" si="21"/>
        <v>20:45</v>
      </c>
      <c r="AD122" s="27" t="str">
        <f t="shared" si="28"/>
        <v/>
      </c>
      <c r="AE122" s="27" t="str">
        <f t="shared" si="22"/>
        <v/>
      </c>
      <c r="AF122" s="14">
        <f t="shared" si="23"/>
        <v>45882.552083333336</v>
      </c>
      <c r="AG122" s="12">
        <f t="shared" si="19"/>
        <v>45882</v>
      </c>
      <c r="AH122" s="24">
        <f t="shared" si="20"/>
        <v>0.55208333333575865</v>
      </c>
    </row>
    <row r="123" spans="1:34" ht="19.95" customHeight="1" x14ac:dyDescent="0.4">
      <c r="A123" s="2">
        <v>1276</v>
      </c>
      <c r="B123" s="16">
        <f>VLOOKUP(A123,[1]PLAN!$A$3:$BG$1149,18,)+VLOOKUP(A123,[1]PLAN!$A$3:$BG$1149,19,)</f>
        <v>45883.548611111109</v>
      </c>
      <c r="C123" s="22">
        <f t="shared" si="15"/>
        <v>45883</v>
      </c>
      <c r="D123" s="23">
        <f t="shared" si="16"/>
        <v>0.54861111110949423</v>
      </c>
      <c r="E123" s="14">
        <f>VLOOKUP(A123,[1]PLAN!$A$3:$BG$1149,54,)+VLOOKUP(A123,[1]PLAN!$A$3:$BG$1149,22,)</f>
        <v>45884.326388888891</v>
      </c>
      <c r="F123" s="12">
        <f t="shared" si="17"/>
        <v>45884</v>
      </c>
      <c r="G123" s="24">
        <f t="shared" si="18"/>
        <v>0.32638888889050577</v>
      </c>
      <c r="H123" s="14"/>
      <c r="I123" s="14"/>
      <c r="J123" s="29"/>
      <c r="K123" s="30"/>
      <c r="M123" s="17">
        <v>20.93</v>
      </c>
      <c r="N123" s="7">
        <f t="shared" si="24"/>
        <v>25.116</v>
      </c>
      <c r="O123" s="5">
        <v>4</v>
      </c>
      <c r="P123" s="3"/>
      <c r="Q123" s="5">
        <v>21.19</v>
      </c>
      <c r="R123" s="7">
        <f t="shared" si="25"/>
        <v>25.428000000000001</v>
      </c>
      <c r="S123" s="5">
        <v>4</v>
      </c>
      <c r="U123" s="10">
        <v>69.989999999999995</v>
      </c>
      <c r="V123" s="11">
        <f t="shared" si="26"/>
        <v>83.987999999999985</v>
      </c>
      <c r="W123" s="6">
        <v>4</v>
      </c>
      <c r="Y123" s="10">
        <v>70.25</v>
      </c>
      <c r="Z123" s="11">
        <f t="shared" si="27"/>
        <v>84.3</v>
      </c>
      <c r="AA123" s="6">
        <v>4</v>
      </c>
      <c r="AB123" s="1">
        <v>1.2</v>
      </c>
      <c r="AC123" s="21" t="str">
        <f t="shared" si="21"/>
        <v>18:40</v>
      </c>
      <c r="AD123" s="27" t="str">
        <f t="shared" si="28"/>
        <v/>
      </c>
      <c r="AE123" s="27" t="str">
        <f t="shared" si="22"/>
        <v/>
      </c>
      <c r="AF123" s="14">
        <f t="shared" si="23"/>
        <v>45884.326388888891</v>
      </c>
      <c r="AG123" s="12">
        <f t="shared" si="19"/>
        <v>45884</v>
      </c>
      <c r="AH123" s="24">
        <f t="shared" si="20"/>
        <v>0.32638888889050577</v>
      </c>
    </row>
    <row r="124" spans="1:34" ht="19.95" customHeight="1" x14ac:dyDescent="0.4">
      <c r="A124" s="2">
        <v>1277</v>
      </c>
      <c r="B124" s="16">
        <f>VLOOKUP(A124,[1]PLAN!$A$3:$BG$1149,18,)+VLOOKUP(A124,[1]PLAN!$A$3:$BG$1149,19,)</f>
        <v>45883.583333333336</v>
      </c>
      <c r="C124" s="22">
        <f t="shared" si="15"/>
        <v>45883</v>
      </c>
      <c r="D124" s="23">
        <f t="shared" si="16"/>
        <v>0.58333333333575865</v>
      </c>
      <c r="E124" s="14">
        <f>VLOOKUP(A124,[1]PLAN!$A$3:$BG$1149,54,)+VLOOKUP(A124,[1]PLAN!$A$3:$BG$1149,22,)</f>
        <v>45884.329861111109</v>
      </c>
      <c r="F124" s="12">
        <f t="shared" si="17"/>
        <v>45884</v>
      </c>
      <c r="G124" s="24">
        <f t="shared" si="18"/>
        <v>0.32986111110949423</v>
      </c>
      <c r="H124" s="14"/>
      <c r="I124" s="14"/>
      <c r="J124" s="29"/>
      <c r="K124" s="30"/>
      <c r="M124" s="17">
        <v>21.25</v>
      </c>
      <c r="N124" s="7">
        <f t="shared" si="24"/>
        <v>25.5</v>
      </c>
      <c r="O124" s="5">
        <v>4</v>
      </c>
      <c r="P124" s="3"/>
      <c r="Q124" s="5">
        <v>20.5</v>
      </c>
      <c r="R124" s="7">
        <f t="shared" si="25"/>
        <v>24.599999999999998</v>
      </c>
      <c r="S124" s="5">
        <v>4</v>
      </c>
      <c r="U124" s="10">
        <v>60.3</v>
      </c>
      <c r="V124" s="11">
        <f t="shared" si="26"/>
        <v>72.36</v>
      </c>
      <c r="W124" s="6">
        <v>4</v>
      </c>
      <c r="Y124" s="10">
        <v>61.32</v>
      </c>
      <c r="Z124" s="11">
        <f t="shared" si="27"/>
        <v>73.584000000000003</v>
      </c>
      <c r="AA124" s="6">
        <v>4</v>
      </c>
      <c r="AB124" s="1">
        <v>1.2</v>
      </c>
      <c r="AC124" s="21" t="str">
        <f t="shared" si="21"/>
        <v>17:55</v>
      </c>
      <c r="AD124" s="27" t="str">
        <f t="shared" si="28"/>
        <v/>
      </c>
      <c r="AE124" s="27" t="str">
        <f t="shared" si="22"/>
        <v/>
      </c>
      <c r="AF124" s="14">
        <f t="shared" si="23"/>
        <v>45884.329861111109</v>
      </c>
      <c r="AG124" s="12">
        <f t="shared" si="19"/>
        <v>45884</v>
      </c>
      <c r="AH124" s="24">
        <f t="shared" si="20"/>
        <v>0.32986111110949423</v>
      </c>
    </row>
    <row r="125" spans="1:34" ht="19.95" customHeight="1" x14ac:dyDescent="0.4">
      <c r="A125" s="2">
        <v>1278</v>
      </c>
      <c r="B125" s="16">
        <f>VLOOKUP(A125,[1]PLAN!$A$3:$BG$1149,18,)+VLOOKUP(A125,[1]PLAN!$A$3:$BG$1149,19,)</f>
        <v>45883.583333333336</v>
      </c>
      <c r="C125" s="22">
        <f t="shared" si="15"/>
        <v>45883</v>
      </c>
      <c r="D125" s="23">
        <f t="shared" si="16"/>
        <v>0.58333333333575865</v>
      </c>
      <c r="E125" s="14">
        <f>VLOOKUP(A125,[1]PLAN!$A$3:$BG$1149,54,)+VLOOKUP(A125,[1]PLAN!$A$3:$BG$1149,22,)</f>
        <v>45884.333333333336</v>
      </c>
      <c r="F125" s="12">
        <f t="shared" si="17"/>
        <v>45884</v>
      </c>
      <c r="G125" s="24">
        <f t="shared" si="18"/>
        <v>0.33333333333575865</v>
      </c>
      <c r="H125" s="14"/>
      <c r="I125" s="14"/>
      <c r="J125" s="29"/>
      <c r="K125" s="30"/>
      <c r="M125" s="17">
        <v>21.22</v>
      </c>
      <c r="N125" s="7">
        <f t="shared" si="24"/>
        <v>25.463999999999999</v>
      </c>
      <c r="O125" s="5">
        <v>4</v>
      </c>
      <c r="P125" s="3"/>
      <c r="Q125" s="5">
        <v>23.37</v>
      </c>
      <c r="R125" s="7">
        <f t="shared" si="25"/>
        <v>28.044</v>
      </c>
      <c r="S125" s="5">
        <v>4</v>
      </c>
      <c r="U125" s="10">
        <v>69.86</v>
      </c>
      <c r="V125" s="11">
        <f t="shared" si="26"/>
        <v>83.831999999999994</v>
      </c>
      <c r="W125" s="6">
        <v>4</v>
      </c>
      <c r="Y125" s="10">
        <v>68.319999999999993</v>
      </c>
      <c r="Z125" s="11">
        <f t="shared" si="27"/>
        <v>81.983999999999995</v>
      </c>
      <c r="AA125" s="6">
        <v>4</v>
      </c>
      <c r="AB125" s="1">
        <v>1.2</v>
      </c>
      <c r="AC125" s="21" t="str">
        <f t="shared" si="21"/>
        <v>18:00</v>
      </c>
      <c r="AD125" s="27" t="str">
        <f t="shared" si="28"/>
        <v/>
      </c>
      <c r="AE125" s="27" t="str">
        <f t="shared" si="22"/>
        <v/>
      </c>
      <c r="AF125" s="14">
        <f t="shared" si="23"/>
        <v>45884.333333333336</v>
      </c>
      <c r="AG125" s="12">
        <f t="shared" si="19"/>
        <v>45884</v>
      </c>
      <c r="AH125" s="24">
        <f t="shared" si="20"/>
        <v>0.33333333333575865</v>
      </c>
    </row>
    <row r="126" spans="1:34" ht="19.95" customHeight="1" x14ac:dyDescent="0.4">
      <c r="A126" s="2">
        <v>1279</v>
      </c>
      <c r="B126" s="16">
        <f>VLOOKUP(A126,[1]PLAN!$A$3:$BG$1149,18,)+VLOOKUP(A126,[1]PLAN!$A$3:$BG$1149,19,)</f>
        <v>45883.635416666664</v>
      </c>
      <c r="C126" s="22">
        <f t="shared" si="15"/>
        <v>45883</v>
      </c>
      <c r="D126" s="23">
        <f t="shared" si="16"/>
        <v>0.63541666666424135</v>
      </c>
      <c r="E126" s="14">
        <f>VLOOKUP(A126,[1]PLAN!$A$3:$BG$1149,54,)+VLOOKUP(A126,[1]PLAN!$A$3:$BG$1149,22,)</f>
        <v>45884.336805555555</v>
      </c>
      <c r="F126" s="12">
        <f t="shared" si="17"/>
        <v>45884</v>
      </c>
      <c r="G126" s="24">
        <f t="shared" si="18"/>
        <v>0.33680555555474712</v>
      </c>
      <c r="H126" s="14"/>
      <c r="I126" s="14"/>
      <c r="J126" s="29"/>
      <c r="K126" s="30"/>
      <c r="M126" s="17">
        <v>21.7</v>
      </c>
      <c r="N126" s="7">
        <f t="shared" si="24"/>
        <v>26.04</v>
      </c>
      <c r="O126" s="5">
        <v>4</v>
      </c>
      <c r="P126" s="3"/>
      <c r="Q126" s="5">
        <v>20</v>
      </c>
      <c r="R126" s="7">
        <f t="shared" si="25"/>
        <v>24</v>
      </c>
      <c r="S126" s="5">
        <v>4</v>
      </c>
      <c r="U126" s="10">
        <v>68.83</v>
      </c>
      <c r="V126" s="11">
        <f t="shared" si="26"/>
        <v>82.595999999999989</v>
      </c>
      <c r="W126" s="6">
        <v>4</v>
      </c>
      <c r="Y126" s="10">
        <v>67.989999999999995</v>
      </c>
      <c r="Z126" s="11">
        <f t="shared" si="27"/>
        <v>81.587999999999994</v>
      </c>
      <c r="AA126" s="6">
        <v>4</v>
      </c>
      <c r="AB126" s="1">
        <v>1.2</v>
      </c>
      <c r="AC126" s="21" t="str">
        <f t="shared" si="21"/>
        <v>16:50</v>
      </c>
      <c r="AD126" s="27" t="str">
        <f t="shared" si="28"/>
        <v/>
      </c>
      <c r="AE126" s="27" t="str">
        <f t="shared" si="22"/>
        <v/>
      </c>
      <c r="AF126" s="14">
        <f t="shared" si="23"/>
        <v>45884.336805555555</v>
      </c>
      <c r="AG126" s="12">
        <f t="shared" si="19"/>
        <v>45884</v>
      </c>
      <c r="AH126" s="24">
        <f t="shared" si="20"/>
        <v>0.33680555555474712</v>
      </c>
    </row>
    <row r="127" spans="1:34" ht="19.95" customHeight="1" x14ac:dyDescent="0.4">
      <c r="A127" s="2">
        <v>1280</v>
      </c>
      <c r="B127" s="16">
        <f>VLOOKUP(A127,[1]PLAN!$A$3:$BG$1149,18,)+VLOOKUP(A127,[1]PLAN!$A$3:$BG$1149,19,)</f>
        <v>45884.548611111109</v>
      </c>
      <c r="C127" s="22">
        <f t="shared" si="15"/>
        <v>45884</v>
      </c>
      <c r="D127" s="23">
        <f t="shared" si="16"/>
        <v>0.54861111110949423</v>
      </c>
      <c r="E127" s="14">
        <f>VLOOKUP(A127,[1]PLAN!$A$3:$BG$1149,54,)+VLOOKUP(A127,[1]PLAN!$A$3:$BG$1149,22,)</f>
        <v>45885.354166666664</v>
      </c>
      <c r="F127" s="12">
        <f t="shared" si="17"/>
        <v>45885</v>
      </c>
      <c r="G127" s="24">
        <f t="shared" si="18"/>
        <v>0.35416666666424135</v>
      </c>
      <c r="H127" s="14"/>
      <c r="I127" s="14"/>
      <c r="J127" s="29"/>
      <c r="K127" s="30"/>
      <c r="M127" s="17">
        <v>31.71</v>
      </c>
      <c r="N127" s="7">
        <f t="shared" si="24"/>
        <v>38.052</v>
      </c>
      <c r="O127" s="5">
        <v>3</v>
      </c>
      <c r="P127" s="3"/>
      <c r="Q127" s="5">
        <v>29.74</v>
      </c>
      <c r="R127" s="7">
        <f t="shared" si="25"/>
        <v>35.687999999999995</v>
      </c>
      <c r="S127" s="5">
        <v>3</v>
      </c>
      <c r="U127" s="10">
        <v>70.87</v>
      </c>
      <c r="V127" s="11">
        <f t="shared" si="26"/>
        <v>85.043999999999997</v>
      </c>
      <c r="W127" s="6">
        <v>4</v>
      </c>
      <c r="Y127" s="10">
        <v>71.23</v>
      </c>
      <c r="Z127" s="11">
        <f t="shared" si="27"/>
        <v>85.475999999999999</v>
      </c>
      <c r="AA127" s="6">
        <v>4</v>
      </c>
      <c r="AB127" s="1">
        <v>1.2</v>
      </c>
      <c r="AC127" s="21" t="str">
        <f t="shared" si="21"/>
        <v>19:20</v>
      </c>
      <c r="AD127" s="27" t="str">
        <f t="shared" si="28"/>
        <v/>
      </c>
      <c r="AE127" s="27" t="str">
        <f t="shared" si="22"/>
        <v/>
      </c>
      <c r="AF127" s="14">
        <f t="shared" si="23"/>
        <v>45885.354166666664</v>
      </c>
      <c r="AG127" s="12">
        <f t="shared" si="19"/>
        <v>45885</v>
      </c>
      <c r="AH127" s="24">
        <f t="shared" si="20"/>
        <v>0.35416666666424135</v>
      </c>
    </row>
    <row r="128" spans="1:34" ht="19.95" customHeight="1" x14ac:dyDescent="0.4">
      <c r="A128" s="2">
        <v>1281</v>
      </c>
      <c r="B128" s="16">
        <f>VLOOKUP(A128,[1]PLAN!$A$3:$BG$1149,18,)+VLOOKUP(A128,[1]PLAN!$A$3:$BG$1149,19,)</f>
        <v>45884.583333333336</v>
      </c>
      <c r="C128" s="22">
        <f t="shared" si="15"/>
        <v>45884</v>
      </c>
      <c r="D128" s="23">
        <f t="shared" si="16"/>
        <v>0.58333333333575865</v>
      </c>
      <c r="E128" s="14">
        <f>VLOOKUP(A128,[1]PLAN!$A$3:$BG$1149,54,)+VLOOKUP(A128,[1]PLAN!$A$3:$BG$1149,22,)</f>
        <v>45885.357638888891</v>
      </c>
      <c r="F128" s="12">
        <f t="shared" si="17"/>
        <v>45885</v>
      </c>
      <c r="G128" s="24">
        <f t="shared" si="18"/>
        <v>0.35763888889050577</v>
      </c>
      <c r="H128" s="14"/>
      <c r="I128" s="14"/>
      <c r="J128" s="29"/>
      <c r="K128" s="30"/>
      <c r="M128" s="17">
        <v>26.59</v>
      </c>
      <c r="N128" s="7">
        <f t="shared" si="24"/>
        <v>31.907999999999998</v>
      </c>
      <c r="O128" s="5">
        <v>4</v>
      </c>
      <c r="P128" s="3"/>
      <c r="Q128" s="5">
        <v>25.74</v>
      </c>
      <c r="R128" s="7">
        <f t="shared" si="25"/>
        <v>30.887999999999998</v>
      </c>
      <c r="S128" s="5">
        <v>4</v>
      </c>
      <c r="U128" s="10">
        <v>70.3</v>
      </c>
      <c r="V128" s="11">
        <f t="shared" si="26"/>
        <v>84.36</v>
      </c>
      <c r="W128" s="6">
        <v>4</v>
      </c>
      <c r="Y128" s="10">
        <v>70.25</v>
      </c>
      <c r="Z128" s="11">
        <f t="shared" si="27"/>
        <v>84.3</v>
      </c>
      <c r="AA128" s="6">
        <v>4</v>
      </c>
      <c r="AB128" s="1">
        <v>1.2</v>
      </c>
      <c r="AC128" s="21" t="str">
        <f t="shared" si="21"/>
        <v>18:35</v>
      </c>
      <c r="AD128" s="27" t="str">
        <f t="shared" si="28"/>
        <v/>
      </c>
      <c r="AE128" s="27" t="str">
        <f t="shared" si="22"/>
        <v/>
      </c>
      <c r="AF128" s="14">
        <f t="shared" si="23"/>
        <v>45885.357638888891</v>
      </c>
      <c r="AG128" s="12">
        <f t="shared" si="19"/>
        <v>45885</v>
      </c>
      <c r="AH128" s="24">
        <f t="shared" si="20"/>
        <v>0.35763888889050577</v>
      </c>
    </row>
    <row r="129" spans="1:34" ht="19.95" customHeight="1" x14ac:dyDescent="0.4">
      <c r="A129" s="2">
        <v>1282</v>
      </c>
      <c r="B129" s="16">
        <f>VLOOKUP(A129,[1]PLAN!$A$3:$BG$1149,18,)+VLOOKUP(A129,[1]PLAN!$A$3:$BG$1149,19,)</f>
        <v>45884.631944444445</v>
      </c>
      <c r="C129" s="22">
        <f t="shared" si="15"/>
        <v>45884</v>
      </c>
      <c r="D129" s="23">
        <f t="shared" si="16"/>
        <v>0.63194444444525288</v>
      </c>
      <c r="E129" s="14">
        <f>VLOOKUP(A129,[1]PLAN!$A$3:$BG$1149,54,)+VLOOKUP(A129,[1]PLAN!$A$3:$BG$1149,22,)</f>
        <v>45885.361111111109</v>
      </c>
      <c r="F129" s="12">
        <f t="shared" si="17"/>
        <v>45885</v>
      </c>
      <c r="G129" s="24">
        <f t="shared" si="18"/>
        <v>0.36111111110949423</v>
      </c>
      <c r="H129" s="14"/>
      <c r="I129" s="14"/>
      <c r="J129" s="29"/>
      <c r="K129" s="30"/>
      <c r="M129" s="17">
        <v>23.19</v>
      </c>
      <c r="N129" s="7">
        <f t="shared" si="24"/>
        <v>27.827999999999999</v>
      </c>
      <c r="O129" s="5">
        <v>4</v>
      </c>
      <c r="P129" s="3"/>
      <c r="Q129" s="5">
        <v>23.61</v>
      </c>
      <c r="R129" s="7">
        <f t="shared" si="25"/>
        <v>28.331999999999997</v>
      </c>
      <c r="S129" s="5">
        <v>4</v>
      </c>
      <c r="U129" s="10">
        <v>70.91</v>
      </c>
      <c r="V129" s="11">
        <f t="shared" si="26"/>
        <v>85.091999999999999</v>
      </c>
      <c r="W129" s="6">
        <v>4</v>
      </c>
      <c r="Y129" s="10">
        <v>70.680000000000007</v>
      </c>
      <c r="Z129" s="11">
        <f t="shared" si="27"/>
        <v>84.816000000000003</v>
      </c>
      <c r="AA129" s="6">
        <v>4</v>
      </c>
      <c r="AB129" s="1">
        <v>1.2</v>
      </c>
      <c r="AC129" s="21" t="str">
        <f t="shared" si="21"/>
        <v>17:30</v>
      </c>
      <c r="AD129" s="27" t="str">
        <f t="shared" si="28"/>
        <v/>
      </c>
      <c r="AE129" s="27" t="str">
        <f t="shared" si="22"/>
        <v/>
      </c>
      <c r="AF129" s="14">
        <f t="shared" si="23"/>
        <v>45885.361111111109</v>
      </c>
      <c r="AG129" s="12">
        <f t="shared" si="19"/>
        <v>45885</v>
      </c>
      <c r="AH129" s="24">
        <f t="shared" si="20"/>
        <v>0.36111111110949423</v>
      </c>
    </row>
    <row r="130" spans="1:34" ht="19.95" customHeight="1" x14ac:dyDescent="0.4">
      <c r="A130" s="2">
        <v>1283</v>
      </c>
      <c r="B130" s="16">
        <f>VLOOKUP(A130,[1]PLAN!$A$3:$BG$1149,18,)+VLOOKUP(A130,[1]PLAN!$A$3:$BG$1149,19,)</f>
        <v>45884.645833333336</v>
      </c>
      <c r="C130" s="22">
        <f t="shared" si="15"/>
        <v>45884</v>
      </c>
      <c r="D130" s="23">
        <f t="shared" si="16"/>
        <v>0.64583333333575865</v>
      </c>
      <c r="E130" s="14">
        <f>VLOOKUP(A130,[1]PLAN!$A$3:$BG$1149,54,)+VLOOKUP(A130,[1]PLAN!$A$3:$BG$1149,22,)</f>
        <v>45885.364583333336</v>
      </c>
      <c r="F130" s="12">
        <f t="shared" si="17"/>
        <v>45885</v>
      </c>
      <c r="G130" s="24">
        <f t="shared" si="18"/>
        <v>0.36458333333575865</v>
      </c>
      <c r="H130" s="14"/>
      <c r="I130" s="14"/>
      <c r="J130" s="29"/>
      <c r="K130" s="30"/>
      <c r="M130" s="17">
        <v>24.21</v>
      </c>
      <c r="N130" s="7">
        <f t="shared" si="24"/>
        <v>29.052</v>
      </c>
      <c r="O130" s="5">
        <v>4</v>
      </c>
      <c r="P130" s="3"/>
      <c r="Q130" s="5">
        <v>24.46</v>
      </c>
      <c r="R130" s="7">
        <f t="shared" si="25"/>
        <v>29.352</v>
      </c>
      <c r="S130" s="5">
        <v>4</v>
      </c>
      <c r="U130" s="10">
        <v>70.25</v>
      </c>
      <c r="V130" s="11">
        <f t="shared" si="26"/>
        <v>84.3</v>
      </c>
      <c r="W130" s="6">
        <v>3</v>
      </c>
      <c r="Y130" s="10">
        <v>70.290000000000006</v>
      </c>
      <c r="Z130" s="11">
        <f t="shared" si="27"/>
        <v>84.347999999999999</v>
      </c>
      <c r="AA130" s="6">
        <v>4</v>
      </c>
      <c r="AB130" s="1">
        <v>1.2</v>
      </c>
      <c r="AC130" s="21" t="str">
        <f t="shared" si="21"/>
        <v>17:15</v>
      </c>
      <c r="AD130" s="27" t="str">
        <f t="shared" si="28"/>
        <v/>
      </c>
      <c r="AE130" s="27" t="str">
        <f t="shared" si="22"/>
        <v/>
      </c>
      <c r="AF130" s="14">
        <f t="shared" si="23"/>
        <v>45885.364583333336</v>
      </c>
      <c r="AG130" s="12">
        <f t="shared" si="19"/>
        <v>45885</v>
      </c>
      <c r="AH130" s="24">
        <f t="shared" si="20"/>
        <v>0.36458333333575865</v>
      </c>
    </row>
    <row r="131" spans="1:34" ht="19.95" customHeight="1" x14ac:dyDescent="0.4">
      <c r="A131" s="2">
        <v>1284</v>
      </c>
      <c r="B131" s="16">
        <f>VLOOKUP(A131,[1]PLAN!$A$3:$BG$1149,18,)+VLOOKUP(A131,[1]PLAN!$A$3:$BG$1149,19,)</f>
        <v>45885.555555555555</v>
      </c>
      <c r="C131" s="22">
        <f t="shared" si="15"/>
        <v>45885</v>
      </c>
      <c r="D131" s="23">
        <f t="shared" si="16"/>
        <v>0.55555555555474712</v>
      </c>
      <c r="E131" s="14">
        <f>VLOOKUP(A131,[1]PLAN!$A$3:$BG$1149,54,)+VLOOKUP(A131,[1]PLAN!$A$3:$BG$1149,22,)</f>
        <v>45887.555555555555</v>
      </c>
      <c r="F131" s="12">
        <f t="shared" si="17"/>
        <v>45887</v>
      </c>
      <c r="G131" s="24">
        <f t="shared" si="18"/>
        <v>0.55555555555474712</v>
      </c>
      <c r="H131" s="14"/>
      <c r="I131" s="14"/>
      <c r="J131" s="29"/>
      <c r="K131" s="30"/>
      <c r="M131" s="17">
        <v>39.81</v>
      </c>
      <c r="N131" s="7">
        <f t="shared" si="24"/>
        <v>47.771999999999998</v>
      </c>
      <c r="O131" s="5">
        <v>4</v>
      </c>
      <c r="P131" s="3"/>
      <c r="Q131" s="5">
        <v>40.4</v>
      </c>
      <c r="R131" s="7">
        <f t="shared" si="25"/>
        <v>48.48</v>
      </c>
      <c r="S131" s="5">
        <v>4</v>
      </c>
      <c r="U131" s="10">
        <v>70.63</v>
      </c>
      <c r="V131" s="11">
        <f t="shared" si="26"/>
        <v>84.755999999999986</v>
      </c>
      <c r="W131" s="6">
        <v>4</v>
      </c>
      <c r="Y131" s="10">
        <v>70.19</v>
      </c>
      <c r="Z131" s="11">
        <f t="shared" si="27"/>
        <v>84.227999999999994</v>
      </c>
      <c r="AA131" s="6">
        <v>4</v>
      </c>
      <c r="AB131" s="1">
        <v>1.2</v>
      </c>
      <c r="AC131" s="21" t="str">
        <f t="shared" si="21"/>
        <v>48:00</v>
      </c>
      <c r="AD131" s="27" t="str">
        <f t="shared" si="28"/>
        <v/>
      </c>
      <c r="AE131" s="27" t="str">
        <f t="shared" si="22"/>
        <v/>
      </c>
      <c r="AF131" s="14">
        <f t="shared" si="23"/>
        <v>45887.555555555555</v>
      </c>
      <c r="AG131" s="12">
        <f t="shared" si="19"/>
        <v>45887</v>
      </c>
      <c r="AH131" s="24">
        <f t="shared" si="20"/>
        <v>0.55555555555474712</v>
      </c>
    </row>
    <row r="132" spans="1:34" ht="19.95" customHeight="1" x14ac:dyDescent="0.4">
      <c r="A132" s="2">
        <v>1285</v>
      </c>
      <c r="B132" s="16">
        <f>VLOOKUP(A132,[1]PLAN!$A$3:$BG$1149,18,)+VLOOKUP(A132,[1]PLAN!$A$3:$BG$1149,19,)</f>
        <v>45885.583333333336</v>
      </c>
      <c r="C132" s="22">
        <f t="shared" ref="C132:C195" si="29">INT(B132)</f>
        <v>45885</v>
      </c>
      <c r="D132" s="23">
        <f t="shared" ref="D132:D195" si="30">B132-INT(B132)</f>
        <v>0.58333333333575865</v>
      </c>
      <c r="E132" s="14">
        <f>VLOOKUP(A132,[1]PLAN!$A$3:$BG$1149,54,)+VLOOKUP(A132,[1]PLAN!$A$3:$BG$1149,22,)</f>
        <v>45887.559027777781</v>
      </c>
      <c r="F132" s="12">
        <f t="shared" ref="F132:F195" si="31">INT(E132)</f>
        <v>45887</v>
      </c>
      <c r="G132" s="24">
        <f t="shared" ref="G132:G195" si="32">E132-INT(E132)</f>
        <v>0.55902777778101154</v>
      </c>
      <c r="H132" s="14"/>
      <c r="I132" s="14"/>
      <c r="J132" s="29"/>
      <c r="K132" s="30"/>
      <c r="M132" s="17">
        <v>37.99</v>
      </c>
      <c r="N132" s="7">
        <f t="shared" si="24"/>
        <v>45.588000000000001</v>
      </c>
      <c r="O132" s="5">
        <v>4</v>
      </c>
      <c r="P132" s="3"/>
      <c r="Q132" s="5">
        <v>39.67</v>
      </c>
      <c r="R132" s="7">
        <f t="shared" si="25"/>
        <v>47.603999999999999</v>
      </c>
      <c r="S132" s="5">
        <v>4</v>
      </c>
      <c r="U132" s="10">
        <v>71.45</v>
      </c>
      <c r="V132" s="11">
        <f t="shared" si="26"/>
        <v>85.74</v>
      </c>
      <c r="W132" s="6">
        <v>4</v>
      </c>
      <c r="Y132" s="10">
        <v>71.569999999999993</v>
      </c>
      <c r="Z132" s="11">
        <f t="shared" si="27"/>
        <v>85.883999999999986</v>
      </c>
      <c r="AA132" s="6">
        <v>4</v>
      </c>
      <c r="AB132" s="1">
        <v>1.2</v>
      </c>
      <c r="AC132" s="21" t="str">
        <f t="shared" si="21"/>
        <v>47:25</v>
      </c>
      <c r="AD132" s="27" t="str">
        <f t="shared" si="28"/>
        <v/>
      </c>
      <c r="AE132" s="27" t="str">
        <f t="shared" si="22"/>
        <v/>
      </c>
      <c r="AF132" s="14">
        <f t="shared" si="23"/>
        <v>45887.559027777781</v>
      </c>
      <c r="AG132" s="12">
        <f t="shared" ref="AG132:AG195" si="33">INT(AF132)</f>
        <v>45887</v>
      </c>
      <c r="AH132" s="24">
        <f t="shared" ref="AH132:AH195" si="34">AF132-INT(AF132)</f>
        <v>0.55902777778101154</v>
      </c>
    </row>
    <row r="133" spans="1:34" ht="19.95" customHeight="1" x14ac:dyDescent="0.4">
      <c r="A133" s="2">
        <v>1286</v>
      </c>
      <c r="B133" s="16">
        <f>VLOOKUP(A133,[1]PLAN!$A$3:$BG$1149,18,)+VLOOKUP(A133,[1]PLAN!$A$3:$BG$1149,19,)</f>
        <v>45885.625</v>
      </c>
      <c r="C133" s="22">
        <f t="shared" si="29"/>
        <v>45885</v>
      </c>
      <c r="D133" s="23">
        <f t="shared" si="30"/>
        <v>0.625</v>
      </c>
      <c r="E133" s="14">
        <f>VLOOKUP(A133,[1]PLAN!$A$3:$BG$1149,54,)+VLOOKUP(A133,[1]PLAN!$A$3:$BG$1149,22,)</f>
        <v>45887.5625</v>
      </c>
      <c r="F133" s="12">
        <f t="shared" si="31"/>
        <v>45887</v>
      </c>
      <c r="G133" s="24">
        <f t="shared" si="32"/>
        <v>0.5625</v>
      </c>
      <c r="H133" s="14"/>
      <c r="I133" s="14"/>
      <c r="J133" s="29"/>
      <c r="K133" s="30"/>
      <c r="M133" s="17">
        <v>33.909999999999997</v>
      </c>
      <c r="N133" s="7">
        <f t="shared" si="24"/>
        <v>40.691999999999993</v>
      </c>
      <c r="O133" s="5">
        <v>4</v>
      </c>
      <c r="P133" s="3"/>
      <c r="Q133" s="5">
        <v>32.58</v>
      </c>
      <c r="R133" s="7">
        <f t="shared" si="25"/>
        <v>39.095999999999997</v>
      </c>
      <c r="S133" s="5">
        <v>3</v>
      </c>
      <c r="U133" s="10">
        <v>68.209999999999994</v>
      </c>
      <c r="V133" s="11">
        <f t="shared" si="26"/>
        <v>81.85199999999999</v>
      </c>
      <c r="W133" s="6">
        <v>4</v>
      </c>
      <c r="Y133" s="10">
        <v>69.27</v>
      </c>
      <c r="Z133" s="11">
        <f t="shared" si="27"/>
        <v>83.123999999999995</v>
      </c>
      <c r="AA133" s="6">
        <v>4</v>
      </c>
      <c r="AB133" s="1">
        <v>1.2</v>
      </c>
      <c r="AC133" s="21" t="str">
        <f t="shared" ref="AC133:AC196" si="35">IF(B133="","",TEXT(E133-B133,"[hh]:mm"))</f>
        <v>46:30</v>
      </c>
      <c r="AD133" s="27" t="str">
        <f t="shared" si="28"/>
        <v/>
      </c>
      <c r="AE133" s="27" t="str">
        <f t="shared" ref="AE133:AE196" si="36">IF(I133="","",TEXT(I133-B133,"[hh]:mm"))</f>
        <v/>
      </c>
      <c r="AF133" s="14">
        <f t="shared" ref="AF133:AF196" si="37">MAX(E133,H133,I133)</f>
        <v>45887.5625</v>
      </c>
      <c r="AG133" s="12">
        <f t="shared" si="33"/>
        <v>45887</v>
      </c>
      <c r="AH133" s="24">
        <f t="shared" si="34"/>
        <v>0.5625</v>
      </c>
    </row>
    <row r="134" spans="1:34" ht="19.95" customHeight="1" x14ac:dyDescent="0.4">
      <c r="A134" s="2">
        <v>1287</v>
      </c>
      <c r="B134" s="16">
        <f>VLOOKUP(A134,[1]PLAN!$A$3:$BG$1149,18,)+VLOOKUP(A134,[1]PLAN!$A$3:$BG$1149,19,)</f>
        <v>45885.65625</v>
      </c>
      <c r="C134" s="22">
        <f t="shared" si="29"/>
        <v>45885</v>
      </c>
      <c r="D134" s="23">
        <f t="shared" si="30"/>
        <v>0.65625</v>
      </c>
      <c r="E134" s="14">
        <f>VLOOKUP(A134,[1]PLAN!$A$3:$BG$1149,54,)+VLOOKUP(A134,[1]PLAN!$A$3:$BG$1149,22,)</f>
        <v>45887.565972222219</v>
      </c>
      <c r="F134" s="12">
        <f t="shared" si="31"/>
        <v>45887</v>
      </c>
      <c r="G134" s="24">
        <f t="shared" si="32"/>
        <v>0.56597222221898846</v>
      </c>
      <c r="H134" s="14"/>
      <c r="I134" s="14"/>
      <c r="J134" s="29"/>
      <c r="K134" s="30"/>
      <c r="M134" s="17">
        <v>35.909999999999997</v>
      </c>
      <c r="N134" s="7">
        <f t="shared" si="24"/>
        <v>43.091999999999992</v>
      </c>
      <c r="O134" s="5">
        <v>4</v>
      </c>
      <c r="P134" s="3"/>
      <c r="Q134" s="5">
        <v>37.24</v>
      </c>
      <c r="R134" s="7">
        <f t="shared" si="25"/>
        <v>44.688000000000002</v>
      </c>
      <c r="S134" s="5">
        <v>3</v>
      </c>
      <c r="U134" s="10">
        <v>71.040000000000006</v>
      </c>
      <c r="V134" s="11">
        <f t="shared" si="26"/>
        <v>85.248000000000005</v>
      </c>
      <c r="W134" s="6">
        <v>4</v>
      </c>
      <c r="Y134" s="10">
        <v>70.83</v>
      </c>
      <c r="Z134" s="11">
        <f t="shared" si="27"/>
        <v>84.995999999999995</v>
      </c>
      <c r="AA134" s="6">
        <v>4</v>
      </c>
      <c r="AB134" s="1">
        <v>1.2</v>
      </c>
      <c r="AC134" s="21" t="str">
        <f t="shared" si="35"/>
        <v>45:50</v>
      </c>
      <c r="AD134" s="27" t="str">
        <f t="shared" si="28"/>
        <v/>
      </c>
      <c r="AE134" s="27" t="str">
        <f t="shared" si="36"/>
        <v/>
      </c>
      <c r="AF134" s="14">
        <f t="shared" si="37"/>
        <v>45887.565972222219</v>
      </c>
      <c r="AG134" s="12">
        <f t="shared" si="33"/>
        <v>45887</v>
      </c>
      <c r="AH134" s="24">
        <f t="shared" si="34"/>
        <v>0.56597222221898846</v>
      </c>
    </row>
    <row r="135" spans="1:34" ht="19.95" customHeight="1" x14ac:dyDescent="0.4">
      <c r="A135" s="2">
        <v>1288</v>
      </c>
      <c r="B135" s="16">
        <f>VLOOKUP(A135,[1]PLAN!$A$3:$BG$1149,18,)+VLOOKUP(A135,[1]PLAN!$A$3:$BG$1149,19,)</f>
        <v>45887.541666666664</v>
      </c>
      <c r="C135" s="22">
        <f t="shared" si="29"/>
        <v>45887</v>
      </c>
      <c r="D135" s="23">
        <f t="shared" si="30"/>
        <v>0.54166666666424135</v>
      </c>
      <c r="E135" s="14">
        <f>VLOOKUP(A135,[1]PLAN!$A$3:$BG$1149,54,)+VLOOKUP(A135,[1]PLAN!$A$3:$BG$1149,22,)</f>
        <v>45888.354166666664</v>
      </c>
      <c r="F135" s="12">
        <f t="shared" si="31"/>
        <v>45888</v>
      </c>
      <c r="G135" s="24">
        <f t="shared" si="32"/>
        <v>0.35416666666424135</v>
      </c>
      <c r="H135" s="14"/>
      <c r="I135" s="14"/>
      <c r="J135" s="29"/>
      <c r="K135" s="30"/>
      <c r="M135" s="17">
        <v>21.25</v>
      </c>
      <c r="N135" s="7">
        <f t="shared" si="24"/>
        <v>25.5</v>
      </c>
      <c r="O135" s="5">
        <v>4</v>
      </c>
      <c r="P135" s="3"/>
      <c r="Q135" s="5">
        <v>22.85</v>
      </c>
      <c r="R135" s="7">
        <f t="shared" si="25"/>
        <v>27.42</v>
      </c>
      <c r="S135" s="5">
        <v>4</v>
      </c>
      <c r="U135" s="10">
        <v>69.900000000000006</v>
      </c>
      <c r="V135" s="11">
        <f t="shared" si="26"/>
        <v>83.88000000000001</v>
      </c>
      <c r="W135" s="6">
        <v>4</v>
      </c>
      <c r="Y135" s="10">
        <v>69.959999999999994</v>
      </c>
      <c r="Z135" s="11">
        <f t="shared" si="27"/>
        <v>83.951999999999984</v>
      </c>
      <c r="AA135" s="6">
        <v>4</v>
      </c>
      <c r="AB135" s="1">
        <v>1.2</v>
      </c>
      <c r="AC135" s="21" t="str">
        <f t="shared" si="35"/>
        <v>19:30</v>
      </c>
      <c r="AD135" s="27" t="str">
        <f t="shared" si="28"/>
        <v/>
      </c>
      <c r="AE135" s="27" t="str">
        <f t="shared" si="36"/>
        <v/>
      </c>
      <c r="AF135" s="14">
        <f t="shared" si="37"/>
        <v>45888.354166666664</v>
      </c>
      <c r="AG135" s="12">
        <f t="shared" si="33"/>
        <v>45888</v>
      </c>
      <c r="AH135" s="24">
        <f t="shared" si="34"/>
        <v>0.35416666666424135</v>
      </c>
    </row>
    <row r="136" spans="1:34" ht="19.95" customHeight="1" x14ac:dyDescent="0.4">
      <c r="A136" s="2">
        <v>1289</v>
      </c>
      <c r="B136" s="16">
        <f>VLOOKUP(A136,[1]PLAN!$A$3:$BG$1149,18,)+VLOOKUP(A136,[1]PLAN!$A$3:$BG$1149,19,)</f>
        <v>45888.381944444445</v>
      </c>
      <c r="C136" s="22">
        <f t="shared" si="29"/>
        <v>45888</v>
      </c>
      <c r="D136" s="23">
        <f t="shared" si="30"/>
        <v>0.38194444444525288</v>
      </c>
      <c r="E136" s="14">
        <f>VLOOKUP(A136,[1]PLAN!$A$3:$BG$1149,54,)+VLOOKUP(A136,[1]PLAN!$A$3:$BG$1149,22,)</f>
        <v>45889.333333333336</v>
      </c>
      <c r="F136" s="12">
        <f t="shared" si="31"/>
        <v>45889</v>
      </c>
      <c r="G136" s="24">
        <f t="shared" si="32"/>
        <v>0.33333333333575865</v>
      </c>
      <c r="H136" s="14"/>
      <c r="I136" s="14"/>
      <c r="J136" s="29"/>
      <c r="K136" s="30"/>
      <c r="M136" s="17">
        <v>21.52</v>
      </c>
      <c r="N136" s="7">
        <f t="shared" ref="N136:N199" si="38">IF(M136="","",M136*AB136)</f>
        <v>25.823999999999998</v>
      </c>
      <c r="O136" s="5">
        <v>4</v>
      </c>
      <c r="P136" s="3"/>
      <c r="Q136" s="5">
        <v>21.2</v>
      </c>
      <c r="R136" s="7">
        <f t="shared" ref="R136:R199" si="39">IF(Q136="","",Q136*AB136)</f>
        <v>25.439999999999998</v>
      </c>
      <c r="S136" s="5">
        <v>4</v>
      </c>
      <c r="U136" s="10">
        <v>70.25</v>
      </c>
      <c r="V136" s="11">
        <f t="shared" ref="V136:V199" si="40">IF(U136="","",U136*AB136)</f>
        <v>84.3</v>
      </c>
      <c r="W136" s="6">
        <v>4</v>
      </c>
      <c r="Y136" s="10">
        <v>70.59</v>
      </c>
      <c r="Z136" s="11">
        <f t="shared" ref="Z136:Z199" si="41">IF(Y136="","",Y136*AB136)</f>
        <v>84.707999999999998</v>
      </c>
      <c r="AA136" s="6">
        <v>4</v>
      </c>
      <c r="AB136" s="1">
        <v>1.2</v>
      </c>
      <c r="AC136" s="21" t="str">
        <f t="shared" si="35"/>
        <v>22:50</v>
      </c>
      <c r="AD136" s="27" t="str">
        <f t="shared" si="28"/>
        <v/>
      </c>
      <c r="AE136" s="27" t="str">
        <f t="shared" si="36"/>
        <v/>
      </c>
      <c r="AF136" s="14">
        <f t="shared" si="37"/>
        <v>45889.333333333336</v>
      </c>
      <c r="AG136" s="12">
        <f t="shared" si="33"/>
        <v>45889</v>
      </c>
      <c r="AH136" s="24">
        <f t="shared" si="34"/>
        <v>0.33333333333575865</v>
      </c>
    </row>
    <row r="137" spans="1:34" ht="19.95" customHeight="1" x14ac:dyDescent="0.4">
      <c r="A137" s="2">
        <v>1290</v>
      </c>
      <c r="B137" s="16">
        <f>VLOOKUP(A137,[1]PLAN!$A$3:$BG$1149,18,)+VLOOKUP(A137,[1]PLAN!$A$3:$BG$1149,19,)</f>
        <v>45888.416666666664</v>
      </c>
      <c r="C137" s="22">
        <f t="shared" si="29"/>
        <v>45888</v>
      </c>
      <c r="D137" s="23">
        <f t="shared" si="30"/>
        <v>0.41666666666424135</v>
      </c>
      <c r="E137" s="14">
        <f>VLOOKUP(A137,[1]PLAN!$A$3:$BG$1149,54,)+VLOOKUP(A137,[1]PLAN!$A$3:$BG$1149,22,)</f>
        <v>45890.340277777781</v>
      </c>
      <c r="F137" s="12">
        <f t="shared" si="31"/>
        <v>45890</v>
      </c>
      <c r="G137" s="24">
        <f t="shared" si="32"/>
        <v>0.34027777778101154</v>
      </c>
      <c r="H137" s="14"/>
      <c r="I137" s="14"/>
      <c r="J137" s="29"/>
      <c r="K137" s="30"/>
      <c r="M137" s="17">
        <v>28.01</v>
      </c>
      <c r="N137" s="7">
        <f t="shared" si="38"/>
        <v>33.612000000000002</v>
      </c>
      <c r="O137" s="5">
        <v>4</v>
      </c>
      <c r="P137" s="3"/>
      <c r="Q137" s="5">
        <v>27.68</v>
      </c>
      <c r="R137" s="7">
        <f t="shared" si="39"/>
        <v>33.216000000000001</v>
      </c>
      <c r="S137" s="5">
        <v>4</v>
      </c>
      <c r="U137" s="10">
        <v>70.62</v>
      </c>
      <c r="V137" s="11">
        <f t="shared" si="40"/>
        <v>84.744</v>
      </c>
      <c r="W137" s="6">
        <v>4</v>
      </c>
      <c r="Y137" s="10">
        <v>70.540000000000006</v>
      </c>
      <c r="Z137" s="11">
        <f t="shared" si="41"/>
        <v>84.64800000000001</v>
      </c>
      <c r="AA137" s="6">
        <v>4</v>
      </c>
      <c r="AB137" s="1">
        <v>1.2</v>
      </c>
      <c r="AC137" s="21" t="str">
        <f t="shared" si="35"/>
        <v>46:10</v>
      </c>
      <c r="AD137" s="27" t="str">
        <f t="shared" si="28"/>
        <v/>
      </c>
      <c r="AE137" s="27" t="str">
        <f t="shared" si="36"/>
        <v/>
      </c>
      <c r="AF137" s="14">
        <f t="shared" si="37"/>
        <v>45890.340277777781</v>
      </c>
      <c r="AG137" s="12">
        <f t="shared" si="33"/>
        <v>45890</v>
      </c>
      <c r="AH137" s="24">
        <f t="shared" si="34"/>
        <v>0.34027777778101154</v>
      </c>
    </row>
    <row r="138" spans="1:34" ht="19.95" customHeight="1" x14ac:dyDescent="0.4">
      <c r="A138" s="2">
        <v>1291</v>
      </c>
      <c r="B138" s="16">
        <f>VLOOKUP(A138,[1]PLAN!$A$3:$BG$1149,18,)+VLOOKUP(A138,[1]PLAN!$A$3:$BG$1149,19,)</f>
        <v>45888.458333333336</v>
      </c>
      <c r="C138" s="22">
        <f t="shared" si="29"/>
        <v>45888</v>
      </c>
      <c r="D138" s="23">
        <f t="shared" si="30"/>
        <v>0.45833333333575865</v>
      </c>
      <c r="E138" s="14">
        <f>VLOOKUP(A138,[1]PLAN!$A$3:$BG$1149,54,)+VLOOKUP(A138,[1]PLAN!$A$3:$BG$1149,22,)</f>
        <v>45889.34375</v>
      </c>
      <c r="F138" s="12">
        <f t="shared" si="31"/>
        <v>45889</v>
      </c>
      <c r="G138" s="24">
        <f t="shared" si="32"/>
        <v>0.34375</v>
      </c>
      <c r="H138" s="14"/>
      <c r="I138" s="14"/>
      <c r="J138" s="29"/>
      <c r="K138" s="30"/>
      <c r="M138" s="17">
        <v>24.69</v>
      </c>
      <c r="N138" s="7">
        <f t="shared" si="38"/>
        <v>29.628</v>
      </c>
      <c r="O138" s="5">
        <v>4</v>
      </c>
      <c r="P138" s="3"/>
      <c r="Q138" s="5">
        <v>25.76</v>
      </c>
      <c r="R138" s="7">
        <f t="shared" si="39"/>
        <v>30.911999999999999</v>
      </c>
      <c r="S138" s="5">
        <v>4</v>
      </c>
      <c r="U138" s="10">
        <v>70.58</v>
      </c>
      <c r="V138" s="11">
        <f t="shared" si="40"/>
        <v>84.695999999999998</v>
      </c>
      <c r="W138" s="6">
        <v>4</v>
      </c>
      <c r="Y138" s="10">
        <v>70.650000000000006</v>
      </c>
      <c r="Z138" s="11">
        <f t="shared" si="41"/>
        <v>84.78</v>
      </c>
      <c r="AA138" s="6">
        <v>4</v>
      </c>
      <c r="AB138" s="1">
        <v>1.2</v>
      </c>
      <c r="AC138" s="21" t="str">
        <f t="shared" si="35"/>
        <v>21:15</v>
      </c>
      <c r="AD138" s="27" t="str">
        <f t="shared" si="28"/>
        <v/>
      </c>
      <c r="AE138" s="27" t="str">
        <f t="shared" si="36"/>
        <v/>
      </c>
      <c r="AF138" s="14">
        <f t="shared" si="37"/>
        <v>45889.34375</v>
      </c>
      <c r="AG138" s="12">
        <f t="shared" si="33"/>
        <v>45889</v>
      </c>
      <c r="AH138" s="24">
        <f t="shared" si="34"/>
        <v>0.34375</v>
      </c>
    </row>
    <row r="139" spans="1:34" ht="19.95" customHeight="1" x14ac:dyDescent="0.4">
      <c r="A139" s="2">
        <v>1292</v>
      </c>
      <c r="B139" s="16">
        <f>VLOOKUP(A139,[1]PLAN!$A$3:$BG$1149,18,)+VLOOKUP(A139,[1]PLAN!$A$3:$BG$1149,19,)</f>
        <v>45888.489583333336</v>
      </c>
      <c r="C139" s="22">
        <f t="shared" si="29"/>
        <v>45888</v>
      </c>
      <c r="D139" s="23">
        <f t="shared" si="30"/>
        <v>0.48958333333575865</v>
      </c>
      <c r="E139" s="14">
        <f>VLOOKUP(A139,[1]PLAN!$A$3:$BG$1149,54,)+VLOOKUP(A139,[1]PLAN!$A$3:$BG$1149,22,)</f>
        <v>45889.347222222219</v>
      </c>
      <c r="F139" s="12">
        <f t="shared" si="31"/>
        <v>45889</v>
      </c>
      <c r="G139" s="24">
        <f t="shared" si="32"/>
        <v>0.34722222221898846</v>
      </c>
      <c r="H139" s="14"/>
      <c r="I139" s="14"/>
      <c r="J139" s="29"/>
      <c r="K139" s="30"/>
      <c r="M139" s="17">
        <v>21.19</v>
      </c>
      <c r="N139" s="7">
        <f t="shared" si="38"/>
        <v>25.428000000000001</v>
      </c>
      <c r="O139" s="5">
        <v>4</v>
      </c>
      <c r="P139" s="3"/>
      <c r="Q139" s="5">
        <v>22.24</v>
      </c>
      <c r="R139" s="7">
        <f t="shared" si="39"/>
        <v>26.687999999999999</v>
      </c>
      <c r="S139" s="5">
        <v>3</v>
      </c>
      <c r="U139" s="10">
        <v>70.59</v>
      </c>
      <c r="V139" s="11">
        <f t="shared" si="40"/>
        <v>84.707999999999998</v>
      </c>
      <c r="W139" s="6">
        <v>4</v>
      </c>
      <c r="Y139" s="10">
        <v>70.91</v>
      </c>
      <c r="Z139" s="11">
        <f t="shared" si="41"/>
        <v>85.091999999999999</v>
      </c>
      <c r="AA139" s="6">
        <v>4</v>
      </c>
      <c r="AB139" s="1">
        <v>1.2</v>
      </c>
      <c r="AC139" s="21" t="str">
        <f t="shared" si="35"/>
        <v>20:35</v>
      </c>
      <c r="AD139" s="27" t="str">
        <f t="shared" si="28"/>
        <v/>
      </c>
      <c r="AE139" s="27" t="str">
        <f t="shared" si="36"/>
        <v/>
      </c>
      <c r="AF139" s="14">
        <f t="shared" si="37"/>
        <v>45889.347222222219</v>
      </c>
      <c r="AG139" s="12">
        <f t="shared" si="33"/>
        <v>45889</v>
      </c>
      <c r="AH139" s="24">
        <f t="shared" si="34"/>
        <v>0.34722222221898846</v>
      </c>
    </row>
    <row r="140" spans="1:34" ht="19.95" customHeight="1" x14ac:dyDescent="0.4">
      <c r="A140" s="2">
        <v>1293</v>
      </c>
      <c r="B140" s="16">
        <f>VLOOKUP(A140,[1]PLAN!$A$3:$BG$1149,18,)+VLOOKUP(A140,[1]PLAN!$A$3:$BG$1149,19,)</f>
        <v>45889.416666666664</v>
      </c>
      <c r="C140" s="22">
        <f t="shared" si="29"/>
        <v>45889</v>
      </c>
      <c r="D140" s="23">
        <f t="shared" si="30"/>
        <v>0.41666666666424135</v>
      </c>
      <c r="E140" s="14">
        <f>VLOOKUP(A140,[1]PLAN!$A$3:$BG$1149,54,)+VLOOKUP(A140,[1]PLAN!$A$3:$BG$1149,22,)</f>
        <v>45890.354166666664</v>
      </c>
      <c r="F140" s="12">
        <f t="shared" si="31"/>
        <v>45890</v>
      </c>
      <c r="G140" s="24">
        <f t="shared" si="32"/>
        <v>0.35416666666424135</v>
      </c>
      <c r="H140" s="14"/>
      <c r="I140" s="14"/>
      <c r="J140" s="29"/>
      <c r="K140" s="30"/>
      <c r="M140" s="17">
        <v>21.58</v>
      </c>
      <c r="N140" s="7">
        <f t="shared" si="38"/>
        <v>25.895999999999997</v>
      </c>
      <c r="O140" s="5">
        <v>4</v>
      </c>
      <c r="P140" s="3"/>
      <c r="Q140" s="5">
        <v>20.149999999999999</v>
      </c>
      <c r="R140" s="7">
        <f t="shared" si="39"/>
        <v>24.179999999999996</v>
      </c>
      <c r="S140" s="5">
        <v>4</v>
      </c>
      <c r="U140" s="10">
        <v>65.62</v>
      </c>
      <c r="V140" s="11">
        <f t="shared" si="40"/>
        <v>78.744</v>
      </c>
      <c r="W140" s="6">
        <v>4</v>
      </c>
      <c r="Y140" s="10">
        <v>66.319999999999993</v>
      </c>
      <c r="Z140" s="11">
        <f t="shared" si="41"/>
        <v>79.583999999999989</v>
      </c>
      <c r="AA140" s="6">
        <v>4</v>
      </c>
      <c r="AB140" s="1">
        <v>1.2</v>
      </c>
      <c r="AC140" s="21" t="str">
        <f t="shared" si="35"/>
        <v>22:30</v>
      </c>
      <c r="AD140" s="27" t="str">
        <f t="shared" si="28"/>
        <v/>
      </c>
      <c r="AE140" s="27" t="str">
        <f t="shared" si="36"/>
        <v/>
      </c>
      <c r="AF140" s="14">
        <f t="shared" si="37"/>
        <v>45890.354166666664</v>
      </c>
      <c r="AG140" s="12">
        <f t="shared" si="33"/>
        <v>45890</v>
      </c>
      <c r="AH140" s="24">
        <f t="shared" si="34"/>
        <v>0.35416666666424135</v>
      </c>
    </row>
    <row r="141" spans="1:34" ht="19.95" customHeight="1" x14ac:dyDescent="0.4">
      <c r="A141" s="2">
        <v>1294</v>
      </c>
      <c r="B141" s="16">
        <f>VLOOKUP(A141,[1]PLAN!$A$3:$BG$1149,18,)+VLOOKUP(A141,[1]PLAN!$A$3:$BG$1149,19,)</f>
        <v>45889.4375</v>
      </c>
      <c r="C141" s="22">
        <f t="shared" si="29"/>
        <v>45889</v>
      </c>
      <c r="D141" s="23">
        <f t="shared" si="30"/>
        <v>0.4375</v>
      </c>
      <c r="E141" s="14">
        <f>VLOOKUP(A141,[1]PLAN!$A$3:$BG$1149,54,)+VLOOKUP(A141,[1]PLAN!$A$3:$BG$1149,22,)</f>
        <v>45890.357638888891</v>
      </c>
      <c r="F141" s="12">
        <f t="shared" si="31"/>
        <v>45890</v>
      </c>
      <c r="G141" s="24">
        <f t="shared" si="32"/>
        <v>0.35763888889050577</v>
      </c>
      <c r="H141" s="14"/>
      <c r="I141" s="14"/>
      <c r="J141" s="29"/>
      <c r="K141" s="30"/>
      <c r="M141" s="17">
        <v>26.34</v>
      </c>
      <c r="N141" s="7">
        <f t="shared" si="38"/>
        <v>31.607999999999997</v>
      </c>
      <c r="O141" s="5">
        <v>4</v>
      </c>
      <c r="P141" s="3"/>
      <c r="Q141" s="5">
        <v>26.14</v>
      </c>
      <c r="R141" s="7">
        <f t="shared" si="39"/>
        <v>31.367999999999999</v>
      </c>
      <c r="S141" s="5">
        <v>4</v>
      </c>
      <c r="U141" s="10">
        <v>69.3</v>
      </c>
      <c r="V141" s="11">
        <f t="shared" si="40"/>
        <v>83.16</v>
      </c>
      <c r="W141" s="6">
        <v>4</v>
      </c>
      <c r="Y141" s="10">
        <v>68.319999999999993</v>
      </c>
      <c r="Z141" s="11">
        <f t="shared" si="41"/>
        <v>81.983999999999995</v>
      </c>
      <c r="AA141" s="6">
        <v>4</v>
      </c>
      <c r="AB141" s="1">
        <v>1.2</v>
      </c>
      <c r="AC141" s="21" t="str">
        <f t="shared" si="35"/>
        <v>22:05</v>
      </c>
      <c r="AD141" s="27" t="str">
        <f t="shared" si="28"/>
        <v/>
      </c>
      <c r="AE141" s="27" t="str">
        <f t="shared" si="36"/>
        <v/>
      </c>
      <c r="AF141" s="14">
        <f t="shared" si="37"/>
        <v>45890.357638888891</v>
      </c>
      <c r="AG141" s="12">
        <f t="shared" si="33"/>
        <v>45890</v>
      </c>
      <c r="AH141" s="24">
        <f t="shared" si="34"/>
        <v>0.35763888889050577</v>
      </c>
    </row>
    <row r="142" spans="1:34" ht="19.95" customHeight="1" x14ac:dyDescent="0.4">
      <c r="A142" s="2">
        <v>1295</v>
      </c>
      <c r="B142" s="16">
        <f>VLOOKUP(A142,[1]PLAN!$A$3:$BG$1149,18,)+VLOOKUP(A142,[1]PLAN!$A$3:$BG$1149,19,)</f>
        <v>45889.486111111109</v>
      </c>
      <c r="C142" s="22">
        <f t="shared" si="29"/>
        <v>45889</v>
      </c>
      <c r="D142" s="23">
        <f t="shared" si="30"/>
        <v>0.48611111110949423</v>
      </c>
      <c r="E142" s="14">
        <f>VLOOKUP(A142,[1]PLAN!$A$3:$BG$1149,54,)+VLOOKUP(A142,[1]PLAN!$A$3:$BG$1149,22,)</f>
        <v>45890.361111111109</v>
      </c>
      <c r="F142" s="12">
        <f t="shared" si="31"/>
        <v>45890</v>
      </c>
      <c r="G142" s="24">
        <f t="shared" si="32"/>
        <v>0.36111111110949423</v>
      </c>
      <c r="H142" s="14"/>
      <c r="I142" s="14"/>
      <c r="J142" s="29"/>
      <c r="K142" s="30"/>
      <c r="M142" s="17">
        <v>24.84</v>
      </c>
      <c r="N142" s="7">
        <f t="shared" si="38"/>
        <v>29.808</v>
      </c>
      <c r="O142" s="5">
        <v>4</v>
      </c>
      <c r="P142" s="3"/>
      <c r="Q142" s="5">
        <v>25.39</v>
      </c>
      <c r="R142" s="7">
        <f t="shared" si="39"/>
        <v>30.468</v>
      </c>
      <c r="S142" s="5">
        <v>4</v>
      </c>
      <c r="U142" s="10">
        <v>70.62</v>
      </c>
      <c r="V142" s="11">
        <f t="shared" si="40"/>
        <v>84.744</v>
      </c>
      <c r="W142" s="6">
        <v>4</v>
      </c>
      <c r="Y142" s="10">
        <v>70.12</v>
      </c>
      <c r="Z142" s="11">
        <f t="shared" si="41"/>
        <v>84.144000000000005</v>
      </c>
      <c r="AA142" s="6">
        <v>4</v>
      </c>
      <c r="AB142" s="1">
        <v>1.2</v>
      </c>
      <c r="AC142" s="21" t="str">
        <f t="shared" si="35"/>
        <v>21:00</v>
      </c>
      <c r="AD142" s="27" t="str">
        <f t="shared" si="28"/>
        <v/>
      </c>
      <c r="AE142" s="27" t="str">
        <f t="shared" si="36"/>
        <v/>
      </c>
      <c r="AF142" s="14">
        <f t="shared" si="37"/>
        <v>45890.361111111109</v>
      </c>
      <c r="AG142" s="12">
        <f t="shared" si="33"/>
        <v>45890</v>
      </c>
      <c r="AH142" s="24">
        <f t="shared" si="34"/>
        <v>0.36111111110949423</v>
      </c>
    </row>
    <row r="143" spans="1:34" ht="19.95" customHeight="1" x14ac:dyDescent="0.4">
      <c r="A143" s="2">
        <v>1296</v>
      </c>
      <c r="B143" s="16">
        <f>VLOOKUP(A143,[1]PLAN!$A$3:$BG$1149,18,)+VLOOKUP(A143,[1]PLAN!$A$3:$BG$1149,19,)</f>
        <v>45889.5</v>
      </c>
      <c r="C143" s="22">
        <f t="shared" si="29"/>
        <v>45889</v>
      </c>
      <c r="D143" s="23">
        <f t="shared" si="30"/>
        <v>0.5</v>
      </c>
      <c r="E143" s="14">
        <f>VLOOKUP(A143,[1]PLAN!$A$3:$BG$1149,54,)+VLOOKUP(A143,[1]PLAN!$A$3:$BG$1149,22,)</f>
        <v>45890.364583333336</v>
      </c>
      <c r="F143" s="12">
        <f t="shared" si="31"/>
        <v>45890</v>
      </c>
      <c r="G143" s="24">
        <f t="shared" si="32"/>
        <v>0.36458333333575865</v>
      </c>
      <c r="H143" s="14"/>
      <c r="I143" s="14"/>
      <c r="J143" s="29"/>
      <c r="K143" s="30"/>
      <c r="M143" s="17">
        <v>28.79</v>
      </c>
      <c r="N143" s="7">
        <f t="shared" si="38"/>
        <v>34.547999999999995</v>
      </c>
      <c r="O143" s="5">
        <v>4</v>
      </c>
      <c r="P143" s="3"/>
      <c r="Q143" s="5">
        <v>27.25</v>
      </c>
      <c r="R143" s="7">
        <f t="shared" si="39"/>
        <v>32.699999999999996</v>
      </c>
      <c r="S143" s="5">
        <v>4</v>
      </c>
      <c r="U143" s="10">
        <v>70.77</v>
      </c>
      <c r="V143" s="11">
        <f t="shared" si="40"/>
        <v>84.923999999999992</v>
      </c>
      <c r="W143" s="6">
        <v>4</v>
      </c>
      <c r="Y143" s="10">
        <v>69.98</v>
      </c>
      <c r="Z143" s="11">
        <f t="shared" si="41"/>
        <v>83.975999999999999</v>
      </c>
      <c r="AA143" s="6">
        <v>4</v>
      </c>
      <c r="AB143" s="1">
        <v>1.2</v>
      </c>
      <c r="AC143" s="21" t="str">
        <f t="shared" si="35"/>
        <v>20:45</v>
      </c>
      <c r="AD143" s="27" t="str">
        <f t="shared" si="28"/>
        <v/>
      </c>
      <c r="AE143" s="27" t="str">
        <f t="shared" si="36"/>
        <v/>
      </c>
      <c r="AF143" s="14">
        <f t="shared" si="37"/>
        <v>45890.364583333336</v>
      </c>
      <c r="AG143" s="12">
        <f t="shared" si="33"/>
        <v>45890</v>
      </c>
      <c r="AH143" s="24">
        <f t="shared" si="34"/>
        <v>0.36458333333575865</v>
      </c>
    </row>
    <row r="144" spans="1:34" ht="19.95" customHeight="1" x14ac:dyDescent="0.4">
      <c r="A144" s="2">
        <v>1297</v>
      </c>
      <c r="B144" s="16">
        <f>VLOOKUP(A144,[1]PLAN!$A$3:$BG$1149,18,)+VLOOKUP(A144,[1]PLAN!$A$3:$BG$1149,19,)</f>
        <v>45889.5</v>
      </c>
      <c r="C144" s="22">
        <f t="shared" si="29"/>
        <v>45889</v>
      </c>
      <c r="D144" s="23">
        <f t="shared" si="30"/>
        <v>0.5</v>
      </c>
      <c r="E144" s="14">
        <f>VLOOKUP(A144,[1]PLAN!$A$3:$BG$1149,54,)+VLOOKUP(A144,[1]PLAN!$A$3:$BG$1149,22,)</f>
        <v>45890.368055555555</v>
      </c>
      <c r="F144" s="12">
        <f t="shared" si="31"/>
        <v>45890</v>
      </c>
      <c r="G144" s="24">
        <f t="shared" si="32"/>
        <v>0.36805555555474712</v>
      </c>
      <c r="H144" s="14"/>
      <c r="I144" s="14"/>
      <c r="J144" s="29"/>
      <c r="K144" s="30"/>
      <c r="M144" s="17">
        <v>20.8</v>
      </c>
      <c r="N144" s="7">
        <f t="shared" si="38"/>
        <v>24.96</v>
      </c>
      <c r="O144" s="5">
        <v>4</v>
      </c>
      <c r="P144" s="3"/>
      <c r="Q144" s="5">
        <v>20.010000000000002</v>
      </c>
      <c r="R144" s="7">
        <f t="shared" si="39"/>
        <v>24.012</v>
      </c>
      <c r="S144" s="5">
        <v>4</v>
      </c>
      <c r="U144" s="10">
        <v>71.13</v>
      </c>
      <c r="V144" s="11">
        <f t="shared" si="40"/>
        <v>85.355999999999995</v>
      </c>
      <c r="W144" s="6">
        <v>4</v>
      </c>
      <c r="Y144" s="10">
        <v>70.98</v>
      </c>
      <c r="Z144" s="11">
        <f t="shared" si="41"/>
        <v>85.176000000000002</v>
      </c>
      <c r="AA144" s="6">
        <v>4</v>
      </c>
      <c r="AB144" s="1">
        <v>1.2</v>
      </c>
      <c r="AC144" s="21" t="str">
        <f t="shared" si="35"/>
        <v>20:50</v>
      </c>
      <c r="AD144" s="27" t="str">
        <f t="shared" si="28"/>
        <v/>
      </c>
      <c r="AE144" s="27" t="str">
        <f t="shared" si="36"/>
        <v/>
      </c>
      <c r="AF144" s="14">
        <f t="shared" si="37"/>
        <v>45890.368055555555</v>
      </c>
      <c r="AG144" s="12">
        <f t="shared" si="33"/>
        <v>45890</v>
      </c>
      <c r="AH144" s="24">
        <f t="shared" si="34"/>
        <v>0.36805555555474712</v>
      </c>
    </row>
    <row r="145" spans="1:34" ht="19.95" customHeight="1" x14ac:dyDescent="0.4">
      <c r="A145" s="2">
        <v>1298</v>
      </c>
      <c r="B145" s="16">
        <f>VLOOKUP(A145,[1]PLAN!$A$3:$BG$1149,18,)+VLOOKUP(A145,[1]PLAN!$A$3:$BG$1149,19,)</f>
        <v>45891.416666666664</v>
      </c>
      <c r="C145" s="22">
        <f t="shared" si="29"/>
        <v>45891</v>
      </c>
      <c r="D145" s="23">
        <f t="shared" si="30"/>
        <v>0.41666666666424135</v>
      </c>
      <c r="E145" s="14">
        <f>VLOOKUP(A145,[1]PLAN!$A$3:$BG$1149,54,)+VLOOKUP(A145,[1]PLAN!$A$3:$BG$1149,22,)</f>
        <v>45892.4375</v>
      </c>
      <c r="F145" s="12">
        <f t="shared" si="31"/>
        <v>45892</v>
      </c>
      <c r="G145" s="24">
        <f t="shared" si="32"/>
        <v>0.4375</v>
      </c>
      <c r="H145" s="14"/>
      <c r="I145" s="14"/>
      <c r="J145" s="29"/>
      <c r="K145" s="30"/>
      <c r="M145" s="17">
        <v>23.01</v>
      </c>
      <c r="N145" s="7">
        <f t="shared" si="38"/>
        <v>27.612000000000002</v>
      </c>
      <c r="O145" s="5">
        <v>4</v>
      </c>
      <c r="P145" s="3"/>
      <c r="Q145" s="5">
        <v>25.14</v>
      </c>
      <c r="R145" s="7">
        <f t="shared" si="39"/>
        <v>30.167999999999999</v>
      </c>
      <c r="S145" s="5">
        <v>4</v>
      </c>
      <c r="U145" s="10">
        <v>70.069999999999993</v>
      </c>
      <c r="V145" s="11">
        <f t="shared" si="40"/>
        <v>84.083999999999989</v>
      </c>
      <c r="W145" s="6">
        <v>4</v>
      </c>
      <c r="Y145" s="10">
        <v>70.23</v>
      </c>
      <c r="Z145" s="11">
        <f t="shared" si="41"/>
        <v>84.275999999999996</v>
      </c>
      <c r="AA145" s="6">
        <v>4</v>
      </c>
      <c r="AB145" s="1">
        <v>1.2</v>
      </c>
      <c r="AC145" s="21" t="str">
        <f t="shared" si="35"/>
        <v>24:30</v>
      </c>
      <c r="AD145" s="27" t="str">
        <f t="shared" si="28"/>
        <v/>
      </c>
      <c r="AE145" s="27" t="str">
        <f t="shared" si="36"/>
        <v/>
      </c>
      <c r="AF145" s="14">
        <f t="shared" si="37"/>
        <v>45892.4375</v>
      </c>
      <c r="AG145" s="12">
        <f t="shared" si="33"/>
        <v>45892</v>
      </c>
      <c r="AH145" s="24">
        <f t="shared" si="34"/>
        <v>0.4375</v>
      </c>
    </row>
    <row r="146" spans="1:34" ht="19.95" customHeight="1" x14ac:dyDescent="0.4">
      <c r="A146" s="2">
        <v>1299</v>
      </c>
      <c r="B146" s="16">
        <f>VLOOKUP(A146,[1]PLAN!$A$3:$BG$1149,18,)+VLOOKUP(A146,[1]PLAN!$A$3:$BG$1149,19,)</f>
        <v>45891.4375</v>
      </c>
      <c r="C146" s="22">
        <f t="shared" si="29"/>
        <v>45891</v>
      </c>
      <c r="D146" s="23">
        <f t="shared" si="30"/>
        <v>0.4375</v>
      </c>
      <c r="E146" s="14">
        <f>VLOOKUP(A146,[1]PLAN!$A$3:$BG$1149,54,)+VLOOKUP(A146,[1]PLAN!$A$3:$BG$1149,22,)</f>
        <v>45892.440972222219</v>
      </c>
      <c r="F146" s="12">
        <f t="shared" si="31"/>
        <v>45892</v>
      </c>
      <c r="G146" s="24">
        <f t="shared" si="32"/>
        <v>0.44097222221898846</v>
      </c>
      <c r="H146" s="14"/>
      <c r="I146" s="14"/>
      <c r="J146" s="29"/>
      <c r="K146" s="30"/>
      <c r="M146" s="17">
        <v>24.72</v>
      </c>
      <c r="N146" s="7">
        <f t="shared" si="38"/>
        <v>29.663999999999998</v>
      </c>
      <c r="O146" s="5">
        <v>4</v>
      </c>
      <c r="P146" s="3"/>
      <c r="Q146" s="5">
        <v>25.54</v>
      </c>
      <c r="R146" s="7">
        <f t="shared" si="39"/>
        <v>30.647999999999996</v>
      </c>
      <c r="S146" s="5">
        <v>4</v>
      </c>
      <c r="U146" s="10">
        <v>69.989999999999995</v>
      </c>
      <c r="V146" s="11">
        <f t="shared" si="40"/>
        <v>83.987999999999985</v>
      </c>
      <c r="W146" s="6">
        <v>4</v>
      </c>
      <c r="Y146" s="10">
        <v>68.959999999999994</v>
      </c>
      <c r="Z146" s="11">
        <f t="shared" si="41"/>
        <v>82.751999999999995</v>
      </c>
      <c r="AA146" s="6">
        <v>4</v>
      </c>
      <c r="AB146" s="1">
        <v>1.2</v>
      </c>
      <c r="AC146" s="21" t="str">
        <f t="shared" si="35"/>
        <v>24:05</v>
      </c>
      <c r="AD146" s="27" t="str">
        <f t="shared" si="28"/>
        <v/>
      </c>
      <c r="AE146" s="27" t="str">
        <f t="shared" si="36"/>
        <v/>
      </c>
      <c r="AF146" s="14">
        <f t="shared" si="37"/>
        <v>45892.440972222219</v>
      </c>
      <c r="AG146" s="12">
        <f t="shared" si="33"/>
        <v>45892</v>
      </c>
      <c r="AH146" s="24">
        <f t="shared" si="34"/>
        <v>0.44097222221898846</v>
      </c>
    </row>
    <row r="147" spans="1:34" ht="19.95" customHeight="1" x14ac:dyDescent="0.4">
      <c r="A147" s="2">
        <v>1300</v>
      </c>
      <c r="B147" s="16">
        <f>VLOOKUP(A147,[1]PLAN!$A$3:$BG$1149,18,)+VLOOKUP(A147,[1]PLAN!$A$3:$BG$1149,19,)</f>
        <v>45891.458333333336</v>
      </c>
      <c r="C147" s="22">
        <f t="shared" si="29"/>
        <v>45891</v>
      </c>
      <c r="D147" s="23">
        <f t="shared" si="30"/>
        <v>0.45833333333575865</v>
      </c>
      <c r="E147" s="14">
        <f>VLOOKUP(A147,[1]PLAN!$A$3:$BG$1149,54,)+VLOOKUP(A147,[1]PLAN!$A$3:$BG$1149,22,)</f>
        <v>45892.444444444445</v>
      </c>
      <c r="F147" s="12">
        <f t="shared" si="31"/>
        <v>45892</v>
      </c>
      <c r="G147" s="24">
        <f t="shared" si="32"/>
        <v>0.44444444444525288</v>
      </c>
      <c r="H147" s="14"/>
      <c r="I147" s="14"/>
      <c r="J147" s="29"/>
      <c r="K147" s="30"/>
      <c r="M147" s="17">
        <v>23.62</v>
      </c>
      <c r="N147" s="7">
        <f t="shared" si="38"/>
        <v>28.344000000000001</v>
      </c>
      <c r="O147" s="5">
        <v>4</v>
      </c>
      <c r="P147" s="3"/>
      <c r="Q147" s="5">
        <v>25.75</v>
      </c>
      <c r="R147" s="7">
        <f t="shared" si="39"/>
        <v>30.9</v>
      </c>
      <c r="S147" s="5">
        <v>4</v>
      </c>
      <c r="U147" s="10">
        <v>70.12</v>
      </c>
      <c r="V147" s="11">
        <f t="shared" si="40"/>
        <v>84.144000000000005</v>
      </c>
      <c r="W147" s="6">
        <v>4</v>
      </c>
      <c r="Y147" s="10">
        <v>70.56</v>
      </c>
      <c r="Z147" s="11">
        <f t="shared" si="41"/>
        <v>84.671999999999997</v>
      </c>
      <c r="AA147" s="6">
        <v>4</v>
      </c>
      <c r="AB147" s="1">
        <v>1.2</v>
      </c>
      <c r="AC147" s="21" t="str">
        <f t="shared" si="35"/>
        <v>23:40</v>
      </c>
      <c r="AD147" s="27" t="str">
        <f t="shared" si="28"/>
        <v/>
      </c>
      <c r="AE147" s="27" t="str">
        <f t="shared" si="36"/>
        <v/>
      </c>
      <c r="AF147" s="14">
        <f t="shared" si="37"/>
        <v>45892.444444444445</v>
      </c>
      <c r="AG147" s="12">
        <f t="shared" si="33"/>
        <v>45892</v>
      </c>
      <c r="AH147" s="24">
        <f t="shared" si="34"/>
        <v>0.44444444444525288</v>
      </c>
    </row>
    <row r="148" spans="1:34" ht="19.95" customHeight="1" x14ac:dyDescent="0.4">
      <c r="A148" s="2">
        <v>1301</v>
      </c>
      <c r="B148" s="16">
        <f>VLOOKUP(A148,[1]PLAN!$A$3:$BG$1149,18,)+VLOOKUP(A148,[1]PLAN!$A$3:$BG$1149,19,)</f>
        <v>45891.489583333336</v>
      </c>
      <c r="C148" s="22">
        <f t="shared" si="29"/>
        <v>45891</v>
      </c>
      <c r="D148" s="23">
        <f t="shared" si="30"/>
        <v>0.48958333333575865</v>
      </c>
      <c r="E148" s="14">
        <f>VLOOKUP(A148,[1]PLAN!$A$3:$BG$1149,54,)+VLOOKUP(A148,[1]PLAN!$A$3:$BG$1149,22,)</f>
        <v>45892.447916666664</v>
      </c>
      <c r="F148" s="12">
        <f t="shared" si="31"/>
        <v>45892</v>
      </c>
      <c r="G148" s="24">
        <f t="shared" si="32"/>
        <v>0.44791666666424135</v>
      </c>
      <c r="H148" s="14"/>
      <c r="I148" s="14"/>
      <c r="J148" s="29"/>
      <c r="K148" s="30"/>
      <c r="M148" s="17">
        <v>29.63</v>
      </c>
      <c r="N148" s="7">
        <f t="shared" si="38"/>
        <v>35.555999999999997</v>
      </c>
      <c r="O148" s="5">
        <v>4</v>
      </c>
      <c r="P148" s="3"/>
      <c r="Q148" s="5">
        <v>31.33</v>
      </c>
      <c r="R148" s="7">
        <f t="shared" si="39"/>
        <v>37.595999999999997</v>
      </c>
      <c r="S148" s="5">
        <v>4</v>
      </c>
      <c r="U148" s="10">
        <v>71.25</v>
      </c>
      <c r="V148" s="11">
        <f t="shared" si="40"/>
        <v>85.5</v>
      </c>
      <c r="W148" s="6">
        <v>3</v>
      </c>
      <c r="Y148" s="10">
        <v>70.81</v>
      </c>
      <c r="Z148" s="11">
        <f t="shared" si="41"/>
        <v>84.971999999999994</v>
      </c>
      <c r="AA148" s="6">
        <v>4</v>
      </c>
      <c r="AB148" s="1">
        <v>1.2</v>
      </c>
      <c r="AC148" s="21" t="str">
        <f t="shared" si="35"/>
        <v>23:00</v>
      </c>
      <c r="AD148" s="27" t="str">
        <f t="shared" si="28"/>
        <v/>
      </c>
      <c r="AE148" s="27" t="str">
        <f t="shared" si="36"/>
        <v/>
      </c>
      <c r="AF148" s="14">
        <f t="shared" si="37"/>
        <v>45892.447916666664</v>
      </c>
      <c r="AG148" s="12">
        <f t="shared" si="33"/>
        <v>45892</v>
      </c>
      <c r="AH148" s="24">
        <f t="shared" si="34"/>
        <v>0.44791666666424135</v>
      </c>
    </row>
    <row r="149" spans="1:34" ht="19.95" customHeight="1" x14ac:dyDescent="0.4">
      <c r="A149" s="2">
        <v>1302</v>
      </c>
      <c r="B149" s="16">
        <f>VLOOKUP(A149,[1]PLAN!$A$3:$BG$1149,18,)+VLOOKUP(A149,[1]PLAN!$A$3:$BG$1149,19,)</f>
        <v>45891.659722222219</v>
      </c>
      <c r="C149" s="22">
        <f t="shared" si="29"/>
        <v>45891</v>
      </c>
      <c r="D149" s="23">
        <f t="shared" si="30"/>
        <v>0.65972222221898846</v>
      </c>
      <c r="E149" s="14">
        <f>VLOOKUP(A149,[1]PLAN!$A$3:$BG$1149,54,)+VLOOKUP(A149,[1]PLAN!$A$3:$BG$1149,22,)</f>
        <v>45892.451388888891</v>
      </c>
      <c r="F149" s="12">
        <f t="shared" si="31"/>
        <v>45892</v>
      </c>
      <c r="G149" s="24">
        <f t="shared" si="32"/>
        <v>0.45138888889050577</v>
      </c>
      <c r="H149" s="14"/>
      <c r="I149" s="14"/>
      <c r="J149" s="29"/>
      <c r="K149" s="30"/>
      <c r="M149" s="17">
        <v>15.92</v>
      </c>
      <c r="N149" s="7">
        <f t="shared" si="38"/>
        <v>19.103999999999999</v>
      </c>
      <c r="O149" s="5">
        <v>4</v>
      </c>
      <c r="P149" s="3"/>
      <c r="Q149" s="5">
        <v>16.34</v>
      </c>
      <c r="R149" s="7">
        <f t="shared" si="39"/>
        <v>19.608000000000001</v>
      </c>
      <c r="S149" s="5">
        <v>4</v>
      </c>
      <c r="U149" s="10">
        <v>60.78</v>
      </c>
      <c r="V149" s="11">
        <f t="shared" si="40"/>
        <v>72.935999999999993</v>
      </c>
      <c r="W149" s="6">
        <v>4</v>
      </c>
      <c r="Y149" s="10">
        <v>60.85</v>
      </c>
      <c r="Z149" s="11">
        <f t="shared" si="41"/>
        <v>73.02</v>
      </c>
      <c r="AA149" s="6">
        <v>4</v>
      </c>
      <c r="AB149" s="1">
        <v>1.2</v>
      </c>
      <c r="AC149" s="21" t="str">
        <f t="shared" si="35"/>
        <v>19:00</v>
      </c>
      <c r="AD149" s="27" t="str">
        <f t="shared" si="28"/>
        <v/>
      </c>
      <c r="AE149" s="27" t="str">
        <f t="shared" si="36"/>
        <v/>
      </c>
      <c r="AF149" s="14">
        <f t="shared" si="37"/>
        <v>45892.451388888891</v>
      </c>
      <c r="AG149" s="12">
        <f t="shared" si="33"/>
        <v>45892</v>
      </c>
      <c r="AH149" s="24">
        <f t="shared" si="34"/>
        <v>0.45138888889050577</v>
      </c>
    </row>
    <row r="150" spans="1:34" ht="19.95" customHeight="1" x14ac:dyDescent="0.4">
      <c r="A150" s="2">
        <v>1303</v>
      </c>
      <c r="B150" s="16">
        <f>VLOOKUP(A150,[1]PLAN!$A$3:$BG$1149,18,)+VLOOKUP(A150,[1]PLAN!$A$3:$BG$1149,19,)</f>
        <v>45892.541666666664</v>
      </c>
      <c r="C150" s="22">
        <f t="shared" si="29"/>
        <v>45892</v>
      </c>
      <c r="D150" s="23">
        <f t="shared" si="30"/>
        <v>0.54166666666424135</v>
      </c>
      <c r="E150" s="14">
        <f>VLOOKUP(A150,[1]PLAN!$A$3:$BG$1149,54,)+VLOOKUP(A150,[1]PLAN!$A$3:$BG$1149,22,)</f>
        <v>45894.354166666664</v>
      </c>
      <c r="F150" s="12">
        <f t="shared" si="31"/>
        <v>45894</v>
      </c>
      <c r="G150" s="24">
        <f t="shared" si="32"/>
        <v>0.35416666666424135</v>
      </c>
      <c r="H150" s="14"/>
      <c r="I150" s="14"/>
      <c r="J150" s="29"/>
      <c r="K150" s="30"/>
      <c r="M150" s="17">
        <v>41.75</v>
      </c>
      <c r="N150" s="7">
        <f t="shared" si="38"/>
        <v>50.1</v>
      </c>
      <c r="O150" s="5">
        <v>4</v>
      </c>
      <c r="P150" s="3"/>
      <c r="Q150" s="5">
        <v>40.33</v>
      </c>
      <c r="R150" s="7">
        <f t="shared" si="39"/>
        <v>48.395999999999994</v>
      </c>
      <c r="S150" s="5">
        <v>4</v>
      </c>
      <c r="U150" s="10">
        <v>70.319999999999993</v>
      </c>
      <c r="V150" s="11">
        <f t="shared" si="40"/>
        <v>84.383999999999986</v>
      </c>
      <c r="W150" s="6">
        <v>4</v>
      </c>
      <c r="Y150" s="10">
        <v>70.89</v>
      </c>
      <c r="Z150" s="11">
        <f t="shared" si="41"/>
        <v>85.067999999999998</v>
      </c>
      <c r="AA150" s="6">
        <v>4</v>
      </c>
      <c r="AB150" s="1">
        <v>1.2</v>
      </c>
      <c r="AC150" s="21" t="str">
        <f t="shared" si="35"/>
        <v>43:30</v>
      </c>
      <c r="AD150" s="27" t="str">
        <f t="shared" si="28"/>
        <v/>
      </c>
      <c r="AE150" s="27" t="str">
        <f t="shared" si="36"/>
        <v/>
      </c>
      <c r="AF150" s="14">
        <f t="shared" si="37"/>
        <v>45894.354166666664</v>
      </c>
      <c r="AG150" s="12">
        <f t="shared" si="33"/>
        <v>45894</v>
      </c>
      <c r="AH150" s="24">
        <f t="shared" si="34"/>
        <v>0.35416666666424135</v>
      </c>
    </row>
    <row r="151" spans="1:34" ht="19.95" customHeight="1" x14ac:dyDescent="0.4">
      <c r="A151" s="2">
        <v>1304</v>
      </c>
      <c r="B151" s="16">
        <f>VLOOKUP(A151,[1]PLAN!$A$3:$BG$1149,18,)+VLOOKUP(A151,[1]PLAN!$A$3:$BG$1149,19,)</f>
        <v>45892.576388888891</v>
      </c>
      <c r="C151" s="22">
        <f t="shared" si="29"/>
        <v>45892</v>
      </c>
      <c r="D151" s="23">
        <f t="shared" si="30"/>
        <v>0.57638888889050577</v>
      </c>
      <c r="E151" s="14">
        <f>VLOOKUP(A151,[1]PLAN!$A$3:$BG$1149,54,)+VLOOKUP(A151,[1]PLAN!$A$3:$BG$1149,22,)</f>
        <v>45894.357638888891</v>
      </c>
      <c r="F151" s="12">
        <f t="shared" si="31"/>
        <v>45894</v>
      </c>
      <c r="G151" s="24">
        <f t="shared" si="32"/>
        <v>0.35763888889050577</v>
      </c>
      <c r="H151" s="14"/>
      <c r="I151" s="14"/>
      <c r="J151" s="29"/>
      <c r="K151" s="30"/>
      <c r="M151" s="17">
        <v>33.590000000000003</v>
      </c>
      <c r="N151" s="7">
        <f t="shared" si="38"/>
        <v>40.308</v>
      </c>
      <c r="O151" s="5">
        <v>4</v>
      </c>
      <c r="P151" s="3"/>
      <c r="Q151" s="5">
        <v>32.19</v>
      </c>
      <c r="R151" s="7">
        <f t="shared" si="39"/>
        <v>38.627999999999993</v>
      </c>
      <c r="S151" s="5">
        <v>4</v>
      </c>
      <c r="U151" s="10">
        <v>71.11</v>
      </c>
      <c r="V151" s="11">
        <f t="shared" si="40"/>
        <v>85.331999999999994</v>
      </c>
      <c r="W151" s="6">
        <v>4</v>
      </c>
      <c r="Y151" s="10">
        <v>70.92</v>
      </c>
      <c r="Z151" s="11">
        <f t="shared" si="41"/>
        <v>85.103999999999999</v>
      </c>
      <c r="AA151" s="6">
        <v>4</v>
      </c>
      <c r="AB151" s="1">
        <v>1.2</v>
      </c>
      <c r="AC151" s="21" t="str">
        <f t="shared" si="35"/>
        <v>42:45</v>
      </c>
      <c r="AD151" s="27" t="str">
        <f t="shared" si="28"/>
        <v/>
      </c>
      <c r="AE151" s="27" t="str">
        <f t="shared" si="36"/>
        <v/>
      </c>
      <c r="AF151" s="14">
        <f t="shared" si="37"/>
        <v>45894.357638888891</v>
      </c>
      <c r="AG151" s="12">
        <f t="shared" si="33"/>
        <v>45894</v>
      </c>
      <c r="AH151" s="24">
        <f t="shared" si="34"/>
        <v>0.35763888889050577</v>
      </c>
    </row>
    <row r="152" spans="1:34" ht="19.95" customHeight="1" x14ac:dyDescent="0.4">
      <c r="A152" s="2">
        <v>1305</v>
      </c>
      <c r="B152" s="16">
        <f>VLOOKUP(A152,[1]PLAN!$A$3:$BG$1149,18,)+VLOOKUP(A152,[1]PLAN!$A$3:$BG$1149,19,)</f>
        <v>45892.583333333336</v>
      </c>
      <c r="C152" s="22">
        <f t="shared" si="29"/>
        <v>45892</v>
      </c>
      <c r="D152" s="23">
        <f t="shared" si="30"/>
        <v>0.58333333333575865</v>
      </c>
      <c r="E152" s="14">
        <f>VLOOKUP(A152,[1]PLAN!$A$3:$BG$1149,54,)+VLOOKUP(A152,[1]PLAN!$A$3:$BG$1149,22,)</f>
        <v>45894.361111111109</v>
      </c>
      <c r="F152" s="12">
        <f t="shared" si="31"/>
        <v>45894</v>
      </c>
      <c r="G152" s="24">
        <f t="shared" si="32"/>
        <v>0.36111111110949423</v>
      </c>
      <c r="H152" s="14"/>
      <c r="I152" s="14"/>
      <c r="J152" s="29"/>
      <c r="K152" s="30"/>
      <c r="M152" s="17">
        <v>35.380000000000003</v>
      </c>
      <c r="N152" s="7">
        <f t="shared" si="38"/>
        <v>42.456000000000003</v>
      </c>
      <c r="O152" s="5">
        <v>4</v>
      </c>
      <c r="P152" s="3"/>
      <c r="Q152" s="5">
        <v>35.369999999999997</v>
      </c>
      <c r="R152" s="7">
        <f t="shared" si="39"/>
        <v>42.443999999999996</v>
      </c>
      <c r="S152" s="5">
        <v>4</v>
      </c>
      <c r="U152" s="10">
        <v>70.349999999999994</v>
      </c>
      <c r="V152" s="11">
        <f t="shared" si="40"/>
        <v>84.419999999999987</v>
      </c>
      <c r="W152" s="6">
        <v>4</v>
      </c>
      <c r="Y152" s="10">
        <v>70.56</v>
      </c>
      <c r="Z152" s="11">
        <f t="shared" si="41"/>
        <v>84.671999999999997</v>
      </c>
      <c r="AA152" s="6">
        <v>4</v>
      </c>
      <c r="AB152" s="1">
        <v>1.2</v>
      </c>
      <c r="AC152" s="21" t="str">
        <f t="shared" si="35"/>
        <v>42:40</v>
      </c>
      <c r="AD152" s="27" t="str">
        <f t="shared" si="28"/>
        <v/>
      </c>
      <c r="AE152" s="27" t="str">
        <f t="shared" si="36"/>
        <v/>
      </c>
      <c r="AF152" s="14">
        <f t="shared" si="37"/>
        <v>45894.361111111109</v>
      </c>
      <c r="AG152" s="12">
        <f t="shared" si="33"/>
        <v>45894</v>
      </c>
      <c r="AH152" s="24">
        <f t="shared" si="34"/>
        <v>0.36111111110949423</v>
      </c>
    </row>
    <row r="153" spans="1:34" ht="19.95" customHeight="1" x14ac:dyDescent="0.4">
      <c r="A153" s="2">
        <v>1306</v>
      </c>
      <c r="B153" s="16">
        <f>VLOOKUP(A153,[1]PLAN!$A$3:$BG$1149,18,)+VLOOKUP(A153,[1]PLAN!$A$3:$BG$1149,19,)</f>
        <v>45892.645833333336</v>
      </c>
      <c r="C153" s="22">
        <f t="shared" si="29"/>
        <v>45892</v>
      </c>
      <c r="D153" s="23">
        <f t="shared" si="30"/>
        <v>0.64583333333575865</v>
      </c>
      <c r="E153" s="14">
        <f>VLOOKUP(A153,[1]PLAN!$A$3:$BG$1149,54,)+VLOOKUP(A153,[1]PLAN!$A$3:$BG$1149,22,)</f>
        <v>45894.364583333336</v>
      </c>
      <c r="F153" s="12">
        <f t="shared" si="31"/>
        <v>45894</v>
      </c>
      <c r="G153" s="24">
        <f t="shared" si="32"/>
        <v>0.36458333333575865</v>
      </c>
      <c r="H153" s="14"/>
      <c r="I153" s="14"/>
      <c r="J153" s="29"/>
      <c r="K153" s="30"/>
      <c r="M153" s="17">
        <v>37.869999999999997</v>
      </c>
      <c r="N153" s="7">
        <f t="shared" si="38"/>
        <v>45.443999999999996</v>
      </c>
      <c r="O153" s="5">
        <v>4</v>
      </c>
      <c r="P153" s="3"/>
      <c r="Q153" s="5">
        <v>35.89</v>
      </c>
      <c r="R153" s="7">
        <f t="shared" si="39"/>
        <v>43.067999999999998</v>
      </c>
      <c r="S153" s="5">
        <v>4</v>
      </c>
      <c r="U153" s="10">
        <v>70.8</v>
      </c>
      <c r="V153" s="11">
        <f t="shared" si="40"/>
        <v>84.96</v>
      </c>
      <c r="W153" s="6">
        <v>4</v>
      </c>
      <c r="Y153" s="10">
        <v>70.13</v>
      </c>
      <c r="Z153" s="11">
        <f t="shared" si="41"/>
        <v>84.155999999999992</v>
      </c>
      <c r="AA153" s="6">
        <v>4</v>
      </c>
      <c r="AB153" s="1">
        <v>1.2</v>
      </c>
      <c r="AC153" s="21" t="str">
        <f t="shared" si="35"/>
        <v>41:15</v>
      </c>
      <c r="AD153" s="27" t="str">
        <f t="shared" si="28"/>
        <v/>
      </c>
      <c r="AE153" s="27" t="str">
        <f t="shared" si="36"/>
        <v/>
      </c>
      <c r="AF153" s="14">
        <f t="shared" si="37"/>
        <v>45894.364583333336</v>
      </c>
      <c r="AG153" s="12">
        <f t="shared" si="33"/>
        <v>45894</v>
      </c>
      <c r="AH153" s="24">
        <f t="shared" si="34"/>
        <v>0.36458333333575865</v>
      </c>
    </row>
    <row r="154" spans="1:34" ht="19.95" customHeight="1" x14ac:dyDescent="0.4">
      <c r="A154" s="2">
        <v>1307</v>
      </c>
      <c r="B154" s="16">
        <f>VLOOKUP(A154,[1]PLAN!$A$3:$BG$1149,18,)+VLOOKUP(A154,[1]PLAN!$A$3:$BG$1149,19,)</f>
        <v>45894.416666666664</v>
      </c>
      <c r="C154" s="22">
        <f t="shared" si="29"/>
        <v>45894</v>
      </c>
      <c r="D154" s="23">
        <f t="shared" si="30"/>
        <v>0.41666666666424135</v>
      </c>
      <c r="E154" s="14">
        <f>VLOOKUP(A154,[1]PLAN!$A$3:$BG$1149,54,)+VLOOKUP(A154,[1]PLAN!$A$3:$BG$1149,22,)</f>
        <v>45895.354166666664</v>
      </c>
      <c r="F154" s="12">
        <f t="shared" si="31"/>
        <v>45895</v>
      </c>
      <c r="G154" s="24">
        <f t="shared" si="32"/>
        <v>0.35416666666424135</v>
      </c>
      <c r="H154" s="14"/>
      <c r="I154" s="14"/>
      <c r="J154" s="29"/>
      <c r="K154" s="30"/>
      <c r="M154" s="17">
        <v>25.52</v>
      </c>
      <c r="N154" s="7">
        <f t="shared" si="38"/>
        <v>30.623999999999999</v>
      </c>
      <c r="O154" s="5">
        <v>4</v>
      </c>
      <c r="P154" s="3"/>
      <c r="Q154" s="5">
        <v>26.58</v>
      </c>
      <c r="R154" s="7">
        <f t="shared" si="39"/>
        <v>31.895999999999997</v>
      </c>
      <c r="S154" s="5">
        <v>4</v>
      </c>
      <c r="U154" s="10">
        <v>70.2</v>
      </c>
      <c r="V154" s="11">
        <f t="shared" si="40"/>
        <v>84.24</v>
      </c>
      <c r="W154" s="6">
        <v>4</v>
      </c>
      <c r="Y154" s="10">
        <v>70.55</v>
      </c>
      <c r="Z154" s="11">
        <f t="shared" si="41"/>
        <v>84.66</v>
      </c>
      <c r="AA154" s="6">
        <v>3</v>
      </c>
      <c r="AB154" s="1">
        <v>1.2</v>
      </c>
      <c r="AC154" s="21" t="str">
        <f t="shared" si="35"/>
        <v>22:30</v>
      </c>
      <c r="AD154" s="27" t="str">
        <f t="shared" si="28"/>
        <v/>
      </c>
      <c r="AE154" s="27" t="str">
        <f t="shared" si="36"/>
        <v/>
      </c>
      <c r="AF154" s="14">
        <f t="shared" si="37"/>
        <v>45895.354166666664</v>
      </c>
      <c r="AG154" s="12">
        <f t="shared" si="33"/>
        <v>45895</v>
      </c>
      <c r="AH154" s="24">
        <f t="shared" si="34"/>
        <v>0.35416666666424135</v>
      </c>
    </row>
    <row r="155" spans="1:34" ht="19.95" customHeight="1" x14ac:dyDescent="0.4">
      <c r="A155" s="2">
        <v>1308</v>
      </c>
      <c r="B155" s="16">
        <f>VLOOKUP(A155,[1]PLAN!$A$3:$BG$1149,18,)+VLOOKUP(A155,[1]PLAN!$A$3:$BG$1149,19,)</f>
        <v>45895.576388888891</v>
      </c>
      <c r="C155" s="22">
        <f t="shared" si="29"/>
        <v>45895</v>
      </c>
      <c r="D155" s="23">
        <f t="shared" si="30"/>
        <v>0.57638888889050577</v>
      </c>
      <c r="E155" s="14">
        <f>VLOOKUP(A155,[1]PLAN!$A$3:$BG$1149,54,)+VLOOKUP(A155,[1]PLAN!$A$3:$BG$1149,22,)</f>
        <v>45896.416666666664</v>
      </c>
      <c r="F155" s="12">
        <f t="shared" si="31"/>
        <v>45896</v>
      </c>
      <c r="G155" s="24">
        <f t="shared" si="32"/>
        <v>0.41666666666424135</v>
      </c>
      <c r="H155" s="14"/>
      <c r="I155" s="14"/>
      <c r="J155" s="29"/>
      <c r="K155" s="30"/>
      <c r="M155" s="17">
        <v>24.44</v>
      </c>
      <c r="N155" s="7">
        <f t="shared" si="38"/>
        <v>29.327999999999999</v>
      </c>
      <c r="O155" s="5">
        <v>4</v>
      </c>
      <c r="P155" s="3"/>
      <c r="Q155" s="5">
        <v>22.26</v>
      </c>
      <c r="R155" s="7">
        <f t="shared" si="39"/>
        <v>26.712</v>
      </c>
      <c r="S155" s="5">
        <v>4</v>
      </c>
      <c r="U155" s="10">
        <v>70.03</v>
      </c>
      <c r="V155" s="11">
        <f t="shared" si="40"/>
        <v>84.036000000000001</v>
      </c>
      <c r="W155" s="6">
        <v>4</v>
      </c>
      <c r="Y155" s="10">
        <v>70.650000000000006</v>
      </c>
      <c r="Z155" s="11">
        <f t="shared" si="41"/>
        <v>84.78</v>
      </c>
      <c r="AA155" s="6">
        <v>4</v>
      </c>
      <c r="AB155" s="1">
        <v>1.2</v>
      </c>
      <c r="AC155" s="21" t="str">
        <f t="shared" si="35"/>
        <v>20:10</v>
      </c>
      <c r="AD155" s="27" t="str">
        <f t="shared" si="28"/>
        <v/>
      </c>
      <c r="AE155" s="27" t="str">
        <f t="shared" si="36"/>
        <v/>
      </c>
      <c r="AF155" s="14">
        <f t="shared" si="37"/>
        <v>45896.416666666664</v>
      </c>
      <c r="AG155" s="12">
        <f t="shared" si="33"/>
        <v>45896</v>
      </c>
      <c r="AH155" s="24">
        <f t="shared" si="34"/>
        <v>0.41666666666424135</v>
      </c>
    </row>
    <row r="156" spans="1:34" ht="19.95" customHeight="1" x14ac:dyDescent="0.4">
      <c r="A156" s="2">
        <v>1309</v>
      </c>
      <c r="B156" s="16">
        <f>VLOOKUP(A156,[1]PLAN!$A$3:$BG$1149,18,)+VLOOKUP(A156,[1]PLAN!$A$3:$BG$1149,19,)</f>
        <v>45895.604166666664</v>
      </c>
      <c r="C156" s="22">
        <f t="shared" si="29"/>
        <v>45895</v>
      </c>
      <c r="D156" s="23">
        <f t="shared" si="30"/>
        <v>0.60416666666424135</v>
      </c>
      <c r="E156" s="14">
        <f>VLOOKUP(A156,[1]PLAN!$A$3:$BG$1149,54,)+VLOOKUP(A156,[1]PLAN!$A$3:$BG$1149,22,)</f>
        <v>45896.420138888891</v>
      </c>
      <c r="F156" s="12">
        <f t="shared" si="31"/>
        <v>45896</v>
      </c>
      <c r="G156" s="24">
        <f t="shared" si="32"/>
        <v>0.42013888889050577</v>
      </c>
      <c r="H156" s="14"/>
      <c r="I156" s="14"/>
      <c r="J156" s="29"/>
      <c r="K156" s="30"/>
      <c r="M156" s="17">
        <v>19.98</v>
      </c>
      <c r="N156" s="7">
        <f t="shared" si="38"/>
        <v>23.975999999999999</v>
      </c>
      <c r="O156" s="5">
        <v>4</v>
      </c>
      <c r="P156" s="3"/>
      <c r="Q156" s="5">
        <v>20.25</v>
      </c>
      <c r="R156" s="7">
        <f t="shared" si="39"/>
        <v>24.3</v>
      </c>
      <c r="S156" s="5">
        <v>4</v>
      </c>
      <c r="U156" s="10">
        <v>70.25</v>
      </c>
      <c r="V156" s="11">
        <f t="shared" si="40"/>
        <v>84.3</v>
      </c>
      <c r="W156" s="6">
        <v>4</v>
      </c>
      <c r="Y156" s="10">
        <v>69.58</v>
      </c>
      <c r="Z156" s="11">
        <f t="shared" si="41"/>
        <v>83.495999999999995</v>
      </c>
      <c r="AA156" s="6">
        <v>3</v>
      </c>
      <c r="AB156" s="1">
        <v>1.2</v>
      </c>
      <c r="AC156" s="21" t="str">
        <f t="shared" si="35"/>
        <v>19:35</v>
      </c>
      <c r="AD156" s="27" t="str">
        <f t="shared" si="28"/>
        <v/>
      </c>
      <c r="AE156" s="27" t="str">
        <f t="shared" si="36"/>
        <v/>
      </c>
      <c r="AF156" s="14">
        <f t="shared" si="37"/>
        <v>45896.420138888891</v>
      </c>
      <c r="AG156" s="12">
        <f t="shared" si="33"/>
        <v>45896</v>
      </c>
      <c r="AH156" s="24">
        <f t="shared" si="34"/>
        <v>0.42013888889050577</v>
      </c>
    </row>
    <row r="157" spans="1:34" ht="19.95" customHeight="1" x14ac:dyDescent="0.4">
      <c r="A157" s="2">
        <v>1310</v>
      </c>
      <c r="B157" s="16">
        <f>VLOOKUP(A157,[1]PLAN!$A$3:$BG$1149,18,)+VLOOKUP(A157,[1]PLAN!$A$3:$BG$1149,19,)</f>
        <v>45895.618055555555</v>
      </c>
      <c r="C157" s="22">
        <f t="shared" si="29"/>
        <v>45895</v>
      </c>
      <c r="D157" s="23">
        <f t="shared" si="30"/>
        <v>0.61805555555474712</v>
      </c>
      <c r="E157" s="14">
        <f>VLOOKUP(A157,[1]PLAN!$A$3:$BG$1149,54,)+VLOOKUP(A157,[1]PLAN!$A$3:$BG$1149,22,)</f>
        <v>45896.423611111109</v>
      </c>
      <c r="F157" s="12">
        <f t="shared" si="31"/>
        <v>45896</v>
      </c>
      <c r="G157" s="24">
        <f t="shared" si="32"/>
        <v>0.42361111110949423</v>
      </c>
      <c r="H157" s="14"/>
      <c r="I157" s="14"/>
      <c r="J157" s="29"/>
      <c r="K157" s="30"/>
      <c r="M157" s="17">
        <v>23.16</v>
      </c>
      <c r="N157" s="7">
        <f t="shared" si="38"/>
        <v>27.791999999999998</v>
      </c>
      <c r="O157" s="5">
        <v>4</v>
      </c>
      <c r="P157" s="3"/>
      <c r="Q157" s="5">
        <v>24.26</v>
      </c>
      <c r="R157" s="7">
        <f t="shared" si="39"/>
        <v>29.112000000000002</v>
      </c>
      <c r="S157" s="5">
        <v>4</v>
      </c>
      <c r="U157" s="10">
        <v>70.19</v>
      </c>
      <c r="V157" s="11">
        <f t="shared" si="40"/>
        <v>84.227999999999994</v>
      </c>
      <c r="W157" s="6">
        <v>4</v>
      </c>
      <c r="Y157" s="10">
        <v>70.59</v>
      </c>
      <c r="Z157" s="11">
        <f t="shared" si="41"/>
        <v>84.707999999999998</v>
      </c>
      <c r="AA157" s="6">
        <v>4</v>
      </c>
      <c r="AB157" s="1">
        <v>1.2</v>
      </c>
      <c r="AC157" s="21" t="str">
        <f t="shared" si="35"/>
        <v>19:20</v>
      </c>
      <c r="AD157" s="27" t="str">
        <f t="shared" si="28"/>
        <v/>
      </c>
      <c r="AE157" s="27" t="str">
        <f t="shared" si="36"/>
        <v/>
      </c>
      <c r="AF157" s="14">
        <f t="shared" si="37"/>
        <v>45896.423611111109</v>
      </c>
      <c r="AG157" s="12">
        <f t="shared" si="33"/>
        <v>45896</v>
      </c>
      <c r="AH157" s="24">
        <f t="shared" si="34"/>
        <v>0.42361111110949423</v>
      </c>
    </row>
    <row r="158" spans="1:34" ht="19.95" customHeight="1" x14ac:dyDescent="0.4">
      <c r="A158" s="2">
        <v>1311</v>
      </c>
      <c r="B158" s="16">
        <f>VLOOKUP(A158,[1]PLAN!$A$3:$BG$1149,18,)+VLOOKUP(A158,[1]PLAN!$A$3:$BG$1149,19,)</f>
        <v>45895.666666666664</v>
      </c>
      <c r="C158" s="22">
        <f t="shared" si="29"/>
        <v>45895</v>
      </c>
      <c r="D158" s="23">
        <f t="shared" si="30"/>
        <v>0.66666666666424135</v>
      </c>
      <c r="E158" s="14">
        <f>VLOOKUP(A158,[1]PLAN!$A$3:$BG$1149,54,)+VLOOKUP(A158,[1]PLAN!$A$3:$BG$1149,22,)</f>
        <v>45896.427083333336</v>
      </c>
      <c r="F158" s="12">
        <f t="shared" si="31"/>
        <v>45896</v>
      </c>
      <c r="G158" s="24">
        <f t="shared" si="32"/>
        <v>0.42708333333575865</v>
      </c>
      <c r="H158" s="14"/>
      <c r="I158" s="14"/>
      <c r="J158" s="29"/>
      <c r="K158" s="30"/>
      <c r="M158" s="17">
        <v>22.07</v>
      </c>
      <c r="N158" s="7">
        <f t="shared" si="38"/>
        <v>26.483999999999998</v>
      </c>
      <c r="O158" s="5">
        <v>4</v>
      </c>
      <c r="P158" s="3"/>
      <c r="Q158" s="5">
        <v>23.16</v>
      </c>
      <c r="R158" s="7">
        <f t="shared" si="39"/>
        <v>27.791999999999998</v>
      </c>
      <c r="S158" s="5">
        <v>4</v>
      </c>
      <c r="U158" s="10">
        <v>69.59</v>
      </c>
      <c r="V158" s="11">
        <f t="shared" si="40"/>
        <v>83.507999999999996</v>
      </c>
      <c r="W158" s="6">
        <v>3</v>
      </c>
      <c r="Y158" s="10">
        <v>69.47</v>
      </c>
      <c r="Z158" s="11">
        <f t="shared" si="41"/>
        <v>83.36399999999999</v>
      </c>
      <c r="AA158" s="6">
        <v>4</v>
      </c>
      <c r="AB158" s="1">
        <v>1.2</v>
      </c>
      <c r="AC158" s="21" t="str">
        <f t="shared" si="35"/>
        <v>18:15</v>
      </c>
      <c r="AD158" s="27" t="str">
        <f t="shared" si="28"/>
        <v/>
      </c>
      <c r="AE158" s="27" t="str">
        <f t="shared" si="36"/>
        <v/>
      </c>
      <c r="AF158" s="14">
        <f t="shared" si="37"/>
        <v>45896.427083333336</v>
      </c>
      <c r="AG158" s="12">
        <f t="shared" si="33"/>
        <v>45896</v>
      </c>
      <c r="AH158" s="24">
        <f t="shared" si="34"/>
        <v>0.42708333333575865</v>
      </c>
    </row>
    <row r="159" spans="1:34" ht="19.95" customHeight="1" x14ac:dyDescent="0.4">
      <c r="A159" s="2">
        <v>1312</v>
      </c>
      <c r="B159" s="16">
        <f>VLOOKUP(A159,[1]PLAN!$A$3:$BG$1149,18,)+VLOOKUP(A159,[1]PLAN!$A$3:$BG$1149,19,)</f>
        <v>45897.409722222219</v>
      </c>
      <c r="C159" s="22">
        <f t="shared" si="29"/>
        <v>45897</v>
      </c>
      <c r="D159" s="23">
        <f t="shared" si="30"/>
        <v>0.40972222221898846</v>
      </c>
      <c r="E159" s="14">
        <f>VLOOKUP(A159,[1]PLAN!$A$3:$BG$1149,54,)+VLOOKUP(A159,[1]PLAN!$A$3:$BG$1149,22,)</f>
        <v>45898.375</v>
      </c>
      <c r="F159" s="12">
        <f t="shared" si="31"/>
        <v>45898</v>
      </c>
      <c r="G159" s="24">
        <f t="shared" si="32"/>
        <v>0.375</v>
      </c>
      <c r="H159" s="14"/>
      <c r="I159" s="14"/>
      <c r="J159" s="29"/>
      <c r="K159" s="30"/>
      <c r="M159" s="17">
        <v>25.12</v>
      </c>
      <c r="N159" s="7">
        <f t="shared" si="38"/>
        <v>30.143999999999998</v>
      </c>
      <c r="O159" s="5">
        <v>4</v>
      </c>
      <c r="P159" s="3"/>
      <c r="Q159" s="5">
        <v>24.2</v>
      </c>
      <c r="R159" s="7">
        <f t="shared" si="39"/>
        <v>29.04</v>
      </c>
      <c r="S159" s="5">
        <v>4</v>
      </c>
      <c r="U159" s="10">
        <v>67.180000000000007</v>
      </c>
      <c r="V159" s="11">
        <f t="shared" si="40"/>
        <v>80.616</v>
      </c>
      <c r="W159" s="6">
        <v>4</v>
      </c>
      <c r="Y159" s="10">
        <v>68.349999999999994</v>
      </c>
      <c r="Z159" s="11">
        <f t="shared" si="41"/>
        <v>82.02</v>
      </c>
      <c r="AA159" s="6">
        <v>4</v>
      </c>
      <c r="AB159" s="1">
        <v>1.2</v>
      </c>
      <c r="AC159" s="21" t="str">
        <f t="shared" si="35"/>
        <v>23:10</v>
      </c>
      <c r="AD159" s="27" t="str">
        <f t="shared" si="28"/>
        <v/>
      </c>
      <c r="AE159" s="27" t="str">
        <f t="shared" si="36"/>
        <v/>
      </c>
      <c r="AF159" s="14">
        <f t="shared" si="37"/>
        <v>45898.375</v>
      </c>
      <c r="AG159" s="12">
        <f t="shared" si="33"/>
        <v>45898</v>
      </c>
      <c r="AH159" s="24">
        <f t="shared" si="34"/>
        <v>0.375</v>
      </c>
    </row>
    <row r="160" spans="1:34" ht="19.95" customHeight="1" x14ac:dyDescent="0.4">
      <c r="A160" s="2">
        <v>1313</v>
      </c>
      <c r="B160" s="16">
        <f>VLOOKUP(A160,[1]PLAN!$A$3:$BG$1149,18,)+VLOOKUP(A160,[1]PLAN!$A$3:$BG$1149,19,)</f>
        <v>45897.4375</v>
      </c>
      <c r="C160" s="22">
        <f t="shared" si="29"/>
        <v>45897</v>
      </c>
      <c r="D160" s="23">
        <f t="shared" si="30"/>
        <v>0.4375</v>
      </c>
      <c r="E160" s="14">
        <f>VLOOKUP(A160,[1]PLAN!$A$3:$BG$1149,54,)+VLOOKUP(A160,[1]PLAN!$A$3:$BG$1149,22,)</f>
        <v>45898.378472222219</v>
      </c>
      <c r="F160" s="12">
        <f t="shared" si="31"/>
        <v>45898</v>
      </c>
      <c r="G160" s="24">
        <f t="shared" si="32"/>
        <v>0.37847222221898846</v>
      </c>
      <c r="H160" s="14"/>
      <c r="I160" s="14"/>
      <c r="J160" s="29"/>
      <c r="K160" s="30"/>
      <c r="M160" s="17">
        <v>28.36</v>
      </c>
      <c r="N160" s="7">
        <f t="shared" si="38"/>
        <v>34.031999999999996</v>
      </c>
      <c r="O160" s="5">
        <v>4</v>
      </c>
      <c r="P160" s="3"/>
      <c r="Q160" s="5">
        <v>29.25</v>
      </c>
      <c r="R160" s="7">
        <f t="shared" si="39"/>
        <v>35.1</v>
      </c>
      <c r="S160" s="5">
        <v>4</v>
      </c>
      <c r="U160" s="10">
        <v>69.52</v>
      </c>
      <c r="V160" s="11">
        <f t="shared" si="40"/>
        <v>83.423999999999992</v>
      </c>
      <c r="W160" s="6">
        <v>3</v>
      </c>
      <c r="Y160" s="10">
        <v>69.59</v>
      </c>
      <c r="Z160" s="11">
        <f t="shared" si="41"/>
        <v>83.507999999999996</v>
      </c>
      <c r="AA160" s="6">
        <v>4</v>
      </c>
      <c r="AB160" s="1">
        <v>1.2</v>
      </c>
      <c r="AC160" s="21" t="str">
        <f t="shared" si="35"/>
        <v>22:35</v>
      </c>
      <c r="AD160" s="27" t="str">
        <f t="shared" si="28"/>
        <v/>
      </c>
      <c r="AE160" s="27" t="str">
        <f t="shared" si="36"/>
        <v/>
      </c>
      <c r="AF160" s="14">
        <f t="shared" si="37"/>
        <v>45898.378472222219</v>
      </c>
      <c r="AG160" s="12">
        <f t="shared" si="33"/>
        <v>45898</v>
      </c>
      <c r="AH160" s="24">
        <f t="shared" si="34"/>
        <v>0.37847222221898846</v>
      </c>
    </row>
    <row r="161" spans="1:34" ht="19.95" customHeight="1" x14ac:dyDescent="0.4">
      <c r="A161" s="2">
        <v>1314</v>
      </c>
      <c r="B161" s="16">
        <f>VLOOKUP(A161,[1]PLAN!$A$3:$BG$1149,18,)+VLOOKUP(A161,[1]PLAN!$A$3:$BG$1149,19,)</f>
        <v>45897.46875</v>
      </c>
      <c r="C161" s="22">
        <f t="shared" si="29"/>
        <v>45897</v>
      </c>
      <c r="D161" s="23">
        <f t="shared" si="30"/>
        <v>0.46875</v>
      </c>
      <c r="E161" s="14">
        <f>VLOOKUP(A161,[1]PLAN!$A$3:$BG$1149,54,)+VLOOKUP(A161,[1]PLAN!$A$3:$BG$1149,22,)</f>
        <v>45898.381944444445</v>
      </c>
      <c r="F161" s="12">
        <f t="shared" si="31"/>
        <v>45898</v>
      </c>
      <c r="G161" s="24">
        <f t="shared" si="32"/>
        <v>0.38194444444525288</v>
      </c>
      <c r="H161" s="14"/>
      <c r="I161" s="14"/>
      <c r="J161" s="29"/>
      <c r="K161" s="30"/>
      <c r="M161" s="17">
        <v>27.64</v>
      </c>
      <c r="N161" s="7">
        <f t="shared" si="38"/>
        <v>33.167999999999999</v>
      </c>
      <c r="O161" s="5">
        <v>4</v>
      </c>
      <c r="P161" s="3"/>
      <c r="Q161" s="5">
        <v>29.37</v>
      </c>
      <c r="R161" s="7">
        <f t="shared" si="39"/>
        <v>35.244</v>
      </c>
      <c r="S161" s="5">
        <v>4</v>
      </c>
      <c r="U161" s="10">
        <v>70.180000000000007</v>
      </c>
      <c r="V161" s="11">
        <f t="shared" si="40"/>
        <v>84.216000000000008</v>
      </c>
      <c r="W161" s="6">
        <v>4</v>
      </c>
      <c r="Y161" s="10">
        <v>70.81</v>
      </c>
      <c r="Z161" s="11">
        <f t="shared" si="41"/>
        <v>84.971999999999994</v>
      </c>
      <c r="AA161" s="6">
        <v>4</v>
      </c>
      <c r="AB161" s="1">
        <v>1.2</v>
      </c>
      <c r="AC161" s="21" t="str">
        <f t="shared" si="35"/>
        <v>21:55</v>
      </c>
      <c r="AD161" s="27" t="str">
        <f t="shared" si="28"/>
        <v/>
      </c>
      <c r="AE161" s="27" t="str">
        <f t="shared" si="36"/>
        <v/>
      </c>
      <c r="AF161" s="14">
        <f t="shared" si="37"/>
        <v>45898.381944444445</v>
      </c>
      <c r="AG161" s="12">
        <f t="shared" si="33"/>
        <v>45898</v>
      </c>
      <c r="AH161" s="24">
        <f t="shared" si="34"/>
        <v>0.38194444444525288</v>
      </c>
    </row>
    <row r="162" spans="1:34" ht="19.95" customHeight="1" x14ac:dyDescent="0.4">
      <c r="A162" s="2">
        <v>1315</v>
      </c>
      <c r="B162" s="16">
        <f>VLOOKUP(A162,[1]PLAN!$A$3:$BG$1149,18,)+VLOOKUP(A162,[1]PLAN!$A$3:$BG$1149,19,)</f>
        <v>45897.5</v>
      </c>
      <c r="C162" s="22">
        <f t="shared" si="29"/>
        <v>45897</v>
      </c>
      <c r="D162" s="23">
        <f t="shared" si="30"/>
        <v>0.5</v>
      </c>
      <c r="E162" s="14">
        <f>VLOOKUP(A162,[1]PLAN!$A$3:$BG$1149,54,)+VLOOKUP(A162,[1]PLAN!$A$3:$BG$1149,22,)</f>
        <v>45898.385416666664</v>
      </c>
      <c r="F162" s="12">
        <f t="shared" si="31"/>
        <v>45898</v>
      </c>
      <c r="G162" s="24">
        <f t="shared" si="32"/>
        <v>0.38541666666424135</v>
      </c>
      <c r="H162" s="14"/>
      <c r="I162" s="14"/>
      <c r="J162" s="29"/>
      <c r="K162" s="30"/>
      <c r="M162" s="17">
        <v>24.54</v>
      </c>
      <c r="N162" s="7">
        <f t="shared" si="38"/>
        <v>29.447999999999997</v>
      </c>
      <c r="O162" s="5">
        <v>4</v>
      </c>
      <c r="P162" s="3"/>
      <c r="Q162" s="5">
        <v>26.76</v>
      </c>
      <c r="R162" s="7">
        <f t="shared" si="39"/>
        <v>32.112000000000002</v>
      </c>
      <c r="S162" s="5">
        <v>4</v>
      </c>
      <c r="U162" s="10">
        <v>66.569999999999993</v>
      </c>
      <c r="V162" s="11">
        <f t="shared" si="40"/>
        <v>79.883999999999986</v>
      </c>
      <c r="W162" s="6">
        <v>4</v>
      </c>
      <c r="Y162" s="10">
        <v>67.349999999999994</v>
      </c>
      <c r="Z162" s="11">
        <f t="shared" si="41"/>
        <v>80.819999999999993</v>
      </c>
      <c r="AA162" s="6">
        <v>4</v>
      </c>
      <c r="AB162" s="1">
        <v>1.2</v>
      </c>
      <c r="AC162" s="21" t="str">
        <f t="shared" si="35"/>
        <v>21:15</v>
      </c>
      <c r="AD162" s="27" t="str">
        <f t="shared" si="28"/>
        <v/>
      </c>
      <c r="AE162" s="27" t="str">
        <f t="shared" si="36"/>
        <v/>
      </c>
      <c r="AF162" s="14">
        <f t="shared" si="37"/>
        <v>45898.385416666664</v>
      </c>
      <c r="AG162" s="12">
        <f t="shared" si="33"/>
        <v>45898</v>
      </c>
      <c r="AH162" s="24">
        <f t="shared" si="34"/>
        <v>0.38541666666424135</v>
      </c>
    </row>
    <row r="163" spans="1:34" ht="19.95" customHeight="1" x14ac:dyDescent="0.4">
      <c r="A163" s="2">
        <v>1316</v>
      </c>
      <c r="B163" s="16">
        <f>VLOOKUP(A163,[1]PLAN!$A$3:$BG$1149,18,)+VLOOKUP(A163,[1]PLAN!$A$3:$BG$1149,19,)</f>
        <v>45899.395833333336</v>
      </c>
      <c r="C163" s="22">
        <f t="shared" si="29"/>
        <v>45899</v>
      </c>
      <c r="D163" s="23">
        <f t="shared" si="30"/>
        <v>0.39583333333575865</v>
      </c>
      <c r="E163" s="14">
        <f>VLOOKUP(A163,[1]PLAN!$A$3:$BG$1149,54,)+VLOOKUP(A163,[1]PLAN!$A$3:$BG$1149,22,)</f>
        <v>45901.354166666664</v>
      </c>
      <c r="F163" s="12">
        <f t="shared" si="31"/>
        <v>45901</v>
      </c>
      <c r="G163" s="24">
        <f t="shared" si="32"/>
        <v>0.35416666666424135</v>
      </c>
      <c r="H163" s="14"/>
      <c r="I163" s="14"/>
      <c r="J163" s="29"/>
      <c r="K163" s="30"/>
      <c r="M163" s="17">
        <v>33.450000000000003</v>
      </c>
      <c r="N163" s="7">
        <f t="shared" si="38"/>
        <v>40.14</v>
      </c>
      <c r="O163" s="5">
        <v>4</v>
      </c>
      <c r="P163" s="3"/>
      <c r="Q163" s="5">
        <v>32.4</v>
      </c>
      <c r="R163" s="7">
        <f t="shared" si="39"/>
        <v>38.879999999999995</v>
      </c>
      <c r="S163" s="5">
        <v>4</v>
      </c>
      <c r="U163" s="10">
        <v>65.77</v>
      </c>
      <c r="V163" s="11">
        <f t="shared" si="40"/>
        <v>78.923999999999992</v>
      </c>
      <c r="W163" s="6">
        <v>4</v>
      </c>
      <c r="Y163" s="10">
        <v>66.849999999999994</v>
      </c>
      <c r="Z163" s="11">
        <f t="shared" si="41"/>
        <v>80.219999999999985</v>
      </c>
      <c r="AA163" s="6">
        <v>4</v>
      </c>
      <c r="AB163" s="1">
        <v>1.2</v>
      </c>
      <c r="AC163" s="21" t="str">
        <f t="shared" si="35"/>
        <v>47:00</v>
      </c>
      <c r="AD163" s="27" t="str">
        <f t="shared" si="28"/>
        <v/>
      </c>
      <c r="AE163" s="27" t="str">
        <f t="shared" si="36"/>
        <v/>
      </c>
      <c r="AF163" s="14">
        <f t="shared" si="37"/>
        <v>45901.354166666664</v>
      </c>
      <c r="AG163" s="12">
        <f t="shared" si="33"/>
        <v>45901</v>
      </c>
      <c r="AH163" s="24">
        <f t="shared" si="34"/>
        <v>0.35416666666424135</v>
      </c>
    </row>
    <row r="164" spans="1:34" ht="19.95" customHeight="1" x14ac:dyDescent="0.4">
      <c r="A164" s="2">
        <v>1317</v>
      </c>
      <c r="B164" s="16">
        <f>VLOOKUP(A164,[1]PLAN!$A$3:$BG$1149,18,)+VLOOKUP(A164,[1]PLAN!$A$3:$BG$1149,19,)</f>
        <v>45899.416666666664</v>
      </c>
      <c r="C164" s="22">
        <f t="shared" si="29"/>
        <v>45899</v>
      </c>
      <c r="D164" s="23">
        <f t="shared" si="30"/>
        <v>0.41666666666424135</v>
      </c>
      <c r="E164" s="14">
        <f>VLOOKUP(A164,[1]PLAN!$A$3:$BG$1149,54,)+VLOOKUP(A164,[1]PLAN!$A$3:$BG$1149,22,)</f>
        <v>45901.357638888891</v>
      </c>
      <c r="F164" s="12">
        <f t="shared" si="31"/>
        <v>45901</v>
      </c>
      <c r="G164" s="24">
        <f t="shared" si="32"/>
        <v>0.35763888889050577</v>
      </c>
      <c r="H164" s="14"/>
      <c r="I164" s="14"/>
      <c r="J164" s="29"/>
      <c r="K164" s="30"/>
      <c r="M164" s="17">
        <v>36.340000000000003</v>
      </c>
      <c r="N164" s="7">
        <f t="shared" si="38"/>
        <v>43.608000000000004</v>
      </c>
      <c r="O164" s="5">
        <v>4</v>
      </c>
      <c r="P164" s="3"/>
      <c r="Q164" s="5">
        <v>36.14</v>
      </c>
      <c r="R164" s="7">
        <f t="shared" si="39"/>
        <v>43.368000000000002</v>
      </c>
      <c r="S164" s="5">
        <v>4</v>
      </c>
      <c r="U164" s="10">
        <v>69.680000000000007</v>
      </c>
      <c r="V164" s="11">
        <f t="shared" si="40"/>
        <v>83.616</v>
      </c>
      <c r="W164" s="6">
        <v>4</v>
      </c>
      <c r="Y164" s="10">
        <v>68.819999999999993</v>
      </c>
      <c r="Z164" s="11">
        <f t="shared" si="41"/>
        <v>82.583999999999989</v>
      </c>
      <c r="AA164" s="6">
        <v>4</v>
      </c>
      <c r="AB164" s="1">
        <v>1.2</v>
      </c>
      <c r="AC164" s="21" t="str">
        <f t="shared" si="35"/>
        <v>46:35</v>
      </c>
      <c r="AD164" s="27" t="str">
        <f t="shared" si="28"/>
        <v/>
      </c>
      <c r="AE164" s="27" t="str">
        <f t="shared" si="36"/>
        <v/>
      </c>
      <c r="AF164" s="14">
        <f t="shared" si="37"/>
        <v>45901.357638888891</v>
      </c>
      <c r="AG164" s="12">
        <f t="shared" si="33"/>
        <v>45901</v>
      </c>
      <c r="AH164" s="24">
        <f t="shared" si="34"/>
        <v>0.35763888889050577</v>
      </c>
    </row>
    <row r="165" spans="1:34" ht="19.95" customHeight="1" x14ac:dyDescent="0.4">
      <c r="A165" s="2">
        <v>1318</v>
      </c>
      <c r="B165" s="16">
        <f>VLOOKUP(A165,[1]PLAN!$A$3:$BG$1149,18,)+VLOOKUP(A165,[1]PLAN!$A$3:$BG$1149,19,)</f>
        <v>45899.458333333336</v>
      </c>
      <c r="C165" s="22">
        <f t="shared" si="29"/>
        <v>45899</v>
      </c>
      <c r="D165" s="23">
        <f t="shared" si="30"/>
        <v>0.45833333333575865</v>
      </c>
      <c r="E165" s="14">
        <f>VLOOKUP(A165,[1]PLAN!$A$3:$BG$1149,54,)+VLOOKUP(A165,[1]PLAN!$A$3:$BG$1149,22,)</f>
        <v>45901.361111111109</v>
      </c>
      <c r="F165" s="12">
        <f t="shared" si="31"/>
        <v>45901</v>
      </c>
      <c r="G165" s="24">
        <f t="shared" si="32"/>
        <v>0.36111111110949423</v>
      </c>
      <c r="H165" s="14"/>
      <c r="I165" s="14"/>
      <c r="J165" s="29"/>
      <c r="K165" s="30"/>
      <c r="M165" s="17">
        <v>35.94</v>
      </c>
      <c r="N165" s="7">
        <f t="shared" si="38"/>
        <v>43.127999999999993</v>
      </c>
      <c r="O165" s="5">
        <v>4</v>
      </c>
      <c r="P165" s="3"/>
      <c r="Q165" s="5">
        <v>37.39</v>
      </c>
      <c r="R165" s="7">
        <f t="shared" si="39"/>
        <v>44.868000000000002</v>
      </c>
      <c r="S165" s="5">
        <v>4</v>
      </c>
      <c r="U165" s="10">
        <v>68.91</v>
      </c>
      <c r="V165" s="11">
        <f t="shared" si="40"/>
        <v>82.691999999999993</v>
      </c>
      <c r="W165" s="6">
        <v>4</v>
      </c>
      <c r="Y165" s="10">
        <v>69.52</v>
      </c>
      <c r="Z165" s="11">
        <f t="shared" si="41"/>
        <v>83.423999999999992</v>
      </c>
      <c r="AA165" s="6">
        <v>4</v>
      </c>
      <c r="AB165" s="1">
        <v>1.2</v>
      </c>
      <c r="AC165" s="21" t="str">
        <f t="shared" si="35"/>
        <v>45:40</v>
      </c>
      <c r="AD165" s="27" t="str">
        <f t="shared" si="28"/>
        <v/>
      </c>
      <c r="AE165" s="27" t="str">
        <f t="shared" si="36"/>
        <v/>
      </c>
      <c r="AF165" s="14">
        <f t="shared" si="37"/>
        <v>45901.361111111109</v>
      </c>
      <c r="AG165" s="12">
        <f t="shared" si="33"/>
        <v>45901</v>
      </c>
      <c r="AH165" s="24">
        <f t="shared" si="34"/>
        <v>0.36111111110949423</v>
      </c>
    </row>
    <row r="166" spans="1:34" ht="19.95" customHeight="1" x14ac:dyDescent="0.4">
      <c r="A166" s="2">
        <v>1319</v>
      </c>
      <c r="B166" s="16">
        <f>VLOOKUP(A166,[1]PLAN!$A$3:$BG$1149,18,)+VLOOKUP(A166,[1]PLAN!$A$3:$BG$1149,19,)</f>
        <v>45899.520833333336</v>
      </c>
      <c r="C166" s="22">
        <f t="shared" si="29"/>
        <v>45899</v>
      </c>
      <c r="D166" s="23">
        <f t="shared" si="30"/>
        <v>0.52083333333575865</v>
      </c>
      <c r="E166" s="14">
        <f>VLOOKUP(A166,[1]PLAN!$A$3:$BG$1149,54,)+VLOOKUP(A166,[1]PLAN!$A$3:$BG$1149,22,)</f>
        <v>45901.364583333336</v>
      </c>
      <c r="F166" s="12">
        <f t="shared" si="31"/>
        <v>45901</v>
      </c>
      <c r="G166" s="24">
        <f t="shared" si="32"/>
        <v>0.36458333333575865</v>
      </c>
      <c r="H166" s="14"/>
      <c r="I166" s="14"/>
      <c r="J166" s="29"/>
      <c r="K166" s="30"/>
      <c r="M166" s="17">
        <v>35.299999999999997</v>
      </c>
      <c r="N166" s="7">
        <f t="shared" si="38"/>
        <v>42.359999999999992</v>
      </c>
      <c r="O166" s="5">
        <v>4</v>
      </c>
      <c r="P166" s="3"/>
      <c r="Q166" s="5">
        <v>35.33</v>
      </c>
      <c r="R166" s="7">
        <f t="shared" si="39"/>
        <v>42.395999999999994</v>
      </c>
      <c r="S166" s="5">
        <v>4</v>
      </c>
      <c r="U166" s="10">
        <v>67.38</v>
      </c>
      <c r="V166" s="11">
        <f t="shared" si="40"/>
        <v>80.855999999999995</v>
      </c>
      <c r="W166" s="6">
        <v>4</v>
      </c>
      <c r="Y166" s="10">
        <v>68.45</v>
      </c>
      <c r="Z166" s="11">
        <f t="shared" si="41"/>
        <v>82.14</v>
      </c>
      <c r="AA166" s="6">
        <v>4</v>
      </c>
      <c r="AB166" s="1">
        <v>1.2</v>
      </c>
      <c r="AC166" s="21" t="str">
        <f t="shared" si="35"/>
        <v>44:15</v>
      </c>
      <c r="AD166" s="27" t="str">
        <f t="shared" si="28"/>
        <v/>
      </c>
      <c r="AE166" s="27" t="str">
        <f t="shared" si="36"/>
        <v/>
      </c>
      <c r="AF166" s="14">
        <f t="shared" si="37"/>
        <v>45901.364583333336</v>
      </c>
      <c r="AG166" s="12">
        <f t="shared" si="33"/>
        <v>45901</v>
      </c>
      <c r="AH166" s="24">
        <f t="shared" si="34"/>
        <v>0.36458333333575865</v>
      </c>
    </row>
    <row r="167" spans="1:34" ht="19.95" customHeight="1" x14ac:dyDescent="0.4">
      <c r="A167" s="2">
        <v>1320</v>
      </c>
      <c r="B167" s="16">
        <f>VLOOKUP(A167,[1]PLAN!$A$3:$BG$1149,18,)+VLOOKUP(A167,[1]PLAN!$A$3:$BG$1149,19,)</f>
        <v>45899.5625</v>
      </c>
      <c r="C167" s="22">
        <f t="shared" si="29"/>
        <v>45899</v>
      </c>
      <c r="D167" s="23">
        <f t="shared" si="30"/>
        <v>0.5625</v>
      </c>
      <c r="E167" s="14">
        <f>VLOOKUP(A167,[1]PLAN!$A$3:$BG$1149,54,)+VLOOKUP(A167,[1]PLAN!$A$3:$BG$1149,22,)</f>
        <v>45901.375</v>
      </c>
      <c r="F167" s="12">
        <f t="shared" si="31"/>
        <v>45901</v>
      </c>
      <c r="G167" s="24">
        <f t="shared" si="32"/>
        <v>0.375</v>
      </c>
      <c r="H167" s="14"/>
      <c r="I167" s="14"/>
      <c r="J167" s="29"/>
      <c r="K167" s="30"/>
      <c r="M167" s="17">
        <v>39.950000000000003</v>
      </c>
      <c r="N167" s="7">
        <f t="shared" si="38"/>
        <v>47.940000000000005</v>
      </c>
      <c r="O167" s="5">
        <v>4</v>
      </c>
      <c r="P167" s="3"/>
      <c r="Q167" s="5">
        <v>38.07</v>
      </c>
      <c r="R167" s="7">
        <f t="shared" si="39"/>
        <v>45.683999999999997</v>
      </c>
      <c r="S167" s="5">
        <v>4</v>
      </c>
      <c r="U167" s="10">
        <v>70.34</v>
      </c>
      <c r="V167" s="11">
        <f t="shared" si="40"/>
        <v>84.408000000000001</v>
      </c>
      <c r="W167" s="6">
        <v>3</v>
      </c>
      <c r="Y167" s="10">
        <v>70.349999999999994</v>
      </c>
      <c r="Z167" s="11">
        <f t="shared" si="41"/>
        <v>84.419999999999987</v>
      </c>
      <c r="AA167" s="6">
        <v>4</v>
      </c>
      <c r="AB167" s="1">
        <v>1.2</v>
      </c>
      <c r="AC167" s="21" t="str">
        <f t="shared" si="35"/>
        <v>43:30</v>
      </c>
      <c r="AD167" s="27" t="str">
        <f t="shared" si="28"/>
        <v/>
      </c>
      <c r="AE167" s="27" t="str">
        <f t="shared" si="36"/>
        <v/>
      </c>
      <c r="AF167" s="14">
        <f t="shared" si="37"/>
        <v>45901.375</v>
      </c>
      <c r="AG167" s="12">
        <f t="shared" si="33"/>
        <v>45901</v>
      </c>
      <c r="AH167" s="24">
        <f t="shared" si="34"/>
        <v>0.375</v>
      </c>
    </row>
    <row r="168" spans="1:34" ht="19.95" customHeight="1" x14ac:dyDescent="0.4">
      <c r="A168" s="2">
        <v>1321</v>
      </c>
      <c r="B168" s="16">
        <f>VLOOKUP(A168,[1]PLAN!$A$3:$BG$1149,18,)+VLOOKUP(A168,[1]PLAN!$A$3:$BG$1149,19,)</f>
        <v>45899.583333333336</v>
      </c>
      <c r="C168" s="22">
        <f t="shared" si="29"/>
        <v>45899</v>
      </c>
      <c r="D168" s="23">
        <f t="shared" si="30"/>
        <v>0.58333333333575865</v>
      </c>
      <c r="E168" s="14">
        <f>VLOOKUP(A168,[1]PLAN!$A$3:$BG$1149,54,)+VLOOKUP(A168,[1]PLAN!$A$3:$BG$1149,22,)</f>
        <v>45901.378472222219</v>
      </c>
      <c r="F168" s="12">
        <f t="shared" si="31"/>
        <v>45901</v>
      </c>
      <c r="G168" s="24">
        <f t="shared" si="32"/>
        <v>0.37847222221898846</v>
      </c>
      <c r="H168" s="14"/>
      <c r="I168" s="14"/>
      <c r="J168" s="29"/>
      <c r="K168" s="30"/>
      <c r="M168" s="17">
        <v>31.11</v>
      </c>
      <c r="N168" s="7">
        <f t="shared" si="38"/>
        <v>37.332000000000001</v>
      </c>
      <c r="O168" s="5">
        <v>4</v>
      </c>
      <c r="P168" s="3"/>
      <c r="Q168" s="5">
        <v>33.18</v>
      </c>
      <c r="R168" s="7">
        <f t="shared" si="39"/>
        <v>39.815999999999995</v>
      </c>
      <c r="S168" s="5">
        <v>4</v>
      </c>
      <c r="U168" s="10">
        <v>69.849999999999994</v>
      </c>
      <c r="V168" s="11">
        <f t="shared" si="40"/>
        <v>83.82</v>
      </c>
      <c r="W168" s="6">
        <v>4</v>
      </c>
      <c r="Y168" s="10">
        <v>70.23</v>
      </c>
      <c r="Z168" s="11">
        <f t="shared" si="41"/>
        <v>84.275999999999996</v>
      </c>
      <c r="AA168" s="6">
        <v>4</v>
      </c>
      <c r="AB168" s="1">
        <v>1.2</v>
      </c>
      <c r="AC168" s="21" t="str">
        <f t="shared" si="35"/>
        <v>43:05</v>
      </c>
      <c r="AD168" s="27" t="str">
        <f t="shared" si="28"/>
        <v/>
      </c>
      <c r="AE168" s="27" t="str">
        <f t="shared" si="36"/>
        <v/>
      </c>
      <c r="AF168" s="14">
        <f t="shared" si="37"/>
        <v>45901.378472222219</v>
      </c>
      <c r="AG168" s="12">
        <f t="shared" si="33"/>
        <v>45901</v>
      </c>
      <c r="AH168" s="24">
        <f t="shared" si="34"/>
        <v>0.37847222221898846</v>
      </c>
    </row>
    <row r="169" spans="1:34" ht="19.95" customHeight="1" x14ac:dyDescent="0.4">
      <c r="A169" s="2">
        <v>1322</v>
      </c>
      <c r="B169" s="16">
        <f>VLOOKUP(A169,[1]PLAN!$A$3:$BG$1149,18,)+VLOOKUP(A169,[1]PLAN!$A$3:$BG$1149,19,)</f>
        <v>45899.625</v>
      </c>
      <c r="C169" s="22">
        <f t="shared" si="29"/>
        <v>45899</v>
      </c>
      <c r="D169" s="23">
        <f t="shared" si="30"/>
        <v>0.625</v>
      </c>
      <c r="E169" s="14">
        <f>VLOOKUP(A169,[1]PLAN!$A$3:$BG$1149,54,)+VLOOKUP(A169,[1]PLAN!$A$3:$BG$1149,22,)</f>
        <v>45901.381944444445</v>
      </c>
      <c r="F169" s="12">
        <f t="shared" si="31"/>
        <v>45901</v>
      </c>
      <c r="G169" s="24">
        <f t="shared" si="32"/>
        <v>0.38194444444525288</v>
      </c>
      <c r="H169" s="14"/>
      <c r="I169" s="14"/>
      <c r="J169" s="29"/>
      <c r="K169" s="30"/>
      <c r="M169" s="17">
        <v>29.52</v>
      </c>
      <c r="N169" s="7">
        <f t="shared" si="38"/>
        <v>35.423999999999999</v>
      </c>
      <c r="O169" s="5">
        <v>4</v>
      </c>
      <c r="P169" s="3"/>
      <c r="Q169" s="5">
        <v>30.19</v>
      </c>
      <c r="R169" s="7">
        <f t="shared" si="39"/>
        <v>36.228000000000002</v>
      </c>
      <c r="S169" s="5">
        <v>4</v>
      </c>
      <c r="U169" s="10">
        <v>70.33</v>
      </c>
      <c r="V169" s="11">
        <f t="shared" si="40"/>
        <v>84.396000000000001</v>
      </c>
      <c r="W169" s="6">
        <v>4</v>
      </c>
      <c r="Y169" s="10">
        <v>70.540000000000006</v>
      </c>
      <c r="Z169" s="11">
        <f t="shared" si="41"/>
        <v>84.64800000000001</v>
      </c>
      <c r="AA169" s="6">
        <v>4</v>
      </c>
      <c r="AB169" s="1">
        <v>1.2</v>
      </c>
      <c r="AC169" s="21" t="str">
        <f t="shared" si="35"/>
        <v>42:10</v>
      </c>
      <c r="AD169" s="27" t="str">
        <f t="shared" si="28"/>
        <v/>
      </c>
      <c r="AE169" s="27" t="str">
        <f t="shared" si="36"/>
        <v/>
      </c>
      <c r="AF169" s="14">
        <f t="shared" si="37"/>
        <v>45901.381944444445</v>
      </c>
      <c r="AG169" s="12">
        <f t="shared" si="33"/>
        <v>45901</v>
      </c>
      <c r="AH169" s="24">
        <f t="shared" si="34"/>
        <v>0.38194444444525288</v>
      </c>
    </row>
    <row r="170" spans="1:34" ht="19.95" customHeight="1" x14ac:dyDescent="0.4">
      <c r="A170" s="2">
        <v>1323</v>
      </c>
      <c r="B170" s="16">
        <f>VLOOKUP(A170,[1]PLAN!$A$3:$BG$1149,18,)+VLOOKUP(A170,[1]PLAN!$A$3:$BG$1149,19,)</f>
        <v>45899.666666666664</v>
      </c>
      <c r="C170" s="22">
        <f t="shared" si="29"/>
        <v>45899</v>
      </c>
      <c r="D170" s="23">
        <f t="shared" si="30"/>
        <v>0.66666666666424135</v>
      </c>
      <c r="E170" s="14">
        <f>VLOOKUP(A170,[1]PLAN!$A$3:$BG$1149,54,)+VLOOKUP(A170,[1]PLAN!$A$3:$BG$1149,22,)</f>
        <v>45901.385416666664</v>
      </c>
      <c r="F170" s="12">
        <f t="shared" si="31"/>
        <v>45901</v>
      </c>
      <c r="G170" s="24">
        <f t="shared" si="32"/>
        <v>0.38541666666424135</v>
      </c>
      <c r="H170" s="14"/>
      <c r="I170" s="14"/>
      <c r="J170" s="29"/>
      <c r="K170" s="30"/>
      <c r="M170" s="17">
        <v>29.66</v>
      </c>
      <c r="N170" s="7">
        <f t="shared" si="38"/>
        <v>35.591999999999999</v>
      </c>
      <c r="O170" s="5">
        <v>4</v>
      </c>
      <c r="P170" s="3"/>
      <c r="Q170" s="5">
        <v>30.88</v>
      </c>
      <c r="R170" s="7">
        <f t="shared" si="39"/>
        <v>37.055999999999997</v>
      </c>
      <c r="S170" s="5">
        <v>4</v>
      </c>
      <c r="U170" s="10">
        <v>65.53</v>
      </c>
      <c r="V170" s="11">
        <f t="shared" si="40"/>
        <v>78.635999999999996</v>
      </c>
      <c r="W170" s="6">
        <v>4</v>
      </c>
      <c r="Y170" s="10">
        <v>65.12</v>
      </c>
      <c r="Z170" s="11">
        <f t="shared" si="41"/>
        <v>78.144000000000005</v>
      </c>
      <c r="AA170" s="6">
        <v>4</v>
      </c>
      <c r="AB170" s="1">
        <v>1.2</v>
      </c>
      <c r="AC170" s="21" t="str">
        <f t="shared" si="35"/>
        <v>41:15</v>
      </c>
      <c r="AD170" s="27" t="str">
        <f t="shared" ref="AD170:AD233" si="42">IF(H170="","",TEXT(H170-B170,"[hh]:mm"))</f>
        <v/>
      </c>
      <c r="AE170" s="27" t="str">
        <f t="shared" si="36"/>
        <v/>
      </c>
      <c r="AF170" s="14">
        <f t="shared" si="37"/>
        <v>45901.385416666664</v>
      </c>
      <c r="AG170" s="12">
        <f t="shared" si="33"/>
        <v>45901</v>
      </c>
      <c r="AH170" s="24">
        <f t="shared" si="34"/>
        <v>0.38541666666424135</v>
      </c>
    </row>
    <row r="171" spans="1:34" ht="19.95" customHeight="1" x14ac:dyDescent="0.4">
      <c r="A171" s="2">
        <v>1324</v>
      </c>
      <c r="B171" s="16">
        <f>VLOOKUP(A171,[1]PLAN!$A$3:$BG$1149,18,)+VLOOKUP(A171,[1]PLAN!$A$3:$BG$1149,19,)</f>
        <v>45902.625</v>
      </c>
      <c r="C171" s="22">
        <f t="shared" si="29"/>
        <v>45902</v>
      </c>
      <c r="D171" s="23">
        <f t="shared" si="30"/>
        <v>0.625</v>
      </c>
      <c r="E171" s="14">
        <f>VLOOKUP(A171,[1]PLAN!$A$3:$BG$1149,54,)+VLOOKUP(A171,[1]PLAN!$A$3:$BG$1149,22,)</f>
        <v>45903.416666666664</v>
      </c>
      <c r="F171" s="12">
        <f t="shared" si="31"/>
        <v>45903</v>
      </c>
      <c r="G171" s="24">
        <f t="shared" si="32"/>
        <v>0.41666666666424135</v>
      </c>
      <c r="H171" s="14"/>
      <c r="I171" s="14"/>
      <c r="J171" s="29"/>
      <c r="K171" s="30"/>
      <c r="M171" s="17">
        <v>28.43</v>
      </c>
      <c r="N171" s="7">
        <f t="shared" si="38"/>
        <v>34.116</v>
      </c>
      <c r="O171" s="5">
        <v>4</v>
      </c>
      <c r="P171" s="3"/>
      <c r="Q171" s="5">
        <v>29</v>
      </c>
      <c r="R171" s="7">
        <f t="shared" si="39"/>
        <v>34.799999999999997</v>
      </c>
      <c r="S171" s="5">
        <v>4</v>
      </c>
      <c r="U171" s="10">
        <v>69.84</v>
      </c>
      <c r="V171" s="11">
        <f t="shared" si="40"/>
        <v>83.808000000000007</v>
      </c>
      <c r="W171" s="6">
        <v>4</v>
      </c>
      <c r="Y171" s="10">
        <v>68.56</v>
      </c>
      <c r="Z171" s="11">
        <f t="shared" si="41"/>
        <v>82.272000000000006</v>
      </c>
      <c r="AA171" s="6">
        <v>4</v>
      </c>
      <c r="AB171" s="1">
        <v>1.2</v>
      </c>
      <c r="AC171" s="21" t="str">
        <f t="shared" si="35"/>
        <v>19:00</v>
      </c>
      <c r="AD171" s="27" t="str">
        <f t="shared" si="42"/>
        <v/>
      </c>
      <c r="AE171" s="27" t="str">
        <f t="shared" si="36"/>
        <v/>
      </c>
      <c r="AF171" s="14">
        <f t="shared" si="37"/>
        <v>45903.416666666664</v>
      </c>
      <c r="AG171" s="12">
        <f t="shared" si="33"/>
        <v>45903</v>
      </c>
      <c r="AH171" s="24">
        <f t="shared" si="34"/>
        <v>0.41666666666424135</v>
      </c>
    </row>
    <row r="172" spans="1:34" ht="19.95" customHeight="1" x14ac:dyDescent="0.4">
      <c r="A172" s="2">
        <v>1325</v>
      </c>
      <c r="B172" s="16">
        <f>VLOOKUP(A172,[1]PLAN!$A$3:$BG$1149,18,)+VLOOKUP(A172,[1]PLAN!$A$3:$BG$1149,19,)</f>
        <v>45904.416666666664</v>
      </c>
      <c r="C172" s="22">
        <f t="shared" si="29"/>
        <v>45904</v>
      </c>
      <c r="D172" s="23">
        <f t="shared" si="30"/>
        <v>0.41666666666424135</v>
      </c>
      <c r="E172" s="14">
        <f>VLOOKUP(A172,[1]PLAN!$A$3:$BG$1149,54,)+VLOOKUP(A172,[1]PLAN!$A$3:$BG$1149,22,)</f>
        <v>45905.333333333336</v>
      </c>
      <c r="F172" s="12">
        <f t="shared" si="31"/>
        <v>45905</v>
      </c>
      <c r="G172" s="24">
        <f t="shared" si="32"/>
        <v>0.33333333333575865</v>
      </c>
      <c r="H172" s="14"/>
      <c r="I172" s="14"/>
      <c r="J172" s="29"/>
      <c r="K172" s="30"/>
      <c r="M172" s="17">
        <v>26.92</v>
      </c>
      <c r="N172" s="7">
        <f t="shared" si="38"/>
        <v>32.304000000000002</v>
      </c>
      <c r="O172" s="5">
        <v>4</v>
      </c>
      <c r="P172" s="3"/>
      <c r="Q172" s="5">
        <v>28.18</v>
      </c>
      <c r="R172" s="7">
        <f t="shared" si="39"/>
        <v>33.815999999999995</v>
      </c>
      <c r="S172" s="5">
        <v>4</v>
      </c>
      <c r="U172" s="10">
        <v>70.48</v>
      </c>
      <c r="V172" s="11">
        <f t="shared" si="40"/>
        <v>84.576000000000008</v>
      </c>
      <c r="W172" s="6">
        <v>4</v>
      </c>
      <c r="Y172" s="10">
        <v>70.98</v>
      </c>
      <c r="Z172" s="11">
        <f t="shared" si="41"/>
        <v>85.176000000000002</v>
      </c>
      <c r="AA172" s="6">
        <v>4</v>
      </c>
      <c r="AB172" s="1">
        <v>1.2</v>
      </c>
      <c r="AC172" s="21" t="str">
        <f t="shared" si="35"/>
        <v>22:00</v>
      </c>
      <c r="AD172" s="27" t="str">
        <f t="shared" si="42"/>
        <v/>
      </c>
      <c r="AE172" s="27" t="str">
        <f t="shared" si="36"/>
        <v/>
      </c>
      <c r="AF172" s="14">
        <f t="shared" si="37"/>
        <v>45905.333333333336</v>
      </c>
      <c r="AG172" s="12">
        <f t="shared" si="33"/>
        <v>45905</v>
      </c>
      <c r="AH172" s="24">
        <f t="shared" si="34"/>
        <v>0.33333333333575865</v>
      </c>
    </row>
    <row r="173" spans="1:34" ht="19.95" customHeight="1" x14ac:dyDescent="0.4">
      <c r="A173" s="2">
        <v>1326</v>
      </c>
      <c r="B173" s="16">
        <f>VLOOKUP(A173,[1]PLAN!$A$3:$BG$1149,18,)+VLOOKUP(A173,[1]PLAN!$A$3:$BG$1149,19,)</f>
        <v>45904.451388888891</v>
      </c>
      <c r="C173" s="22">
        <f t="shared" si="29"/>
        <v>45904</v>
      </c>
      <c r="D173" s="23">
        <f t="shared" si="30"/>
        <v>0.45138888889050577</v>
      </c>
      <c r="E173" s="14">
        <f>VLOOKUP(A173,[1]PLAN!$A$3:$BG$1149,54,)+VLOOKUP(A173,[1]PLAN!$A$3:$BG$1149,22,)</f>
        <v>45905.336805555555</v>
      </c>
      <c r="F173" s="12">
        <f t="shared" si="31"/>
        <v>45905</v>
      </c>
      <c r="G173" s="24">
        <f t="shared" si="32"/>
        <v>0.33680555555474712</v>
      </c>
      <c r="H173" s="14"/>
      <c r="I173" s="14"/>
      <c r="J173" s="29"/>
      <c r="K173" s="30"/>
      <c r="M173" s="17">
        <v>27.5</v>
      </c>
      <c r="N173" s="7">
        <f t="shared" si="38"/>
        <v>33</v>
      </c>
      <c r="O173" s="5">
        <v>4</v>
      </c>
      <c r="P173" s="3"/>
      <c r="Q173" s="5">
        <v>29.2</v>
      </c>
      <c r="R173" s="7">
        <f t="shared" si="39"/>
        <v>35.04</v>
      </c>
      <c r="S173" s="5">
        <v>4</v>
      </c>
      <c r="U173" s="10">
        <v>70.78</v>
      </c>
      <c r="V173" s="11">
        <f t="shared" si="40"/>
        <v>84.935999999999993</v>
      </c>
      <c r="W173" s="6">
        <v>4</v>
      </c>
      <c r="Y173" s="10">
        <v>70.56</v>
      </c>
      <c r="Z173" s="11">
        <f t="shared" si="41"/>
        <v>84.671999999999997</v>
      </c>
      <c r="AA173" s="6">
        <v>4</v>
      </c>
      <c r="AB173" s="1">
        <v>1.2</v>
      </c>
      <c r="AC173" s="21" t="str">
        <f t="shared" si="35"/>
        <v>21:15</v>
      </c>
      <c r="AD173" s="27" t="str">
        <f t="shared" si="42"/>
        <v/>
      </c>
      <c r="AE173" s="27" t="str">
        <f t="shared" si="36"/>
        <v/>
      </c>
      <c r="AF173" s="14">
        <f t="shared" si="37"/>
        <v>45905.336805555555</v>
      </c>
      <c r="AG173" s="12">
        <f t="shared" si="33"/>
        <v>45905</v>
      </c>
      <c r="AH173" s="24">
        <f t="shared" si="34"/>
        <v>0.33680555555474712</v>
      </c>
    </row>
    <row r="174" spans="1:34" ht="19.95" customHeight="1" x14ac:dyDescent="0.4">
      <c r="A174" s="2">
        <v>1327</v>
      </c>
      <c r="B174" s="16">
        <f>VLOOKUP(A174,[1]PLAN!$A$3:$BG$1149,18,)+VLOOKUP(A174,[1]PLAN!$A$3:$BG$1149,19,)</f>
        <v>45904.465277777781</v>
      </c>
      <c r="C174" s="22">
        <f t="shared" si="29"/>
        <v>45904</v>
      </c>
      <c r="D174" s="23">
        <f t="shared" si="30"/>
        <v>0.46527777778101154</v>
      </c>
      <c r="E174" s="14">
        <f>VLOOKUP(A174,[1]PLAN!$A$3:$BG$1149,54,)+VLOOKUP(A174,[1]PLAN!$A$3:$BG$1149,22,)</f>
        <v>45905.340277777781</v>
      </c>
      <c r="F174" s="12">
        <f t="shared" si="31"/>
        <v>45905</v>
      </c>
      <c r="G174" s="24">
        <f t="shared" si="32"/>
        <v>0.34027777778101154</v>
      </c>
      <c r="H174" s="14"/>
      <c r="I174" s="14"/>
      <c r="J174" s="29"/>
      <c r="K174" s="30"/>
      <c r="M174" s="17">
        <v>25.73</v>
      </c>
      <c r="N174" s="7">
        <f t="shared" si="38"/>
        <v>30.875999999999998</v>
      </c>
      <c r="O174" s="5">
        <v>4</v>
      </c>
      <c r="P174" s="3"/>
      <c r="Q174" s="5">
        <v>24.57</v>
      </c>
      <c r="R174" s="7">
        <f t="shared" si="39"/>
        <v>29.483999999999998</v>
      </c>
      <c r="S174" s="5">
        <v>4</v>
      </c>
      <c r="U174" s="10">
        <v>70.430000000000007</v>
      </c>
      <c r="V174" s="11">
        <f t="shared" si="40"/>
        <v>84.516000000000005</v>
      </c>
      <c r="W174" s="6">
        <v>4</v>
      </c>
      <c r="Y174" s="10">
        <v>69.650000000000006</v>
      </c>
      <c r="Z174" s="11">
        <f t="shared" si="41"/>
        <v>83.58</v>
      </c>
      <c r="AA174" s="6">
        <v>4</v>
      </c>
      <c r="AB174" s="1">
        <v>1.2</v>
      </c>
      <c r="AC174" s="21" t="str">
        <f t="shared" si="35"/>
        <v>21:00</v>
      </c>
      <c r="AD174" s="27" t="str">
        <f t="shared" si="42"/>
        <v/>
      </c>
      <c r="AE174" s="27" t="str">
        <f t="shared" si="36"/>
        <v/>
      </c>
      <c r="AF174" s="14">
        <f t="shared" si="37"/>
        <v>45905.340277777781</v>
      </c>
      <c r="AG174" s="12">
        <f t="shared" si="33"/>
        <v>45905</v>
      </c>
      <c r="AH174" s="24">
        <f t="shared" si="34"/>
        <v>0.34027777778101154</v>
      </c>
    </row>
    <row r="175" spans="1:34" ht="19.95" customHeight="1" x14ac:dyDescent="0.4">
      <c r="A175" s="2">
        <v>1328</v>
      </c>
      <c r="B175" s="16">
        <f>VLOOKUP(A175,[1]PLAN!$A$3:$BG$1149,18,)+VLOOKUP(A175,[1]PLAN!$A$3:$BG$1149,19,)</f>
        <v>45904.5</v>
      </c>
      <c r="C175" s="22">
        <f t="shared" si="29"/>
        <v>45904</v>
      </c>
      <c r="D175" s="23">
        <f t="shared" si="30"/>
        <v>0.5</v>
      </c>
      <c r="E175" s="14">
        <f>VLOOKUP(A175,[1]PLAN!$A$3:$BG$1149,54,)+VLOOKUP(A175,[1]PLAN!$A$3:$BG$1149,22,)</f>
        <v>45905.34375</v>
      </c>
      <c r="F175" s="12">
        <f t="shared" si="31"/>
        <v>45905</v>
      </c>
      <c r="G175" s="24">
        <f t="shared" si="32"/>
        <v>0.34375</v>
      </c>
      <c r="H175" s="14"/>
      <c r="I175" s="14"/>
      <c r="J175" s="29"/>
      <c r="K175" s="30"/>
      <c r="M175" s="17">
        <v>26.66</v>
      </c>
      <c r="N175" s="7">
        <f t="shared" si="38"/>
        <v>31.991999999999997</v>
      </c>
      <c r="O175" s="5">
        <v>4</v>
      </c>
      <c r="P175" s="3"/>
      <c r="Q175" s="5">
        <v>24.38</v>
      </c>
      <c r="R175" s="7">
        <f t="shared" si="39"/>
        <v>29.255999999999997</v>
      </c>
      <c r="S175" s="5">
        <v>4</v>
      </c>
      <c r="U175" s="10">
        <v>69.989999999999995</v>
      </c>
      <c r="V175" s="11">
        <f t="shared" si="40"/>
        <v>83.987999999999985</v>
      </c>
      <c r="W175" s="6">
        <v>4</v>
      </c>
      <c r="Y175" s="10">
        <v>69.540000000000006</v>
      </c>
      <c r="Z175" s="11">
        <f t="shared" si="41"/>
        <v>83.448000000000008</v>
      </c>
      <c r="AA175" s="6">
        <v>4</v>
      </c>
      <c r="AB175" s="1">
        <v>1.2</v>
      </c>
      <c r="AC175" s="21" t="str">
        <f t="shared" si="35"/>
        <v>20:15</v>
      </c>
      <c r="AD175" s="27" t="str">
        <f t="shared" si="42"/>
        <v/>
      </c>
      <c r="AE175" s="27" t="str">
        <f t="shared" si="36"/>
        <v/>
      </c>
      <c r="AF175" s="14">
        <f t="shared" si="37"/>
        <v>45905.34375</v>
      </c>
      <c r="AG175" s="12">
        <f t="shared" si="33"/>
        <v>45905</v>
      </c>
      <c r="AH175" s="24">
        <f t="shared" si="34"/>
        <v>0.34375</v>
      </c>
    </row>
    <row r="176" spans="1:34" ht="19.95" customHeight="1" x14ac:dyDescent="0.4">
      <c r="A176" s="2">
        <v>1329</v>
      </c>
      <c r="B176" s="16">
        <f>VLOOKUP(A176,[1]PLAN!$A$3:$BG$1149,18,)+VLOOKUP(A176,[1]PLAN!$A$3:$BG$1149,19,)</f>
        <v>45904.625</v>
      </c>
      <c r="C176" s="22">
        <f t="shared" si="29"/>
        <v>45904</v>
      </c>
      <c r="D176" s="23">
        <f t="shared" si="30"/>
        <v>0.625</v>
      </c>
      <c r="E176" s="14">
        <f>VLOOKUP(A176,[1]PLAN!$A$3:$BG$1149,54,)+VLOOKUP(A176,[1]PLAN!$A$3:$BG$1149,22,)</f>
        <v>45905.368055555555</v>
      </c>
      <c r="F176" s="12">
        <f t="shared" si="31"/>
        <v>45905</v>
      </c>
      <c r="G176" s="24">
        <f t="shared" si="32"/>
        <v>0.36805555555474712</v>
      </c>
      <c r="H176" s="14"/>
      <c r="I176" s="14"/>
      <c r="J176" s="29"/>
      <c r="K176" s="30"/>
      <c r="M176" s="17">
        <v>21.18</v>
      </c>
      <c r="N176" s="7">
        <f t="shared" si="38"/>
        <v>25.416</v>
      </c>
      <c r="O176" s="5">
        <v>4</v>
      </c>
      <c r="P176" s="3"/>
      <c r="Q176" s="5">
        <v>20.43</v>
      </c>
      <c r="R176" s="7">
        <f t="shared" si="39"/>
        <v>24.515999999999998</v>
      </c>
      <c r="S176" s="5">
        <v>4</v>
      </c>
      <c r="U176" s="10">
        <v>70.11</v>
      </c>
      <c r="V176" s="11">
        <f t="shared" si="40"/>
        <v>84.131999999999991</v>
      </c>
      <c r="W176" s="6">
        <v>4</v>
      </c>
      <c r="Y176" s="10">
        <v>70.58</v>
      </c>
      <c r="Z176" s="11">
        <f t="shared" si="41"/>
        <v>84.695999999999998</v>
      </c>
      <c r="AA176" s="6">
        <v>4</v>
      </c>
      <c r="AB176" s="1">
        <v>1.2</v>
      </c>
      <c r="AC176" s="21" t="str">
        <f t="shared" si="35"/>
        <v>17:50</v>
      </c>
      <c r="AD176" s="27" t="str">
        <f t="shared" si="42"/>
        <v/>
      </c>
      <c r="AE176" s="27" t="str">
        <f t="shared" si="36"/>
        <v/>
      </c>
      <c r="AF176" s="14">
        <f t="shared" si="37"/>
        <v>45905.368055555555</v>
      </c>
      <c r="AG176" s="12">
        <f t="shared" si="33"/>
        <v>45905</v>
      </c>
      <c r="AH176" s="24">
        <f t="shared" si="34"/>
        <v>0.36805555555474712</v>
      </c>
    </row>
    <row r="177" spans="1:34" ht="19.95" customHeight="1" x14ac:dyDescent="0.4">
      <c r="A177" s="2">
        <v>1330</v>
      </c>
      <c r="B177" s="16">
        <f>VLOOKUP(A177,[1]PLAN!$A$3:$BG$1149,18,)+VLOOKUP(A177,[1]PLAN!$A$3:$BG$1149,19,)</f>
        <v>45906.583333333336</v>
      </c>
      <c r="C177" s="22">
        <f t="shared" si="29"/>
        <v>45906</v>
      </c>
      <c r="D177" s="23">
        <f t="shared" si="30"/>
        <v>0.58333333333575865</v>
      </c>
      <c r="E177" s="14">
        <f>VLOOKUP(A177,[1]PLAN!$A$3:$BG$1149,54,)+VLOOKUP(A177,[1]PLAN!$A$3:$BG$1149,22,)</f>
        <v>45908.333333333336</v>
      </c>
      <c r="F177" s="12">
        <f t="shared" si="31"/>
        <v>45908</v>
      </c>
      <c r="G177" s="24">
        <f t="shared" si="32"/>
        <v>0.33333333333575865</v>
      </c>
      <c r="H177" s="14"/>
      <c r="I177" s="14"/>
      <c r="J177" s="29"/>
      <c r="K177" s="30"/>
      <c r="M177" s="17">
        <v>40.21</v>
      </c>
      <c r="N177" s="7">
        <f t="shared" si="38"/>
        <v>48.252000000000002</v>
      </c>
      <c r="O177" s="5">
        <v>4</v>
      </c>
      <c r="P177" s="3"/>
      <c r="Q177" s="5">
        <v>40.26</v>
      </c>
      <c r="R177" s="7">
        <f t="shared" si="39"/>
        <v>48.311999999999998</v>
      </c>
      <c r="S177" s="5">
        <v>4</v>
      </c>
      <c r="U177" s="10">
        <v>70.83</v>
      </c>
      <c r="V177" s="11">
        <f t="shared" si="40"/>
        <v>84.995999999999995</v>
      </c>
      <c r="W177" s="6">
        <v>4</v>
      </c>
      <c r="Y177" s="10">
        <v>70.430000000000007</v>
      </c>
      <c r="Z177" s="11">
        <f t="shared" si="41"/>
        <v>84.516000000000005</v>
      </c>
      <c r="AA177" s="6">
        <v>4</v>
      </c>
      <c r="AB177" s="1">
        <v>1.2</v>
      </c>
      <c r="AC177" s="21" t="str">
        <f t="shared" si="35"/>
        <v>42:00</v>
      </c>
      <c r="AD177" s="27" t="str">
        <f t="shared" si="42"/>
        <v/>
      </c>
      <c r="AE177" s="27" t="str">
        <f t="shared" si="36"/>
        <v/>
      </c>
      <c r="AF177" s="14">
        <f t="shared" si="37"/>
        <v>45908.333333333336</v>
      </c>
      <c r="AG177" s="12">
        <f t="shared" si="33"/>
        <v>45908</v>
      </c>
      <c r="AH177" s="24">
        <f t="shared" si="34"/>
        <v>0.33333333333575865</v>
      </c>
    </row>
    <row r="178" spans="1:34" ht="19.95" customHeight="1" x14ac:dyDescent="0.4">
      <c r="A178" s="2">
        <v>1331</v>
      </c>
      <c r="B178" s="16">
        <f>VLOOKUP(A178,[1]PLAN!$A$3:$BG$1149,18,)+VLOOKUP(A178,[1]PLAN!$A$3:$BG$1149,19,)</f>
        <v>45906.604166666664</v>
      </c>
      <c r="C178" s="22">
        <f t="shared" si="29"/>
        <v>45906</v>
      </c>
      <c r="D178" s="23">
        <f t="shared" si="30"/>
        <v>0.60416666666424135</v>
      </c>
      <c r="E178" s="14">
        <f>VLOOKUP(A178,[1]PLAN!$A$3:$BG$1149,54,)+VLOOKUP(A178,[1]PLAN!$A$3:$BG$1149,22,)</f>
        <v>45908.340277777781</v>
      </c>
      <c r="F178" s="12">
        <f t="shared" si="31"/>
        <v>45908</v>
      </c>
      <c r="G178" s="24">
        <f t="shared" si="32"/>
        <v>0.34027777778101154</v>
      </c>
      <c r="H178" s="14"/>
      <c r="I178" s="14"/>
      <c r="J178" s="29"/>
      <c r="K178" s="30"/>
      <c r="M178" s="17">
        <v>29.84</v>
      </c>
      <c r="N178" s="7">
        <f t="shared" si="38"/>
        <v>35.808</v>
      </c>
      <c r="O178" s="5">
        <v>4</v>
      </c>
      <c r="P178" s="3"/>
      <c r="Q178" s="5">
        <v>30.73</v>
      </c>
      <c r="R178" s="7">
        <f t="shared" si="39"/>
        <v>36.875999999999998</v>
      </c>
      <c r="S178" s="5">
        <v>4</v>
      </c>
      <c r="U178" s="10">
        <v>71.08</v>
      </c>
      <c r="V178" s="11">
        <f t="shared" si="40"/>
        <v>85.295999999999992</v>
      </c>
      <c r="W178" s="6">
        <v>4</v>
      </c>
      <c r="Y178" s="10">
        <v>70.58</v>
      </c>
      <c r="Z178" s="11">
        <f t="shared" si="41"/>
        <v>84.695999999999998</v>
      </c>
      <c r="AA178" s="6">
        <v>4</v>
      </c>
      <c r="AB178" s="1">
        <v>1.2</v>
      </c>
      <c r="AC178" s="21" t="str">
        <f t="shared" si="35"/>
        <v>41:40</v>
      </c>
      <c r="AD178" s="27" t="str">
        <f t="shared" si="42"/>
        <v/>
      </c>
      <c r="AE178" s="27" t="str">
        <f t="shared" si="36"/>
        <v/>
      </c>
      <c r="AF178" s="14">
        <f t="shared" si="37"/>
        <v>45908.340277777781</v>
      </c>
      <c r="AG178" s="12">
        <f t="shared" si="33"/>
        <v>45908</v>
      </c>
      <c r="AH178" s="24">
        <f t="shared" si="34"/>
        <v>0.34027777778101154</v>
      </c>
    </row>
    <row r="179" spans="1:34" ht="19.95" customHeight="1" x14ac:dyDescent="0.4">
      <c r="A179" s="2">
        <v>1332</v>
      </c>
      <c r="B179" s="16">
        <f>VLOOKUP(A179,[1]PLAN!$A$3:$BG$1149,18,)+VLOOKUP(A179,[1]PLAN!$A$3:$BG$1149,19,)</f>
        <v>45906.625</v>
      </c>
      <c r="C179" s="22">
        <f t="shared" si="29"/>
        <v>45906</v>
      </c>
      <c r="D179" s="23">
        <f t="shared" si="30"/>
        <v>0.625</v>
      </c>
      <c r="E179" s="14">
        <f>VLOOKUP(A179,[1]PLAN!$A$3:$BG$1149,54,)+VLOOKUP(A179,[1]PLAN!$A$3:$BG$1149,22,)</f>
        <v>45908.34375</v>
      </c>
      <c r="F179" s="12">
        <f t="shared" si="31"/>
        <v>45908</v>
      </c>
      <c r="G179" s="24">
        <f t="shared" si="32"/>
        <v>0.34375</v>
      </c>
      <c r="H179" s="14"/>
      <c r="I179" s="14"/>
      <c r="J179" s="29"/>
      <c r="K179" s="30"/>
      <c r="M179" s="17">
        <v>27.31</v>
      </c>
      <c r="N179" s="7">
        <f t="shared" si="38"/>
        <v>32.771999999999998</v>
      </c>
      <c r="O179" s="5">
        <v>4</v>
      </c>
      <c r="P179" s="3"/>
      <c r="Q179" s="5">
        <v>27.52</v>
      </c>
      <c r="R179" s="7">
        <f t="shared" si="39"/>
        <v>33.024000000000001</v>
      </c>
      <c r="S179" s="5">
        <v>4</v>
      </c>
      <c r="U179" s="10">
        <v>70.47</v>
      </c>
      <c r="V179" s="11">
        <f t="shared" si="40"/>
        <v>84.563999999999993</v>
      </c>
      <c r="W179" s="6">
        <v>4</v>
      </c>
      <c r="Y179" s="10">
        <v>70.89</v>
      </c>
      <c r="Z179" s="11">
        <f t="shared" si="41"/>
        <v>85.067999999999998</v>
      </c>
      <c r="AA179" s="6">
        <v>4</v>
      </c>
      <c r="AB179" s="1">
        <v>1.2</v>
      </c>
      <c r="AC179" s="21" t="str">
        <f t="shared" si="35"/>
        <v>41:15</v>
      </c>
      <c r="AD179" s="27" t="str">
        <f t="shared" si="42"/>
        <v/>
      </c>
      <c r="AE179" s="27" t="str">
        <f t="shared" si="36"/>
        <v/>
      </c>
      <c r="AF179" s="14">
        <f t="shared" si="37"/>
        <v>45908.34375</v>
      </c>
      <c r="AG179" s="12">
        <f t="shared" si="33"/>
        <v>45908</v>
      </c>
      <c r="AH179" s="24">
        <f t="shared" si="34"/>
        <v>0.34375</v>
      </c>
    </row>
    <row r="180" spans="1:34" ht="19.95" customHeight="1" x14ac:dyDescent="0.4">
      <c r="A180" s="2">
        <v>1333</v>
      </c>
      <c r="B180" s="16">
        <f>VLOOKUP(A180,[1]PLAN!$A$3:$BG$1149,18,)+VLOOKUP(A180,[1]PLAN!$A$3:$BG$1149,19,)</f>
        <v>45906.666666666664</v>
      </c>
      <c r="C180" s="22">
        <f t="shared" si="29"/>
        <v>45906</v>
      </c>
      <c r="D180" s="23">
        <f t="shared" si="30"/>
        <v>0.66666666666424135</v>
      </c>
      <c r="E180" s="14">
        <f>VLOOKUP(A180,[1]PLAN!$A$3:$BG$1149,54,)+VLOOKUP(A180,[1]PLAN!$A$3:$BG$1149,22,)</f>
        <v>45908.347222222219</v>
      </c>
      <c r="F180" s="12">
        <f t="shared" si="31"/>
        <v>45908</v>
      </c>
      <c r="G180" s="24">
        <f t="shared" si="32"/>
        <v>0.34722222221898846</v>
      </c>
      <c r="H180" s="14"/>
      <c r="I180" s="14"/>
      <c r="J180" s="29"/>
      <c r="K180" s="30"/>
      <c r="M180" s="17">
        <v>32.51</v>
      </c>
      <c r="N180" s="7">
        <f t="shared" si="38"/>
        <v>39.011999999999993</v>
      </c>
      <c r="O180" s="5">
        <v>4</v>
      </c>
      <c r="P180" s="3"/>
      <c r="Q180" s="5">
        <v>29.54</v>
      </c>
      <c r="R180" s="7">
        <f t="shared" si="39"/>
        <v>35.448</v>
      </c>
      <c r="S180" s="5">
        <v>4</v>
      </c>
      <c r="U180" s="10">
        <v>70.25</v>
      </c>
      <c r="V180" s="11">
        <f t="shared" si="40"/>
        <v>84.3</v>
      </c>
      <c r="W180" s="6">
        <v>4</v>
      </c>
      <c r="Y180" s="10">
        <v>69.849999999999994</v>
      </c>
      <c r="Z180" s="11">
        <f t="shared" si="41"/>
        <v>83.82</v>
      </c>
      <c r="AA180" s="6">
        <v>4</v>
      </c>
      <c r="AB180" s="1">
        <v>1.2</v>
      </c>
      <c r="AC180" s="21" t="str">
        <f t="shared" si="35"/>
        <v>40:20</v>
      </c>
      <c r="AD180" s="27" t="str">
        <f t="shared" si="42"/>
        <v/>
      </c>
      <c r="AE180" s="27" t="str">
        <f t="shared" si="36"/>
        <v/>
      </c>
      <c r="AF180" s="14">
        <f t="shared" si="37"/>
        <v>45908.347222222219</v>
      </c>
      <c r="AG180" s="12">
        <f t="shared" si="33"/>
        <v>45908</v>
      </c>
      <c r="AH180" s="24">
        <f t="shared" si="34"/>
        <v>0.34722222221898846</v>
      </c>
    </row>
    <row r="181" spans="1:34" ht="19.95" customHeight="1" x14ac:dyDescent="0.4">
      <c r="A181" s="2">
        <v>1334</v>
      </c>
      <c r="B181" s="16">
        <f>VLOOKUP(A181,[1]PLAN!$A$3:$BG$1149,18,)+VLOOKUP(A181,[1]PLAN!$A$3:$BG$1149,19,)</f>
        <v>45909.583333333336</v>
      </c>
      <c r="C181" s="22">
        <f t="shared" si="29"/>
        <v>45909</v>
      </c>
      <c r="D181" s="23">
        <f t="shared" si="30"/>
        <v>0.58333333333575865</v>
      </c>
      <c r="E181" s="14">
        <f>VLOOKUP(A181,[1]PLAN!$A$3:$BG$1149,54,)+VLOOKUP(A181,[1]PLAN!$A$3:$BG$1149,22,)</f>
        <v>45911.333333333336</v>
      </c>
      <c r="F181" s="12">
        <f t="shared" si="31"/>
        <v>45911</v>
      </c>
      <c r="G181" s="24">
        <f t="shared" si="32"/>
        <v>0.33333333333575865</v>
      </c>
      <c r="H181" s="14"/>
      <c r="I181" s="14"/>
      <c r="J181" s="29"/>
      <c r="K181" s="30"/>
      <c r="M181" s="17">
        <v>40.409999999999997</v>
      </c>
      <c r="N181" s="7">
        <f t="shared" si="38"/>
        <v>48.491999999999997</v>
      </c>
      <c r="O181" s="5">
        <v>4</v>
      </c>
      <c r="P181" s="3"/>
      <c r="Q181" s="5">
        <v>39.35</v>
      </c>
      <c r="R181" s="7">
        <f t="shared" si="39"/>
        <v>47.22</v>
      </c>
      <c r="S181" s="5">
        <v>4</v>
      </c>
      <c r="U181" s="10">
        <v>70.75</v>
      </c>
      <c r="V181" s="11">
        <f t="shared" si="40"/>
        <v>84.899999999999991</v>
      </c>
      <c r="W181" s="6">
        <v>4</v>
      </c>
      <c r="Y181" s="10">
        <v>70.59</v>
      </c>
      <c r="Z181" s="11">
        <f t="shared" si="41"/>
        <v>84.707999999999998</v>
      </c>
      <c r="AA181" s="6">
        <v>4</v>
      </c>
      <c r="AB181" s="1">
        <v>1.2</v>
      </c>
      <c r="AC181" s="21" t="str">
        <f t="shared" si="35"/>
        <v>42:00</v>
      </c>
      <c r="AD181" s="27" t="str">
        <f t="shared" si="42"/>
        <v/>
      </c>
      <c r="AE181" s="27" t="str">
        <f t="shared" si="36"/>
        <v/>
      </c>
      <c r="AF181" s="14">
        <f t="shared" si="37"/>
        <v>45911.333333333336</v>
      </c>
      <c r="AG181" s="12">
        <f t="shared" si="33"/>
        <v>45911</v>
      </c>
      <c r="AH181" s="24">
        <f t="shared" si="34"/>
        <v>0.33333333333575865</v>
      </c>
    </row>
    <row r="182" spans="1:34" ht="19.95" customHeight="1" x14ac:dyDescent="0.4">
      <c r="A182" s="2">
        <v>1335</v>
      </c>
      <c r="B182" s="16">
        <f>VLOOKUP(A182,[1]PLAN!$A$3:$BG$1149,18,)+VLOOKUP(A182,[1]PLAN!$A$3:$BG$1149,19,)</f>
        <v>45909.645833333336</v>
      </c>
      <c r="C182" s="22">
        <f t="shared" si="29"/>
        <v>45909</v>
      </c>
      <c r="D182" s="23">
        <f t="shared" si="30"/>
        <v>0.64583333333575865</v>
      </c>
      <c r="E182" s="14">
        <f>VLOOKUP(A182,[1]PLAN!$A$3:$BG$1149,54,)+VLOOKUP(A182,[1]PLAN!$A$3:$BG$1149,22,)</f>
        <v>45910.416666666664</v>
      </c>
      <c r="F182" s="12">
        <f t="shared" si="31"/>
        <v>45910</v>
      </c>
      <c r="G182" s="24">
        <f t="shared" si="32"/>
        <v>0.41666666666424135</v>
      </c>
      <c r="H182" s="14"/>
      <c r="I182" s="14"/>
      <c r="J182" s="29"/>
      <c r="K182" s="30"/>
      <c r="M182" s="17">
        <v>27.44</v>
      </c>
      <c r="N182" s="7">
        <f t="shared" si="38"/>
        <v>32.927999999999997</v>
      </c>
      <c r="O182" s="5">
        <v>4</v>
      </c>
      <c r="P182" s="3"/>
      <c r="Q182" s="5">
        <v>26.82</v>
      </c>
      <c r="R182" s="7">
        <f t="shared" si="39"/>
        <v>32.183999999999997</v>
      </c>
      <c r="S182" s="5">
        <v>4</v>
      </c>
      <c r="U182" s="10">
        <v>69.89</v>
      </c>
      <c r="V182" s="11">
        <f t="shared" si="40"/>
        <v>83.867999999999995</v>
      </c>
      <c r="W182" s="6">
        <v>4</v>
      </c>
      <c r="Y182" s="10">
        <v>70.260000000000005</v>
      </c>
      <c r="Z182" s="11">
        <f t="shared" si="41"/>
        <v>84.311999999999998</v>
      </c>
      <c r="AA182" s="6">
        <v>4</v>
      </c>
      <c r="AB182" s="1">
        <v>1.2</v>
      </c>
      <c r="AC182" s="21" t="str">
        <f t="shared" si="35"/>
        <v>18:30</v>
      </c>
      <c r="AD182" s="27" t="str">
        <f t="shared" si="42"/>
        <v/>
      </c>
      <c r="AE182" s="27" t="str">
        <f t="shared" si="36"/>
        <v/>
      </c>
      <c r="AF182" s="14">
        <f t="shared" si="37"/>
        <v>45910.416666666664</v>
      </c>
      <c r="AG182" s="12">
        <f t="shared" si="33"/>
        <v>45910</v>
      </c>
      <c r="AH182" s="24">
        <f t="shared" si="34"/>
        <v>0.41666666666424135</v>
      </c>
    </row>
    <row r="183" spans="1:34" ht="19.95" customHeight="1" x14ac:dyDescent="0.4">
      <c r="A183" s="2">
        <v>1336</v>
      </c>
      <c r="B183" s="16">
        <f>VLOOKUP(A183,[1]PLAN!$A$3:$BG$1149,18,)+VLOOKUP(A183,[1]PLAN!$A$3:$BG$1149,19,)</f>
        <v>45909.666666666664</v>
      </c>
      <c r="C183" s="22">
        <f t="shared" si="29"/>
        <v>45909</v>
      </c>
      <c r="D183" s="23">
        <f t="shared" si="30"/>
        <v>0.66666666666424135</v>
      </c>
      <c r="E183" s="14">
        <f>VLOOKUP(A183,[1]PLAN!$A$3:$BG$1149,54,)+VLOOKUP(A183,[1]PLAN!$A$3:$BG$1149,22,)</f>
        <v>45910.420138888891</v>
      </c>
      <c r="F183" s="12">
        <f t="shared" si="31"/>
        <v>45910</v>
      </c>
      <c r="G183" s="24">
        <f t="shared" si="32"/>
        <v>0.42013888889050577</v>
      </c>
      <c r="H183" s="14"/>
      <c r="I183" s="14"/>
      <c r="J183" s="29"/>
      <c r="K183" s="30"/>
      <c r="M183" s="17">
        <v>20.37</v>
      </c>
      <c r="N183" s="7">
        <f t="shared" si="38"/>
        <v>24.443999999999999</v>
      </c>
      <c r="O183" s="5">
        <v>4</v>
      </c>
      <c r="P183" s="3"/>
      <c r="Q183" s="5">
        <v>21.48</v>
      </c>
      <c r="R183" s="7">
        <f t="shared" si="39"/>
        <v>25.776</v>
      </c>
      <c r="S183" s="5">
        <v>4</v>
      </c>
      <c r="U183" s="10">
        <v>71.510000000000005</v>
      </c>
      <c r="V183" s="11">
        <f t="shared" si="40"/>
        <v>85.811999999999998</v>
      </c>
      <c r="W183" s="6">
        <v>4</v>
      </c>
      <c r="Y183" s="10">
        <v>70.94</v>
      </c>
      <c r="Z183" s="11">
        <f t="shared" si="41"/>
        <v>85.128</v>
      </c>
      <c r="AA183" s="6">
        <v>4</v>
      </c>
      <c r="AB183" s="1">
        <v>1.2</v>
      </c>
      <c r="AC183" s="21" t="str">
        <f t="shared" si="35"/>
        <v>18:05</v>
      </c>
      <c r="AD183" s="27" t="str">
        <f t="shared" si="42"/>
        <v/>
      </c>
      <c r="AE183" s="27" t="str">
        <f t="shared" si="36"/>
        <v/>
      </c>
      <c r="AF183" s="14">
        <f t="shared" si="37"/>
        <v>45910.420138888891</v>
      </c>
      <c r="AG183" s="12">
        <f t="shared" si="33"/>
        <v>45910</v>
      </c>
      <c r="AH183" s="24">
        <f t="shared" si="34"/>
        <v>0.42013888889050577</v>
      </c>
    </row>
    <row r="184" spans="1:34" ht="19.95" customHeight="1" x14ac:dyDescent="0.4">
      <c r="A184" s="2">
        <v>1337</v>
      </c>
      <c r="B184" s="16">
        <f>VLOOKUP(A184,[1]PLAN!$A$3:$BG$1149,18,)+VLOOKUP(A184,[1]PLAN!$A$3:$BG$1149,19,)</f>
        <v>45909.708333333336</v>
      </c>
      <c r="C184" s="22">
        <f t="shared" si="29"/>
        <v>45909</v>
      </c>
      <c r="D184" s="23">
        <f t="shared" si="30"/>
        <v>0.70833333333575865</v>
      </c>
      <c r="E184" s="14">
        <f>VLOOKUP(A184,[1]PLAN!$A$3:$BG$1149,54,)+VLOOKUP(A184,[1]PLAN!$A$3:$BG$1149,22,)</f>
        <v>45910.423611111109</v>
      </c>
      <c r="F184" s="12">
        <f t="shared" si="31"/>
        <v>45910</v>
      </c>
      <c r="G184" s="24">
        <f t="shared" si="32"/>
        <v>0.42361111110949423</v>
      </c>
      <c r="H184" s="14"/>
      <c r="I184" s="14"/>
      <c r="J184" s="29"/>
      <c r="K184" s="30"/>
      <c r="M184" s="17">
        <v>25.9</v>
      </c>
      <c r="N184" s="7">
        <f t="shared" si="38"/>
        <v>31.08</v>
      </c>
      <c r="O184" s="5">
        <v>4</v>
      </c>
      <c r="P184" s="3"/>
      <c r="Q184" s="5">
        <v>26.98</v>
      </c>
      <c r="R184" s="7">
        <f t="shared" si="39"/>
        <v>32.375999999999998</v>
      </c>
      <c r="S184" s="5">
        <v>4</v>
      </c>
      <c r="U184" s="10">
        <v>69.94</v>
      </c>
      <c r="V184" s="11">
        <f t="shared" si="40"/>
        <v>83.927999999999997</v>
      </c>
      <c r="W184" s="6">
        <v>4</v>
      </c>
      <c r="Y184" s="10">
        <v>70.12</v>
      </c>
      <c r="Z184" s="11">
        <f t="shared" si="41"/>
        <v>84.144000000000005</v>
      </c>
      <c r="AA184" s="6">
        <v>4</v>
      </c>
      <c r="AB184" s="1">
        <v>1.2</v>
      </c>
      <c r="AC184" s="21" t="str">
        <f t="shared" si="35"/>
        <v>17:10</v>
      </c>
      <c r="AD184" s="27" t="str">
        <f t="shared" si="42"/>
        <v/>
      </c>
      <c r="AE184" s="27" t="str">
        <f t="shared" si="36"/>
        <v/>
      </c>
      <c r="AF184" s="14">
        <f t="shared" si="37"/>
        <v>45910.423611111109</v>
      </c>
      <c r="AG184" s="12">
        <f t="shared" si="33"/>
        <v>45910</v>
      </c>
      <c r="AH184" s="24">
        <f t="shared" si="34"/>
        <v>0.42361111110949423</v>
      </c>
    </row>
    <row r="185" spans="1:34" ht="19.95" customHeight="1" x14ac:dyDescent="0.4">
      <c r="A185" s="2">
        <v>1338</v>
      </c>
      <c r="B185" s="16">
        <f>VLOOKUP(A185,[1]PLAN!$A$3:$BG$1149,18,)+VLOOKUP(A185,[1]PLAN!$A$3:$BG$1149,19,)</f>
        <v>45909.729166666664</v>
      </c>
      <c r="C185" s="22">
        <f t="shared" si="29"/>
        <v>45909</v>
      </c>
      <c r="D185" s="23">
        <f t="shared" si="30"/>
        <v>0.72916666666424135</v>
      </c>
      <c r="E185" s="14">
        <f>VLOOKUP(A185,[1]PLAN!$A$3:$BG$1149,54,)+VLOOKUP(A185,[1]PLAN!$A$3:$BG$1149,22,)</f>
        <v>45910.427083333336</v>
      </c>
      <c r="F185" s="12">
        <f t="shared" si="31"/>
        <v>45910</v>
      </c>
      <c r="G185" s="24">
        <f t="shared" si="32"/>
        <v>0.42708333333575865</v>
      </c>
      <c r="H185" s="14"/>
      <c r="I185" s="14"/>
      <c r="J185" s="29"/>
      <c r="K185" s="30"/>
      <c r="M185" s="17">
        <v>22.5</v>
      </c>
      <c r="N185" s="7">
        <f t="shared" si="38"/>
        <v>27</v>
      </c>
      <c r="O185" s="5">
        <v>4</v>
      </c>
      <c r="P185" s="3"/>
      <c r="Q185" s="5">
        <v>22.56</v>
      </c>
      <c r="R185" s="7">
        <f t="shared" si="39"/>
        <v>27.071999999999999</v>
      </c>
      <c r="S185" s="5">
        <v>4</v>
      </c>
      <c r="U185" s="10">
        <v>71.819999999999993</v>
      </c>
      <c r="V185" s="11">
        <f t="shared" si="40"/>
        <v>86.183999999999983</v>
      </c>
      <c r="W185" s="6">
        <v>4</v>
      </c>
      <c r="Y185" s="10">
        <v>70.849999999999994</v>
      </c>
      <c r="Z185" s="11">
        <f t="shared" si="41"/>
        <v>85.02</v>
      </c>
      <c r="AA185" s="6">
        <v>4</v>
      </c>
      <c r="AB185" s="1">
        <v>1.2</v>
      </c>
      <c r="AC185" s="21" t="str">
        <f t="shared" si="35"/>
        <v>16:45</v>
      </c>
      <c r="AD185" s="27" t="str">
        <f t="shared" si="42"/>
        <v/>
      </c>
      <c r="AE185" s="27" t="str">
        <f t="shared" si="36"/>
        <v/>
      </c>
      <c r="AF185" s="14">
        <f t="shared" si="37"/>
        <v>45910.427083333336</v>
      </c>
      <c r="AG185" s="12">
        <f t="shared" si="33"/>
        <v>45910</v>
      </c>
      <c r="AH185" s="24">
        <f t="shared" si="34"/>
        <v>0.42708333333575865</v>
      </c>
    </row>
    <row r="186" spans="1:34" ht="19.95" customHeight="1" x14ac:dyDescent="0.4">
      <c r="A186" s="2">
        <v>1339</v>
      </c>
      <c r="B186" s="16">
        <f>VLOOKUP(A186,[1]PLAN!$A$3:$BG$1149,18,)+VLOOKUP(A186,[1]PLAN!$A$3:$BG$1149,19,)</f>
        <v>45910.666666666664</v>
      </c>
      <c r="C186" s="22">
        <f t="shared" si="29"/>
        <v>45910</v>
      </c>
      <c r="D186" s="23">
        <f t="shared" si="30"/>
        <v>0.66666666666424135</v>
      </c>
      <c r="E186" s="14">
        <f>VLOOKUP(A186,[1]PLAN!$A$3:$BG$1149,54,)+VLOOKUP(A186,[1]PLAN!$A$3:$BG$1149,22,)</f>
        <v>45911.447916666664</v>
      </c>
      <c r="F186" s="12">
        <f t="shared" si="31"/>
        <v>45911</v>
      </c>
      <c r="G186" s="24">
        <f t="shared" si="32"/>
        <v>0.44791666666424135</v>
      </c>
      <c r="H186" s="14"/>
      <c r="I186" s="14"/>
      <c r="J186" s="29"/>
      <c r="K186" s="30"/>
      <c r="M186" s="17">
        <v>22.1</v>
      </c>
      <c r="N186" s="7">
        <f t="shared" si="38"/>
        <v>26.52</v>
      </c>
      <c r="O186" s="5">
        <v>4</v>
      </c>
      <c r="P186" s="3"/>
      <c r="Q186" s="5">
        <v>22.83</v>
      </c>
      <c r="R186" s="7">
        <f t="shared" si="39"/>
        <v>27.395999999999997</v>
      </c>
      <c r="S186" s="5">
        <v>4</v>
      </c>
      <c r="U186" s="10">
        <v>70.63</v>
      </c>
      <c r="V186" s="11">
        <f t="shared" si="40"/>
        <v>84.755999999999986</v>
      </c>
      <c r="W186" s="6">
        <v>4</v>
      </c>
      <c r="Y186" s="10">
        <v>70.59</v>
      </c>
      <c r="Z186" s="11">
        <f t="shared" si="41"/>
        <v>84.707999999999998</v>
      </c>
      <c r="AA186" s="6">
        <v>4</v>
      </c>
      <c r="AB186" s="1">
        <v>1.2</v>
      </c>
      <c r="AC186" s="21" t="str">
        <f t="shared" si="35"/>
        <v>18:45</v>
      </c>
      <c r="AD186" s="27" t="str">
        <f t="shared" si="42"/>
        <v/>
      </c>
      <c r="AE186" s="27" t="str">
        <f t="shared" si="36"/>
        <v/>
      </c>
      <c r="AF186" s="14">
        <f t="shared" si="37"/>
        <v>45911.447916666664</v>
      </c>
      <c r="AG186" s="12">
        <f t="shared" si="33"/>
        <v>45911</v>
      </c>
      <c r="AH186" s="24">
        <f t="shared" si="34"/>
        <v>0.44791666666424135</v>
      </c>
    </row>
    <row r="187" spans="1:34" ht="19.95" customHeight="1" x14ac:dyDescent="0.4">
      <c r="A187" s="2">
        <v>1340</v>
      </c>
      <c r="B187" s="16">
        <f>VLOOKUP(A187,[1]PLAN!$A$3:$BG$1149,18,)+VLOOKUP(A187,[1]PLAN!$A$3:$BG$1149,19,)</f>
        <v>45910.6875</v>
      </c>
      <c r="C187" s="22">
        <f t="shared" si="29"/>
        <v>45910</v>
      </c>
      <c r="D187" s="23">
        <f t="shared" si="30"/>
        <v>0.6875</v>
      </c>
      <c r="E187" s="14">
        <f>VLOOKUP(A187,[1]PLAN!$A$3:$BG$1149,54,)+VLOOKUP(A187,[1]PLAN!$A$3:$BG$1149,22,)</f>
        <v>45911.451388888891</v>
      </c>
      <c r="F187" s="12">
        <f t="shared" si="31"/>
        <v>45911</v>
      </c>
      <c r="G187" s="24">
        <f t="shared" si="32"/>
        <v>0.45138888889050577</v>
      </c>
      <c r="H187" s="14"/>
      <c r="I187" s="14"/>
      <c r="J187" s="29"/>
      <c r="K187" s="30"/>
      <c r="M187" s="17">
        <v>20.5</v>
      </c>
      <c r="N187" s="7">
        <f t="shared" si="38"/>
        <v>24.599999999999998</v>
      </c>
      <c r="O187" s="5">
        <v>4</v>
      </c>
      <c r="P187" s="3"/>
      <c r="Q187" s="5">
        <v>20.420000000000002</v>
      </c>
      <c r="R187" s="7">
        <f t="shared" si="39"/>
        <v>24.504000000000001</v>
      </c>
      <c r="S187" s="5">
        <v>4</v>
      </c>
      <c r="U187" s="10">
        <v>69.75</v>
      </c>
      <c r="V187" s="11">
        <f t="shared" si="40"/>
        <v>83.7</v>
      </c>
      <c r="W187" s="6">
        <v>4</v>
      </c>
      <c r="Y187" s="10">
        <v>69.59</v>
      </c>
      <c r="Z187" s="11">
        <f t="shared" si="41"/>
        <v>83.507999999999996</v>
      </c>
      <c r="AA187" s="6">
        <v>4</v>
      </c>
      <c r="AB187" s="1">
        <v>1.2</v>
      </c>
      <c r="AC187" s="21" t="str">
        <f t="shared" si="35"/>
        <v>18:20</v>
      </c>
      <c r="AD187" s="27" t="str">
        <f t="shared" si="42"/>
        <v/>
      </c>
      <c r="AE187" s="27" t="str">
        <f t="shared" si="36"/>
        <v/>
      </c>
      <c r="AF187" s="14">
        <f t="shared" si="37"/>
        <v>45911.451388888891</v>
      </c>
      <c r="AG187" s="12">
        <f t="shared" si="33"/>
        <v>45911</v>
      </c>
      <c r="AH187" s="24">
        <f t="shared" si="34"/>
        <v>0.45138888889050577</v>
      </c>
    </row>
    <row r="188" spans="1:34" ht="19.95" customHeight="1" x14ac:dyDescent="0.4">
      <c r="A188" s="2">
        <v>1341</v>
      </c>
      <c r="B188" s="16">
        <f>VLOOKUP(A188,[1]PLAN!$A$3:$BG$1149,18,)+VLOOKUP(A188,[1]PLAN!$A$3:$BG$1149,19,)</f>
        <v>45910.729166666664</v>
      </c>
      <c r="C188" s="22">
        <f t="shared" si="29"/>
        <v>45910</v>
      </c>
      <c r="D188" s="23">
        <f t="shared" si="30"/>
        <v>0.72916666666424135</v>
      </c>
      <c r="E188" s="14">
        <f>VLOOKUP(A188,[1]PLAN!$A$3:$BG$1149,54,)+VLOOKUP(A188,[1]PLAN!$A$3:$BG$1149,22,)</f>
        <v>45911.458333333336</v>
      </c>
      <c r="F188" s="12">
        <f t="shared" si="31"/>
        <v>45911</v>
      </c>
      <c r="G188" s="24">
        <f t="shared" si="32"/>
        <v>0.45833333333575865</v>
      </c>
      <c r="H188" s="14"/>
      <c r="I188" s="14"/>
      <c r="J188" s="29"/>
      <c r="K188" s="30"/>
      <c r="M188" s="17">
        <v>20.14</v>
      </c>
      <c r="N188" s="7">
        <f t="shared" si="38"/>
        <v>24.167999999999999</v>
      </c>
      <c r="O188" s="5">
        <v>4</v>
      </c>
      <c r="P188" s="3"/>
      <c r="Q188" s="5">
        <v>19.93</v>
      </c>
      <c r="R188" s="7">
        <f t="shared" si="39"/>
        <v>23.916</v>
      </c>
      <c r="S188" s="5">
        <v>4</v>
      </c>
      <c r="U188" s="10">
        <v>70.459999999999994</v>
      </c>
      <c r="V188" s="11">
        <f t="shared" si="40"/>
        <v>84.551999999999992</v>
      </c>
      <c r="W188" s="6">
        <v>3</v>
      </c>
      <c r="Y188" s="10">
        <v>70.209999999999994</v>
      </c>
      <c r="Z188" s="11">
        <f t="shared" si="41"/>
        <v>84.251999999999995</v>
      </c>
      <c r="AA188" s="6">
        <v>4</v>
      </c>
      <c r="AB188" s="1">
        <v>1.2</v>
      </c>
      <c r="AC188" s="21" t="str">
        <f t="shared" si="35"/>
        <v>17:30</v>
      </c>
      <c r="AD188" s="27" t="str">
        <f t="shared" si="42"/>
        <v/>
      </c>
      <c r="AE188" s="27" t="str">
        <f t="shared" si="36"/>
        <v/>
      </c>
      <c r="AF188" s="14">
        <f t="shared" si="37"/>
        <v>45911.458333333336</v>
      </c>
      <c r="AG188" s="12">
        <f t="shared" si="33"/>
        <v>45911</v>
      </c>
      <c r="AH188" s="24">
        <f t="shared" si="34"/>
        <v>0.45833333333575865</v>
      </c>
    </row>
    <row r="189" spans="1:34" ht="19.95" customHeight="1" x14ac:dyDescent="0.4">
      <c r="A189" s="2">
        <v>1342</v>
      </c>
      <c r="B189" s="16">
        <f>VLOOKUP(A189,[1]PLAN!$A$3:$BG$1149,18,)+VLOOKUP(A189,[1]PLAN!$A$3:$BG$1149,19,)</f>
        <v>45910.75</v>
      </c>
      <c r="C189" s="22">
        <f t="shared" si="29"/>
        <v>45910</v>
      </c>
      <c r="D189" s="23">
        <f t="shared" si="30"/>
        <v>0.75</v>
      </c>
      <c r="E189" s="14">
        <f>VLOOKUP(A189,[1]PLAN!$A$3:$BG$1149,54,)+VLOOKUP(A189,[1]PLAN!$A$3:$BG$1149,22,)</f>
        <v>45911.461805555555</v>
      </c>
      <c r="F189" s="12">
        <f t="shared" si="31"/>
        <v>45911</v>
      </c>
      <c r="G189" s="24">
        <f t="shared" si="32"/>
        <v>0.46180555555474712</v>
      </c>
      <c r="H189" s="14"/>
      <c r="I189" s="14"/>
      <c r="J189" s="29"/>
      <c r="K189" s="30"/>
      <c r="M189" s="17">
        <v>26.3</v>
      </c>
      <c r="N189" s="7">
        <f t="shared" si="38"/>
        <v>31.56</v>
      </c>
      <c r="O189" s="5">
        <v>4</v>
      </c>
      <c r="P189" s="3"/>
      <c r="Q189" s="5">
        <v>26.71</v>
      </c>
      <c r="R189" s="7">
        <f t="shared" si="39"/>
        <v>32.052</v>
      </c>
      <c r="S189" s="5">
        <v>4</v>
      </c>
      <c r="U189" s="10">
        <v>71.989999999999995</v>
      </c>
      <c r="V189" s="11">
        <f t="shared" si="40"/>
        <v>86.387999999999991</v>
      </c>
      <c r="W189" s="6">
        <v>4</v>
      </c>
      <c r="Y189" s="10">
        <v>70.58</v>
      </c>
      <c r="Z189" s="11">
        <f t="shared" si="41"/>
        <v>84.695999999999998</v>
      </c>
      <c r="AA189" s="6">
        <v>4</v>
      </c>
      <c r="AB189" s="1">
        <v>1.2</v>
      </c>
      <c r="AC189" s="21" t="str">
        <f t="shared" si="35"/>
        <v>17:05</v>
      </c>
      <c r="AD189" s="27" t="str">
        <f t="shared" si="42"/>
        <v/>
      </c>
      <c r="AE189" s="27" t="str">
        <f t="shared" si="36"/>
        <v/>
      </c>
      <c r="AF189" s="14">
        <f t="shared" si="37"/>
        <v>45911.461805555555</v>
      </c>
      <c r="AG189" s="12">
        <f t="shared" si="33"/>
        <v>45911</v>
      </c>
      <c r="AH189" s="24">
        <f t="shared" si="34"/>
        <v>0.46180555555474712</v>
      </c>
    </row>
    <row r="190" spans="1:34" ht="19.95" customHeight="1" x14ac:dyDescent="0.4">
      <c r="A190" s="2">
        <v>1343</v>
      </c>
      <c r="B190" s="16">
        <f>VLOOKUP(A190,[1]PLAN!$A$3:$BG$1149,18,)+VLOOKUP(A190,[1]PLAN!$A$3:$BG$1149,19,)</f>
        <v>45910.770833333336</v>
      </c>
      <c r="C190" s="22">
        <f t="shared" si="29"/>
        <v>45910</v>
      </c>
      <c r="D190" s="23">
        <f t="shared" si="30"/>
        <v>0.77083333333575865</v>
      </c>
      <c r="E190" s="14">
        <f>VLOOKUP(A190,[1]PLAN!$A$3:$BG$1149,54,)+VLOOKUP(A190,[1]PLAN!$A$3:$BG$1149,22,)</f>
        <v>45911.465277777781</v>
      </c>
      <c r="F190" s="12">
        <f t="shared" si="31"/>
        <v>45911</v>
      </c>
      <c r="G190" s="24">
        <f t="shared" si="32"/>
        <v>0.46527777778101154</v>
      </c>
      <c r="H190" s="14"/>
      <c r="I190" s="14"/>
      <c r="J190" s="29"/>
      <c r="K190" s="30"/>
      <c r="M190" s="17">
        <v>24.75</v>
      </c>
      <c r="N190" s="7">
        <f t="shared" si="38"/>
        <v>29.7</v>
      </c>
      <c r="O190" s="5">
        <v>4</v>
      </c>
      <c r="P190" s="3"/>
      <c r="Q190" s="5">
        <v>25.4</v>
      </c>
      <c r="R190" s="7">
        <f t="shared" si="39"/>
        <v>30.479999999999997</v>
      </c>
      <c r="S190" s="5">
        <v>4</v>
      </c>
      <c r="U190" s="10">
        <v>72.28</v>
      </c>
      <c r="V190" s="11">
        <f t="shared" si="40"/>
        <v>86.736000000000004</v>
      </c>
      <c r="W190" s="6">
        <v>4</v>
      </c>
      <c r="Y190" s="10">
        <v>72.260000000000005</v>
      </c>
      <c r="Z190" s="11">
        <f t="shared" si="41"/>
        <v>86.712000000000003</v>
      </c>
      <c r="AA190" s="6">
        <v>4</v>
      </c>
      <c r="AB190" s="1">
        <v>1.2</v>
      </c>
      <c r="AC190" s="21" t="str">
        <f t="shared" si="35"/>
        <v>16:40</v>
      </c>
      <c r="AD190" s="27" t="str">
        <f t="shared" si="42"/>
        <v/>
      </c>
      <c r="AE190" s="27" t="str">
        <f t="shared" si="36"/>
        <v/>
      </c>
      <c r="AF190" s="14">
        <f t="shared" si="37"/>
        <v>45911.465277777781</v>
      </c>
      <c r="AG190" s="12">
        <f t="shared" si="33"/>
        <v>45911</v>
      </c>
      <c r="AH190" s="24">
        <f t="shared" si="34"/>
        <v>0.46527777778101154</v>
      </c>
    </row>
    <row r="191" spans="1:34" ht="19.95" customHeight="1" x14ac:dyDescent="0.4">
      <c r="A191" s="2">
        <v>1344</v>
      </c>
      <c r="B191" s="16">
        <f>VLOOKUP(A191,[1]PLAN!$A$3:$BG$1149,18,)+VLOOKUP(A191,[1]PLAN!$A$3:$BG$1149,19,)</f>
        <v>45911.625</v>
      </c>
      <c r="C191" s="22">
        <f t="shared" si="29"/>
        <v>45911</v>
      </c>
      <c r="D191" s="23">
        <f t="shared" si="30"/>
        <v>0.625</v>
      </c>
      <c r="E191" s="14">
        <f>VLOOKUP(A191,[1]PLAN!$A$3:$BG$1149,54,)+VLOOKUP(A191,[1]PLAN!$A$3:$BG$1149,22,)</f>
        <v>45912.333333333336</v>
      </c>
      <c r="F191" s="12">
        <f t="shared" si="31"/>
        <v>45912</v>
      </c>
      <c r="G191" s="24">
        <f t="shared" si="32"/>
        <v>0.33333333333575865</v>
      </c>
      <c r="H191" s="14"/>
      <c r="I191" s="14"/>
      <c r="J191" s="29"/>
      <c r="K191" s="30"/>
      <c r="M191" s="17">
        <v>24.19</v>
      </c>
      <c r="N191" s="7">
        <f t="shared" si="38"/>
        <v>29.027999999999999</v>
      </c>
      <c r="O191" s="5">
        <v>4</v>
      </c>
      <c r="P191" s="3"/>
      <c r="Q191" s="5">
        <v>24.82</v>
      </c>
      <c r="R191" s="7">
        <f t="shared" si="39"/>
        <v>29.783999999999999</v>
      </c>
      <c r="S191" s="5">
        <v>4</v>
      </c>
      <c r="U191" s="10">
        <v>69.28</v>
      </c>
      <c r="V191" s="11">
        <f t="shared" si="40"/>
        <v>83.135999999999996</v>
      </c>
      <c r="W191" s="6">
        <v>4</v>
      </c>
      <c r="Y191" s="10">
        <v>70.540000000000006</v>
      </c>
      <c r="Z191" s="11">
        <f t="shared" si="41"/>
        <v>84.64800000000001</v>
      </c>
      <c r="AA191" s="6">
        <v>4</v>
      </c>
      <c r="AB191" s="1">
        <v>1.2</v>
      </c>
      <c r="AC191" s="21" t="str">
        <f t="shared" si="35"/>
        <v>17:00</v>
      </c>
      <c r="AD191" s="27" t="str">
        <f t="shared" si="42"/>
        <v/>
      </c>
      <c r="AE191" s="27" t="str">
        <f t="shared" si="36"/>
        <v/>
      </c>
      <c r="AF191" s="14">
        <f t="shared" si="37"/>
        <v>45912.333333333336</v>
      </c>
      <c r="AG191" s="12">
        <f t="shared" si="33"/>
        <v>45912</v>
      </c>
      <c r="AH191" s="24">
        <f t="shared" si="34"/>
        <v>0.33333333333575865</v>
      </c>
    </row>
    <row r="192" spans="1:34" ht="19.95" customHeight="1" x14ac:dyDescent="0.4">
      <c r="A192" s="2">
        <v>1345</v>
      </c>
      <c r="B192" s="16">
        <f>VLOOKUP(A192,[1]PLAN!$A$3:$BG$1149,18,)+VLOOKUP(A192,[1]PLAN!$A$3:$BG$1149,19,)</f>
        <v>45911.652777777781</v>
      </c>
      <c r="C192" s="22">
        <f t="shared" si="29"/>
        <v>45911</v>
      </c>
      <c r="D192" s="23">
        <f t="shared" si="30"/>
        <v>0.65277777778101154</v>
      </c>
      <c r="E192" s="14">
        <f>VLOOKUP(A192,[1]PLAN!$A$3:$BG$1149,54,)+VLOOKUP(A192,[1]PLAN!$A$3:$BG$1149,22,)</f>
        <v>45912.340277777781</v>
      </c>
      <c r="F192" s="12">
        <f t="shared" si="31"/>
        <v>45912</v>
      </c>
      <c r="G192" s="24">
        <f t="shared" si="32"/>
        <v>0.34027777778101154</v>
      </c>
      <c r="H192" s="14"/>
      <c r="I192" s="14"/>
      <c r="J192" s="29"/>
      <c r="K192" s="30"/>
      <c r="M192" s="17">
        <v>21.08</v>
      </c>
      <c r="N192" s="7">
        <f t="shared" si="38"/>
        <v>25.295999999999996</v>
      </c>
      <c r="O192" s="5">
        <v>4</v>
      </c>
      <c r="P192" s="3"/>
      <c r="Q192" s="5">
        <v>20.83</v>
      </c>
      <c r="R192" s="7">
        <f t="shared" si="39"/>
        <v>24.995999999999999</v>
      </c>
      <c r="S192" s="5">
        <v>4</v>
      </c>
      <c r="U192" s="10">
        <v>70.69</v>
      </c>
      <c r="V192" s="11">
        <f t="shared" si="40"/>
        <v>84.827999999999989</v>
      </c>
      <c r="W192" s="6">
        <v>4</v>
      </c>
      <c r="Y192" s="10">
        <v>70.94</v>
      </c>
      <c r="Z192" s="11">
        <f t="shared" si="41"/>
        <v>85.128</v>
      </c>
      <c r="AA192" s="6">
        <v>4</v>
      </c>
      <c r="AB192" s="1">
        <v>1.2</v>
      </c>
      <c r="AC192" s="21" t="str">
        <f t="shared" si="35"/>
        <v>16:30</v>
      </c>
      <c r="AD192" s="27" t="str">
        <f t="shared" si="42"/>
        <v/>
      </c>
      <c r="AE192" s="27" t="str">
        <f t="shared" si="36"/>
        <v/>
      </c>
      <c r="AF192" s="14">
        <f t="shared" si="37"/>
        <v>45912.340277777781</v>
      </c>
      <c r="AG192" s="12">
        <f t="shared" si="33"/>
        <v>45912</v>
      </c>
      <c r="AH192" s="24">
        <f t="shared" si="34"/>
        <v>0.34027777778101154</v>
      </c>
    </row>
    <row r="193" spans="1:34" ht="19.95" customHeight="1" x14ac:dyDescent="0.4">
      <c r="A193" s="2">
        <v>1346</v>
      </c>
      <c r="B193" s="16">
        <f>VLOOKUP(A193,[1]PLAN!$A$3:$BG$1149,18,)+VLOOKUP(A193,[1]PLAN!$A$3:$BG$1149,19,)</f>
        <v>45911.680555555555</v>
      </c>
      <c r="C193" s="22">
        <f t="shared" si="29"/>
        <v>45911</v>
      </c>
      <c r="D193" s="23">
        <f t="shared" si="30"/>
        <v>0.68055555555474712</v>
      </c>
      <c r="E193" s="14">
        <f>VLOOKUP(A193,[1]PLAN!$A$3:$BG$1149,54,)+VLOOKUP(A193,[1]PLAN!$A$3:$BG$1149,22,)</f>
        <v>45912.34375</v>
      </c>
      <c r="F193" s="12">
        <f t="shared" si="31"/>
        <v>45912</v>
      </c>
      <c r="G193" s="24">
        <f t="shared" si="32"/>
        <v>0.34375</v>
      </c>
      <c r="H193" s="14"/>
      <c r="I193" s="14"/>
      <c r="J193" s="29"/>
      <c r="K193" s="30"/>
      <c r="M193" s="17">
        <v>21.03</v>
      </c>
      <c r="N193" s="7">
        <f t="shared" si="38"/>
        <v>25.236000000000001</v>
      </c>
      <c r="O193" s="5">
        <v>4</v>
      </c>
      <c r="P193" s="3"/>
      <c r="Q193" s="5">
        <v>22.76</v>
      </c>
      <c r="R193" s="7">
        <f t="shared" si="39"/>
        <v>27.312000000000001</v>
      </c>
      <c r="S193" s="5">
        <v>4</v>
      </c>
      <c r="U193" s="10">
        <v>70.260000000000005</v>
      </c>
      <c r="V193" s="11">
        <f t="shared" si="40"/>
        <v>84.311999999999998</v>
      </c>
      <c r="W193" s="6">
        <v>4</v>
      </c>
      <c r="Y193" s="10">
        <v>70.84</v>
      </c>
      <c r="Z193" s="11">
        <f t="shared" si="41"/>
        <v>85.007999999999996</v>
      </c>
      <c r="AA193" s="6">
        <v>4</v>
      </c>
      <c r="AB193" s="1">
        <v>1.2</v>
      </c>
      <c r="AC193" s="21" t="str">
        <f t="shared" si="35"/>
        <v>15:55</v>
      </c>
      <c r="AD193" s="27" t="str">
        <f t="shared" si="42"/>
        <v/>
      </c>
      <c r="AE193" s="27" t="str">
        <f t="shared" si="36"/>
        <v/>
      </c>
      <c r="AF193" s="14">
        <f t="shared" si="37"/>
        <v>45912.34375</v>
      </c>
      <c r="AG193" s="12">
        <f t="shared" si="33"/>
        <v>45912</v>
      </c>
      <c r="AH193" s="24">
        <f t="shared" si="34"/>
        <v>0.34375</v>
      </c>
    </row>
    <row r="194" spans="1:34" ht="19.95" customHeight="1" x14ac:dyDescent="0.4">
      <c r="A194" s="2">
        <v>1347</v>
      </c>
      <c r="B194" s="16">
        <f>VLOOKUP(A194,[1]PLAN!$A$3:$BG$1149,18,)+VLOOKUP(A194,[1]PLAN!$A$3:$BG$1149,19,)</f>
        <v>45912.625</v>
      </c>
      <c r="C194" s="22">
        <f t="shared" si="29"/>
        <v>45912</v>
      </c>
      <c r="D194" s="23">
        <f t="shared" si="30"/>
        <v>0.625</v>
      </c>
      <c r="E194" s="14">
        <f>VLOOKUP(A194,[1]PLAN!$A$3:$BG$1149,54,)+VLOOKUP(A194,[1]PLAN!$A$3:$BG$1149,22,)</f>
        <v>45913.5625</v>
      </c>
      <c r="F194" s="12">
        <f t="shared" si="31"/>
        <v>45913</v>
      </c>
      <c r="G194" s="24">
        <f t="shared" si="32"/>
        <v>0.5625</v>
      </c>
      <c r="H194" s="14"/>
      <c r="I194" s="14"/>
      <c r="J194" s="29"/>
      <c r="K194" s="30"/>
      <c r="M194" s="17">
        <v>26.61</v>
      </c>
      <c r="N194" s="7">
        <f t="shared" si="38"/>
        <v>31.931999999999999</v>
      </c>
      <c r="O194" s="5">
        <v>4</v>
      </c>
      <c r="P194" s="3"/>
      <c r="Q194" s="5">
        <v>24.4</v>
      </c>
      <c r="R194" s="7">
        <f t="shared" si="39"/>
        <v>29.279999999999998</v>
      </c>
      <c r="S194" s="5">
        <v>4</v>
      </c>
      <c r="U194" s="10">
        <v>70.88</v>
      </c>
      <c r="V194" s="11">
        <f t="shared" si="40"/>
        <v>85.055999999999997</v>
      </c>
      <c r="W194" s="6">
        <v>4</v>
      </c>
      <c r="Y194" s="10">
        <v>70.150000000000006</v>
      </c>
      <c r="Z194" s="11">
        <f t="shared" si="41"/>
        <v>84.18</v>
      </c>
      <c r="AA194" s="6">
        <v>4</v>
      </c>
      <c r="AB194" s="1">
        <v>1.2</v>
      </c>
      <c r="AC194" s="21" t="str">
        <f t="shared" si="35"/>
        <v>22:30</v>
      </c>
      <c r="AD194" s="27" t="str">
        <f t="shared" si="42"/>
        <v/>
      </c>
      <c r="AE194" s="27" t="str">
        <f t="shared" si="36"/>
        <v/>
      </c>
      <c r="AF194" s="14">
        <f t="shared" si="37"/>
        <v>45913.5625</v>
      </c>
      <c r="AG194" s="12">
        <f t="shared" si="33"/>
        <v>45913</v>
      </c>
      <c r="AH194" s="24">
        <f t="shared" si="34"/>
        <v>0.5625</v>
      </c>
    </row>
    <row r="195" spans="1:34" ht="19.95" customHeight="1" x14ac:dyDescent="0.4">
      <c r="A195" s="2">
        <v>1348</v>
      </c>
      <c r="B195" s="16">
        <f>VLOOKUP(A195,[1]PLAN!$A$3:$BG$1149,18,)+VLOOKUP(A195,[1]PLAN!$A$3:$BG$1149,19,)</f>
        <v>45912.645833333336</v>
      </c>
      <c r="C195" s="22">
        <f t="shared" si="29"/>
        <v>45912</v>
      </c>
      <c r="D195" s="23">
        <f t="shared" si="30"/>
        <v>0.64583333333575865</v>
      </c>
      <c r="E195" s="14">
        <f>VLOOKUP(A195,[1]PLAN!$A$3:$BG$1149,54,)+VLOOKUP(A195,[1]PLAN!$A$3:$BG$1149,22,)</f>
        <v>45913.565972222219</v>
      </c>
      <c r="F195" s="12">
        <f t="shared" si="31"/>
        <v>45913</v>
      </c>
      <c r="G195" s="24">
        <f t="shared" si="32"/>
        <v>0.56597222221898846</v>
      </c>
      <c r="H195" s="14"/>
      <c r="I195" s="14"/>
      <c r="J195" s="29"/>
      <c r="K195" s="30"/>
      <c r="M195" s="17">
        <v>22.52</v>
      </c>
      <c r="N195" s="7">
        <f t="shared" si="38"/>
        <v>27.023999999999997</v>
      </c>
      <c r="O195" s="5">
        <v>4</v>
      </c>
      <c r="P195" s="3"/>
      <c r="Q195" s="5">
        <v>21.32</v>
      </c>
      <c r="R195" s="7">
        <f t="shared" si="39"/>
        <v>25.584</v>
      </c>
      <c r="S195" s="5">
        <v>4</v>
      </c>
      <c r="U195" s="10">
        <v>70.67</v>
      </c>
      <c r="V195" s="11">
        <f t="shared" si="40"/>
        <v>84.804000000000002</v>
      </c>
      <c r="W195" s="6">
        <v>4</v>
      </c>
      <c r="Y195" s="10">
        <v>69.989999999999995</v>
      </c>
      <c r="Z195" s="11">
        <f t="shared" si="41"/>
        <v>83.987999999999985</v>
      </c>
      <c r="AA195" s="6">
        <v>4</v>
      </c>
      <c r="AB195" s="1">
        <v>1.2</v>
      </c>
      <c r="AC195" s="21" t="str">
        <f t="shared" si="35"/>
        <v>22:05</v>
      </c>
      <c r="AD195" s="27" t="str">
        <f t="shared" si="42"/>
        <v/>
      </c>
      <c r="AE195" s="27" t="str">
        <f t="shared" si="36"/>
        <v/>
      </c>
      <c r="AF195" s="14">
        <f t="shared" si="37"/>
        <v>45913.565972222219</v>
      </c>
      <c r="AG195" s="12">
        <f t="shared" si="33"/>
        <v>45913</v>
      </c>
      <c r="AH195" s="24">
        <f t="shared" si="34"/>
        <v>0.56597222221898846</v>
      </c>
    </row>
    <row r="196" spans="1:34" ht="19.95" customHeight="1" x14ac:dyDescent="0.4">
      <c r="A196" s="2">
        <v>1349</v>
      </c>
      <c r="B196" s="16">
        <f>VLOOKUP(A196,[1]PLAN!$A$3:$BG$1149,18,)+VLOOKUP(A196,[1]PLAN!$A$3:$BG$1149,19,)</f>
        <v>45912.666666666664</v>
      </c>
      <c r="C196" s="22">
        <f t="shared" ref="C196:C256" si="43">INT(B196)</f>
        <v>45912</v>
      </c>
      <c r="D196" s="23">
        <f t="shared" ref="D196:D256" si="44">B196-INT(B196)</f>
        <v>0.66666666666424135</v>
      </c>
      <c r="E196" s="14">
        <f>VLOOKUP(A196,[1]PLAN!$A$3:$BG$1149,54,)+VLOOKUP(A196,[1]PLAN!$A$3:$BG$1149,22,)</f>
        <v>45913.569444444445</v>
      </c>
      <c r="F196" s="12">
        <f t="shared" ref="F196:F259" si="45">INT(E196)</f>
        <v>45913</v>
      </c>
      <c r="G196" s="24">
        <f t="shared" ref="G196:G259" si="46">E196-INT(E196)</f>
        <v>0.56944444444525288</v>
      </c>
      <c r="H196" s="14"/>
      <c r="I196" s="14"/>
      <c r="J196" s="29"/>
      <c r="K196" s="30"/>
      <c r="M196" s="17">
        <v>20.440000000000001</v>
      </c>
      <c r="N196" s="7">
        <f t="shared" si="38"/>
        <v>24.528000000000002</v>
      </c>
      <c r="O196" s="5">
        <v>4</v>
      </c>
      <c r="P196" s="3"/>
      <c r="Q196" s="5">
        <v>21.39</v>
      </c>
      <c r="R196" s="7">
        <f t="shared" si="39"/>
        <v>25.667999999999999</v>
      </c>
      <c r="S196" s="5">
        <v>4</v>
      </c>
      <c r="U196" s="10">
        <v>70.94</v>
      </c>
      <c r="V196" s="11">
        <f t="shared" si="40"/>
        <v>85.128</v>
      </c>
      <c r="W196" s="6">
        <v>4</v>
      </c>
      <c r="Y196" s="10">
        <v>69.87</v>
      </c>
      <c r="Z196" s="11">
        <f t="shared" si="41"/>
        <v>83.844000000000008</v>
      </c>
      <c r="AA196" s="6">
        <v>4</v>
      </c>
      <c r="AB196" s="1">
        <v>1.2</v>
      </c>
      <c r="AC196" s="21" t="str">
        <f t="shared" si="35"/>
        <v>21:40</v>
      </c>
      <c r="AD196" s="27" t="str">
        <f t="shared" si="42"/>
        <v/>
      </c>
      <c r="AE196" s="27" t="str">
        <f t="shared" si="36"/>
        <v/>
      </c>
      <c r="AF196" s="14">
        <f t="shared" si="37"/>
        <v>45913.569444444445</v>
      </c>
      <c r="AG196" s="12">
        <f t="shared" ref="AG196:AG259" si="47">INT(AF196)</f>
        <v>45913</v>
      </c>
      <c r="AH196" s="24">
        <f t="shared" ref="AH196:AH259" si="48">AF196-INT(AF196)</f>
        <v>0.56944444444525288</v>
      </c>
    </row>
    <row r="197" spans="1:34" ht="19.95" customHeight="1" x14ac:dyDescent="0.4">
      <c r="A197" s="2">
        <v>1350</v>
      </c>
      <c r="B197" s="16">
        <f>VLOOKUP(A197,[1]PLAN!$A$3:$BG$1149,18,)+VLOOKUP(A197,[1]PLAN!$A$3:$BG$1149,19,)</f>
        <v>45912.6875</v>
      </c>
      <c r="C197" s="22">
        <f t="shared" si="43"/>
        <v>45912</v>
      </c>
      <c r="D197" s="23">
        <f t="shared" si="44"/>
        <v>0.6875</v>
      </c>
      <c r="E197" s="14">
        <f>VLOOKUP(A197,[1]PLAN!$A$3:$BG$1149,54,)+VLOOKUP(A197,[1]PLAN!$A$3:$BG$1149,22,)</f>
        <v>45913.572916666664</v>
      </c>
      <c r="F197" s="12">
        <f t="shared" si="45"/>
        <v>45913</v>
      </c>
      <c r="G197" s="24">
        <f t="shared" si="46"/>
        <v>0.57291666666424135</v>
      </c>
      <c r="H197" s="14"/>
      <c r="I197" s="14"/>
      <c r="J197" s="29"/>
      <c r="K197" s="30"/>
      <c r="M197" s="17">
        <v>25.04</v>
      </c>
      <c r="N197" s="7">
        <f t="shared" si="38"/>
        <v>30.047999999999998</v>
      </c>
      <c r="O197" s="5">
        <v>4</v>
      </c>
      <c r="P197" s="3"/>
      <c r="Q197" s="5">
        <v>26.1</v>
      </c>
      <c r="R197" s="7">
        <f t="shared" si="39"/>
        <v>31.32</v>
      </c>
      <c r="S197" s="5">
        <v>4</v>
      </c>
      <c r="U197" s="10">
        <v>70.739999999999995</v>
      </c>
      <c r="V197" s="11">
        <f t="shared" si="40"/>
        <v>84.887999999999991</v>
      </c>
      <c r="W197" s="6">
        <v>4</v>
      </c>
      <c r="Y197" s="10">
        <v>70.239999999999995</v>
      </c>
      <c r="Z197" s="11">
        <f t="shared" si="41"/>
        <v>84.287999999999997</v>
      </c>
      <c r="AA197" s="6">
        <v>4</v>
      </c>
      <c r="AB197" s="1">
        <v>1.2</v>
      </c>
      <c r="AC197" s="21" t="str">
        <f t="shared" ref="AC197:AC260" si="49">IF(B197="","",TEXT(E197-B197,"[hh]:mm"))</f>
        <v>21:15</v>
      </c>
      <c r="AD197" s="27" t="str">
        <f t="shared" si="42"/>
        <v/>
      </c>
      <c r="AE197" s="27" t="str">
        <f t="shared" ref="AE197:AE260" si="50">IF(I197="","",TEXT(I197-B197,"[hh]:mm"))</f>
        <v/>
      </c>
      <c r="AF197" s="14">
        <f t="shared" ref="AF197:AF260" si="51">MAX(E197,H197,I197)</f>
        <v>45913.572916666664</v>
      </c>
      <c r="AG197" s="12">
        <f t="shared" si="47"/>
        <v>45913</v>
      </c>
      <c r="AH197" s="24">
        <f t="shared" si="48"/>
        <v>0.57291666666424135</v>
      </c>
    </row>
    <row r="198" spans="1:34" ht="19.95" customHeight="1" x14ac:dyDescent="0.4">
      <c r="A198" s="2">
        <v>1351</v>
      </c>
      <c r="B198" s="16">
        <f>VLOOKUP(A198,[1]PLAN!$A$3:$BG$1149,18,)+VLOOKUP(A198,[1]PLAN!$A$3:$BG$1149,19,)</f>
        <v>45912.708333333336</v>
      </c>
      <c r="C198" s="22">
        <f t="shared" si="43"/>
        <v>45912</v>
      </c>
      <c r="D198" s="23">
        <f t="shared" si="44"/>
        <v>0.70833333333575865</v>
      </c>
      <c r="E198" s="14">
        <f>VLOOKUP(A198,[1]PLAN!$A$3:$BG$1149,54,)+VLOOKUP(A198,[1]PLAN!$A$3:$BG$1149,22,)</f>
        <v>45913.576388888891</v>
      </c>
      <c r="F198" s="12">
        <f t="shared" si="45"/>
        <v>45913</v>
      </c>
      <c r="G198" s="24">
        <f t="shared" si="46"/>
        <v>0.57638888889050577</v>
      </c>
      <c r="H198" s="14"/>
      <c r="I198" s="14"/>
      <c r="J198" s="29"/>
      <c r="K198" s="30"/>
      <c r="M198" s="17">
        <v>22.49</v>
      </c>
      <c r="N198" s="7">
        <f t="shared" si="38"/>
        <v>26.987999999999996</v>
      </c>
      <c r="O198" s="5">
        <v>4</v>
      </c>
      <c r="P198" s="3"/>
      <c r="Q198" s="5">
        <v>22.68</v>
      </c>
      <c r="R198" s="7">
        <f t="shared" si="39"/>
        <v>27.215999999999998</v>
      </c>
      <c r="S198" s="5">
        <v>4</v>
      </c>
      <c r="U198" s="10">
        <v>70.52</v>
      </c>
      <c r="V198" s="11">
        <f t="shared" si="40"/>
        <v>84.623999999999995</v>
      </c>
      <c r="W198" s="6">
        <v>4</v>
      </c>
      <c r="Y198" s="10">
        <v>70.62</v>
      </c>
      <c r="Z198" s="11">
        <f t="shared" si="41"/>
        <v>84.744</v>
      </c>
      <c r="AA198" s="6">
        <v>4</v>
      </c>
      <c r="AB198" s="1">
        <v>1.2</v>
      </c>
      <c r="AC198" s="21" t="str">
        <f t="shared" si="49"/>
        <v>20:50</v>
      </c>
      <c r="AD198" s="27" t="str">
        <f t="shared" si="42"/>
        <v/>
      </c>
      <c r="AE198" s="27" t="str">
        <f t="shared" si="50"/>
        <v/>
      </c>
      <c r="AF198" s="14">
        <f t="shared" si="51"/>
        <v>45913.576388888891</v>
      </c>
      <c r="AG198" s="12">
        <f t="shared" si="47"/>
        <v>45913</v>
      </c>
      <c r="AH198" s="24">
        <f t="shared" si="48"/>
        <v>0.57638888889050577</v>
      </c>
    </row>
    <row r="199" spans="1:34" ht="19.95" customHeight="1" x14ac:dyDescent="0.4">
      <c r="A199" s="2">
        <v>1352</v>
      </c>
      <c r="B199" s="16">
        <f>VLOOKUP(A199,[1]PLAN!$A$3:$BG$1149,18,)+VLOOKUP(A199,[1]PLAN!$A$3:$BG$1149,19,)</f>
        <v>45913.666666666664</v>
      </c>
      <c r="C199" s="22">
        <f t="shared" si="43"/>
        <v>45913</v>
      </c>
      <c r="D199" s="23">
        <f t="shared" si="44"/>
        <v>0.66666666666424135</v>
      </c>
      <c r="E199" s="14">
        <f>VLOOKUP(A199,[1]PLAN!$A$3:$BG$1149,54,)+VLOOKUP(A199,[1]PLAN!$A$3:$BG$1149,22,)</f>
        <v>45915.333333333336</v>
      </c>
      <c r="F199" s="12">
        <f t="shared" si="45"/>
        <v>45915</v>
      </c>
      <c r="G199" s="24">
        <f t="shared" si="46"/>
        <v>0.33333333333575865</v>
      </c>
      <c r="H199" s="14"/>
      <c r="I199" s="14"/>
      <c r="J199" s="29"/>
      <c r="K199" s="30"/>
      <c r="M199" s="17">
        <v>32.85</v>
      </c>
      <c r="N199" s="7">
        <f t="shared" si="38"/>
        <v>39.42</v>
      </c>
      <c r="O199" s="5">
        <v>4</v>
      </c>
      <c r="P199" s="3"/>
      <c r="Q199" s="5">
        <v>31.36</v>
      </c>
      <c r="R199" s="7">
        <f t="shared" si="39"/>
        <v>37.631999999999998</v>
      </c>
      <c r="S199" s="5">
        <v>4</v>
      </c>
      <c r="U199" s="10">
        <v>71.25</v>
      </c>
      <c r="V199" s="11">
        <f t="shared" si="40"/>
        <v>85.5</v>
      </c>
      <c r="W199" s="6">
        <v>4</v>
      </c>
      <c r="Y199" s="10">
        <v>70.5</v>
      </c>
      <c r="Z199" s="11">
        <f t="shared" si="41"/>
        <v>84.6</v>
      </c>
      <c r="AA199" s="6">
        <v>4</v>
      </c>
      <c r="AB199" s="1">
        <v>1.2</v>
      </c>
      <c r="AC199" s="21" t="str">
        <f t="shared" si="49"/>
        <v>40:00</v>
      </c>
      <c r="AD199" s="27" t="str">
        <f t="shared" si="42"/>
        <v/>
      </c>
      <c r="AE199" s="27" t="str">
        <f t="shared" si="50"/>
        <v/>
      </c>
      <c r="AF199" s="14">
        <f t="shared" si="51"/>
        <v>45915.333333333336</v>
      </c>
      <c r="AG199" s="12">
        <f t="shared" si="47"/>
        <v>45915</v>
      </c>
      <c r="AH199" s="24">
        <f t="shared" si="48"/>
        <v>0.33333333333575865</v>
      </c>
    </row>
    <row r="200" spans="1:34" ht="19.95" customHeight="1" x14ac:dyDescent="0.4">
      <c r="A200" s="2">
        <v>1353</v>
      </c>
      <c r="B200" s="16">
        <f>VLOOKUP(A200,[1]PLAN!$A$3:$BG$1149,18,)+VLOOKUP(A200,[1]PLAN!$A$3:$BG$1149,19,)</f>
        <v>45913.6875</v>
      </c>
      <c r="C200" s="22">
        <f t="shared" si="43"/>
        <v>45913</v>
      </c>
      <c r="D200" s="23">
        <f t="shared" si="44"/>
        <v>0.6875</v>
      </c>
      <c r="E200" s="14">
        <f>VLOOKUP(A200,[1]PLAN!$A$3:$BG$1149,54,)+VLOOKUP(A200,[1]PLAN!$A$3:$BG$1149,22,)</f>
        <v>45915.336805555555</v>
      </c>
      <c r="F200" s="12">
        <f t="shared" si="45"/>
        <v>45915</v>
      </c>
      <c r="G200" s="24">
        <f t="shared" si="46"/>
        <v>0.33680555555474712</v>
      </c>
      <c r="H200" s="14"/>
      <c r="I200" s="14"/>
      <c r="J200" s="29"/>
      <c r="K200" s="30"/>
      <c r="M200" s="17">
        <v>32.090000000000003</v>
      </c>
      <c r="N200" s="7">
        <f t="shared" ref="N200:N263" si="52">IF(M200="","",M200*AB200)</f>
        <v>38.508000000000003</v>
      </c>
      <c r="O200" s="5">
        <v>4</v>
      </c>
      <c r="P200" s="3"/>
      <c r="Q200" s="5">
        <v>29.35</v>
      </c>
      <c r="R200" s="7">
        <f t="shared" ref="R200:R263" si="53">IF(Q200="","",Q200*AB200)</f>
        <v>35.22</v>
      </c>
      <c r="S200" s="5">
        <v>4</v>
      </c>
      <c r="U200" s="10">
        <v>70.02</v>
      </c>
      <c r="V200" s="11">
        <f t="shared" ref="V200:V263" si="54">IF(U200="","",U200*AB200)</f>
        <v>84.023999999999987</v>
      </c>
      <c r="W200" s="6">
        <v>4</v>
      </c>
      <c r="Y200" s="10">
        <v>70.02</v>
      </c>
      <c r="Z200" s="11">
        <f t="shared" ref="Z200:Z263" si="55">IF(Y200="","",Y200*AB200)</f>
        <v>84.023999999999987</v>
      </c>
      <c r="AA200" s="6">
        <v>4</v>
      </c>
      <c r="AB200" s="1">
        <v>1.2</v>
      </c>
      <c r="AC200" s="21" t="str">
        <f t="shared" si="49"/>
        <v>39:35</v>
      </c>
      <c r="AD200" s="27" t="str">
        <f t="shared" si="42"/>
        <v/>
      </c>
      <c r="AE200" s="27" t="str">
        <f t="shared" si="50"/>
        <v/>
      </c>
      <c r="AF200" s="14">
        <f t="shared" si="51"/>
        <v>45915.336805555555</v>
      </c>
      <c r="AG200" s="12">
        <f t="shared" si="47"/>
        <v>45915</v>
      </c>
      <c r="AH200" s="24">
        <f t="shared" si="48"/>
        <v>0.33680555555474712</v>
      </c>
    </row>
    <row r="201" spans="1:34" ht="19.95" customHeight="1" x14ac:dyDescent="0.4">
      <c r="A201" s="2">
        <v>1354</v>
      </c>
      <c r="B201" s="16">
        <f>VLOOKUP(A201,[1]PLAN!$A$3:$BG$1149,18,)+VLOOKUP(A201,[1]PLAN!$A$3:$BG$1149,19,)</f>
        <v>45913.722222222219</v>
      </c>
      <c r="C201" s="22">
        <f t="shared" si="43"/>
        <v>45913</v>
      </c>
      <c r="D201" s="23">
        <f t="shared" si="44"/>
        <v>0.72222222221898846</v>
      </c>
      <c r="E201" s="14">
        <f>VLOOKUP(A201,[1]PLAN!$A$3:$BG$1149,54,)+VLOOKUP(A201,[1]PLAN!$A$3:$BG$1149,22,)</f>
        <v>45915.340277777781</v>
      </c>
      <c r="F201" s="12">
        <f t="shared" si="45"/>
        <v>45915</v>
      </c>
      <c r="G201" s="24">
        <f t="shared" si="46"/>
        <v>0.34027777778101154</v>
      </c>
      <c r="H201" s="14"/>
      <c r="I201" s="14"/>
      <c r="J201" s="29"/>
      <c r="K201" s="30"/>
      <c r="M201" s="17">
        <v>29.25</v>
      </c>
      <c r="N201" s="7">
        <f t="shared" si="52"/>
        <v>35.1</v>
      </c>
      <c r="O201" s="5">
        <v>4</v>
      </c>
      <c r="P201" s="3"/>
      <c r="Q201" s="5">
        <v>27.69</v>
      </c>
      <c r="R201" s="7">
        <f t="shared" si="53"/>
        <v>33.228000000000002</v>
      </c>
      <c r="S201" s="5">
        <v>4</v>
      </c>
      <c r="U201" s="10">
        <v>70.98</v>
      </c>
      <c r="V201" s="11">
        <f t="shared" si="54"/>
        <v>85.176000000000002</v>
      </c>
      <c r="W201" s="6">
        <v>4</v>
      </c>
      <c r="Y201" s="10">
        <v>70.180000000000007</v>
      </c>
      <c r="Z201" s="11">
        <f t="shared" si="55"/>
        <v>84.216000000000008</v>
      </c>
      <c r="AA201" s="6">
        <v>4</v>
      </c>
      <c r="AB201" s="1">
        <v>1.2</v>
      </c>
      <c r="AC201" s="21" t="str">
        <f t="shared" si="49"/>
        <v>38:50</v>
      </c>
      <c r="AD201" s="27" t="str">
        <f t="shared" si="42"/>
        <v/>
      </c>
      <c r="AE201" s="27" t="str">
        <f t="shared" si="50"/>
        <v/>
      </c>
      <c r="AF201" s="14">
        <f t="shared" si="51"/>
        <v>45915.340277777781</v>
      </c>
      <c r="AG201" s="12">
        <f t="shared" si="47"/>
        <v>45915</v>
      </c>
      <c r="AH201" s="24">
        <f t="shared" si="48"/>
        <v>0.34027777778101154</v>
      </c>
    </row>
    <row r="202" spans="1:34" ht="19.95" customHeight="1" x14ac:dyDescent="0.4">
      <c r="A202" s="2">
        <v>1355</v>
      </c>
      <c r="B202" s="16">
        <f>VLOOKUP(A202,[1]PLAN!$A$3:$BG$1149,18,)+VLOOKUP(A202,[1]PLAN!$A$3:$BG$1149,19,)</f>
        <v>45915.645833333336</v>
      </c>
      <c r="C202" s="22">
        <f t="shared" si="43"/>
        <v>45915</v>
      </c>
      <c r="D202" s="23">
        <f t="shared" si="44"/>
        <v>0.64583333333575865</v>
      </c>
      <c r="E202" s="14">
        <f>VLOOKUP(A202,[1]PLAN!$A$3:$BG$1149,54,)+VLOOKUP(A202,[1]PLAN!$A$3:$BG$1149,22,)</f>
        <v>45916.354166666664</v>
      </c>
      <c r="F202" s="12">
        <f t="shared" si="45"/>
        <v>45916</v>
      </c>
      <c r="G202" s="24">
        <f t="shared" si="46"/>
        <v>0.35416666666424135</v>
      </c>
      <c r="H202" s="14"/>
      <c r="I202" s="14"/>
      <c r="J202" s="29"/>
      <c r="K202" s="30"/>
      <c r="M202" s="17">
        <v>22.15</v>
      </c>
      <c r="N202" s="7">
        <f t="shared" si="52"/>
        <v>26.58</v>
      </c>
      <c r="O202" s="5">
        <v>4</v>
      </c>
      <c r="P202" s="3"/>
      <c r="Q202" s="5">
        <v>21.34</v>
      </c>
      <c r="R202" s="7">
        <f t="shared" si="53"/>
        <v>25.608000000000001</v>
      </c>
      <c r="S202" s="5">
        <v>4</v>
      </c>
      <c r="U202" s="10">
        <v>70.3</v>
      </c>
      <c r="V202" s="11">
        <f t="shared" si="54"/>
        <v>84.36</v>
      </c>
      <c r="W202" s="6">
        <v>4</v>
      </c>
      <c r="Y202" s="10">
        <v>70.36</v>
      </c>
      <c r="Z202" s="11">
        <f t="shared" si="55"/>
        <v>84.432000000000002</v>
      </c>
      <c r="AA202" s="6">
        <v>4</v>
      </c>
      <c r="AB202" s="1">
        <v>1.2</v>
      </c>
      <c r="AC202" s="21" t="str">
        <f t="shared" si="49"/>
        <v>17:00</v>
      </c>
      <c r="AD202" s="27" t="str">
        <f t="shared" si="42"/>
        <v/>
      </c>
      <c r="AE202" s="27" t="str">
        <f t="shared" si="50"/>
        <v/>
      </c>
      <c r="AF202" s="14">
        <f t="shared" si="51"/>
        <v>45916.354166666664</v>
      </c>
      <c r="AG202" s="12">
        <f t="shared" si="47"/>
        <v>45916</v>
      </c>
      <c r="AH202" s="24">
        <f t="shared" si="48"/>
        <v>0.35416666666424135</v>
      </c>
    </row>
    <row r="203" spans="1:34" ht="19.95" customHeight="1" x14ac:dyDescent="0.4">
      <c r="A203" s="2">
        <v>1356</v>
      </c>
      <c r="B203" s="16">
        <f>VLOOKUP(A203,[1]PLAN!$A$3:$BG$1149,18,)+VLOOKUP(A203,[1]PLAN!$A$3:$BG$1149,19,)</f>
        <v>45916.5625</v>
      </c>
      <c r="C203" s="22">
        <f t="shared" si="43"/>
        <v>45916</v>
      </c>
      <c r="D203" s="23">
        <f t="shared" si="44"/>
        <v>0.5625</v>
      </c>
      <c r="E203" s="14">
        <f>VLOOKUP(A203,[1]PLAN!$A$3:$BG$1149,54,)+VLOOKUP(A203,[1]PLAN!$A$3:$BG$1149,22,)</f>
        <v>45917.354166666664</v>
      </c>
      <c r="F203" s="12">
        <f t="shared" si="45"/>
        <v>45917</v>
      </c>
      <c r="G203" s="24">
        <f t="shared" si="46"/>
        <v>0.35416666666424135</v>
      </c>
      <c r="H203" s="14"/>
      <c r="I203" s="14"/>
      <c r="J203" s="29"/>
      <c r="K203" s="30"/>
      <c r="M203" s="17">
        <v>25.04</v>
      </c>
      <c r="N203" s="7">
        <f t="shared" si="52"/>
        <v>30.047999999999998</v>
      </c>
      <c r="O203" s="5">
        <v>4</v>
      </c>
      <c r="P203" s="3"/>
      <c r="Q203" s="5">
        <v>25.4</v>
      </c>
      <c r="R203" s="7">
        <f t="shared" si="53"/>
        <v>30.479999999999997</v>
      </c>
      <c r="S203" s="5">
        <v>4</v>
      </c>
      <c r="U203" s="10">
        <v>72.3</v>
      </c>
      <c r="V203" s="11">
        <f t="shared" si="54"/>
        <v>86.759999999999991</v>
      </c>
      <c r="W203" s="6">
        <v>4</v>
      </c>
      <c r="Y203" s="10">
        <v>70.760000000000005</v>
      </c>
      <c r="Z203" s="11">
        <f t="shared" si="55"/>
        <v>84.912000000000006</v>
      </c>
      <c r="AA203" s="6">
        <v>4</v>
      </c>
      <c r="AB203" s="1">
        <v>1.2</v>
      </c>
      <c r="AC203" s="21" t="str">
        <f t="shared" si="49"/>
        <v>19:00</v>
      </c>
      <c r="AD203" s="27" t="str">
        <f t="shared" si="42"/>
        <v/>
      </c>
      <c r="AE203" s="27" t="str">
        <f t="shared" si="50"/>
        <v/>
      </c>
      <c r="AF203" s="14">
        <f t="shared" si="51"/>
        <v>45917.354166666664</v>
      </c>
      <c r="AG203" s="12">
        <f t="shared" si="47"/>
        <v>45917</v>
      </c>
      <c r="AH203" s="24">
        <f t="shared" si="48"/>
        <v>0.35416666666424135</v>
      </c>
    </row>
    <row r="204" spans="1:34" ht="19.95" customHeight="1" x14ac:dyDescent="0.4">
      <c r="A204" s="2">
        <v>1357</v>
      </c>
      <c r="B204" s="16">
        <f>VLOOKUP(A204,[1]PLAN!$A$3:$BG$1149,18,)+VLOOKUP(A204,[1]PLAN!$A$3:$BG$1149,19,)</f>
        <v>45916.590277777781</v>
      </c>
      <c r="C204" s="22">
        <f t="shared" si="43"/>
        <v>45916</v>
      </c>
      <c r="D204" s="23">
        <f t="shared" si="44"/>
        <v>0.59027777778101154</v>
      </c>
      <c r="E204" s="14">
        <f>VLOOKUP(A204,[1]PLAN!$A$3:$BG$1149,54,)+VLOOKUP(A204,[1]PLAN!$A$3:$BG$1149,22,)</f>
        <v>45917.357638888891</v>
      </c>
      <c r="F204" s="12">
        <f t="shared" si="45"/>
        <v>45917</v>
      </c>
      <c r="G204" s="24">
        <f t="shared" si="46"/>
        <v>0.35763888889050577</v>
      </c>
      <c r="H204" s="14"/>
      <c r="I204" s="14"/>
      <c r="J204" s="29"/>
      <c r="K204" s="30"/>
      <c r="M204" s="17">
        <v>21.58</v>
      </c>
      <c r="N204" s="7">
        <f t="shared" si="52"/>
        <v>25.895999999999997</v>
      </c>
      <c r="O204" s="5">
        <v>4</v>
      </c>
      <c r="P204" s="3"/>
      <c r="Q204" s="5">
        <v>21.07</v>
      </c>
      <c r="R204" s="7">
        <f t="shared" si="53"/>
        <v>25.283999999999999</v>
      </c>
      <c r="S204" s="5">
        <v>4</v>
      </c>
      <c r="U204" s="10">
        <v>70.849999999999994</v>
      </c>
      <c r="V204" s="11">
        <f t="shared" si="54"/>
        <v>85.02</v>
      </c>
      <c r="W204" s="6">
        <v>4</v>
      </c>
      <c r="Y204" s="10">
        <v>70.06</v>
      </c>
      <c r="Z204" s="11">
        <f t="shared" si="55"/>
        <v>84.072000000000003</v>
      </c>
      <c r="AA204" s="6">
        <v>4</v>
      </c>
      <c r="AB204" s="1">
        <v>1.2</v>
      </c>
      <c r="AC204" s="21" t="str">
        <f t="shared" si="49"/>
        <v>18:25</v>
      </c>
      <c r="AD204" s="27" t="str">
        <f t="shared" si="42"/>
        <v/>
      </c>
      <c r="AE204" s="27" t="str">
        <f t="shared" si="50"/>
        <v/>
      </c>
      <c r="AF204" s="14">
        <f t="shared" si="51"/>
        <v>45917.357638888891</v>
      </c>
      <c r="AG204" s="12">
        <f t="shared" si="47"/>
        <v>45917</v>
      </c>
      <c r="AH204" s="24">
        <f t="shared" si="48"/>
        <v>0.35763888889050577</v>
      </c>
    </row>
    <row r="205" spans="1:34" ht="19.95" customHeight="1" x14ac:dyDescent="0.4">
      <c r="A205" s="2">
        <v>1358</v>
      </c>
      <c r="B205" s="16">
        <f>VLOOKUP(A205,[1]PLAN!$A$3:$BG$1149,18,)+VLOOKUP(A205,[1]PLAN!$A$3:$BG$1149,19,)</f>
        <v>45916.625</v>
      </c>
      <c r="C205" s="22">
        <f t="shared" si="43"/>
        <v>45916</v>
      </c>
      <c r="D205" s="23">
        <f t="shared" si="44"/>
        <v>0.625</v>
      </c>
      <c r="E205" s="14">
        <f>VLOOKUP(A205,[1]PLAN!$A$3:$BG$1149,54,)+VLOOKUP(A205,[1]PLAN!$A$3:$BG$1149,22,)</f>
        <v>45917.361111111109</v>
      </c>
      <c r="F205" s="12">
        <f t="shared" si="45"/>
        <v>45917</v>
      </c>
      <c r="G205" s="24">
        <f t="shared" si="46"/>
        <v>0.36111111110949423</v>
      </c>
      <c r="H205" s="14"/>
      <c r="I205" s="14"/>
      <c r="J205" s="29"/>
      <c r="K205" s="30"/>
      <c r="M205" s="17">
        <v>24.92</v>
      </c>
      <c r="N205" s="7">
        <f t="shared" si="52"/>
        <v>29.904</v>
      </c>
      <c r="O205" s="5">
        <v>4</v>
      </c>
      <c r="P205" s="3"/>
      <c r="Q205" s="5">
        <v>24.98</v>
      </c>
      <c r="R205" s="7">
        <f t="shared" si="53"/>
        <v>29.975999999999999</v>
      </c>
      <c r="S205" s="5">
        <v>4</v>
      </c>
      <c r="U205" s="10">
        <v>70.67</v>
      </c>
      <c r="V205" s="11">
        <f t="shared" si="54"/>
        <v>84.804000000000002</v>
      </c>
      <c r="W205" s="6">
        <v>4</v>
      </c>
      <c r="Y205" s="10">
        <v>70.78</v>
      </c>
      <c r="Z205" s="11">
        <f t="shared" si="55"/>
        <v>84.935999999999993</v>
      </c>
      <c r="AA205" s="6">
        <v>4</v>
      </c>
      <c r="AB205" s="1">
        <v>1.2</v>
      </c>
      <c r="AC205" s="21" t="str">
        <f t="shared" si="49"/>
        <v>17:40</v>
      </c>
      <c r="AD205" s="27" t="str">
        <f t="shared" si="42"/>
        <v/>
      </c>
      <c r="AE205" s="27" t="str">
        <f t="shared" si="50"/>
        <v/>
      </c>
      <c r="AF205" s="14">
        <f t="shared" si="51"/>
        <v>45917.361111111109</v>
      </c>
      <c r="AG205" s="12">
        <f t="shared" si="47"/>
        <v>45917</v>
      </c>
      <c r="AH205" s="24">
        <f t="shared" si="48"/>
        <v>0.36111111110949423</v>
      </c>
    </row>
    <row r="206" spans="1:34" ht="19.95" customHeight="1" x14ac:dyDescent="0.4">
      <c r="A206" s="2">
        <v>1359</v>
      </c>
      <c r="B206" s="16">
        <f>VLOOKUP(A206,[1]PLAN!$A$3:$BG$1149,18,)+VLOOKUP(A206,[1]PLAN!$A$3:$BG$1149,19,)</f>
        <v>45916.645833333336</v>
      </c>
      <c r="C206" s="22">
        <f t="shared" si="43"/>
        <v>45916</v>
      </c>
      <c r="D206" s="23">
        <f t="shared" si="44"/>
        <v>0.64583333333575865</v>
      </c>
      <c r="E206" s="14">
        <f>VLOOKUP(A206,[1]PLAN!$A$3:$BG$1149,54,)+VLOOKUP(A206,[1]PLAN!$A$3:$BG$1149,22,)</f>
        <v>45917.364583333336</v>
      </c>
      <c r="F206" s="12">
        <f t="shared" si="45"/>
        <v>45917</v>
      </c>
      <c r="G206" s="24">
        <f t="shared" si="46"/>
        <v>0.36458333333575865</v>
      </c>
      <c r="H206" s="14"/>
      <c r="I206" s="14"/>
      <c r="J206" s="29"/>
      <c r="K206" s="30"/>
      <c r="M206" s="17">
        <v>19.89</v>
      </c>
      <c r="N206" s="7">
        <f t="shared" si="52"/>
        <v>23.867999999999999</v>
      </c>
      <c r="O206" s="5">
        <v>4</v>
      </c>
      <c r="P206" s="3"/>
      <c r="Q206" s="5">
        <v>20.34</v>
      </c>
      <c r="R206" s="7">
        <f t="shared" si="53"/>
        <v>24.407999999999998</v>
      </c>
      <c r="S206" s="5">
        <v>4</v>
      </c>
      <c r="U206" s="10">
        <v>70.989999999999995</v>
      </c>
      <c r="V206" s="11">
        <f t="shared" si="54"/>
        <v>85.187999999999988</v>
      </c>
      <c r="W206" s="6">
        <v>4</v>
      </c>
      <c r="Y206" s="10">
        <v>70.19</v>
      </c>
      <c r="Z206" s="11">
        <f t="shared" si="55"/>
        <v>84.227999999999994</v>
      </c>
      <c r="AA206" s="6">
        <v>4</v>
      </c>
      <c r="AB206" s="1">
        <v>1.2</v>
      </c>
      <c r="AC206" s="21" t="str">
        <f t="shared" si="49"/>
        <v>17:15</v>
      </c>
      <c r="AD206" s="27" t="str">
        <f t="shared" si="42"/>
        <v/>
      </c>
      <c r="AE206" s="27" t="str">
        <f t="shared" si="50"/>
        <v/>
      </c>
      <c r="AF206" s="14">
        <f t="shared" si="51"/>
        <v>45917.364583333336</v>
      </c>
      <c r="AG206" s="12">
        <f t="shared" si="47"/>
        <v>45917</v>
      </c>
      <c r="AH206" s="24">
        <f t="shared" si="48"/>
        <v>0.36458333333575865</v>
      </c>
    </row>
    <row r="207" spans="1:34" ht="19.95" customHeight="1" x14ac:dyDescent="0.4">
      <c r="A207" s="2">
        <v>1360</v>
      </c>
      <c r="B207" s="16">
        <f>VLOOKUP(A207,[1]PLAN!$A$3:$BG$1149,18,)+VLOOKUP(A207,[1]PLAN!$A$3:$BG$1149,19,)</f>
        <v>45916.666666666664</v>
      </c>
      <c r="C207" s="22">
        <f t="shared" si="43"/>
        <v>45916</v>
      </c>
      <c r="D207" s="23">
        <f t="shared" si="44"/>
        <v>0.66666666666424135</v>
      </c>
      <c r="E207" s="14">
        <f>VLOOKUP(A207,[1]PLAN!$A$3:$BG$1149,54,)+VLOOKUP(A207,[1]PLAN!$A$3:$BG$1149,22,)</f>
        <v>45917.368055555555</v>
      </c>
      <c r="F207" s="12">
        <f t="shared" si="45"/>
        <v>45917</v>
      </c>
      <c r="G207" s="24">
        <f t="shared" si="46"/>
        <v>0.36805555555474712</v>
      </c>
      <c r="H207" s="14"/>
      <c r="I207" s="14"/>
      <c r="J207" s="29"/>
      <c r="K207" s="30"/>
      <c r="M207" s="17">
        <v>21.99</v>
      </c>
      <c r="N207" s="7">
        <f t="shared" si="52"/>
        <v>26.387999999999998</v>
      </c>
      <c r="O207" s="5">
        <v>4</v>
      </c>
      <c r="P207" s="3"/>
      <c r="Q207" s="5">
        <v>21.73</v>
      </c>
      <c r="R207" s="7">
        <f t="shared" si="53"/>
        <v>26.076000000000001</v>
      </c>
      <c r="S207" s="5">
        <v>4</v>
      </c>
      <c r="U207" s="10">
        <v>70.52</v>
      </c>
      <c r="V207" s="11">
        <f t="shared" si="54"/>
        <v>84.623999999999995</v>
      </c>
      <c r="W207" s="6">
        <v>4</v>
      </c>
      <c r="Y207" s="10">
        <v>70.62</v>
      </c>
      <c r="Z207" s="11">
        <f t="shared" si="55"/>
        <v>84.744</v>
      </c>
      <c r="AA207" s="6">
        <v>4</v>
      </c>
      <c r="AB207" s="1">
        <v>1.2</v>
      </c>
      <c r="AC207" s="21" t="str">
        <f t="shared" si="49"/>
        <v>16:50</v>
      </c>
      <c r="AD207" s="27" t="str">
        <f t="shared" si="42"/>
        <v/>
      </c>
      <c r="AE207" s="27" t="str">
        <f t="shared" si="50"/>
        <v/>
      </c>
      <c r="AF207" s="14">
        <f t="shared" si="51"/>
        <v>45917.368055555555</v>
      </c>
      <c r="AG207" s="12">
        <f t="shared" si="47"/>
        <v>45917</v>
      </c>
      <c r="AH207" s="24">
        <f t="shared" si="48"/>
        <v>0.36805555555474712</v>
      </c>
    </row>
    <row r="208" spans="1:34" ht="19.95" customHeight="1" x14ac:dyDescent="0.4">
      <c r="A208" s="2">
        <v>1361</v>
      </c>
      <c r="B208" s="16">
        <f>VLOOKUP(A208,[1]PLAN!$A$3:$BG$1149,18,)+VLOOKUP(A208,[1]PLAN!$A$3:$BG$1149,19,)</f>
        <v>45918.604166666664</v>
      </c>
      <c r="C208" s="22">
        <f t="shared" si="43"/>
        <v>45918</v>
      </c>
      <c r="D208" s="23">
        <f t="shared" si="44"/>
        <v>0.60416666666424135</v>
      </c>
      <c r="E208" s="14">
        <f>VLOOKUP(A208,[1]PLAN!$A$3:$BG$1149,54,)+VLOOKUP(A208,[1]PLAN!$A$3:$BG$1149,22,)</f>
        <v>45919.354166666664</v>
      </c>
      <c r="F208" s="12">
        <f t="shared" si="45"/>
        <v>45919</v>
      </c>
      <c r="G208" s="24">
        <f t="shared" si="46"/>
        <v>0.35416666666424135</v>
      </c>
      <c r="H208" s="14"/>
      <c r="I208" s="14"/>
      <c r="J208" s="29"/>
      <c r="K208" s="30"/>
      <c r="M208" s="17">
        <v>25.86</v>
      </c>
      <c r="N208" s="7">
        <f t="shared" si="52"/>
        <v>31.031999999999996</v>
      </c>
      <c r="O208" s="5">
        <v>4</v>
      </c>
      <c r="P208" s="3"/>
      <c r="Q208" s="5">
        <v>24.19</v>
      </c>
      <c r="R208" s="7">
        <f t="shared" si="53"/>
        <v>29.027999999999999</v>
      </c>
      <c r="S208" s="5">
        <v>4</v>
      </c>
      <c r="U208" s="10">
        <v>70.16</v>
      </c>
      <c r="V208" s="11">
        <f t="shared" si="54"/>
        <v>84.191999999999993</v>
      </c>
      <c r="W208" s="6">
        <v>4</v>
      </c>
      <c r="Y208" s="10">
        <v>71.25</v>
      </c>
      <c r="Z208" s="11">
        <f t="shared" si="55"/>
        <v>85.5</v>
      </c>
      <c r="AA208" s="6">
        <v>4</v>
      </c>
      <c r="AB208" s="1">
        <v>1.2</v>
      </c>
      <c r="AC208" s="21" t="str">
        <f t="shared" si="49"/>
        <v>18:00</v>
      </c>
      <c r="AD208" s="27" t="str">
        <f t="shared" si="42"/>
        <v/>
      </c>
      <c r="AE208" s="27" t="str">
        <f t="shared" si="50"/>
        <v/>
      </c>
      <c r="AF208" s="14">
        <f t="shared" si="51"/>
        <v>45919.354166666664</v>
      </c>
      <c r="AG208" s="12">
        <f t="shared" si="47"/>
        <v>45919</v>
      </c>
      <c r="AH208" s="24">
        <f t="shared" si="48"/>
        <v>0.35416666666424135</v>
      </c>
    </row>
    <row r="209" spans="1:34" ht="19.95" customHeight="1" x14ac:dyDescent="0.4">
      <c r="A209" s="2">
        <v>1362</v>
      </c>
      <c r="B209" s="16">
        <f>VLOOKUP(A209,[1]PLAN!$A$3:$BG$1149,18,)+VLOOKUP(A209,[1]PLAN!$A$3:$BG$1149,19,)</f>
        <v>45918.625</v>
      </c>
      <c r="C209" s="22">
        <f t="shared" si="43"/>
        <v>45918</v>
      </c>
      <c r="D209" s="23">
        <f t="shared" si="44"/>
        <v>0.625</v>
      </c>
      <c r="E209" s="14">
        <f>VLOOKUP(A209,[1]PLAN!$A$3:$BG$1149,54,)+VLOOKUP(A209,[1]PLAN!$A$3:$BG$1149,22,)</f>
        <v>45919.357638888891</v>
      </c>
      <c r="F209" s="12">
        <f t="shared" si="45"/>
        <v>45919</v>
      </c>
      <c r="G209" s="24">
        <f t="shared" si="46"/>
        <v>0.35763888889050577</v>
      </c>
      <c r="H209" s="14"/>
      <c r="I209" s="14"/>
      <c r="J209" s="29"/>
      <c r="K209" s="30"/>
      <c r="M209" s="17">
        <v>28.89</v>
      </c>
      <c r="N209" s="7">
        <f t="shared" si="52"/>
        <v>34.667999999999999</v>
      </c>
      <c r="O209" s="5">
        <v>4</v>
      </c>
      <c r="P209" s="3"/>
      <c r="Q209" s="5">
        <v>28.07</v>
      </c>
      <c r="R209" s="7">
        <f t="shared" si="53"/>
        <v>33.683999999999997</v>
      </c>
      <c r="S209" s="5">
        <v>4</v>
      </c>
      <c r="U209" s="10">
        <v>69.209999999999994</v>
      </c>
      <c r="V209" s="11">
        <f t="shared" si="54"/>
        <v>83.051999999999992</v>
      </c>
      <c r="W209" s="6">
        <v>4</v>
      </c>
      <c r="Y209" s="10">
        <v>69.58</v>
      </c>
      <c r="Z209" s="11">
        <f t="shared" si="55"/>
        <v>83.495999999999995</v>
      </c>
      <c r="AA209" s="6">
        <v>4</v>
      </c>
      <c r="AB209" s="1">
        <v>1.2</v>
      </c>
      <c r="AC209" s="21" t="str">
        <f t="shared" si="49"/>
        <v>17:35</v>
      </c>
      <c r="AD209" s="27" t="str">
        <f t="shared" si="42"/>
        <v/>
      </c>
      <c r="AE209" s="27" t="str">
        <f t="shared" si="50"/>
        <v/>
      </c>
      <c r="AF209" s="14">
        <f t="shared" si="51"/>
        <v>45919.357638888891</v>
      </c>
      <c r="AG209" s="12">
        <f t="shared" si="47"/>
        <v>45919</v>
      </c>
      <c r="AH209" s="24">
        <f t="shared" si="48"/>
        <v>0.35763888889050577</v>
      </c>
    </row>
    <row r="210" spans="1:34" ht="19.95" customHeight="1" x14ac:dyDescent="0.4">
      <c r="A210" s="2">
        <v>1363</v>
      </c>
      <c r="B210" s="16">
        <f>VLOOKUP(A210,[1]PLAN!$A$3:$BG$1149,18,)+VLOOKUP(A210,[1]PLAN!$A$3:$BG$1149,19,)</f>
        <v>45918.666666666664</v>
      </c>
      <c r="C210" s="22">
        <f t="shared" si="43"/>
        <v>45918</v>
      </c>
      <c r="D210" s="23">
        <f t="shared" si="44"/>
        <v>0.66666666666424135</v>
      </c>
      <c r="E210" s="14">
        <f>VLOOKUP(A210,[1]PLAN!$A$3:$BG$1149,54,)+VLOOKUP(A210,[1]PLAN!$A$3:$BG$1149,22,)</f>
        <v>45919.361111111109</v>
      </c>
      <c r="F210" s="12">
        <f t="shared" si="45"/>
        <v>45919</v>
      </c>
      <c r="G210" s="24">
        <f t="shared" si="46"/>
        <v>0.36111111110949423</v>
      </c>
      <c r="H210" s="14"/>
      <c r="I210" s="14"/>
      <c r="J210" s="29"/>
      <c r="K210" s="30"/>
      <c r="M210" s="17">
        <v>25.88</v>
      </c>
      <c r="N210" s="7">
        <f t="shared" si="52"/>
        <v>31.055999999999997</v>
      </c>
      <c r="O210" s="5">
        <v>4</v>
      </c>
      <c r="P210" s="3"/>
      <c r="Q210" s="5">
        <v>24.91</v>
      </c>
      <c r="R210" s="7">
        <f t="shared" si="53"/>
        <v>29.891999999999999</v>
      </c>
      <c r="S210" s="5">
        <v>4</v>
      </c>
      <c r="U210" s="10">
        <v>70.5</v>
      </c>
      <c r="V210" s="11">
        <f t="shared" si="54"/>
        <v>84.6</v>
      </c>
      <c r="W210" s="6">
        <v>4</v>
      </c>
      <c r="Y210" s="10">
        <v>70.69</v>
      </c>
      <c r="Z210" s="11">
        <f t="shared" si="55"/>
        <v>84.827999999999989</v>
      </c>
      <c r="AA210" s="6">
        <v>4</v>
      </c>
      <c r="AB210" s="1">
        <v>1.2</v>
      </c>
      <c r="AC210" s="21" t="str">
        <f t="shared" si="49"/>
        <v>16:40</v>
      </c>
      <c r="AD210" s="27" t="str">
        <f t="shared" si="42"/>
        <v/>
      </c>
      <c r="AE210" s="27" t="str">
        <f t="shared" si="50"/>
        <v/>
      </c>
      <c r="AF210" s="14">
        <f t="shared" si="51"/>
        <v>45919.361111111109</v>
      </c>
      <c r="AG210" s="12">
        <f t="shared" si="47"/>
        <v>45919</v>
      </c>
      <c r="AH210" s="24">
        <f t="shared" si="48"/>
        <v>0.36111111110949423</v>
      </c>
    </row>
    <row r="211" spans="1:34" ht="19.95" customHeight="1" x14ac:dyDescent="0.4">
      <c r="A211" s="2">
        <v>1364</v>
      </c>
      <c r="B211" s="16">
        <f>VLOOKUP(A211,[1]PLAN!$A$3:$BG$1149,18,)+VLOOKUP(A211,[1]PLAN!$A$3:$BG$1149,19,)</f>
        <v>45918.6875</v>
      </c>
      <c r="C211" s="22">
        <f t="shared" si="43"/>
        <v>45918</v>
      </c>
      <c r="D211" s="23">
        <f t="shared" si="44"/>
        <v>0.6875</v>
      </c>
      <c r="E211" s="14">
        <f>VLOOKUP(A211,[1]PLAN!$A$3:$BG$1149,54,)+VLOOKUP(A211,[1]PLAN!$A$3:$BG$1149,22,)</f>
        <v>45919.364583333336</v>
      </c>
      <c r="F211" s="12">
        <f t="shared" si="45"/>
        <v>45919</v>
      </c>
      <c r="G211" s="24">
        <f t="shared" si="46"/>
        <v>0.36458333333575865</v>
      </c>
      <c r="H211" s="14"/>
      <c r="I211" s="14"/>
      <c r="J211" s="29"/>
      <c r="K211" s="30"/>
      <c r="M211" s="17">
        <v>23.15</v>
      </c>
      <c r="N211" s="7">
        <f t="shared" si="52"/>
        <v>27.779999999999998</v>
      </c>
      <c r="O211" s="5">
        <v>4</v>
      </c>
      <c r="P211" s="3"/>
      <c r="Q211" s="5">
        <v>24.39</v>
      </c>
      <c r="R211" s="7">
        <f t="shared" si="53"/>
        <v>29.268000000000001</v>
      </c>
      <c r="S211" s="5">
        <v>4</v>
      </c>
      <c r="U211" s="10">
        <v>71.14</v>
      </c>
      <c r="V211" s="11">
        <f t="shared" si="54"/>
        <v>85.367999999999995</v>
      </c>
      <c r="W211" s="6">
        <v>4</v>
      </c>
      <c r="Y211" s="10">
        <v>71.02</v>
      </c>
      <c r="Z211" s="11">
        <f t="shared" si="55"/>
        <v>85.22399999999999</v>
      </c>
      <c r="AA211" s="6">
        <v>4</v>
      </c>
      <c r="AB211" s="1">
        <v>1.2</v>
      </c>
      <c r="AC211" s="21" t="str">
        <f t="shared" si="49"/>
        <v>16:15</v>
      </c>
      <c r="AD211" s="27" t="str">
        <f t="shared" si="42"/>
        <v/>
      </c>
      <c r="AE211" s="27" t="str">
        <f t="shared" si="50"/>
        <v/>
      </c>
      <c r="AF211" s="14">
        <f t="shared" si="51"/>
        <v>45919.364583333336</v>
      </c>
      <c r="AG211" s="12">
        <f t="shared" si="47"/>
        <v>45919</v>
      </c>
      <c r="AH211" s="24">
        <f t="shared" si="48"/>
        <v>0.36458333333575865</v>
      </c>
    </row>
    <row r="212" spans="1:34" ht="19.95" customHeight="1" x14ac:dyDescent="0.4">
      <c r="A212" s="2">
        <v>1365</v>
      </c>
      <c r="B212" s="16">
        <f>VLOOKUP(A212,[1]PLAN!$A$3:$BG$1149,18,)+VLOOKUP(A212,[1]PLAN!$A$3:$BG$1149,19,)</f>
        <v>45918.708333333336</v>
      </c>
      <c r="C212" s="22">
        <f t="shared" si="43"/>
        <v>45918</v>
      </c>
      <c r="D212" s="23">
        <f t="shared" si="44"/>
        <v>0.70833333333575865</v>
      </c>
      <c r="E212" s="14">
        <f>VLOOKUP(A212,[1]PLAN!$A$3:$BG$1149,54,)+VLOOKUP(A212,[1]PLAN!$A$3:$BG$1149,22,)</f>
        <v>45919.375</v>
      </c>
      <c r="F212" s="12">
        <f t="shared" si="45"/>
        <v>45919</v>
      </c>
      <c r="G212" s="24">
        <f t="shared" si="46"/>
        <v>0.375</v>
      </c>
      <c r="H212" s="14"/>
      <c r="I212" s="14"/>
      <c r="J212" s="29"/>
      <c r="K212" s="30"/>
      <c r="M212" s="17">
        <v>20.14</v>
      </c>
      <c r="N212" s="7">
        <f t="shared" si="52"/>
        <v>24.167999999999999</v>
      </c>
      <c r="O212" s="5">
        <v>4</v>
      </c>
      <c r="P212" s="3"/>
      <c r="Q212" s="5">
        <v>19.899999999999999</v>
      </c>
      <c r="R212" s="7">
        <f t="shared" si="53"/>
        <v>23.88</v>
      </c>
      <c r="S212" s="5">
        <v>4</v>
      </c>
      <c r="U212" s="10">
        <v>72.180000000000007</v>
      </c>
      <c r="V212" s="11">
        <f t="shared" si="54"/>
        <v>86.616</v>
      </c>
      <c r="W212" s="6">
        <v>4</v>
      </c>
      <c r="Y212" s="10">
        <v>71.89</v>
      </c>
      <c r="Z212" s="11">
        <f t="shared" si="55"/>
        <v>86.268000000000001</v>
      </c>
      <c r="AA212" s="6">
        <v>4</v>
      </c>
      <c r="AB212" s="1">
        <v>1.2</v>
      </c>
      <c r="AC212" s="21" t="str">
        <f t="shared" si="49"/>
        <v>16:00</v>
      </c>
      <c r="AD212" s="27" t="str">
        <f t="shared" si="42"/>
        <v/>
      </c>
      <c r="AE212" s="27" t="str">
        <f t="shared" si="50"/>
        <v/>
      </c>
      <c r="AF212" s="14">
        <f t="shared" si="51"/>
        <v>45919.375</v>
      </c>
      <c r="AG212" s="12">
        <f t="shared" si="47"/>
        <v>45919</v>
      </c>
      <c r="AH212" s="24">
        <f t="shared" si="48"/>
        <v>0.375</v>
      </c>
    </row>
    <row r="213" spans="1:34" ht="19.95" customHeight="1" x14ac:dyDescent="0.4">
      <c r="A213" s="2">
        <v>1366</v>
      </c>
      <c r="B213" s="16">
        <f>VLOOKUP(A213,[1]PLAN!$A$3:$BG$1149,18,)+VLOOKUP(A213,[1]PLAN!$A$3:$BG$1149,19,)</f>
        <v>45919.576388888891</v>
      </c>
      <c r="C213" s="22">
        <f t="shared" si="43"/>
        <v>45919</v>
      </c>
      <c r="D213" s="23">
        <f t="shared" si="44"/>
        <v>0.57638888889050577</v>
      </c>
      <c r="E213" s="14">
        <f>VLOOKUP(A213,[1]PLAN!$A$3:$BG$1149,54,)+VLOOKUP(A213,[1]PLAN!$A$3:$BG$1149,22,)</f>
        <v>45920.354166666664</v>
      </c>
      <c r="F213" s="12">
        <f t="shared" si="45"/>
        <v>45920</v>
      </c>
      <c r="G213" s="24">
        <f t="shared" si="46"/>
        <v>0.35416666666424135</v>
      </c>
      <c r="H213" s="14"/>
      <c r="I213" s="14"/>
      <c r="J213" s="29"/>
      <c r="K213" s="30"/>
      <c r="M213" s="17">
        <v>27.79</v>
      </c>
      <c r="N213" s="7">
        <f t="shared" si="52"/>
        <v>33.347999999999999</v>
      </c>
      <c r="O213" s="5">
        <v>4</v>
      </c>
      <c r="P213" s="3"/>
      <c r="Q213" s="5">
        <v>27.13</v>
      </c>
      <c r="R213" s="7">
        <f t="shared" si="53"/>
        <v>32.555999999999997</v>
      </c>
      <c r="S213" s="5">
        <v>4</v>
      </c>
      <c r="U213" s="10">
        <v>70.61</v>
      </c>
      <c r="V213" s="11">
        <f t="shared" si="54"/>
        <v>84.731999999999999</v>
      </c>
      <c r="W213" s="6">
        <v>4</v>
      </c>
      <c r="Y213" s="10">
        <v>70.650000000000006</v>
      </c>
      <c r="Z213" s="11">
        <f t="shared" si="55"/>
        <v>84.78</v>
      </c>
      <c r="AA213" s="6">
        <v>4</v>
      </c>
      <c r="AB213" s="1">
        <v>1.2</v>
      </c>
      <c r="AC213" s="21" t="str">
        <f t="shared" si="49"/>
        <v>18:40</v>
      </c>
      <c r="AD213" s="27" t="str">
        <f t="shared" si="42"/>
        <v/>
      </c>
      <c r="AE213" s="27" t="str">
        <f t="shared" si="50"/>
        <v/>
      </c>
      <c r="AF213" s="14">
        <f t="shared" si="51"/>
        <v>45920.354166666664</v>
      </c>
      <c r="AG213" s="12">
        <f t="shared" si="47"/>
        <v>45920</v>
      </c>
      <c r="AH213" s="24">
        <f t="shared" si="48"/>
        <v>0.35416666666424135</v>
      </c>
    </row>
    <row r="214" spans="1:34" ht="19.95" customHeight="1" x14ac:dyDescent="0.4">
      <c r="A214" s="2">
        <v>1367</v>
      </c>
      <c r="B214" s="16">
        <f>VLOOKUP(A214,[1]PLAN!$A$3:$BG$1149,18,)+VLOOKUP(A214,[1]PLAN!$A$3:$BG$1149,19,)</f>
        <v>45919.583333333336</v>
      </c>
      <c r="C214" s="22">
        <f t="shared" si="43"/>
        <v>45919</v>
      </c>
      <c r="D214" s="23">
        <f t="shared" si="44"/>
        <v>0.58333333333575865</v>
      </c>
      <c r="E214" s="14">
        <f>VLOOKUP(A214,[1]PLAN!$A$3:$BG$1149,54,)+VLOOKUP(A214,[1]PLAN!$A$3:$BG$1149,22,)</f>
        <v>45920.361111111109</v>
      </c>
      <c r="F214" s="12">
        <f t="shared" si="45"/>
        <v>45920</v>
      </c>
      <c r="G214" s="24">
        <f t="shared" si="46"/>
        <v>0.36111111110949423</v>
      </c>
      <c r="H214" s="14"/>
      <c r="I214" s="14"/>
      <c r="J214" s="29"/>
      <c r="K214" s="30"/>
      <c r="M214" s="17">
        <v>27.4</v>
      </c>
      <c r="N214" s="7">
        <f t="shared" si="52"/>
        <v>32.879999999999995</v>
      </c>
      <c r="O214" s="5">
        <v>4</v>
      </c>
      <c r="P214" s="3"/>
      <c r="Q214" s="5">
        <v>26.67</v>
      </c>
      <c r="R214" s="7">
        <f t="shared" si="53"/>
        <v>32.003999999999998</v>
      </c>
      <c r="S214" s="5">
        <v>4</v>
      </c>
      <c r="U214" s="10">
        <v>70.09</v>
      </c>
      <c r="V214" s="11">
        <f t="shared" si="54"/>
        <v>84.108000000000004</v>
      </c>
      <c r="W214" s="6">
        <v>4</v>
      </c>
      <c r="Y214" s="10">
        <v>70.58</v>
      </c>
      <c r="Z214" s="11">
        <f t="shared" si="55"/>
        <v>84.695999999999998</v>
      </c>
      <c r="AA214" s="6">
        <v>4</v>
      </c>
      <c r="AB214" s="1">
        <v>1.2</v>
      </c>
      <c r="AC214" s="21" t="str">
        <f t="shared" si="49"/>
        <v>18:40</v>
      </c>
      <c r="AD214" s="27" t="str">
        <f t="shared" si="42"/>
        <v/>
      </c>
      <c r="AE214" s="27" t="str">
        <f t="shared" si="50"/>
        <v/>
      </c>
      <c r="AF214" s="14">
        <f t="shared" si="51"/>
        <v>45920.361111111109</v>
      </c>
      <c r="AG214" s="12">
        <f t="shared" si="47"/>
        <v>45920</v>
      </c>
      <c r="AH214" s="24">
        <f t="shared" si="48"/>
        <v>0.36111111110949423</v>
      </c>
    </row>
    <row r="215" spans="1:34" ht="19.95" customHeight="1" x14ac:dyDescent="0.4">
      <c r="A215" s="2">
        <v>1368</v>
      </c>
      <c r="B215" s="16">
        <f>VLOOKUP(A215,[1]PLAN!$A$3:$BG$1149,18,)+VLOOKUP(A215,[1]PLAN!$A$3:$BG$1149,19,)</f>
        <v>45919.625</v>
      </c>
      <c r="C215" s="22">
        <f t="shared" si="43"/>
        <v>45919</v>
      </c>
      <c r="D215" s="23">
        <f t="shared" si="44"/>
        <v>0.625</v>
      </c>
      <c r="E215" s="14">
        <f>VLOOKUP(A215,[1]PLAN!$A$3:$BG$1149,54,)+VLOOKUP(A215,[1]PLAN!$A$3:$BG$1149,22,)</f>
        <v>45920.368055555555</v>
      </c>
      <c r="F215" s="12">
        <f t="shared" si="45"/>
        <v>45920</v>
      </c>
      <c r="G215" s="24">
        <f t="shared" si="46"/>
        <v>0.36805555555474712</v>
      </c>
      <c r="H215" s="14"/>
      <c r="I215" s="14"/>
      <c r="J215" s="29"/>
      <c r="K215" s="30"/>
      <c r="M215" s="17">
        <v>28.05</v>
      </c>
      <c r="N215" s="7">
        <f t="shared" si="52"/>
        <v>33.659999999999997</v>
      </c>
      <c r="O215" s="5">
        <v>4</v>
      </c>
      <c r="P215" s="3"/>
      <c r="Q215" s="5">
        <v>29.41</v>
      </c>
      <c r="R215" s="7">
        <f t="shared" si="53"/>
        <v>35.292000000000002</v>
      </c>
      <c r="S215" s="5">
        <v>4</v>
      </c>
      <c r="U215" s="10">
        <v>70.31</v>
      </c>
      <c r="V215" s="11">
        <f t="shared" si="54"/>
        <v>84.372</v>
      </c>
      <c r="W215" s="6">
        <v>4</v>
      </c>
      <c r="Y215" s="10">
        <v>70.959999999999994</v>
      </c>
      <c r="Z215" s="11">
        <f t="shared" si="55"/>
        <v>85.151999999999987</v>
      </c>
      <c r="AA215" s="6">
        <v>4</v>
      </c>
      <c r="AB215" s="1">
        <v>1.2</v>
      </c>
      <c r="AC215" s="21" t="str">
        <f t="shared" si="49"/>
        <v>17:50</v>
      </c>
      <c r="AD215" s="27" t="str">
        <f t="shared" si="42"/>
        <v/>
      </c>
      <c r="AE215" s="27" t="str">
        <f t="shared" si="50"/>
        <v/>
      </c>
      <c r="AF215" s="14">
        <f t="shared" si="51"/>
        <v>45920.368055555555</v>
      </c>
      <c r="AG215" s="12">
        <f t="shared" si="47"/>
        <v>45920</v>
      </c>
      <c r="AH215" s="24">
        <f t="shared" si="48"/>
        <v>0.36805555555474712</v>
      </c>
    </row>
    <row r="216" spans="1:34" ht="19.95" customHeight="1" x14ac:dyDescent="0.4">
      <c r="A216" s="2">
        <v>1369</v>
      </c>
      <c r="B216" s="16">
        <f>VLOOKUP(A216,[1]PLAN!$A$3:$BG$1149,18,)+VLOOKUP(A216,[1]PLAN!$A$3:$BG$1149,19,)</f>
        <v>45919.666666666664</v>
      </c>
      <c r="C216" s="22">
        <f t="shared" si="43"/>
        <v>45919</v>
      </c>
      <c r="D216" s="23">
        <f t="shared" si="44"/>
        <v>0.66666666666424135</v>
      </c>
      <c r="E216" s="14">
        <f>VLOOKUP(A216,[1]PLAN!$A$3:$BG$1149,54,)+VLOOKUP(A216,[1]PLAN!$A$3:$BG$1149,22,)</f>
        <v>45920.371527777781</v>
      </c>
      <c r="F216" s="12">
        <f t="shared" si="45"/>
        <v>45920</v>
      </c>
      <c r="G216" s="24">
        <f t="shared" si="46"/>
        <v>0.37152777778101154</v>
      </c>
      <c r="H216" s="14"/>
      <c r="I216" s="14"/>
      <c r="J216" s="29"/>
      <c r="K216" s="30"/>
      <c r="M216" s="17">
        <v>25.49</v>
      </c>
      <c r="N216" s="7">
        <f t="shared" si="52"/>
        <v>30.587999999999997</v>
      </c>
      <c r="O216" s="5">
        <v>4</v>
      </c>
      <c r="P216" s="3"/>
      <c r="Q216" s="5">
        <v>25.58</v>
      </c>
      <c r="R216" s="7">
        <f t="shared" si="53"/>
        <v>30.695999999999998</v>
      </c>
      <c r="S216" s="5">
        <v>4</v>
      </c>
      <c r="U216" s="10">
        <v>70.33</v>
      </c>
      <c r="V216" s="11">
        <f t="shared" si="54"/>
        <v>84.396000000000001</v>
      </c>
      <c r="W216" s="6">
        <v>4</v>
      </c>
      <c r="Y216" s="10">
        <v>70.34</v>
      </c>
      <c r="Z216" s="11">
        <f t="shared" si="55"/>
        <v>84.408000000000001</v>
      </c>
      <c r="AA216" s="6">
        <v>4</v>
      </c>
      <c r="AB216" s="1">
        <v>1.2</v>
      </c>
      <c r="AC216" s="21" t="str">
        <f t="shared" si="49"/>
        <v>16:55</v>
      </c>
      <c r="AD216" s="27" t="str">
        <f t="shared" si="42"/>
        <v/>
      </c>
      <c r="AE216" s="27" t="str">
        <f t="shared" si="50"/>
        <v/>
      </c>
      <c r="AF216" s="14">
        <f t="shared" si="51"/>
        <v>45920.371527777781</v>
      </c>
      <c r="AG216" s="12">
        <f t="shared" si="47"/>
        <v>45920</v>
      </c>
      <c r="AH216" s="24">
        <f t="shared" si="48"/>
        <v>0.37152777778101154</v>
      </c>
    </row>
    <row r="217" spans="1:34" ht="19.95" customHeight="1" x14ac:dyDescent="0.4">
      <c r="A217" s="2">
        <v>1370</v>
      </c>
      <c r="B217" s="16">
        <f>VLOOKUP(A217,[1]PLAN!$A$3:$BG$1149,18,)+VLOOKUP(A217,[1]PLAN!$A$3:$BG$1149,19,)</f>
        <v>45919.6875</v>
      </c>
      <c r="C217" s="22">
        <f t="shared" si="43"/>
        <v>45919</v>
      </c>
      <c r="D217" s="23">
        <f t="shared" si="44"/>
        <v>0.6875</v>
      </c>
      <c r="E217" s="14">
        <f>VLOOKUP(A217,[1]PLAN!$A$3:$BG$1149,54,)+VLOOKUP(A217,[1]PLAN!$A$3:$BG$1149,22,)</f>
        <v>45920.375</v>
      </c>
      <c r="F217" s="12">
        <f t="shared" si="45"/>
        <v>45920</v>
      </c>
      <c r="G217" s="24">
        <f t="shared" si="46"/>
        <v>0.375</v>
      </c>
      <c r="H217" s="14"/>
      <c r="I217" s="14"/>
      <c r="J217" s="29"/>
      <c r="K217" s="30"/>
      <c r="M217" s="17">
        <v>22.99</v>
      </c>
      <c r="N217" s="7">
        <f t="shared" si="52"/>
        <v>27.587999999999997</v>
      </c>
      <c r="O217" s="5">
        <v>4</v>
      </c>
      <c r="P217" s="3"/>
      <c r="Q217" s="5">
        <v>22.55</v>
      </c>
      <c r="R217" s="7">
        <f t="shared" si="53"/>
        <v>27.06</v>
      </c>
      <c r="S217" s="5">
        <v>4</v>
      </c>
      <c r="U217" s="10">
        <v>71.86</v>
      </c>
      <c r="V217" s="11">
        <f t="shared" si="54"/>
        <v>86.231999999999999</v>
      </c>
      <c r="W217" s="6">
        <v>4</v>
      </c>
      <c r="Y217" s="10">
        <v>71.25</v>
      </c>
      <c r="Z217" s="11">
        <f t="shared" si="55"/>
        <v>85.5</v>
      </c>
      <c r="AA217" s="6">
        <v>4</v>
      </c>
      <c r="AB217" s="1">
        <v>1.2</v>
      </c>
      <c r="AC217" s="21" t="str">
        <f t="shared" si="49"/>
        <v>16:30</v>
      </c>
      <c r="AD217" s="27" t="str">
        <f t="shared" si="42"/>
        <v/>
      </c>
      <c r="AE217" s="27" t="str">
        <f t="shared" si="50"/>
        <v/>
      </c>
      <c r="AF217" s="14">
        <f t="shared" si="51"/>
        <v>45920.375</v>
      </c>
      <c r="AG217" s="12">
        <f t="shared" si="47"/>
        <v>45920</v>
      </c>
      <c r="AH217" s="24">
        <f t="shared" si="48"/>
        <v>0.375</v>
      </c>
    </row>
    <row r="218" spans="1:34" ht="19.95" customHeight="1" x14ac:dyDescent="0.4">
      <c r="A218" s="2">
        <v>1371</v>
      </c>
      <c r="B218" s="16">
        <f>VLOOKUP(A218,[1]PLAN!$A$3:$BG$1149,18,)+VLOOKUP(A218,[1]PLAN!$A$3:$BG$1149,19,)</f>
        <v>45920.416666666664</v>
      </c>
      <c r="C218" s="22">
        <f t="shared" si="43"/>
        <v>45920</v>
      </c>
      <c r="D218" s="23">
        <f t="shared" si="44"/>
        <v>0.41666666666424135</v>
      </c>
      <c r="E218" s="14">
        <f>VLOOKUP(A218,[1]PLAN!$A$3:$BG$1149,54,)+VLOOKUP(A218,[1]PLAN!$A$3:$BG$1149,22,)</f>
        <v>45922.333333333336</v>
      </c>
      <c r="F218" s="12">
        <f t="shared" si="45"/>
        <v>45922</v>
      </c>
      <c r="G218" s="24">
        <f t="shared" si="46"/>
        <v>0.33333333333575865</v>
      </c>
      <c r="H218" s="14"/>
      <c r="I218" s="14"/>
      <c r="J218" s="29"/>
      <c r="K218" s="30"/>
      <c r="M218" s="17">
        <v>42.52</v>
      </c>
      <c r="N218" s="7">
        <f t="shared" si="52"/>
        <v>51.024000000000001</v>
      </c>
      <c r="O218" s="5">
        <v>4</v>
      </c>
      <c r="P218" s="3"/>
      <c r="Q218" s="5">
        <v>43.01</v>
      </c>
      <c r="R218" s="7">
        <f t="shared" si="53"/>
        <v>51.611999999999995</v>
      </c>
      <c r="S218" s="5">
        <v>4</v>
      </c>
      <c r="U218" s="10">
        <v>71.42</v>
      </c>
      <c r="V218" s="11">
        <f t="shared" si="54"/>
        <v>85.703999999999994</v>
      </c>
      <c r="W218" s="6">
        <v>4</v>
      </c>
      <c r="Y218" s="10">
        <v>70.97</v>
      </c>
      <c r="Z218" s="11">
        <f t="shared" si="55"/>
        <v>85.164000000000001</v>
      </c>
      <c r="AA218" s="6">
        <v>4</v>
      </c>
      <c r="AB218" s="1">
        <v>1.2</v>
      </c>
      <c r="AC218" s="21" t="str">
        <f t="shared" si="49"/>
        <v>46:00</v>
      </c>
      <c r="AD218" s="27" t="str">
        <f t="shared" si="42"/>
        <v/>
      </c>
      <c r="AE218" s="27" t="str">
        <f t="shared" si="50"/>
        <v/>
      </c>
      <c r="AF218" s="14">
        <f t="shared" si="51"/>
        <v>45922.333333333336</v>
      </c>
      <c r="AG218" s="12">
        <f t="shared" si="47"/>
        <v>45922</v>
      </c>
      <c r="AH218" s="24">
        <f t="shared" si="48"/>
        <v>0.33333333333575865</v>
      </c>
    </row>
    <row r="219" spans="1:34" ht="19.95" customHeight="1" x14ac:dyDescent="0.4">
      <c r="A219" s="2">
        <v>1372</v>
      </c>
      <c r="B219" s="16">
        <f>VLOOKUP(A219,[1]PLAN!$A$3:$BG$1149,18,)+VLOOKUP(A219,[1]PLAN!$A$3:$BG$1149,19,)</f>
        <v>45920.458333333336</v>
      </c>
      <c r="C219" s="22">
        <f t="shared" si="43"/>
        <v>45920</v>
      </c>
      <c r="D219" s="23">
        <f t="shared" si="44"/>
        <v>0.45833333333575865</v>
      </c>
      <c r="E219" s="14">
        <f>VLOOKUP(A219,[1]PLAN!$A$3:$BG$1149,54,)+VLOOKUP(A219,[1]PLAN!$A$3:$BG$1149,22,)</f>
        <v>45922.340277777781</v>
      </c>
      <c r="F219" s="12">
        <f t="shared" si="45"/>
        <v>45922</v>
      </c>
      <c r="G219" s="24">
        <f t="shared" si="46"/>
        <v>0.34027777778101154</v>
      </c>
      <c r="H219" s="14"/>
      <c r="I219" s="14"/>
      <c r="J219" s="29"/>
      <c r="K219" s="30"/>
      <c r="M219" s="17">
        <v>37.83</v>
      </c>
      <c r="N219" s="7">
        <f t="shared" si="52"/>
        <v>45.395999999999994</v>
      </c>
      <c r="O219" s="5">
        <v>4</v>
      </c>
      <c r="P219" s="3"/>
      <c r="Q219" s="5">
        <v>37.119999999999997</v>
      </c>
      <c r="R219" s="7">
        <f t="shared" si="53"/>
        <v>44.543999999999997</v>
      </c>
      <c r="S219" s="5">
        <v>4</v>
      </c>
      <c r="U219" s="10">
        <v>70.069999999999993</v>
      </c>
      <c r="V219" s="11">
        <f t="shared" si="54"/>
        <v>84.083999999999989</v>
      </c>
      <c r="W219" s="6">
        <v>4</v>
      </c>
      <c r="Y219" s="10">
        <v>70.64</v>
      </c>
      <c r="Z219" s="11">
        <f t="shared" si="55"/>
        <v>84.768000000000001</v>
      </c>
      <c r="AA219" s="6">
        <v>4</v>
      </c>
      <c r="AB219" s="1">
        <v>1.2</v>
      </c>
      <c r="AC219" s="21" t="str">
        <f t="shared" si="49"/>
        <v>45:10</v>
      </c>
      <c r="AD219" s="27" t="str">
        <f t="shared" si="42"/>
        <v/>
      </c>
      <c r="AE219" s="27" t="str">
        <f t="shared" si="50"/>
        <v/>
      </c>
      <c r="AF219" s="14">
        <f t="shared" si="51"/>
        <v>45922.340277777781</v>
      </c>
      <c r="AG219" s="12">
        <f t="shared" si="47"/>
        <v>45922</v>
      </c>
      <c r="AH219" s="24">
        <f t="shared" si="48"/>
        <v>0.34027777778101154</v>
      </c>
    </row>
    <row r="220" spans="1:34" ht="19.95" customHeight="1" x14ac:dyDescent="0.4">
      <c r="A220" s="2">
        <v>1373</v>
      </c>
      <c r="B220" s="16">
        <f>VLOOKUP(A220,[1]PLAN!$A$3:$BG$1149,18,)+VLOOKUP(A220,[1]PLAN!$A$3:$BG$1149,19,)</f>
        <v>45920.583333333336</v>
      </c>
      <c r="C220" s="22">
        <f t="shared" si="43"/>
        <v>45920</v>
      </c>
      <c r="D220" s="23">
        <f t="shared" si="44"/>
        <v>0.58333333333575865</v>
      </c>
      <c r="E220" s="14">
        <f>VLOOKUP(A220,[1]PLAN!$A$3:$BG$1149,54,)+VLOOKUP(A220,[1]PLAN!$A$3:$BG$1149,22,)</f>
        <v>45922.34375</v>
      </c>
      <c r="F220" s="12">
        <f t="shared" si="45"/>
        <v>45922</v>
      </c>
      <c r="G220" s="24">
        <f t="shared" si="46"/>
        <v>0.34375</v>
      </c>
      <c r="H220" s="14"/>
      <c r="I220" s="14"/>
      <c r="J220" s="29"/>
      <c r="K220" s="30"/>
      <c r="M220" s="17">
        <v>36.409999999999997</v>
      </c>
      <c r="N220" s="7">
        <f t="shared" si="52"/>
        <v>43.691999999999993</v>
      </c>
      <c r="O220" s="5">
        <v>4</v>
      </c>
      <c r="P220" s="3"/>
      <c r="Q220" s="5">
        <v>36.54</v>
      </c>
      <c r="R220" s="7">
        <f t="shared" si="53"/>
        <v>43.847999999999999</v>
      </c>
      <c r="S220" s="5">
        <v>4</v>
      </c>
      <c r="U220" s="10">
        <v>71.38</v>
      </c>
      <c r="V220" s="11">
        <f t="shared" si="54"/>
        <v>85.655999999999992</v>
      </c>
      <c r="W220" s="6">
        <v>4</v>
      </c>
      <c r="Y220" s="10">
        <v>70.87</v>
      </c>
      <c r="Z220" s="11">
        <f t="shared" si="55"/>
        <v>85.043999999999997</v>
      </c>
      <c r="AA220" s="6">
        <v>4</v>
      </c>
      <c r="AB220" s="1">
        <v>1.2</v>
      </c>
      <c r="AC220" s="21" t="str">
        <f t="shared" si="49"/>
        <v>42:15</v>
      </c>
      <c r="AD220" s="27" t="str">
        <f t="shared" si="42"/>
        <v/>
      </c>
      <c r="AE220" s="27" t="str">
        <f t="shared" si="50"/>
        <v/>
      </c>
      <c r="AF220" s="14">
        <f t="shared" si="51"/>
        <v>45922.34375</v>
      </c>
      <c r="AG220" s="12">
        <f t="shared" si="47"/>
        <v>45922</v>
      </c>
      <c r="AH220" s="24">
        <f t="shared" si="48"/>
        <v>0.34375</v>
      </c>
    </row>
    <row r="221" spans="1:34" ht="19.95" customHeight="1" x14ac:dyDescent="0.4">
      <c r="A221" s="2">
        <v>1374</v>
      </c>
      <c r="B221" s="16">
        <f>VLOOKUP(A221,[1]PLAN!$A$3:$BG$1149,18,)+VLOOKUP(A221,[1]PLAN!$A$3:$BG$1149,19,)</f>
        <v>45920.625</v>
      </c>
      <c r="C221" s="22">
        <f t="shared" si="43"/>
        <v>45920</v>
      </c>
      <c r="D221" s="23">
        <f t="shared" si="44"/>
        <v>0.625</v>
      </c>
      <c r="E221" s="14">
        <f>VLOOKUP(A221,[1]PLAN!$A$3:$BG$1149,54,)+VLOOKUP(A221,[1]PLAN!$A$3:$BG$1149,22,)</f>
        <v>45922.347222222219</v>
      </c>
      <c r="F221" s="12">
        <f t="shared" si="45"/>
        <v>45922</v>
      </c>
      <c r="G221" s="24">
        <f t="shared" si="46"/>
        <v>0.34722222221898846</v>
      </c>
      <c r="H221" s="14"/>
      <c r="I221" s="14"/>
      <c r="J221" s="29"/>
      <c r="K221" s="30"/>
      <c r="M221" s="17">
        <v>37.22</v>
      </c>
      <c r="N221" s="7">
        <f t="shared" si="52"/>
        <v>44.663999999999994</v>
      </c>
      <c r="O221" s="5">
        <v>4</v>
      </c>
      <c r="P221" s="3"/>
      <c r="Q221" s="5">
        <v>38.03</v>
      </c>
      <c r="R221" s="7">
        <f t="shared" si="53"/>
        <v>45.636000000000003</v>
      </c>
      <c r="S221" s="5">
        <v>4</v>
      </c>
      <c r="U221" s="10">
        <v>71.7</v>
      </c>
      <c r="V221" s="11">
        <f t="shared" si="54"/>
        <v>86.04</v>
      </c>
      <c r="W221" s="6">
        <v>4</v>
      </c>
      <c r="Y221" s="10">
        <v>70.56</v>
      </c>
      <c r="Z221" s="11">
        <f t="shared" si="55"/>
        <v>84.671999999999997</v>
      </c>
      <c r="AA221" s="6">
        <v>4</v>
      </c>
      <c r="AB221" s="1">
        <v>1.2</v>
      </c>
      <c r="AC221" s="21" t="str">
        <f t="shared" si="49"/>
        <v>41:20</v>
      </c>
      <c r="AD221" s="27" t="str">
        <f t="shared" si="42"/>
        <v/>
      </c>
      <c r="AE221" s="27" t="str">
        <f t="shared" si="50"/>
        <v/>
      </c>
      <c r="AF221" s="14">
        <f t="shared" si="51"/>
        <v>45922.347222222219</v>
      </c>
      <c r="AG221" s="12">
        <f t="shared" si="47"/>
        <v>45922</v>
      </c>
      <c r="AH221" s="24">
        <f t="shared" si="48"/>
        <v>0.34722222221898846</v>
      </c>
    </row>
    <row r="222" spans="1:34" ht="19.95" customHeight="1" x14ac:dyDescent="0.4">
      <c r="A222" s="2">
        <v>1375</v>
      </c>
      <c r="B222" s="16">
        <f>VLOOKUP(A222,[1]PLAN!$A$3:$BG$1149,18,)+VLOOKUP(A222,[1]PLAN!$A$3:$BG$1149,19,)</f>
        <v>45922.638888888891</v>
      </c>
      <c r="C222" s="22">
        <f t="shared" si="43"/>
        <v>45922</v>
      </c>
      <c r="D222" s="23">
        <f t="shared" si="44"/>
        <v>0.63888888889050577</v>
      </c>
      <c r="E222" s="14">
        <f>VLOOKUP(A222,[1]PLAN!$A$3:$BG$1149,54,)+VLOOKUP(A222,[1]PLAN!$A$3:$BG$1149,22,)</f>
        <v>45923.541666666664</v>
      </c>
      <c r="F222" s="12">
        <f t="shared" si="45"/>
        <v>45923</v>
      </c>
      <c r="G222" s="24">
        <f t="shared" si="46"/>
        <v>0.54166666666424135</v>
      </c>
      <c r="H222" s="14"/>
      <c r="I222" s="14"/>
      <c r="J222" s="29"/>
      <c r="K222" s="30"/>
      <c r="M222" s="17">
        <v>28.1</v>
      </c>
      <c r="N222" s="7">
        <f t="shared" si="52"/>
        <v>33.72</v>
      </c>
      <c r="O222" s="5">
        <v>4</v>
      </c>
      <c r="P222" s="3"/>
      <c r="Q222" s="5">
        <v>27.9</v>
      </c>
      <c r="R222" s="7">
        <f t="shared" si="53"/>
        <v>33.479999999999997</v>
      </c>
      <c r="S222" s="5">
        <v>4</v>
      </c>
      <c r="U222" s="10">
        <v>71.739999999999995</v>
      </c>
      <c r="V222" s="11">
        <f t="shared" si="54"/>
        <v>86.087999999999994</v>
      </c>
      <c r="W222" s="6">
        <v>4</v>
      </c>
      <c r="Y222" s="10">
        <v>70.41</v>
      </c>
      <c r="Z222" s="11">
        <f t="shared" si="55"/>
        <v>84.49199999999999</v>
      </c>
      <c r="AA222" s="6">
        <v>4</v>
      </c>
      <c r="AB222" s="1">
        <v>1.2</v>
      </c>
      <c r="AC222" s="21" t="str">
        <f t="shared" si="49"/>
        <v>21:40</v>
      </c>
      <c r="AD222" s="27" t="str">
        <f t="shared" si="42"/>
        <v/>
      </c>
      <c r="AE222" s="27" t="str">
        <f t="shared" si="50"/>
        <v/>
      </c>
      <c r="AF222" s="14">
        <f t="shared" si="51"/>
        <v>45923.541666666664</v>
      </c>
      <c r="AG222" s="12">
        <f t="shared" si="47"/>
        <v>45923</v>
      </c>
      <c r="AH222" s="24">
        <f t="shared" si="48"/>
        <v>0.54166666666424135</v>
      </c>
    </row>
    <row r="223" spans="1:34" ht="19.95" customHeight="1" x14ac:dyDescent="0.4">
      <c r="A223" s="2">
        <v>1376</v>
      </c>
      <c r="B223" s="16">
        <f>VLOOKUP(A223,[1]PLAN!$A$3:$BG$1149,18,)+VLOOKUP(A223,[1]PLAN!$A$3:$BG$1149,19,)</f>
        <v>45922.666666666664</v>
      </c>
      <c r="C223" s="22">
        <f t="shared" si="43"/>
        <v>45922</v>
      </c>
      <c r="D223" s="23">
        <f t="shared" si="44"/>
        <v>0.66666666666424135</v>
      </c>
      <c r="E223" s="14">
        <f>VLOOKUP(A223,[1]PLAN!$A$3:$BG$1149,54,)+VLOOKUP(A223,[1]PLAN!$A$3:$BG$1149,22,)</f>
        <v>45923.545138888891</v>
      </c>
      <c r="F223" s="12">
        <f t="shared" si="45"/>
        <v>45923</v>
      </c>
      <c r="G223" s="24">
        <f t="shared" si="46"/>
        <v>0.54513888889050577</v>
      </c>
      <c r="H223" s="14"/>
      <c r="I223" s="14"/>
      <c r="J223" s="29"/>
      <c r="K223" s="30"/>
      <c r="M223" s="17">
        <v>26.64</v>
      </c>
      <c r="N223" s="7">
        <f t="shared" si="52"/>
        <v>31.968</v>
      </c>
      <c r="O223" s="5">
        <v>4</v>
      </c>
      <c r="P223" s="3"/>
      <c r="Q223" s="5">
        <v>25.81</v>
      </c>
      <c r="R223" s="7">
        <f t="shared" si="53"/>
        <v>30.971999999999998</v>
      </c>
      <c r="S223" s="5">
        <v>4</v>
      </c>
      <c r="U223" s="10">
        <v>70.459999999999994</v>
      </c>
      <c r="V223" s="11">
        <f t="shared" si="54"/>
        <v>84.551999999999992</v>
      </c>
      <c r="W223" s="6">
        <v>4</v>
      </c>
      <c r="Y223" s="10">
        <v>70.150000000000006</v>
      </c>
      <c r="Z223" s="11">
        <f t="shared" si="55"/>
        <v>84.18</v>
      </c>
      <c r="AA223" s="6">
        <v>4</v>
      </c>
      <c r="AB223" s="1">
        <v>1.2</v>
      </c>
      <c r="AC223" s="21" t="str">
        <f t="shared" si="49"/>
        <v>21:05</v>
      </c>
      <c r="AD223" s="27" t="str">
        <f t="shared" si="42"/>
        <v/>
      </c>
      <c r="AE223" s="27" t="str">
        <f t="shared" si="50"/>
        <v/>
      </c>
      <c r="AF223" s="14">
        <f t="shared" si="51"/>
        <v>45923.545138888891</v>
      </c>
      <c r="AG223" s="12">
        <f t="shared" si="47"/>
        <v>45923</v>
      </c>
      <c r="AH223" s="24">
        <f t="shared" si="48"/>
        <v>0.54513888889050577</v>
      </c>
    </row>
    <row r="224" spans="1:34" ht="19.95" customHeight="1" x14ac:dyDescent="0.4">
      <c r="A224" s="2">
        <v>1377</v>
      </c>
      <c r="B224" s="16">
        <f>VLOOKUP(A224,[1]PLAN!$A$3:$BG$1149,18,)+VLOOKUP(A224,[1]PLAN!$A$3:$BG$1149,19,)</f>
        <v>45922.6875</v>
      </c>
      <c r="C224" s="22">
        <f t="shared" si="43"/>
        <v>45922</v>
      </c>
      <c r="D224" s="23">
        <f t="shared" si="44"/>
        <v>0.6875</v>
      </c>
      <c r="E224" s="14">
        <f>VLOOKUP(A224,[1]PLAN!$A$3:$BG$1149,54,)+VLOOKUP(A224,[1]PLAN!$A$3:$BG$1149,22,)</f>
        <v>45923.548611111109</v>
      </c>
      <c r="F224" s="12">
        <f t="shared" si="45"/>
        <v>45923</v>
      </c>
      <c r="G224" s="24">
        <f t="shared" si="46"/>
        <v>0.54861111110949423</v>
      </c>
      <c r="H224" s="14"/>
      <c r="I224" s="14"/>
      <c r="J224" s="29"/>
      <c r="K224" s="30"/>
      <c r="M224" s="17">
        <v>25.2</v>
      </c>
      <c r="N224" s="7">
        <f t="shared" si="52"/>
        <v>30.24</v>
      </c>
      <c r="O224" s="5">
        <v>4</v>
      </c>
      <c r="P224" s="3"/>
      <c r="Q224" s="5">
        <v>25.58</v>
      </c>
      <c r="R224" s="7">
        <f t="shared" si="53"/>
        <v>30.695999999999998</v>
      </c>
      <c r="S224" s="5">
        <v>4</v>
      </c>
      <c r="U224" s="10">
        <v>72.53</v>
      </c>
      <c r="V224" s="11">
        <f t="shared" si="54"/>
        <v>87.036000000000001</v>
      </c>
      <c r="W224" s="6">
        <v>4</v>
      </c>
      <c r="Y224" s="10">
        <v>72.680000000000007</v>
      </c>
      <c r="Z224" s="11">
        <f t="shared" si="55"/>
        <v>87.216000000000008</v>
      </c>
      <c r="AA224" s="6">
        <v>4</v>
      </c>
      <c r="AB224" s="1">
        <v>1.2</v>
      </c>
      <c r="AC224" s="21" t="str">
        <f t="shared" si="49"/>
        <v>20:40</v>
      </c>
      <c r="AD224" s="27" t="str">
        <f t="shared" si="42"/>
        <v/>
      </c>
      <c r="AE224" s="27" t="str">
        <f t="shared" si="50"/>
        <v/>
      </c>
      <c r="AF224" s="14">
        <f t="shared" si="51"/>
        <v>45923.548611111109</v>
      </c>
      <c r="AG224" s="12">
        <f t="shared" si="47"/>
        <v>45923</v>
      </c>
      <c r="AH224" s="24">
        <f t="shared" si="48"/>
        <v>0.54861111110949423</v>
      </c>
    </row>
    <row r="225" spans="1:34" ht="19.95" customHeight="1" x14ac:dyDescent="0.4">
      <c r="A225" s="2">
        <v>1378</v>
      </c>
      <c r="B225" s="16">
        <f>VLOOKUP(A225,[1]PLAN!$A$3:$BG$1149,18,)+VLOOKUP(A225,[1]PLAN!$A$3:$BG$1149,19,)</f>
        <v>45922.708333333336</v>
      </c>
      <c r="C225" s="22">
        <f t="shared" si="43"/>
        <v>45922</v>
      </c>
      <c r="D225" s="23">
        <f t="shared" si="44"/>
        <v>0.70833333333575865</v>
      </c>
      <c r="E225" s="14">
        <f>VLOOKUP(A225,[1]PLAN!$A$3:$BG$1149,54,)+VLOOKUP(A225,[1]PLAN!$A$3:$BG$1149,22,)</f>
        <v>45923.552083333336</v>
      </c>
      <c r="F225" s="12">
        <f t="shared" si="45"/>
        <v>45923</v>
      </c>
      <c r="G225" s="24">
        <f t="shared" si="46"/>
        <v>0.55208333333575865</v>
      </c>
      <c r="H225" s="14"/>
      <c r="I225" s="14"/>
      <c r="J225" s="29"/>
      <c r="K225" s="30"/>
      <c r="M225" s="17">
        <v>26.43</v>
      </c>
      <c r="N225" s="7">
        <f t="shared" si="52"/>
        <v>31.715999999999998</v>
      </c>
      <c r="O225" s="5">
        <v>4</v>
      </c>
      <c r="P225" s="3"/>
      <c r="Q225" s="5">
        <v>26.47</v>
      </c>
      <c r="R225" s="7">
        <f t="shared" si="53"/>
        <v>31.763999999999996</v>
      </c>
      <c r="S225" s="5">
        <v>4</v>
      </c>
      <c r="U225" s="10">
        <v>71.84</v>
      </c>
      <c r="V225" s="11">
        <f t="shared" si="54"/>
        <v>86.207999999999998</v>
      </c>
      <c r="W225" s="6">
        <v>4</v>
      </c>
      <c r="Y225" s="10">
        <v>70.48</v>
      </c>
      <c r="Z225" s="11">
        <f t="shared" si="55"/>
        <v>84.576000000000008</v>
      </c>
      <c r="AA225" s="6">
        <v>4</v>
      </c>
      <c r="AB225" s="1">
        <v>1.2</v>
      </c>
      <c r="AC225" s="21" t="str">
        <f t="shared" si="49"/>
        <v>20:15</v>
      </c>
      <c r="AD225" s="27" t="str">
        <f t="shared" si="42"/>
        <v/>
      </c>
      <c r="AE225" s="27" t="str">
        <f t="shared" si="50"/>
        <v/>
      </c>
      <c r="AF225" s="14">
        <f t="shared" si="51"/>
        <v>45923.552083333336</v>
      </c>
      <c r="AG225" s="12">
        <f t="shared" si="47"/>
        <v>45923</v>
      </c>
      <c r="AH225" s="24">
        <f t="shared" si="48"/>
        <v>0.55208333333575865</v>
      </c>
    </row>
    <row r="226" spans="1:34" ht="19.95" customHeight="1" x14ac:dyDescent="0.4">
      <c r="A226" s="2">
        <v>1379</v>
      </c>
      <c r="B226" s="16">
        <f>VLOOKUP(A226,[1]PLAN!$A$3:$BG$1149,18,)+VLOOKUP(A226,[1]PLAN!$A$3:$BG$1149,19,)</f>
        <v>45922.729166666664</v>
      </c>
      <c r="C226" s="22">
        <f t="shared" si="43"/>
        <v>45922</v>
      </c>
      <c r="D226" s="23">
        <f t="shared" si="44"/>
        <v>0.72916666666424135</v>
      </c>
      <c r="E226" s="14">
        <f>VLOOKUP(A226,[1]PLAN!$A$3:$BG$1149,54,)+VLOOKUP(A226,[1]PLAN!$A$3:$BG$1149,22,)</f>
        <v>45923.555555555555</v>
      </c>
      <c r="F226" s="12">
        <f t="shared" si="45"/>
        <v>45923</v>
      </c>
      <c r="G226" s="24">
        <f t="shared" si="46"/>
        <v>0.55555555555474712</v>
      </c>
      <c r="H226" s="14"/>
      <c r="I226" s="14"/>
      <c r="J226" s="29"/>
      <c r="K226" s="30"/>
      <c r="M226" s="17">
        <v>28.64</v>
      </c>
      <c r="N226" s="7">
        <f t="shared" si="52"/>
        <v>34.368000000000002</v>
      </c>
      <c r="O226" s="5">
        <v>4</v>
      </c>
      <c r="P226" s="3"/>
      <c r="Q226" s="5">
        <v>26.77</v>
      </c>
      <c r="R226" s="7">
        <f t="shared" si="53"/>
        <v>32.123999999999995</v>
      </c>
      <c r="S226" s="5">
        <v>4</v>
      </c>
      <c r="U226" s="10">
        <v>71.650000000000006</v>
      </c>
      <c r="V226" s="11">
        <f t="shared" si="54"/>
        <v>85.98</v>
      </c>
      <c r="W226" s="6">
        <v>4</v>
      </c>
      <c r="Y226" s="10">
        <v>71.069999999999993</v>
      </c>
      <c r="Z226" s="11">
        <f t="shared" si="55"/>
        <v>85.283999999999992</v>
      </c>
      <c r="AA226" s="6">
        <v>4</v>
      </c>
      <c r="AB226" s="1">
        <v>1.2</v>
      </c>
      <c r="AC226" s="21" t="str">
        <f t="shared" si="49"/>
        <v>19:50</v>
      </c>
      <c r="AD226" s="27" t="str">
        <f t="shared" si="42"/>
        <v/>
      </c>
      <c r="AE226" s="27" t="str">
        <f t="shared" si="50"/>
        <v/>
      </c>
      <c r="AF226" s="14">
        <f t="shared" si="51"/>
        <v>45923.555555555555</v>
      </c>
      <c r="AG226" s="12">
        <f t="shared" si="47"/>
        <v>45923</v>
      </c>
      <c r="AH226" s="24">
        <f t="shared" si="48"/>
        <v>0.55555555555474712</v>
      </c>
    </row>
    <row r="227" spans="1:34" ht="19.95" customHeight="1" x14ac:dyDescent="0.4">
      <c r="A227" s="2">
        <v>1380</v>
      </c>
      <c r="B227" s="16">
        <f>VLOOKUP(A227,[1]PLAN!$A$3:$BG$1149,18,)+VLOOKUP(A227,[1]PLAN!$A$3:$BG$1149,19,)</f>
        <v>45923.666666666664</v>
      </c>
      <c r="C227" s="22">
        <f t="shared" si="43"/>
        <v>45923</v>
      </c>
      <c r="D227" s="23">
        <f t="shared" si="44"/>
        <v>0.66666666666424135</v>
      </c>
      <c r="E227" s="14">
        <f>VLOOKUP(A227,[1]PLAN!$A$3:$BG$1149,54,)+VLOOKUP(A227,[1]PLAN!$A$3:$BG$1149,22,)</f>
        <v>45924.541666666664</v>
      </c>
      <c r="F227" s="12">
        <f t="shared" si="45"/>
        <v>45924</v>
      </c>
      <c r="G227" s="24">
        <f t="shared" si="46"/>
        <v>0.54166666666424135</v>
      </c>
      <c r="H227" s="14"/>
      <c r="I227" s="14"/>
      <c r="J227" s="29"/>
      <c r="K227" s="30"/>
      <c r="M227" s="17">
        <v>28.2</v>
      </c>
      <c r="N227" s="7">
        <f t="shared" si="52"/>
        <v>33.839999999999996</v>
      </c>
      <c r="O227" s="5">
        <v>4</v>
      </c>
      <c r="P227" s="3"/>
      <c r="Q227" s="5">
        <v>27.42</v>
      </c>
      <c r="R227" s="7">
        <f t="shared" si="53"/>
        <v>32.904000000000003</v>
      </c>
      <c r="S227" s="5">
        <v>4</v>
      </c>
      <c r="U227" s="10">
        <v>72.92</v>
      </c>
      <c r="V227" s="11">
        <f t="shared" si="54"/>
        <v>87.504000000000005</v>
      </c>
      <c r="W227" s="6">
        <v>4</v>
      </c>
      <c r="Y227" s="10">
        <v>71.47</v>
      </c>
      <c r="Z227" s="11">
        <f t="shared" si="55"/>
        <v>85.763999999999996</v>
      </c>
      <c r="AA227" s="6">
        <v>4</v>
      </c>
      <c r="AB227" s="1">
        <v>1.2</v>
      </c>
      <c r="AC227" s="21" t="str">
        <f t="shared" si="49"/>
        <v>21:00</v>
      </c>
      <c r="AD227" s="27" t="str">
        <f t="shared" si="42"/>
        <v/>
      </c>
      <c r="AE227" s="27" t="str">
        <f t="shared" si="50"/>
        <v/>
      </c>
      <c r="AF227" s="14">
        <f t="shared" si="51"/>
        <v>45924.541666666664</v>
      </c>
      <c r="AG227" s="12">
        <f t="shared" si="47"/>
        <v>45924</v>
      </c>
      <c r="AH227" s="24">
        <f t="shared" si="48"/>
        <v>0.54166666666424135</v>
      </c>
    </row>
    <row r="228" spans="1:34" ht="19.95" customHeight="1" x14ac:dyDescent="0.4">
      <c r="A228" s="2">
        <v>1381</v>
      </c>
      <c r="B228" s="16">
        <f>VLOOKUP(A228,[1]PLAN!$A$3:$BG$1149,18,)+VLOOKUP(A228,[1]PLAN!$A$3:$BG$1149,19,)</f>
        <v>45923.6875</v>
      </c>
      <c r="C228" s="22">
        <f t="shared" si="43"/>
        <v>45923</v>
      </c>
      <c r="D228" s="23">
        <f t="shared" si="44"/>
        <v>0.6875</v>
      </c>
      <c r="E228" s="14">
        <f>VLOOKUP(A228,[1]PLAN!$A$3:$BG$1149,54,)+VLOOKUP(A228,[1]PLAN!$A$3:$BG$1149,22,)</f>
        <v>45924.545138888891</v>
      </c>
      <c r="F228" s="12">
        <f t="shared" si="45"/>
        <v>45924</v>
      </c>
      <c r="G228" s="24">
        <f t="shared" si="46"/>
        <v>0.54513888889050577</v>
      </c>
      <c r="H228" s="14"/>
      <c r="I228" s="14"/>
      <c r="J228" s="29"/>
      <c r="K228" s="30"/>
      <c r="M228" s="17">
        <v>21.33</v>
      </c>
      <c r="N228" s="7">
        <f t="shared" si="52"/>
        <v>25.595999999999997</v>
      </c>
      <c r="O228" s="5">
        <v>4</v>
      </c>
      <c r="P228" s="3"/>
      <c r="Q228" s="5">
        <v>20.86</v>
      </c>
      <c r="R228" s="7">
        <f t="shared" si="53"/>
        <v>25.032</v>
      </c>
      <c r="S228" s="5">
        <v>4</v>
      </c>
      <c r="U228" s="10">
        <v>71.5</v>
      </c>
      <c r="V228" s="11">
        <f t="shared" si="54"/>
        <v>85.8</v>
      </c>
      <c r="W228" s="6">
        <v>4</v>
      </c>
      <c r="Y228" s="10">
        <v>71.86</v>
      </c>
      <c r="Z228" s="11">
        <f t="shared" si="55"/>
        <v>86.231999999999999</v>
      </c>
      <c r="AA228" s="6">
        <v>4</v>
      </c>
      <c r="AB228" s="1">
        <v>1.2</v>
      </c>
      <c r="AC228" s="21" t="str">
        <f t="shared" si="49"/>
        <v>20:35</v>
      </c>
      <c r="AD228" s="27" t="str">
        <f t="shared" si="42"/>
        <v/>
      </c>
      <c r="AE228" s="27" t="str">
        <f t="shared" si="50"/>
        <v/>
      </c>
      <c r="AF228" s="14">
        <f t="shared" si="51"/>
        <v>45924.545138888891</v>
      </c>
      <c r="AG228" s="12">
        <f t="shared" si="47"/>
        <v>45924</v>
      </c>
      <c r="AH228" s="24">
        <f t="shared" si="48"/>
        <v>0.54513888889050577</v>
      </c>
    </row>
    <row r="229" spans="1:34" ht="19.95" customHeight="1" x14ac:dyDescent="0.4">
      <c r="A229" s="2">
        <v>1382</v>
      </c>
      <c r="B229" s="16">
        <f>VLOOKUP(A229,[1]PLAN!$A$3:$BG$1149,18,)+VLOOKUP(A229,[1]PLAN!$A$3:$BG$1149,19,)</f>
        <v>45923.729166666664</v>
      </c>
      <c r="C229" s="22">
        <f t="shared" si="43"/>
        <v>45923</v>
      </c>
      <c r="D229" s="23">
        <f t="shared" si="44"/>
        <v>0.72916666666424135</v>
      </c>
      <c r="E229" s="14">
        <f>VLOOKUP(A229,[1]PLAN!$A$3:$BG$1149,54,)+VLOOKUP(A229,[1]PLAN!$A$3:$BG$1149,22,)</f>
        <v>45924.548611111109</v>
      </c>
      <c r="F229" s="12">
        <f t="shared" si="45"/>
        <v>45924</v>
      </c>
      <c r="G229" s="24">
        <f t="shared" si="46"/>
        <v>0.54861111110949423</v>
      </c>
      <c r="H229" s="14"/>
      <c r="I229" s="14"/>
      <c r="J229" s="29"/>
      <c r="K229" s="30"/>
      <c r="M229" s="17">
        <v>22.02</v>
      </c>
      <c r="N229" s="7">
        <f t="shared" si="52"/>
        <v>26.423999999999999</v>
      </c>
      <c r="O229" s="5">
        <v>4</v>
      </c>
      <c r="P229" s="3"/>
      <c r="Q229" s="5">
        <v>23.61</v>
      </c>
      <c r="R229" s="7">
        <f t="shared" si="53"/>
        <v>28.331999999999997</v>
      </c>
      <c r="S229" s="5">
        <v>4</v>
      </c>
      <c r="U229" s="10">
        <v>70.150000000000006</v>
      </c>
      <c r="V229" s="11">
        <f t="shared" si="54"/>
        <v>84.18</v>
      </c>
      <c r="W229" s="6">
        <v>4</v>
      </c>
      <c r="Y229" s="10">
        <v>70.56</v>
      </c>
      <c r="Z229" s="11">
        <f t="shared" si="55"/>
        <v>84.671999999999997</v>
      </c>
      <c r="AA229" s="6">
        <v>4</v>
      </c>
      <c r="AB229" s="1">
        <v>1.2</v>
      </c>
      <c r="AC229" s="21" t="str">
        <f t="shared" si="49"/>
        <v>19:40</v>
      </c>
      <c r="AD229" s="27" t="str">
        <f t="shared" si="42"/>
        <v/>
      </c>
      <c r="AE229" s="27" t="str">
        <f t="shared" si="50"/>
        <v/>
      </c>
      <c r="AF229" s="14">
        <f t="shared" si="51"/>
        <v>45924.548611111109</v>
      </c>
      <c r="AG229" s="12">
        <f t="shared" si="47"/>
        <v>45924</v>
      </c>
      <c r="AH229" s="24">
        <f t="shared" si="48"/>
        <v>0.54861111110949423</v>
      </c>
    </row>
    <row r="230" spans="1:34" ht="19.95" customHeight="1" x14ac:dyDescent="0.4">
      <c r="A230" s="2">
        <v>1383</v>
      </c>
      <c r="B230" s="16">
        <f>VLOOKUP(A230,[1]PLAN!$A$3:$BG$1149,18,)+VLOOKUP(A230,[1]PLAN!$A$3:$BG$1149,19,)</f>
        <v>45923.75</v>
      </c>
      <c r="C230" s="22">
        <f t="shared" si="43"/>
        <v>45923</v>
      </c>
      <c r="D230" s="23">
        <f t="shared" si="44"/>
        <v>0.75</v>
      </c>
      <c r="E230" s="14">
        <f>VLOOKUP(A230,[1]PLAN!$A$3:$BG$1149,54,)+VLOOKUP(A230,[1]PLAN!$A$3:$BG$1149,22,)</f>
        <v>45924.552083333336</v>
      </c>
      <c r="F230" s="12">
        <f t="shared" si="45"/>
        <v>45924</v>
      </c>
      <c r="G230" s="24">
        <f t="shared" si="46"/>
        <v>0.55208333333575865</v>
      </c>
      <c r="H230" s="14"/>
      <c r="I230" s="14"/>
      <c r="J230" s="29"/>
      <c r="K230" s="30"/>
      <c r="M230" s="17">
        <v>21.69</v>
      </c>
      <c r="N230" s="7">
        <f t="shared" si="52"/>
        <v>26.028000000000002</v>
      </c>
      <c r="O230" s="5">
        <v>4</v>
      </c>
      <c r="P230" s="3"/>
      <c r="Q230" s="5">
        <v>20.04</v>
      </c>
      <c r="R230" s="7">
        <f t="shared" si="53"/>
        <v>24.047999999999998</v>
      </c>
      <c r="S230" s="5">
        <v>4</v>
      </c>
      <c r="U230" s="10">
        <v>72.73</v>
      </c>
      <c r="V230" s="11">
        <f t="shared" si="54"/>
        <v>87.275999999999996</v>
      </c>
      <c r="W230" s="6">
        <v>4</v>
      </c>
      <c r="Y230" s="10">
        <v>71.89</v>
      </c>
      <c r="Z230" s="11">
        <f t="shared" si="55"/>
        <v>86.268000000000001</v>
      </c>
      <c r="AA230" s="6">
        <v>4</v>
      </c>
      <c r="AB230" s="1">
        <v>1.2</v>
      </c>
      <c r="AC230" s="21" t="str">
        <f t="shared" si="49"/>
        <v>19:15</v>
      </c>
      <c r="AD230" s="27" t="str">
        <f t="shared" si="42"/>
        <v/>
      </c>
      <c r="AE230" s="27" t="str">
        <f t="shared" si="50"/>
        <v/>
      </c>
      <c r="AF230" s="14">
        <f t="shared" si="51"/>
        <v>45924.552083333336</v>
      </c>
      <c r="AG230" s="12">
        <f t="shared" si="47"/>
        <v>45924</v>
      </c>
      <c r="AH230" s="24">
        <f t="shared" si="48"/>
        <v>0.55208333333575865</v>
      </c>
    </row>
    <row r="231" spans="1:34" ht="19.95" customHeight="1" x14ac:dyDescent="0.4">
      <c r="A231" s="2">
        <v>1384</v>
      </c>
      <c r="B231" s="16">
        <f>VLOOKUP(A231,[1]PLAN!$A$3:$BG$1149,18,)+VLOOKUP(A231,[1]PLAN!$A$3:$BG$1149,19,)</f>
        <v>45924.625</v>
      </c>
      <c r="C231" s="22">
        <f t="shared" si="43"/>
        <v>45924</v>
      </c>
      <c r="D231" s="23">
        <f t="shared" si="44"/>
        <v>0.625</v>
      </c>
      <c r="E231" s="14">
        <f>VLOOKUP(A231,[1]PLAN!$A$3:$BG$1149,54,)+VLOOKUP(A231,[1]PLAN!$A$3:$BG$1149,22,)</f>
        <v>45925.541666666664</v>
      </c>
      <c r="F231" s="12">
        <f t="shared" si="45"/>
        <v>45925</v>
      </c>
      <c r="G231" s="24">
        <f t="shared" si="46"/>
        <v>0.54166666666424135</v>
      </c>
      <c r="H231" s="14"/>
      <c r="I231" s="14"/>
      <c r="J231" s="29"/>
      <c r="K231" s="30"/>
      <c r="M231" s="17">
        <v>22.15</v>
      </c>
      <c r="N231" s="7">
        <f t="shared" si="52"/>
        <v>26.58</v>
      </c>
      <c r="O231" s="5">
        <v>4</v>
      </c>
      <c r="P231" s="3"/>
      <c r="Q231" s="5">
        <v>21.26</v>
      </c>
      <c r="R231" s="7">
        <f t="shared" si="53"/>
        <v>25.512</v>
      </c>
      <c r="S231" s="5">
        <v>4</v>
      </c>
      <c r="U231" s="10">
        <v>73.8</v>
      </c>
      <c r="V231" s="11">
        <f t="shared" si="54"/>
        <v>88.559999999999988</v>
      </c>
      <c r="W231" s="6">
        <v>4</v>
      </c>
      <c r="Y231" s="10">
        <v>72.989999999999995</v>
      </c>
      <c r="Z231" s="11">
        <f t="shared" si="55"/>
        <v>87.587999999999994</v>
      </c>
      <c r="AA231" s="6">
        <v>4</v>
      </c>
      <c r="AB231" s="1">
        <v>1.2</v>
      </c>
      <c r="AC231" s="21" t="str">
        <f t="shared" si="49"/>
        <v>22:00</v>
      </c>
      <c r="AD231" s="27" t="str">
        <f t="shared" si="42"/>
        <v/>
      </c>
      <c r="AE231" s="27" t="str">
        <f t="shared" si="50"/>
        <v/>
      </c>
      <c r="AF231" s="14">
        <f t="shared" si="51"/>
        <v>45925.541666666664</v>
      </c>
      <c r="AG231" s="12">
        <f t="shared" si="47"/>
        <v>45925</v>
      </c>
      <c r="AH231" s="24">
        <f t="shared" si="48"/>
        <v>0.54166666666424135</v>
      </c>
    </row>
    <row r="232" spans="1:34" ht="19.95" customHeight="1" x14ac:dyDescent="0.4">
      <c r="A232" s="2">
        <v>1385</v>
      </c>
      <c r="B232" s="16">
        <f>VLOOKUP(A232,[1]PLAN!$A$3:$BG$1149,18,)+VLOOKUP(A232,[1]PLAN!$A$3:$BG$1149,19,)</f>
        <v>45924.645833333336</v>
      </c>
      <c r="C232" s="22">
        <f t="shared" si="43"/>
        <v>45924</v>
      </c>
      <c r="D232" s="23">
        <f t="shared" si="44"/>
        <v>0.64583333333575865</v>
      </c>
      <c r="E232" s="14">
        <f>VLOOKUP(A232,[1]PLAN!$A$3:$BG$1149,54,)+VLOOKUP(A232,[1]PLAN!$A$3:$BG$1149,22,)</f>
        <v>45925.548611111109</v>
      </c>
      <c r="F232" s="12">
        <f t="shared" si="45"/>
        <v>45925</v>
      </c>
      <c r="G232" s="24">
        <f t="shared" si="46"/>
        <v>0.54861111110949423</v>
      </c>
      <c r="H232" s="14"/>
      <c r="I232" s="14"/>
      <c r="J232" s="29"/>
      <c r="K232" s="30"/>
      <c r="M232" s="17">
        <v>25.32</v>
      </c>
      <c r="N232" s="7">
        <f t="shared" si="52"/>
        <v>30.384</v>
      </c>
      <c r="O232" s="5">
        <v>4</v>
      </c>
      <c r="P232" s="3"/>
      <c r="Q232" s="5">
        <v>24.24</v>
      </c>
      <c r="R232" s="7">
        <f t="shared" si="53"/>
        <v>29.087999999999997</v>
      </c>
      <c r="S232" s="5">
        <v>4</v>
      </c>
      <c r="U232" s="10">
        <v>70.58</v>
      </c>
      <c r="V232" s="11">
        <f t="shared" si="54"/>
        <v>84.695999999999998</v>
      </c>
      <c r="W232" s="6">
        <v>4</v>
      </c>
      <c r="Y232" s="10">
        <v>70.540000000000006</v>
      </c>
      <c r="Z232" s="11">
        <f t="shared" si="55"/>
        <v>84.64800000000001</v>
      </c>
      <c r="AA232" s="6">
        <v>4</v>
      </c>
      <c r="AB232" s="1">
        <v>1.2</v>
      </c>
      <c r="AC232" s="21" t="str">
        <f t="shared" si="49"/>
        <v>21:40</v>
      </c>
      <c r="AD232" s="27" t="str">
        <f t="shared" si="42"/>
        <v/>
      </c>
      <c r="AE232" s="27" t="str">
        <f t="shared" si="50"/>
        <v/>
      </c>
      <c r="AF232" s="14">
        <f t="shared" si="51"/>
        <v>45925.548611111109</v>
      </c>
      <c r="AG232" s="12">
        <f t="shared" si="47"/>
        <v>45925</v>
      </c>
      <c r="AH232" s="24">
        <f t="shared" si="48"/>
        <v>0.54861111110949423</v>
      </c>
    </row>
    <row r="233" spans="1:34" ht="19.95" customHeight="1" x14ac:dyDescent="0.4">
      <c r="A233" s="2">
        <v>1386</v>
      </c>
      <c r="B233" s="16">
        <f>VLOOKUP(A233,[1]PLAN!$A$3:$BG$1149,18,)+VLOOKUP(A233,[1]PLAN!$A$3:$BG$1149,19,)</f>
        <v>45924.659722222219</v>
      </c>
      <c r="C233" s="22">
        <f t="shared" si="43"/>
        <v>45924</v>
      </c>
      <c r="D233" s="23">
        <f t="shared" si="44"/>
        <v>0.65972222221898846</v>
      </c>
      <c r="E233" s="14">
        <f>VLOOKUP(A233,[1]PLAN!$A$3:$BG$1149,54,)+VLOOKUP(A233,[1]PLAN!$A$3:$BG$1149,22,)</f>
        <v>45925.552083333336</v>
      </c>
      <c r="F233" s="12">
        <f t="shared" si="45"/>
        <v>45925</v>
      </c>
      <c r="G233" s="24">
        <f t="shared" si="46"/>
        <v>0.55208333333575865</v>
      </c>
      <c r="H233" s="14"/>
      <c r="I233" s="14"/>
      <c r="J233" s="29"/>
      <c r="K233" s="30"/>
      <c r="M233" s="17">
        <v>20.84</v>
      </c>
      <c r="N233" s="7">
        <f t="shared" si="52"/>
        <v>25.007999999999999</v>
      </c>
      <c r="O233" s="5">
        <v>4</v>
      </c>
      <c r="P233" s="3"/>
      <c r="Q233" s="5">
        <v>20.010000000000002</v>
      </c>
      <c r="R233" s="7">
        <f t="shared" si="53"/>
        <v>24.012</v>
      </c>
      <c r="S233" s="5">
        <v>4</v>
      </c>
      <c r="U233" s="10">
        <v>70.78</v>
      </c>
      <c r="V233" s="11">
        <f t="shared" si="54"/>
        <v>84.935999999999993</v>
      </c>
      <c r="W233" s="6">
        <v>4</v>
      </c>
      <c r="Y233" s="10">
        <v>70.489999999999995</v>
      </c>
      <c r="Z233" s="11">
        <f t="shared" si="55"/>
        <v>84.587999999999994</v>
      </c>
      <c r="AA233" s="6">
        <v>4</v>
      </c>
      <c r="AB233" s="1">
        <v>1.2</v>
      </c>
      <c r="AC233" s="21" t="str">
        <f t="shared" si="49"/>
        <v>21:25</v>
      </c>
      <c r="AD233" s="27" t="str">
        <f t="shared" si="42"/>
        <v/>
      </c>
      <c r="AE233" s="27" t="str">
        <f t="shared" si="50"/>
        <v/>
      </c>
      <c r="AF233" s="14">
        <f t="shared" si="51"/>
        <v>45925.552083333336</v>
      </c>
      <c r="AG233" s="12">
        <f t="shared" si="47"/>
        <v>45925</v>
      </c>
      <c r="AH233" s="24">
        <f t="shared" si="48"/>
        <v>0.55208333333575865</v>
      </c>
    </row>
    <row r="234" spans="1:34" ht="19.95" customHeight="1" x14ac:dyDescent="0.4">
      <c r="A234" s="2">
        <v>1387</v>
      </c>
      <c r="B234" s="16">
        <f>VLOOKUP(A234,[1]PLAN!$A$3:$BG$1149,18,)+VLOOKUP(A234,[1]PLAN!$A$3:$BG$1149,19,)</f>
        <v>45924.680555555555</v>
      </c>
      <c r="C234" s="22">
        <f t="shared" si="43"/>
        <v>45924</v>
      </c>
      <c r="D234" s="23">
        <f t="shared" si="44"/>
        <v>0.68055555555474712</v>
      </c>
      <c r="E234" s="14">
        <f>VLOOKUP(A234,[1]PLAN!$A$3:$BG$1149,54,)+VLOOKUP(A234,[1]PLAN!$A$3:$BG$1149,22,)</f>
        <v>45925.555555555555</v>
      </c>
      <c r="F234" s="12">
        <f t="shared" si="45"/>
        <v>45925</v>
      </c>
      <c r="G234" s="24">
        <f t="shared" si="46"/>
        <v>0.55555555555474712</v>
      </c>
      <c r="H234" s="14"/>
      <c r="I234" s="14"/>
      <c r="J234" s="29"/>
      <c r="K234" s="30"/>
      <c r="M234" s="17">
        <v>20.87</v>
      </c>
      <c r="N234" s="7">
        <f t="shared" si="52"/>
        <v>25.044</v>
      </c>
      <c r="O234" s="5">
        <v>4</v>
      </c>
      <c r="P234" s="3"/>
      <c r="Q234" s="5">
        <v>21.34</v>
      </c>
      <c r="R234" s="7">
        <f t="shared" si="53"/>
        <v>25.608000000000001</v>
      </c>
      <c r="S234" s="5">
        <v>4</v>
      </c>
      <c r="U234" s="10">
        <v>69.36</v>
      </c>
      <c r="V234" s="11">
        <f t="shared" si="54"/>
        <v>83.231999999999999</v>
      </c>
      <c r="W234" s="6">
        <v>4</v>
      </c>
      <c r="Y234" s="10">
        <v>70.680000000000007</v>
      </c>
      <c r="Z234" s="11">
        <f t="shared" si="55"/>
        <v>84.816000000000003</v>
      </c>
      <c r="AA234" s="6">
        <v>4</v>
      </c>
      <c r="AB234" s="1">
        <v>1.2</v>
      </c>
      <c r="AC234" s="21" t="str">
        <f t="shared" si="49"/>
        <v>21:00</v>
      </c>
      <c r="AD234" s="27" t="str">
        <f t="shared" ref="AD234:AD267" si="56">IF(H234="","",TEXT(H234-B234,"[hh]:mm"))</f>
        <v/>
      </c>
      <c r="AE234" s="27" t="str">
        <f t="shared" si="50"/>
        <v/>
      </c>
      <c r="AF234" s="14">
        <f t="shared" si="51"/>
        <v>45925.555555555555</v>
      </c>
      <c r="AG234" s="12">
        <f t="shared" si="47"/>
        <v>45925</v>
      </c>
      <c r="AH234" s="24">
        <f t="shared" si="48"/>
        <v>0.55555555555474712</v>
      </c>
    </row>
    <row r="235" spans="1:34" ht="19.95" customHeight="1" x14ac:dyDescent="0.4">
      <c r="A235" s="2">
        <v>1388</v>
      </c>
      <c r="B235" s="16">
        <f>VLOOKUP(A235,[1]PLAN!$A$3:$BG$1149,18,)+VLOOKUP(A235,[1]PLAN!$A$3:$BG$1149,19,)</f>
        <v>45924.701388888891</v>
      </c>
      <c r="C235" s="22">
        <f t="shared" si="43"/>
        <v>45924</v>
      </c>
      <c r="D235" s="23">
        <f t="shared" si="44"/>
        <v>0.70138888889050577</v>
      </c>
      <c r="E235" s="14">
        <f>VLOOKUP(A235,[1]PLAN!$A$3:$BG$1149,54,)+VLOOKUP(A235,[1]PLAN!$A$3:$BG$1149,22,)</f>
        <v>45925.5625</v>
      </c>
      <c r="F235" s="12">
        <f t="shared" si="45"/>
        <v>45925</v>
      </c>
      <c r="G235" s="24">
        <f t="shared" si="46"/>
        <v>0.5625</v>
      </c>
      <c r="H235" s="14"/>
      <c r="I235" s="14"/>
      <c r="J235" s="29"/>
      <c r="K235" s="30"/>
      <c r="M235" s="17">
        <v>21.21</v>
      </c>
      <c r="N235" s="7">
        <f t="shared" si="52"/>
        <v>25.452000000000002</v>
      </c>
      <c r="O235" s="5">
        <v>4</v>
      </c>
      <c r="P235" s="3"/>
      <c r="Q235" s="5">
        <v>22.47</v>
      </c>
      <c r="R235" s="7">
        <f t="shared" si="53"/>
        <v>26.963999999999999</v>
      </c>
      <c r="S235" s="5">
        <v>4</v>
      </c>
      <c r="U235" s="10">
        <v>71.599999999999994</v>
      </c>
      <c r="V235" s="11">
        <f t="shared" si="54"/>
        <v>85.919999999999987</v>
      </c>
      <c r="W235" s="6">
        <v>4</v>
      </c>
      <c r="Y235" s="10">
        <v>70.650000000000006</v>
      </c>
      <c r="Z235" s="11">
        <f t="shared" si="55"/>
        <v>84.78</v>
      </c>
      <c r="AA235" s="6">
        <v>4</v>
      </c>
      <c r="AB235" s="1">
        <v>1.2</v>
      </c>
      <c r="AC235" s="21" t="str">
        <f t="shared" si="49"/>
        <v>20:40</v>
      </c>
      <c r="AD235" s="27" t="str">
        <f t="shared" si="56"/>
        <v/>
      </c>
      <c r="AE235" s="27" t="str">
        <f t="shared" si="50"/>
        <v/>
      </c>
      <c r="AF235" s="14">
        <f t="shared" si="51"/>
        <v>45925.5625</v>
      </c>
      <c r="AG235" s="12">
        <f t="shared" si="47"/>
        <v>45925</v>
      </c>
      <c r="AH235" s="24">
        <f t="shared" si="48"/>
        <v>0.5625</v>
      </c>
    </row>
    <row r="236" spans="1:34" ht="19.95" customHeight="1" x14ac:dyDescent="0.4">
      <c r="A236" s="2">
        <v>1389</v>
      </c>
      <c r="B236" s="16">
        <f>VLOOKUP(A236,[1]PLAN!$A$3:$BG$1149,18,)+VLOOKUP(A236,[1]PLAN!$A$3:$BG$1149,19,)</f>
        <v>45925.642361111109</v>
      </c>
      <c r="C236" s="22">
        <f t="shared" si="43"/>
        <v>45925</v>
      </c>
      <c r="D236" s="23">
        <f t="shared" si="44"/>
        <v>0.64236111110949423</v>
      </c>
      <c r="E236" s="14">
        <f>VLOOKUP(A236,[1]PLAN!$A$3:$BG$1149,54,)+VLOOKUP(A236,[1]PLAN!$A$3:$BG$1149,22,)</f>
        <v>45926.541666666664</v>
      </c>
      <c r="F236" s="12">
        <f t="shared" si="45"/>
        <v>45926</v>
      </c>
      <c r="G236" s="24">
        <f t="shared" si="46"/>
        <v>0.54166666666424135</v>
      </c>
      <c r="H236" s="14"/>
      <c r="I236" s="14"/>
      <c r="J236" s="29"/>
      <c r="K236" s="30"/>
      <c r="M236" s="17">
        <v>20.89</v>
      </c>
      <c r="N236" s="7">
        <f t="shared" si="52"/>
        <v>25.068000000000001</v>
      </c>
      <c r="O236" s="5">
        <v>4</v>
      </c>
      <c r="P236" s="3"/>
      <c r="Q236" s="5">
        <v>20.260000000000002</v>
      </c>
      <c r="R236" s="7">
        <f t="shared" si="53"/>
        <v>24.312000000000001</v>
      </c>
      <c r="S236" s="5">
        <v>4</v>
      </c>
      <c r="U236" s="10">
        <v>70.86</v>
      </c>
      <c r="V236" s="11">
        <f t="shared" si="54"/>
        <v>85.031999999999996</v>
      </c>
      <c r="W236" s="6">
        <v>4</v>
      </c>
      <c r="Y236" s="10">
        <v>71.52</v>
      </c>
      <c r="Z236" s="11">
        <f t="shared" si="55"/>
        <v>85.823999999999998</v>
      </c>
      <c r="AA236" s="6">
        <v>4</v>
      </c>
      <c r="AB236" s="1">
        <v>1.2</v>
      </c>
      <c r="AC236" s="21" t="str">
        <f t="shared" si="49"/>
        <v>21:35</v>
      </c>
      <c r="AD236" s="27" t="str">
        <f t="shared" si="56"/>
        <v/>
      </c>
      <c r="AE236" s="27" t="str">
        <f t="shared" si="50"/>
        <v/>
      </c>
      <c r="AF236" s="14">
        <f t="shared" si="51"/>
        <v>45926.541666666664</v>
      </c>
      <c r="AG236" s="12">
        <f t="shared" si="47"/>
        <v>45926</v>
      </c>
      <c r="AH236" s="24">
        <f t="shared" si="48"/>
        <v>0.54166666666424135</v>
      </c>
    </row>
    <row r="237" spans="1:34" ht="19.95" customHeight="1" x14ac:dyDescent="0.4">
      <c r="A237" s="2">
        <v>1390</v>
      </c>
      <c r="B237" s="16">
        <f>VLOOKUP(A237,[1]PLAN!$A$3:$BG$1149,18,)+VLOOKUP(A237,[1]PLAN!$A$3:$BG$1149,19,)</f>
        <v>45925.666666666664</v>
      </c>
      <c r="C237" s="22">
        <f t="shared" si="43"/>
        <v>45925</v>
      </c>
      <c r="D237" s="23">
        <f t="shared" si="44"/>
        <v>0.66666666666424135</v>
      </c>
      <c r="E237" s="14">
        <f>VLOOKUP(A237,[1]PLAN!$A$3:$BG$1149,54,)+VLOOKUP(A237,[1]PLAN!$A$3:$BG$1149,22,)</f>
        <v>45927.315972222219</v>
      </c>
      <c r="F237" s="12">
        <f t="shared" si="45"/>
        <v>45927</v>
      </c>
      <c r="G237" s="24">
        <f t="shared" si="46"/>
        <v>0.31597222221898846</v>
      </c>
      <c r="H237" s="14"/>
      <c r="I237" s="14"/>
      <c r="J237" s="29"/>
      <c r="K237" s="30"/>
      <c r="M237" s="17">
        <v>26.83</v>
      </c>
      <c r="N237" s="7">
        <f t="shared" si="52"/>
        <v>32.195999999999998</v>
      </c>
      <c r="O237" s="5">
        <v>4</v>
      </c>
      <c r="P237" s="3"/>
      <c r="Q237" s="5">
        <v>25.31</v>
      </c>
      <c r="R237" s="7">
        <f t="shared" si="53"/>
        <v>30.371999999999996</v>
      </c>
      <c r="S237" s="5">
        <v>4</v>
      </c>
      <c r="U237" s="10">
        <v>70.849999999999994</v>
      </c>
      <c r="V237" s="11">
        <f t="shared" si="54"/>
        <v>85.02</v>
      </c>
      <c r="W237" s="6">
        <v>4</v>
      </c>
      <c r="Y237" s="10">
        <v>70.19</v>
      </c>
      <c r="Z237" s="11">
        <f t="shared" si="55"/>
        <v>84.227999999999994</v>
      </c>
      <c r="AA237" s="6">
        <v>4</v>
      </c>
      <c r="AB237" s="1">
        <v>1.2</v>
      </c>
      <c r="AC237" s="21" t="str">
        <f t="shared" si="49"/>
        <v>39:35</v>
      </c>
      <c r="AD237" s="27" t="str">
        <f t="shared" si="56"/>
        <v/>
      </c>
      <c r="AE237" s="27" t="str">
        <f t="shared" si="50"/>
        <v/>
      </c>
      <c r="AF237" s="14">
        <f t="shared" si="51"/>
        <v>45927.315972222219</v>
      </c>
      <c r="AG237" s="12">
        <f t="shared" si="47"/>
        <v>45927</v>
      </c>
      <c r="AH237" s="24">
        <f t="shared" si="48"/>
        <v>0.31597222221898846</v>
      </c>
    </row>
    <row r="238" spans="1:34" ht="19.95" customHeight="1" x14ac:dyDescent="0.4">
      <c r="A238" s="2">
        <v>1391</v>
      </c>
      <c r="B238" s="16">
        <f>VLOOKUP(A238,[1]PLAN!$A$3:$BG$1149,18,)+VLOOKUP(A238,[1]PLAN!$A$3:$BG$1149,19,)</f>
        <v>45925.708333333336</v>
      </c>
      <c r="C238" s="22">
        <f t="shared" si="43"/>
        <v>45925</v>
      </c>
      <c r="D238" s="23">
        <f t="shared" si="44"/>
        <v>0.70833333333575865</v>
      </c>
      <c r="E238" s="14">
        <f>VLOOKUP(A238,[1]PLAN!$A$3:$BG$1149,54,)+VLOOKUP(A238,[1]PLAN!$A$3:$BG$1149,22,)</f>
        <v>45926.541666666664</v>
      </c>
      <c r="F238" s="12">
        <f t="shared" si="45"/>
        <v>45926</v>
      </c>
      <c r="G238" s="24">
        <f t="shared" si="46"/>
        <v>0.54166666666424135</v>
      </c>
      <c r="H238" s="14"/>
      <c r="I238" s="14"/>
      <c r="J238" s="29"/>
      <c r="K238" s="30"/>
      <c r="M238" s="17">
        <v>21.63</v>
      </c>
      <c r="N238" s="7">
        <f t="shared" si="52"/>
        <v>25.956</v>
      </c>
      <c r="O238" s="5">
        <v>4</v>
      </c>
      <c r="P238" s="3"/>
      <c r="Q238" s="5">
        <v>22.01</v>
      </c>
      <c r="R238" s="7">
        <f t="shared" si="53"/>
        <v>26.412000000000003</v>
      </c>
      <c r="S238" s="5">
        <v>4</v>
      </c>
      <c r="U238" s="10">
        <v>70.64</v>
      </c>
      <c r="V238" s="11">
        <f t="shared" si="54"/>
        <v>84.768000000000001</v>
      </c>
      <c r="W238" s="6">
        <v>4</v>
      </c>
      <c r="Y238" s="10">
        <v>70.17</v>
      </c>
      <c r="Z238" s="11">
        <f t="shared" si="55"/>
        <v>84.203999999999994</v>
      </c>
      <c r="AA238" s="6">
        <v>4</v>
      </c>
      <c r="AB238" s="1">
        <v>1.2</v>
      </c>
      <c r="AC238" s="21" t="str">
        <f t="shared" si="49"/>
        <v>20:00</v>
      </c>
      <c r="AD238" s="27" t="str">
        <f t="shared" si="56"/>
        <v/>
      </c>
      <c r="AE238" s="27" t="str">
        <f t="shared" si="50"/>
        <v/>
      </c>
      <c r="AF238" s="14">
        <f t="shared" si="51"/>
        <v>45926.541666666664</v>
      </c>
      <c r="AG238" s="12">
        <f t="shared" si="47"/>
        <v>45926</v>
      </c>
      <c r="AH238" s="24">
        <f t="shared" si="48"/>
        <v>0.54166666666424135</v>
      </c>
    </row>
    <row r="239" spans="1:34" ht="19.95" customHeight="1" x14ac:dyDescent="0.4">
      <c r="A239" s="2">
        <v>1392</v>
      </c>
      <c r="B239" s="16">
        <f>VLOOKUP(A239,[1]PLAN!$A$3:$BG$1149,18,)+VLOOKUP(A239,[1]PLAN!$A$3:$BG$1149,19,)</f>
        <v>45926.636805555558</v>
      </c>
      <c r="C239" s="22">
        <f t="shared" si="43"/>
        <v>45926</v>
      </c>
      <c r="D239" s="23">
        <f t="shared" si="44"/>
        <v>0.6368055555576575</v>
      </c>
      <c r="E239" s="14">
        <f>VLOOKUP(A239,[1]PLAN!$A$3:$BG$1149,54,)+VLOOKUP(A239,[1]PLAN!$A$3:$BG$1149,22,)</f>
        <v>45929.3125</v>
      </c>
      <c r="F239" s="12">
        <f t="shared" si="45"/>
        <v>45929</v>
      </c>
      <c r="G239" s="24">
        <f t="shared" si="46"/>
        <v>0.3125</v>
      </c>
      <c r="H239" s="14"/>
      <c r="I239" s="14"/>
      <c r="J239" s="29"/>
      <c r="K239" s="30"/>
      <c r="M239" s="17">
        <v>49.54</v>
      </c>
      <c r="N239" s="7">
        <f t="shared" si="52"/>
        <v>59.447999999999993</v>
      </c>
      <c r="O239" s="5">
        <v>4</v>
      </c>
      <c r="P239" s="3"/>
      <c r="Q239" s="5">
        <v>48.51</v>
      </c>
      <c r="R239" s="7">
        <f t="shared" si="53"/>
        <v>58.211999999999996</v>
      </c>
      <c r="S239" s="5">
        <v>4</v>
      </c>
      <c r="U239" s="10">
        <v>70.150000000000006</v>
      </c>
      <c r="V239" s="11">
        <f t="shared" si="54"/>
        <v>84.18</v>
      </c>
      <c r="W239" s="6">
        <v>4</v>
      </c>
      <c r="Y239" s="10">
        <v>70.510000000000005</v>
      </c>
      <c r="Z239" s="11">
        <f t="shared" si="55"/>
        <v>84.612000000000009</v>
      </c>
      <c r="AA239" s="6">
        <v>4</v>
      </c>
      <c r="AB239" s="1">
        <v>1.2</v>
      </c>
      <c r="AC239" s="21" t="str">
        <f t="shared" si="49"/>
        <v>64:13</v>
      </c>
      <c r="AD239" s="27" t="str">
        <f t="shared" si="56"/>
        <v/>
      </c>
      <c r="AE239" s="27" t="str">
        <f t="shared" si="50"/>
        <v/>
      </c>
      <c r="AF239" s="14">
        <f t="shared" si="51"/>
        <v>45929.3125</v>
      </c>
      <c r="AG239" s="12">
        <f t="shared" si="47"/>
        <v>45929</v>
      </c>
      <c r="AH239" s="24">
        <f t="shared" si="48"/>
        <v>0.3125</v>
      </c>
    </row>
    <row r="240" spans="1:34" ht="19.95" customHeight="1" x14ac:dyDescent="0.4">
      <c r="A240" s="2">
        <v>1393</v>
      </c>
      <c r="B240" s="16">
        <f>VLOOKUP(A240,[1]PLAN!$A$3:$BG$1149,18,)+VLOOKUP(A240,[1]PLAN!$A$3:$BG$1149,19,)</f>
        <v>45926.65625</v>
      </c>
      <c r="C240" s="22">
        <f t="shared" si="43"/>
        <v>45926</v>
      </c>
      <c r="D240" s="23">
        <f t="shared" si="44"/>
        <v>0.65625</v>
      </c>
      <c r="E240" s="14">
        <f>VLOOKUP(A240,[1]PLAN!$A$3:$BG$1149,54,)+VLOOKUP(A240,[1]PLAN!$A$3:$BG$1149,22,)</f>
        <v>45929.315972222219</v>
      </c>
      <c r="F240" s="12">
        <f t="shared" si="45"/>
        <v>45929</v>
      </c>
      <c r="G240" s="24">
        <f t="shared" si="46"/>
        <v>0.31597222221898846</v>
      </c>
      <c r="H240" s="14"/>
      <c r="I240" s="14"/>
      <c r="J240" s="29"/>
      <c r="K240" s="30"/>
      <c r="M240" s="17">
        <v>40.590000000000003</v>
      </c>
      <c r="N240" s="7">
        <f t="shared" si="52"/>
        <v>48.708000000000006</v>
      </c>
      <c r="O240" s="5">
        <v>4</v>
      </c>
      <c r="P240" s="3"/>
      <c r="Q240" s="5">
        <v>41.45</v>
      </c>
      <c r="R240" s="7">
        <f t="shared" si="53"/>
        <v>49.74</v>
      </c>
      <c r="S240" s="5">
        <v>4</v>
      </c>
      <c r="U240" s="10">
        <v>71.16</v>
      </c>
      <c r="V240" s="11">
        <f t="shared" si="54"/>
        <v>85.391999999999996</v>
      </c>
      <c r="W240" s="6">
        <v>4</v>
      </c>
      <c r="Y240" s="10">
        <v>70.83</v>
      </c>
      <c r="Z240" s="11">
        <f t="shared" si="55"/>
        <v>84.995999999999995</v>
      </c>
      <c r="AA240" s="6">
        <v>4</v>
      </c>
      <c r="AB240" s="1">
        <v>1.2</v>
      </c>
      <c r="AC240" s="21" t="str">
        <f t="shared" si="49"/>
        <v>63:50</v>
      </c>
      <c r="AD240" s="27" t="str">
        <f t="shared" si="56"/>
        <v/>
      </c>
      <c r="AE240" s="27" t="str">
        <f t="shared" si="50"/>
        <v/>
      </c>
      <c r="AF240" s="14">
        <f t="shared" si="51"/>
        <v>45929.315972222219</v>
      </c>
      <c r="AG240" s="12">
        <f t="shared" si="47"/>
        <v>45929</v>
      </c>
      <c r="AH240" s="24">
        <f t="shared" si="48"/>
        <v>0.31597222221898846</v>
      </c>
    </row>
    <row r="241" spans="1:34" ht="19.95" customHeight="1" x14ac:dyDescent="0.4">
      <c r="A241" s="2">
        <v>1394</v>
      </c>
      <c r="B241" s="16">
        <f>VLOOKUP(A241,[1]PLAN!$A$3:$BG$1149,18,)+VLOOKUP(A241,[1]PLAN!$A$3:$BG$1149,19,)</f>
        <v>45926.673611111109</v>
      </c>
      <c r="C241" s="22">
        <f t="shared" si="43"/>
        <v>45926</v>
      </c>
      <c r="D241" s="23">
        <f t="shared" si="44"/>
        <v>0.67361111110949423</v>
      </c>
      <c r="E241" s="14">
        <f>VLOOKUP(A241,[1]PLAN!$A$3:$BG$1149,54,)+VLOOKUP(A241,[1]PLAN!$A$3:$BG$1149,22,)</f>
        <v>45929.319444444445</v>
      </c>
      <c r="F241" s="12">
        <f t="shared" si="45"/>
        <v>45929</v>
      </c>
      <c r="G241" s="24">
        <f t="shared" si="46"/>
        <v>0.31944444444525288</v>
      </c>
      <c r="H241" s="14"/>
      <c r="I241" s="14"/>
      <c r="J241" s="29"/>
      <c r="K241" s="30"/>
      <c r="M241" s="17">
        <v>43.62</v>
      </c>
      <c r="N241" s="7">
        <f t="shared" si="52"/>
        <v>52.343999999999994</v>
      </c>
      <c r="O241" s="5">
        <v>4</v>
      </c>
      <c r="P241" s="3"/>
      <c r="Q241" s="5">
        <v>44.02</v>
      </c>
      <c r="R241" s="7">
        <f t="shared" si="53"/>
        <v>52.824000000000005</v>
      </c>
      <c r="S241" s="5">
        <v>4</v>
      </c>
      <c r="U241" s="10">
        <v>71.58</v>
      </c>
      <c r="V241" s="11">
        <f t="shared" si="54"/>
        <v>85.896000000000001</v>
      </c>
      <c r="W241" s="6">
        <v>4</v>
      </c>
      <c r="Y241" s="10">
        <v>71.59</v>
      </c>
      <c r="Z241" s="11">
        <f t="shared" si="55"/>
        <v>85.908000000000001</v>
      </c>
      <c r="AA241" s="6">
        <v>4</v>
      </c>
      <c r="AB241" s="1">
        <v>1.2</v>
      </c>
      <c r="AC241" s="21" t="str">
        <f t="shared" si="49"/>
        <v>63:30</v>
      </c>
      <c r="AD241" s="27" t="str">
        <f t="shared" si="56"/>
        <v/>
      </c>
      <c r="AE241" s="27" t="str">
        <f t="shared" si="50"/>
        <v/>
      </c>
      <c r="AF241" s="14">
        <f t="shared" si="51"/>
        <v>45929.319444444445</v>
      </c>
      <c r="AG241" s="12">
        <f t="shared" si="47"/>
        <v>45929</v>
      </c>
      <c r="AH241" s="24">
        <f t="shared" si="48"/>
        <v>0.31944444444525288</v>
      </c>
    </row>
    <row r="242" spans="1:34" ht="19.95" customHeight="1" x14ac:dyDescent="0.4">
      <c r="A242" s="2">
        <v>1395</v>
      </c>
      <c r="B242" s="16">
        <f>VLOOKUP(A242,[1]PLAN!$A$3:$BG$1149,18,)+VLOOKUP(A242,[1]PLAN!$A$3:$BG$1149,19,)</f>
        <v>45926.697916666664</v>
      </c>
      <c r="C242" s="22">
        <f t="shared" si="43"/>
        <v>45926</v>
      </c>
      <c r="D242" s="23">
        <f t="shared" si="44"/>
        <v>0.69791666666424135</v>
      </c>
      <c r="E242" s="14">
        <f>VLOOKUP(A242,[1]PLAN!$A$3:$BG$1149,54,)+VLOOKUP(A242,[1]PLAN!$A$3:$BG$1149,22,)</f>
        <v>45929.322916666664</v>
      </c>
      <c r="F242" s="12">
        <f t="shared" si="45"/>
        <v>45929</v>
      </c>
      <c r="G242" s="24">
        <f t="shared" si="46"/>
        <v>0.32291666666424135</v>
      </c>
      <c r="H242" s="14"/>
      <c r="I242" s="14"/>
      <c r="J242" s="29"/>
      <c r="K242" s="30"/>
      <c r="M242" s="17">
        <v>40.950000000000003</v>
      </c>
      <c r="N242" s="7">
        <f t="shared" si="52"/>
        <v>49.14</v>
      </c>
      <c r="O242" s="5">
        <v>4</v>
      </c>
      <c r="P242" s="3"/>
      <c r="Q242" s="5">
        <v>40.4</v>
      </c>
      <c r="R242" s="7">
        <f t="shared" si="53"/>
        <v>48.48</v>
      </c>
      <c r="S242" s="5">
        <v>4</v>
      </c>
      <c r="U242" s="10">
        <v>71.13</v>
      </c>
      <c r="V242" s="11">
        <f t="shared" si="54"/>
        <v>85.355999999999995</v>
      </c>
      <c r="W242" s="6">
        <v>4</v>
      </c>
      <c r="Y242" s="10">
        <v>71.89</v>
      </c>
      <c r="Z242" s="11">
        <f t="shared" si="55"/>
        <v>86.268000000000001</v>
      </c>
      <c r="AA242" s="6">
        <v>4</v>
      </c>
      <c r="AB242" s="1">
        <v>1.2</v>
      </c>
      <c r="AC242" s="21" t="str">
        <f t="shared" si="49"/>
        <v>63:00</v>
      </c>
      <c r="AD242" s="27" t="str">
        <f t="shared" si="56"/>
        <v/>
      </c>
      <c r="AE242" s="27" t="str">
        <f t="shared" si="50"/>
        <v/>
      </c>
      <c r="AF242" s="14">
        <f t="shared" si="51"/>
        <v>45929.322916666664</v>
      </c>
      <c r="AG242" s="12">
        <f t="shared" si="47"/>
        <v>45929</v>
      </c>
      <c r="AH242" s="24">
        <f t="shared" si="48"/>
        <v>0.32291666666424135</v>
      </c>
    </row>
    <row r="243" spans="1:34" ht="19.95" customHeight="1" x14ac:dyDescent="0.4">
      <c r="A243" s="2">
        <v>1396</v>
      </c>
      <c r="B243" s="16">
        <f>VLOOKUP(A243,[1]PLAN!$A$3:$BG$1149,18,)+VLOOKUP(A243,[1]PLAN!$A$3:$BG$1149,19,)</f>
        <v>45926.722222222219</v>
      </c>
      <c r="C243" s="22">
        <f t="shared" si="43"/>
        <v>45926</v>
      </c>
      <c r="D243" s="23">
        <f t="shared" si="44"/>
        <v>0.72222222221898846</v>
      </c>
      <c r="E243" s="14">
        <f>VLOOKUP(A243,[1]PLAN!$A$3:$BG$1149,54,)+VLOOKUP(A243,[1]PLAN!$A$3:$BG$1149,22,)</f>
        <v>45929.326388888891</v>
      </c>
      <c r="F243" s="12">
        <f t="shared" si="45"/>
        <v>45929</v>
      </c>
      <c r="G243" s="24">
        <f t="shared" si="46"/>
        <v>0.32638888889050577</v>
      </c>
      <c r="H243" s="14"/>
      <c r="I243" s="14"/>
      <c r="J243" s="29"/>
      <c r="K243" s="30"/>
      <c r="M243" s="17">
        <v>43.25</v>
      </c>
      <c r="N243" s="7">
        <f t="shared" si="52"/>
        <v>51.9</v>
      </c>
      <c r="O243" s="5">
        <v>4</v>
      </c>
      <c r="P243" s="3"/>
      <c r="Q243" s="5">
        <v>42.31</v>
      </c>
      <c r="R243" s="7">
        <f t="shared" si="53"/>
        <v>50.771999999999998</v>
      </c>
      <c r="S243" s="5">
        <v>4</v>
      </c>
      <c r="U243" s="10">
        <v>71.72</v>
      </c>
      <c r="V243" s="11">
        <f t="shared" si="54"/>
        <v>86.063999999999993</v>
      </c>
      <c r="W243" s="6">
        <v>4</v>
      </c>
      <c r="Y243" s="10">
        <v>70.489999999999995</v>
      </c>
      <c r="Z243" s="11">
        <f t="shared" si="55"/>
        <v>84.587999999999994</v>
      </c>
      <c r="AA243" s="6">
        <v>4</v>
      </c>
      <c r="AB243" s="1">
        <v>1.2</v>
      </c>
      <c r="AC243" s="21" t="str">
        <f t="shared" si="49"/>
        <v>62:30</v>
      </c>
      <c r="AD243" s="27" t="str">
        <f t="shared" si="56"/>
        <v/>
      </c>
      <c r="AE243" s="27" t="str">
        <f t="shared" si="50"/>
        <v/>
      </c>
      <c r="AF243" s="14">
        <f t="shared" si="51"/>
        <v>45929.326388888891</v>
      </c>
      <c r="AG243" s="12">
        <f t="shared" si="47"/>
        <v>45929</v>
      </c>
      <c r="AH243" s="24">
        <f t="shared" si="48"/>
        <v>0.32638888889050577</v>
      </c>
    </row>
    <row r="244" spans="1:34" ht="19.95" customHeight="1" x14ac:dyDescent="0.4">
      <c r="A244" s="2">
        <v>1397</v>
      </c>
      <c r="B244" s="16">
        <f>VLOOKUP(A244,[1]PLAN!$A$3:$BG$1149,18,)+VLOOKUP(A244,[1]PLAN!$A$3:$BG$1149,19,)</f>
        <v>45929.458333333336</v>
      </c>
      <c r="C244" s="22">
        <f t="shared" si="43"/>
        <v>45929</v>
      </c>
      <c r="D244" s="23">
        <f t="shared" si="44"/>
        <v>0.45833333333575865</v>
      </c>
      <c r="E244" s="14">
        <f>VLOOKUP(A244,[1]PLAN!$A$3:$BG$1149,54,)+VLOOKUP(A244,[1]PLAN!$A$3:$BG$1149,22,)</f>
        <v>45930.3125</v>
      </c>
      <c r="F244" s="12">
        <f t="shared" si="45"/>
        <v>45930</v>
      </c>
      <c r="G244" s="24">
        <f t="shared" si="46"/>
        <v>0.3125</v>
      </c>
      <c r="H244" s="14"/>
      <c r="I244" s="14"/>
      <c r="J244" s="29"/>
      <c r="K244" s="30"/>
      <c r="M244" s="17">
        <v>26.43</v>
      </c>
      <c r="N244" s="7">
        <f t="shared" si="52"/>
        <v>31.715999999999998</v>
      </c>
      <c r="O244" s="5">
        <v>4</v>
      </c>
      <c r="P244" s="3"/>
      <c r="Q244" s="5">
        <v>24.95</v>
      </c>
      <c r="R244" s="7">
        <f t="shared" si="53"/>
        <v>29.939999999999998</v>
      </c>
      <c r="S244" s="5">
        <v>4</v>
      </c>
      <c r="U244" s="10">
        <v>71.38</v>
      </c>
      <c r="V244" s="11">
        <f t="shared" si="54"/>
        <v>85.655999999999992</v>
      </c>
      <c r="W244" s="6">
        <v>4</v>
      </c>
      <c r="Y244" s="10">
        <v>70.48</v>
      </c>
      <c r="Z244" s="11">
        <f t="shared" si="55"/>
        <v>84.576000000000008</v>
      </c>
      <c r="AA244" s="6">
        <v>4</v>
      </c>
      <c r="AB244" s="1">
        <v>1.2</v>
      </c>
      <c r="AC244" s="21" t="str">
        <f t="shared" si="49"/>
        <v>20:30</v>
      </c>
      <c r="AD244" s="27" t="str">
        <f t="shared" si="56"/>
        <v/>
      </c>
      <c r="AE244" s="27" t="str">
        <f t="shared" si="50"/>
        <v/>
      </c>
      <c r="AF244" s="14">
        <f t="shared" si="51"/>
        <v>45930.3125</v>
      </c>
      <c r="AG244" s="12">
        <f t="shared" si="47"/>
        <v>45930</v>
      </c>
      <c r="AH244" s="24">
        <f t="shared" si="48"/>
        <v>0.3125</v>
      </c>
    </row>
    <row r="245" spans="1:34" ht="19.95" customHeight="1" x14ac:dyDescent="0.4">
      <c r="A245" s="2">
        <v>1398</v>
      </c>
      <c r="B245" s="16">
        <f>VLOOKUP(A245,[1]PLAN!$A$3:$BG$1149,18,)+VLOOKUP(A245,[1]PLAN!$A$3:$BG$1149,19,)</f>
        <v>45929.555555555555</v>
      </c>
      <c r="C245" s="22">
        <f t="shared" si="43"/>
        <v>45929</v>
      </c>
      <c r="D245" s="23">
        <f t="shared" si="44"/>
        <v>0.55555555555474712</v>
      </c>
      <c r="E245" s="14">
        <f>VLOOKUP(A245,[1]PLAN!$A$3:$BG$1149,54,)+VLOOKUP(A245,[1]PLAN!$A$3:$BG$1149,22,)</f>
        <v>45930.416666666664</v>
      </c>
      <c r="F245" s="12">
        <f t="shared" si="45"/>
        <v>45930</v>
      </c>
      <c r="G245" s="24">
        <f t="shared" si="46"/>
        <v>0.41666666666424135</v>
      </c>
      <c r="H245" s="14"/>
      <c r="I245" s="14"/>
      <c r="J245" s="29"/>
      <c r="K245" s="30"/>
      <c r="M245" s="17">
        <v>26.26</v>
      </c>
      <c r="N245" s="7">
        <f t="shared" si="52"/>
        <v>31.512</v>
      </c>
      <c r="O245" s="5">
        <v>4</v>
      </c>
      <c r="P245" s="3"/>
      <c r="Q245" s="5">
        <v>24.34</v>
      </c>
      <c r="R245" s="7">
        <f t="shared" si="53"/>
        <v>29.207999999999998</v>
      </c>
      <c r="S245" s="5">
        <v>4</v>
      </c>
      <c r="U245" s="10">
        <v>69.25</v>
      </c>
      <c r="V245" s="11">
        <f t="shared" si="54"/>
        <v>83.1</v>
      </c>
      <c r="W245" s="6">
        <v>4</v>
      </c>
      <c r="Y245" s="10">
        <v>68.45</v>
      </c>
      <c r="Z245" s="11">
        <f t="shared" si="55"/>
        <v>82.14</v>
      </c>
      <c r="AA245" s="6">
        <v>4</v>
      </c>
      <c r="AB245" s="1">
        <v>1.2</v>
      </c>
      <c r="AC245" s="21" t="str">
        <f t="shared" si="49"/>
        <v>20:40</v>
      </c>
      <c r="AD245" s="27" t="str">
        <f t="shared" si="56"/>
        <v/>
      </c>
      <c r="AE245" s="27" t="str">
        <f t="shared" si="50"/>
        <v/>
      </c>
      <c r="AF245" s="14">
        <f t="shared" si="51"/>
        <v>45930.416666666664</v>
      </c>
      <c r="AG245" s="12">
        <f t="shared" si="47"/>
        <v>45930</v>
      </c>
      <c r="AH245" s="24">
        <f t="shared" si="48"/>
        <v>0.41666666666424135</v>
      </c>
    </row>
    <row r="246" spans="1:34" ht="19.95" customHeight="1" x14ac:dyDescent="0.4">
      <c r="A246" s="2">
        <v>1399</v>
      </c>
      <c r="B246" s="16">
        <f>VLOOKUP(A246,[1]PLAN!$A$3:$BG$1149,18,)+VLOOKUP(A246,[1]PLAN!$A$3:$BG$1149,19,)</f>
        <v>45929.569444444445</v>
      </c>
      <c r="C246" s="22">
        <f t="shared" si="43"/>
        <v>45929</v>
      </c>
      <c r="D246" s="23">
        <f t="shared" si="44"/>
        <v>0.56944444444525288</v>
      </c>
      <c r="E246" s="14">
        <f>VLOOKUP(A246,[1]PLAN!$A$3:$BG$1149,54,)+VLOOKUP(A246,[1]PLAN!$A$3:$BG$1149,22,)</f>
        <v>45930.423611111109</v>
      </c>
      <c r="F246" s="12">
        <f t="shared" si="45"/>
        <v>45930</v>
      </c>
      <c r="G246" s="24">
        <f t="shared" si="46"/>
        <v>0.42361111110949423</v>
      </c>
      <c r="H246" s="14"/>
      <c r="I246" s="14"/>
      <c r="J246" s="29"/>
      <c r="K246" s="30"/>
      <c r="M246" s="17">
        <v>23.57</v>
      </c>
      <c r="N246" s="7">
        <f t="shared" si="52"/>
        <v>28.283999999999999</v>
      </c>
      <c r="O246" s="5">
        <v>4</v>
      </c>
      <c r="P246" s="3"/>
      <c r="Q246" s="5">
        <v>21.83</v>
      </c>
      <c r="R246" s="7">
        <f t="shared" si="53"/>
        <v>26.195999999999998</v>
      </c>
      <c r="S246" s="5">
        <v>4</v>
      </c>
      <c r="U246" s="10">
        <v>71.45</v>
      </c>
      <c r="V246" s="11">
        <f t="shared" si="54"/>
        <v>85.74</v>
      </c>
      <c r="W246" s="6">
        <v>4</v>
      </c>
      <c r="Y246" s="10">
        <v>71.010000000000005</v>
      </c>
      <c r="Z246" s="11">
        <f t="shared" si="55"/>
        <v>85.212000000000003</v>
      </c>
      <c r="AA246" s="6">
        <v>4</v>
      </c>
      <c r="AB246" s="1">
        <v>1.2</v>
      </c>
      <c r="AC246" s="21" t="str">
        <f t="shared" si="49"/>
        <v>20:30</v>
      </c>
      <c r="AD246" s="27" t="str">
        <f t="shared" si="56"/>
        <v/>
      </c>
      <c r="AE246" s="27" t="str">
        <f t="shared" si="50"/>
        <v/>
      </c>
      <c r="AF246" s="14">
        <f t="shared" si="51"/>
        <v>45930.423611111109</v>
      </c>
      <c r="AG246" s="12">
        <f t="shared" si="47"/>
        <v>45930</v>
      </c>
      <c r="AH246" s="24">
        <f t="shared" si="48"/>
        <v>0.42361111110949423</v>
      </c>
    </row>
    <row r="247" spans="1:34" ht="19.95" customHeight="1" x14ac:dyDescent="0.4">
      <c r="A247" s="2">
        <v>1400</v>
      </c>
      <c r="B247" s="16">
        <f>VLOOKUP(A247,[1]PLAN!$A$3:$BG$1149,18,)+VLOOKUP(A247,[1]PLAN!$A$3:$BG$1149,19,)</f>
        <v>45929.604166666664</v>
      </c>
      <c r="C247" s="22">
        <f t="shared" si="43"/>
        <v>45929</v>
      </c>
      <c r="D247" s="23">
        <f t="shared" si="44"/>
        <v>0.60416666666424135</v>
      </c>
      <c r="E247" s="14">
        <f>VLOOKUP(A247,[1]PLAN!$A$3:$BG$1149,54,)+VLOOKUP(A247,[1]PLAN!$A$3:$BG$1149,22,)</f>
        <v>45930.430555555555</v>
      </c>
      <c r="F247" s="12">
        <f t="shared" si="45"/>
        <v>45930</v>
      </c>
      <c r="G247" s="24">
        <f t="shared" si="46"/>
        <v>0.43055555555474712</v>
      </c>
      <c r="H247" s="14"/>
      <c r="I247" s="14"/>
      <c r="J247" s="29"/>
      <c r="K247" s="30"/>
      <c r="M247" s="17">
        <v>26.91</v>
      </c>
      <c r="N247" s="7">
        <f t="shared" si="52"/>
        <v>32.292000000000002</v>
      </c>
      <c r="O247" s="5">
        <v>4</v>
      </c>
      <c r="P247" s="3"/>
      <c r="Q247" s="5">
        <v>26.33</v>
      </c>
      <c r="R247" s="7">
        <f t="shared" si="53"/>
        <v>31.595999999999997</v>
      </c>
      <c r="S247" s="5">
        <v>4</v>
      </c>
      <c r="U247" s="10">
        <v>71.42</v>
      </c>
      <c r="V247" s="11">
        <f t="shared" si="54"/>
        <v>85.703999999999994</v>
      </c>
      <c r="W247" s="6">
        <v>4</v>
      </c>
      <c r="Y247" s="10">
        <v>71.09</v>
      </c>
      <c r="Z247" s="11">
        <f t="shared" si="55"/>
        <v>85.308000000000007</v>
      </c>
      <c r="AA247" s="6">
        <v>4</v>
      </c>
      <c r="AB247" s="1">
        <v>1.2</v>
      </c>
      <c r="AC247" s="21" t="str">
        <f t="shared" si="49"/>
        <v>19:50</v>
      </c>
      <c r="AD247" s="27" t="str">
        <f t="shared" si="56"/>
        <v/>
      </c>
      <c r="AE247" s="27" t="str">
        <f t="shared" si="50"/>
        <v/>
      </c>
      <c r="AF247" s="14">
        <f t="shared" si="51"/>
        <v>45930.430555555555</v>
      </c>
      <c r="AG247" s="12">
        <f t="shared" si="47"/>
        <v>45930</v>
      </c>
      <c r="AH247" s="24">
        <f t="shared" si="48"/>
        <v>0.43055555555474712</v>
      </c>
    </row>
    <row r="248" spans="1:34" ht="19.95" customHeight="1" x14ac:dyDescent="0.4">
      <c r="A248" s="2">
        <v>1401</v>
      </c>
      <c r="B248" s="16">
        <f>VLOOKUP(A248,[1]PLAN!$A$3:$BG$1149,18,)+VLOOKUP(A248,[1]PLAN!$A$3:$BG$1149,19,)</f>
        <v>45929.625</v>
      </c>
      <c r="C248" s="22">
        <f t="shared" si="43"/>
        <v>45929</v>
      </c>
      <c r="D248" s="23">
        <f t="shared" si="44"/>
        <v>0.625</v>
      </c>
      <c r="E248" s="14">
        <f>VLOOKUP(A248,[1]PLAN!$A$3:$BG$1149,54,)+VLOOKUP(A248,[1]PLAN!$A$3:$BG$1149,22,)</f>
        <v>45930.434027777781</v>
      </c>
      <c r="F248" s="12">
        <f t="shared" si="45"/>
        <v>45930</v>
      </c>
      <c r="G248" s="24">
        <f t="shared" si="46"/>
        <v>0.43402777778101154</v>
      </c>
      <c r="H248" s="14"/>
      <c r="I248" s="14"/>
      <c r="J248" s="29"/>
      <c r="K248" s="30"/>
      <c r="M248" s="17">
        <v>21.8</v>
      </c>
      <c r="N248" s="7">
        <f t="shared" si="52"/>
        <v>26.16</v>
      </c>
      <c r="O248" s="5">
        <v>4</v>
      </c>
      <c r="P248" s="3"/>
      <c r="Q248" s="5">
        <v>22.29</v>
      </c>
      <c r="R248" s="7">
        <f t="shared" si="53"/>
        <v>26.747999999999998</v>
      </c>
      <c r="S248" s="5">
        <v>4</v>
      </c>
      <c r="U248" s="10">
        <v>71.459999999999994</v>
      </c>
      <c r="V248" s="11">
        <f t="shared" si="54"/>
        <v>85.751999999999995</v>
      </c>
      <c r="W248" s="6">
        <v>4</v>
      </c>
      <c r="Y248" s="10">
        <v>71.64</v>
      </c>
      <c r="Z248" s="11">
        <f t="shared" si="55"/>
        <v>85.968000000000004</v>
      </c>
      <c r="AA248" s="6">
        <v>4</v>
      </c>
      <c r="AB248" s="1">
        <v>1.2</v>
      </c>
      <c r="AC248" s="21" t="str">
        <f t="shared" si="49"/>
        <v>19:25</v>
      </c>
      <c r="AD248" s="27" t="str">
        <f t="shared" si="56"/>
        <v/>
      </c>
      <c r="AE248" s="27" t="str">
        <f t="shared" si="50"/>
        <v/>
      </c>
      <c r="AF248" s="14">
        <f t="shared" si="51"/>
        <v>45930.434027777781</v>
      </c>
      <c r="AG248" s="12">
        <f t="shared" si="47"/>
        <v>45930</v>
      </c>
      <c r="AH248" s="24">
        <f t="shared" si="48"/>
        <v>0.43402777778101154</v>
      </c>
    </row>
    <row r="249" spans="1:34" ht="19.95" customHeight="1" x14ac:dyDescent="0.4">
      <c r="A249" s="2">
        <v>1402</v>
      </c>
      <c r="B249" s="16">
        <f>VLOOKUP(A249,[1]PLAN!$A$3:$BG$1149,18,)+VLOOKUP(A249,[1]PLAN!$A$3:$BG$1149,19,)</f>
        <v>45930.555555555555</v>
      </c>
      <c r="C249" s="22">
        <f t="shared" si="43"/>
        <v>45930</v>
      </c>
      <c r="D249" s="23">
        <f t="shared" si="44"/>
        <v>0.55555555555474712</v>
      </c>
      <c r="E249" s="14">
        <f>VLOOKUP(A249,[1]PLAN!$A$3:$BG$1149,54,)+VLOOKUP(A249,[1]PLAN!$A$3:$BG$1149,22,)</f>
        <v>45931.3125</v>
      </c>
      <c r="F249" s="12">
        <f t="shared" si="45"/>
        <v>45931</v>
      </c>
      <c r="G249" s="24">
        <f t="shared" si="46"/>
        <v>0.3125</v>
      </c>
      <c r="H249" s="14"/>
      <c r="I249" s="14"/>
      <c r="J249" s="29"/>
      <c r="K249" s="30"/>
      <c r="M249" s="17">
        <v>26.17</v>
      </c>
      <c r="N249" s="7">
        <f t="shared" si="52"/>
        <v>31.404</v>
      </c>
      <c r="O249" s="5">
        <v>4</v>
      </c>
      <c r="P249" s="3"/>
      <c r="Q249" s="5">
        <v>26.16</v>
      </c>
      <c r="R249" s="7">
        <f t="shared" si="53"/>
        <v>31.391999999999999</v>
      </c>
      <c r="S249" s="5">
        <v>4</v>
      </c>
      <c r="U249" s="10">
        <v>71.47</v>
      </c>
      <c r="V249" s="11">
        <f t="shared" si="54"/>
        <v>85.763999999999996</v>
      </c>
      <c r="W249" s="6">
        <v>4</v>
      </c>
      <c r="Y249" s="10">
        <v>71.58</v>
      </c>
      <c r="Z249" s="11">
        <f t="shared" si="55"/>
        <v>85.896000000000001</v>
      </c>
      <c r="AA249" s="6">
        <v>4</v>
      </c>
      <c r="AB249" s="1">
        <v>1.2</v>
      </c>
      <c r="AC249" s="21" t="str">
        <f t="shared" si="49"/>
        <v>18:10</v>
      </c>
      <c r="AD249" s="27" t="str">
        <f t="shared" si="56"/>
        <v/>
      </c>
      <c r="AE249" s="27" t="str">
        <f t="shared" si="50"/>
        <v/>
      </c>
      <c r="AF249" s="14">
        <f t="shared" si="51"/>
        <v>45931.3125</v>
      </c>
      <c r="AG249" s="12">
        <f t="shared" si="47"/>
        <v>45931</v>
      </c>
      <c r="AH249" s="24">
        <f t="shared" si="48"/>
        <v>0.3125</v>
      </c>
    </row>
    <row r="250" spans="1:34" ht="19.95" customHeight="1" x14ac:dyDescent="0.4">
      <c r="A250" s="2">
        <v>1403</v>
      </c>
      <c r="B250" s="16">
        <f>VLOOKUP(A250,[1]PLAN!$A$3:$BG$1149,18,)+VLOOKUP(A250,[1]PLAN!$A$3:$BG$1149,19,)</f>
        <v>45930.572916666664</v>
      </c>
      <c r="C250" s="22">
        <f t="shared" si="43"/>
        <v>45930</v>
      </c>
      <c r="D250" s="23">
        <f t="shared" si="44"/>
        <v>0.57291666666424135</v>
      </c>
      <c r="E250" s="14">
        <f>VLOOKUP(A250,[1]PLAN!$A$3:$BG$1149,54,)+VLOOKUP(A250,[1]PLAN!$A$3:$BG$1149,22,)</f>
        <v>45931.3125</v>
      </c>
      <c r="F250" s="12">
        <f t="shared" si="45"/>
        <v>45931</v>
      </c>
      <c r="G250" s="24">
        <f t="shared" si="46"/>
        <v>0.3125</v>
      </c>
      <c r="H250" s="14"/>
      <c r="I250" s="14"/>
      <c r="J250" s="29"/>
      <c r="K250" s="30"/>
      <c r="M250" s="17">
        <v>24.99</v>
      </c>
      <c r="N250" s="7">
        <f t="shared" si="52"/>
        <v>29.987999999999996</v>
      </c>
      <c r="O250" s="5">
        <v>4</v>
      </c>
      <c r="P250" s="3"/>
      <c r="Q250" s="5">
        <v>23.49</v>
      </c>
      <c r="R250" s="7">
        <f t="shared" si="53"/>
        <v>28.187999999999999</v>
      </c>
      <c r="S250" s="5">
        <v>4</v>
      </c>
      <c r="U250" s="10">
        <v>70.290000000000006</v>
      </c>
      <c r="V250" s="11">
        <f t="shared" si="54"/>
        <v>84.347999999999999</v>
      </c>
      <c r="W250" s="6">
        <v>4</v>
      </c>
      <c r="Y250" s="10">
        <v>70.86</v>
      </c>
      <c r="Z250" s="11">
        <f t="shared" si="55"/>
        <v>85.031999999999996</v>
      </c>
      <c r="AA250" s="6">
        <v>4</v>
      </c>
      <c r="AB250" s="1">
        <v>1.2</v>
      </c>
      <c r="AC250" s="21" t="str">
        <f t="shared" si="49"/>
        <v>17:45</v>
      </c>
      <c r="AD250" s="27" t="str">
        <f t="shared" si="56"/>
        <v/>
      </c>
      <c r="AE250" s="27" t="str">
        <f t="shared" si="50"/>
        <v/>
      </c>
      <c r="AF250" s="14">
        <f t="shared" si="51"/>
        <v>45931.3125</v>
      </c>
      <c r="AG250" s="12">
        <f t="shared" si="47"/>
        <v>45931</v>
      </c>
      <c r="AH250" s="24">
        <f t="shared" si="48"/>
        <v>0.3125</v>
      </c>
    </row>
    <row r="251" spans="1:34" ht="19.95" customHeight="1" x14ac:dyDescent="0.4">
      <c r="A251" s="2">
        <v>1404</v>
      </c>
      <c r="B251" s="16">
        <f>VLOOKUP(A251,[1]PLAN!$A$3:$BG$1149,18,)+VLOOKUP(A251,[1]PLAN!$A$3:$BG$1149,19,)</f>
        <v>45930.590277777781</v>
      </c>
      <c r="C251" s="22">
        <f t="shared" si="43"/>
        <v>45930</v>
      </c>
      <c r="D251" s="23">
        <f t="shared" si="44"/>
        <v>0.59027777778101154</v>
      </c>
      <c r="E251" s="14">
        <f>VLOOKUP(A251,[1]PLAN!$A$3:$BG$1149,54,)+VLOOKUP(A251,[1]PLAN!$A$3:$BG$1149,22,)</f>
        <v>45931.315972222219</v>
      </c>
      <c r="F251" s="12">
        <f t="shared" si="45"/>
        <v>45931</v>
      </c>
      <c r="G251" s="24">
        <f t="shared" si="46"/>
        <v>0.31597222221898846</v>
      </c>
      <c r="H251" s="14"/>
      <c r="I251" s="14"/>
      <c r="J251" s="29"/>
      <c r="K251" s="30"/>
      <c r="M251" s="17">
        <v>24.41</v>
      </c>
      <c r="N251" s="7">
        <f t="shared" si="52"/>
        <v>29.291999999999998</v>
      </c>
      <c r="O251" s="5">
        <v>4</v>
      </c>
      <c r="P251" s="3"/>
      <c r="Q251" s="5">
        <v>24.98</v>
      </c>
      <c r="R251" s="7">
        <f t="shared" si="53"/>
        <v>29.975999999999999</v>
      </c>
      <c r="S251" s="5">
        <v>4</v>
      </c>
      <c r="U251" s="10">
        <v>71.41</v>
      </c>
      <c r="V251" s="11">
        <f t="shared" si="54"/>
        <v>85.691999999999993</v>
      </c>
      <c r="W251" s="6">
        <v>4</v>
      </c>
      <c r="Y251" s="10">
        <v>72.180000000000007</v>
      </c>
      <c r="Z251" s="11">
        <f t="shared" si="55"/>
        <v>86.616</v>
      </c>
      <c r="AA251" s="6">
        <v>4</v>
      </c>
      <c r="AB251" s="1">
        <v>1.2</v>
      </c>
      <c r="AC251" s="21" t="str">
        <f t="shared" si="49"/>
        <v>17:25</v>
      </c>
      <c r="AD251" s="27" t="str">
        <f t="shared" si="56"/>
        <v/>
      </c>
      <c r="AE251" s="27" t="str">
        <f t="shared" si="50"/>
        <v/>
      </c>
      <c r="AF251" s="14">
        <f t="shared" si="51"/>
        <v>45931.315972222219</v>
      </c>
      <c r="AG251" s="12">
        <f t="shared" si="47"/>
        <v>45931</v>
      </c>
      <c r="AH251" s="24">
        <f t="shared" si="48"/>
        <v>0.31597222221898846</v>
      </c>
    </row>
    <row r="252" spans="1:34" ht="19.95" customHeight="1" x14ac:dyDescent="0.4">
      <c r="A252" s="2">
        <v>1405</v>
      </c>
      <c r="B252" s="16">
        <f>VLOOKUP(A252,[1]PLAN!$A$3:$BG$1149,18,)+VLOOKUP(A252,[1]PLAN!$A$3:$BG$1149,19,)</f>
        <v>45930.604166666664</v>
      </c>
      <c r="C252" s="22">
        <f t="shared" si="43"/>
        <v>45930</v>
      </c>
      <c r="D252" s="23">
        <f t="shared" si="44"/>
        <v>0.60416666666424135</v>
      </c>
      <c r="E252" s="14">
        <f>VLOOKUP(A252,[1]PLAN!$A$3:$BG$1149,54,)+VLOOKUP(A252,[1]PLAN!$A$3:$BG$1149,22,)</f>
        <v>45931.319444444445</v>
      </c>
      <c r="F252" s="12">
        <f t="shared" si="45"/>
        <v>45931</v>
      </c>
      <c r="G252" s="24">
        <f t="shared" si="46"/>
        <v>0.31944444444525288</v>
      </c>
      <c r="H252" s="14"/>
      <c r="I252" s="14"/>
      <c r="J252" s="29"/>
      <c r="K252" s="30"/>
      <c r="M252" s="17">
        <v>24.19</v>
      </c>
      <c r="N252" s="7">
        <f t="shared" si="52"/>
        <v>29.027999999999999</v>
      </c>
      <c r="O252" s="5">
        <v>4</v>
      </c>
      <c r="P252" s="3"/>
      <c r="Q252" s="5">
        <v>24.98</v>
      </c>
      <c r="R252" s="7">
        <f t="shared" si="53"/>
        <v>29.975999999999999</v>
      </c>
      <c r="S252" s="5">
        <v>4</v>
      </c>
      <c r="U252" s="10">
        <v>69.739999999999995</v>
      </c>
      <c r="V252" s="11">
        <f t="shared" si="54"/>
        <v>83.687999999999988</v>
      </c>
      <c r="W252" s="6">
        <v>4</v>
      </c>
      <c r="Y252" s="10">
        <v>69.87</v>
      </c>
      <c r="Z252" s="11">
        <f t="shared" si="55"/>
        <v>83.844000000000008</v>
      </c>
      <c r="AA252" s="6">
        <v>4</v>
      </c>
      <c r="AB252" s="1">
        <v>1.2</v>
      </c>
      <c r="AC252" s="21" t="str">
        <f t="shared" si="49"/>
        <v>17:10</v>
      </c>
      <c r="AD252" s="27" t="str">
        <f t="shared" si="56"/>
        <v/>
      </c>
      <c r="AE252" s="27" t="str">
        <f t="shared" si="50"/>
        <v/>
      </c>
      <c r="AF252" s="14">
        <f t="shared" si="51"/>
        <v>45931.319444444445</v>
      </c>
      <c r="AG252" s="12">
        <f t="shared" si="47"/>
        <v>45931</v>
      </c>
      <c r="AH252" s="24">
        <f t="shared" si="48"/>
        <v>0.31944444444525288</v>
      </c>
    </row>
    <row r="253" spans="1:34" ht="19.95" customHeight="1" x14ac:dyDescent="0.4">
      <c r="A253" s="2">
        <v>1406</v>
      </c>
      <c r="B253" s="16">
        <f>VLOOKUP(A253,[1]PLAN!$A$3:$BG$1149,18,)+VLOOKUP(A253,[1]PLAN!$A$3:$BG$1149,19,)</f>
        <v>45930.645833333336</v>
      </c>
      <c r="C253" s="22">
        <f t="shared" si="43"/>
        <v>45930</v>
      </c>
      <c r="D253" s="23">
        <f t="shared" si="44"/>
        <v>0.64583333333575865</v>
      </c>
      <c r="E253" s="14">
        <f>VLOOKUP(A253,[1]PLAN!$A$3:$BG$1149,54,)+VLOOKUP(A253,[1]PLAN!$A$3:$BG$1149,22,)</f>
        <v>45931.322916666664</v>
      </c>
      <c r="F253" s="12">
        <f t="shared" si="45"/>
        <v>45931</v>
      </c>
      <c r="G253" s="24">
        <f t="shared" si="46"/>
        <v>0.32291666666424135</v>
      </c>
      <c r="H253" s="14"/>
      <c r="I253" s="14"/>
      <c r="J253" s="29"/>
      <c r="K253" s="30"/>
      <c r="M253" s="17">
        <v>21.89</v>
      </c>
      <c r="N253" s="7">
        <f t="shared" si="52"/>
        <v>26.268000000000001</v>
      </c>
      <c r="O253" s="5">
        <v>4</v>
      </c>
      <c r="P253" s="3"/>
      <c r="Q253" s="5">
        <v>21.53</v>
      </c>
      <c r="R253" s="7">
        <f t="shared" si="53"/>
        <v>25.836000000000002</v>
      </c>
      <c r="S253" s="5">
        <v>4</v>
      </c>
      <c r="U253" s="10">
        <v>69.62</v>
      </c>
      <c r="V253" s="11">
        <f t="shared" si="54"/>
        <v>83.543999999999997</v>
      </c>
      <c r="W253" s="6">
        <v>4</v>
      </c>
      <c r="Y253" s="10">
        <v>69.42</v>
      </c>
      <c r="Z253" s="11">
        <f t="shared" si="55"/>
        <v>83.304000000000002</v>
      </c>
      <c r="AA253" s="6">
        <v>4</v>
      </c>
      <c r="AB253" s="1">
        <v>1.2</v>
      </c>
      <c r="AC253" s="21" t="str">
        <f t="shared" si="49"/>
        <v>16:15</v>
      </c>
      <c r="AD253" s="27" t="str">
        <f t="shared" si="56"/>
        <v/>
      </c>
      <c r="AE253" s="27" t="str">
        <f t="shared" si="50"/>
        <v/>
      </c>
      <c r="AF253" s="14">
        <f t="shared" si="51"/>
        <v>45931.322916666664</v>
      </c>
      <c r="AG253" s="12">
        <f t="shared" si="47"/>
        <v>45931</v>
      </c>
      <c r="AH253" s="24">
        <f t="shared" si="48"/>
        <v>0.32291666666424135</v>
      </c>
    </row>
    <row r="254" spans="1:34" ht="19.95" customHeight="1" x14ac:dyDescent="0.4">
      <c r="A254" s="2">
        <v>1407</v>
      </c>
      <c r="B254" s="16">
        <f>VLOOKUP(A254,[1]PLAN!$A$3:$BG$1149,18,)+VLOOKUP(A254,[1]PLAN!$A$3:$BG$1149,19,)</f>
        <v>45931.5625</v>
      </c>
      <c r="C254" s="22">
        <f t="shared" si="43"/>
        <v>45931</v>
      </c>
      <c r="D254" s="23">
        <f t="shared" si="44"/>
        <v>0.5625</v>
      </c>
      <c r="E254" s="14">
        <f>VLOOKUP(A254,[1]PLAN!$A$3:$BG$1149,54,)+VLOOKUP(A254,[1]PLAN!$A$3:$BG$1149,22,)</f>
        <v>45932.4375</v>
      </c>
      <c r="F254" s="12">
        <f t="shared" si="45"/>
        <v>45932</v>
      </c>
      <c r="G254" s="24">
        <f t="shared" si="46"/>
        <v>0.4375</v>
      </c>
      <c r="H254" s="14"/>
      <c r="I254" s="14"/>
      <c r="J254" s="29"/>
      <c r="K254" s="30"/>
      <c r="M254" s="17">
        <v>22.07</v>
      </c>
      <c r="N254" s="7">
        <f t="shared" si="52"/>
        <v>26.483999999999998</v>
      </c>
      <c r="O254" s="5">
        <v>4</v>
      </c>
      <c r="P254" s="3"/>
      <c r="Q254" s="5">
        <v>21.9</v>
      </c>
      <c r="R254" s="7">
        <f t="shared" si="53"/>
        <v>26.279999999999998</v>
      </c>
      <c r="S254" s="5">
        <v>4</v>
      </c>
      <c r="U254" s="10">
        <v>70.61</v>
      </c>
      <c r="V254" s="11">
        <f t="shared" si="54"/>
        <v>84.731999999999999</v>
      </c>
      <c r="W254" s="6">
        <v>4</v>
      </c>
      <c r="Y254" s="10">
        <v>69.38</v>
      </c>
      <c r="Z254" s="11">
        <f t="shared" si="55"/>
        <v>83.255999999999986</v>
      </c>
      <c r="AA254" s="6">
        <v>4</v>
      </c>
      <c r="AB254" s="1">
        <v>1.2</v>
      </c>
      <c r="AC254" s="21" t="str">
        <f t="shared" si="49"/>
        <v>21:00</v>
      </c>
      <c r="AD254" s="27" t="str">
        <f t="shared" si="56"/>
        <v/>
      </c>
      <c r="AE254" s="27" t="str">
        <f t="shared" si="50"/>
        <v/>
      </c>
      <c r="AF254" s="14">
        <f t="shared" si="51"/>
        <v>45932.4375</v>
      </c>
      <c r="AG254" s="12">
        <f t="shared" si="47"/>
        <v>45932</v>
      </c>
      <c r="AH254" s="24">
        <f t="shared" si="48"/>
        <v>0.4375</v>
      </c>
    </row>
    <row r="255" spans="1:34" ht="19.95" customHeight="1" x14ac:dyDescent="0.4">
      <c r="A255" s="2">
        <v>1408</v>
      </c>
      <c r="B255" s="16">
        <f>VLOOKUP(A255,[1]PLAN!$A$3:$BG$1149,18,)+VLOOKUP(A255,[1]PLAN!$A$3:$BG$1149,19,)</f>
        <v>45931.583333333336</v>
      </c>
      <c r="C255" s="22">
        <f t="shared" si="43"/>
        <v>45931</v>
      </c>
      <c r="D255" s="23">
        <f t="shared" si="44"/>
        <v>0.58333333333575865</v>
      </c>
      <c r="E255" s="14">
        <f>VLOOKUP(A255,[1]PLAN!$A$3:$BG$1149,54,)+VLOOKUP(A255,[1]PLAN!$A$3:$BG$1149,22,)</f>
        <v>45932.440972222219</v>
      </c>
      <c r="F255" s="12">
        <f t="shared" si="45"/>
        <v>45932</v>
      </c>
      <c r="G255" s="24">
        <f t="shared" si="46"/>
        <v>0.44097222221898846</v>
      </c>
      <c r="H255" s="14"/>
      <c r="I255" s="14"/>
      <c r="J255" s="29"/>
      <c r="K255" s="30"/>
      <c r="M255" s="17">
        <v>23.03</v>
      </c>
      <c r="N255" s="7">
        <f t="shared" si="52"/>
        <v>27.635999999999999</v>
      </c>
      <c r="O255" s="5">
        <v>4</v>
      </c>
      <c r="P255" s="3"/>
      <c r="Q255" s="5">
        <v>24.23</v>
      </c>
      <c r="R255" s="7">
        <f t="shared" si="53"/>
        <v>29.076000000000001</v>
      </c>
      <c r="S255" s="5">
        <v>4</v>
      </c>
      <c r="U255" s="10">
        <v>69.53</v>
      </c>
      <c r="V255" s="11">
        <f t="shared" si="54"/>
        <v>83.435999999999993</v>
      </c>
      <c r="W255" s="6">
        <v>4</v>
      </c>
      <c r="Y255" s="10">
        <v>70.25</v>
      </c>
      <c r="Z255" s="11">
        <f t="shared" si="55"/>
        <v>84.3</v>
      </c>
      <c r="AA255" s="6">
        <v>4</v>
      </c>
      <c r="AB255" s="1">
        <v>1.2</v>
      </c>
      <c r="AC255" s="21" t="str">
        <f t="shared" si="49"/>
        <v>20:35</v>
      </c>
      <c r="AD255" s="27" t="str">
        <f t="shared" si="56"/>
        <v/>
      </c>
      <c r="AE255" s="27" t="str">
        <f t="shared" si="50"/>
        <v/>
      </c>
      <c r="AF255" s="14">
        <f t="shared" si="51"/>
        <v>45932.440972222219</v>
      </c>
      <c r="AG255" s="12">
        <f t="shared" si="47"/>
        <v>45932</v>
      </c>
      <c r="AH255" s="24">
        <f t="shared" si="48"/>
        <v>0.44097222221898846</v>
      </c>
    </row>
    <row r="256" spans="1:34" ht="19.95" customHeight="1" x14ac:dyDescent="0.4">
      <c r="A256" s="2">
        <v>1409</v>
      </c>
      <c r="B256" s="16">
        <f>VLOOKUP(A256,[1]PLAN!$A$3:$BG$1149,18,)+VLOOKUP(A256,[1]PLAN!$A$3:$BG$1149,19,)</f>
        <v>45931.618055555555</v>
      </c>
      <c r="C256" s="22">
        <f t="shared" si="43"/>
        <v>45931</v>
      </c>
      <c r="D256" s="23">
        <f t="shared" si="44"/>
        <v>0.61805555555474712</v>
      </c>
      <c r="E256" s="14">
        <f>VLOOKUP(A256,[1]PLAN!$A$3:$BG$1149,54,)+VLOOKUP(A256,[1]PLAN!$A$3:$BG$1149,22,)</f>
        <v>45932.444444444445</v>
      </c>
      <c r="F256" s="12">
        <f t="shared" si="45"/>
        <v>45932</v>
      </c>
      <c r="G256" s="24">
        <f t="shared" si="46"/>
        <v>0.44444444444525288</v>
      </c>
      <c r="H256" s="14"/>
      <c r="I256" s="14"/>
      <c r="J256" s="29"/>
      <c r="K256" s="30"/>
      <c r="M256" s="17">
        <v>25.91</v>
      </c>
      <c r="N256" s="7">
        <f t="shared" si="52"/>
        <v>31.091999999999999</v>
      </c>
      <c r="O256" s="5">
        <v>4</v>
      </c>
      <c r="P256" s="3"/>
      <c r="Q256" s="5">
        <v>24.36</v>
      </c>
      <c r="R256" s="7">
        <f t="shared" si="53"/>
        <v>29.231999999999999</v>
      </c>
      <c r="S256" s="5">
        <v>4</v>
      </c>
      <c r="U256" s="10">
        <v>74.42</v>
      </c>
      <c r="V256" s="11">
        <f t="shared" si="54"/>
        <v>89.304000000000002</v>
      </c>
      <c r="W256" s="6">
        <v>4</v>
      </c>
      <c r="Y256" s="10">
        <v>73.989999999999995</v>
      </c>
      <c r="Z256" s="11">
        <f t="shared" si="55"/>
        <v>88.787999999999997</v>
      </c>
      <c r="AA256" s="6">
        <v>4</v>
      </c>
      <c r="AB256" s="1">
        <v>1.2</v>
      </c>
      <c r="AC256" s="21" t="str">
        <f t="shared" si="49"/>
        <v>19:50</v>
      </c>
      <c r="AD256" s="27" t="str">
        <f t="shared" si="56"/>
        <v/>
      </c>
      <c r="AE256" s="27" t="str">
        <f t="shared" si="50"/>
        <v/>
      </c>
      <c r="AF256" s="14">
        <f t="shared" si="51"/>
        <v>45932.444444444445</v>
      </c>
      <c r="AG256" s="12">
        <f t="shared" si="47"/>
        <v>45932</v>
      </c>
      <c r="AH256" s="24">
        <f t="shared" si="48"/>
        <v>0.44444444444525288</v>
      </c>
    </row>
    <row r="257" spans="1:37" ht="19.95" customHeight="1" x14ac:dyDescent="0.4">
      <c r="A257" s="2">
        <v>1410</v>
      </c>
      <c r="B257" s="16">
        <f>VLOOKUP(A257,[1]PLAN!$A$3:$BG$1149,18,)+VLOOKUP(A257,[1]PLAN!$A$3:$BG$1149,19,)</f>
        <v>45931.65625</v>
      </c>
      <c r="C257" s="22">
        <f t="shared" ref="C257:C259" si="57">INT(B257)</f>
        <v>45931</v>
      </c>
      <c r="D257" s="23">
        <f t="shared" ref="D257:D259" si="58">B257-INT(B257)</f>
        <v>0.65625</v>
      </c>
      <c r="E257" s="14">
        <f>VLOOKUP(A257,[1]PLAN!$A$3:$BG$1149,54,)+VLOOKUP(A257,[1]PLAN!$A$3:$BG$1149,22,)</f>
        <v>45932.447916666664</v>
      </c>
      <c r="F257" s="12">
        <f t="shared" si="45"/>
        <v>45932</v>
      </c>
      <c r="G257" s="24">
        <f t="shared" si="46"/>
        <v>0.44791666666424135</v>
      </c>
      <c r="H257" s="14"/>
      <c r="I257" s="14"/>
      <c r="J257" s="29"/>
      <c r="K257" s="30"/>
      <c r="M257" s="17">
        <v>21.95</v>
      </c>
      <c r="N257" s="7">
        <f t="shared" si="52"/>
        <v>26.34</v>
      </c>
      <c r="O257" s="5">
        <v>4</v>
      </c>
      <c r="P257" s="3"/>
      <c r="Q257" s="5">
        <v>21.16</v>
      </c>
      <c r="R257" s="7">
        <f t="shared" si="53"/>
        <v>25.391999999999999</v>
      </c>
      <c r="S257" s="5">
        <v>4</v>
      </c>
      <c r="U257" s="10">
        <v>72.349999999999994</v>
      </c>
      <c r="V257" s="11">
        <f t="shared" si="54"/>
        <v>86.82</v>
      </c>
      <c r="W257" s="6">
        <v>4</v>
      </c>
      <c r="Y257" s="10">
        <v>71.59</v>
      </c>
      <c r="Z257" s="11">
        <f t="shared" si="55"/>
        <v>85.908000000000001</v>
      </c>
      <c r="AA257" s="6">
        <v>4</v>
      </c>
      <c r="AB257" s="1">
        <v>1.2</v>
      </c>
      <c r="AC257" s="21" t="str">
        <f t="shared" si="49"/>
        <v>19:00</v>
      </c>
      <c r="AD257" s="27" t="str">
        <f t="shared" si="56"/>
        <v/>
      </c>
      <c r="AE257" s="27" t="str">
        <f t="shared" si="50"/>
        <v/>
      </c>
      <c r="AF257" s="14">
        <f t="shared" si="51"/>
        <v>45932.447916666664</v>
      </c>
      <c r="AG257" s="12">
        <f t="shared" si="47"/>
        <v>45932</v>
      </c>
      <c r="AH257" s="24">
        <f t="shared" si="48"/>
        <v>0.44791666666424135</v>
      </c>
    </row>
    <row r="258" spans="1:37" ht="19.95" customHeight="1" x14ac:dyDescent="0.4">
      <c r="A258" s="2">
        <v>1411</v>
      </c>
      <c r="B258" s="16"/>
      <c r="C258" s="22">
        <f t="shared" si="57"/>
        <v>0</v>
      </c>
      <c r="D258" s="23">
        <f t="shared" si="58"/>
        <v>0</v>
      </c>
      <c r="E258" s="14"/>
      <c r="F258" s="12">
        <f t="shared" si="45"/>
        <v>0</v>
      </c>
      <c r="G258" s="24">
        <f t="shared" si="46"/>
        <v>0</v>
      </c>
      <c r="H258" s="14"/>
      <c r="I258" s="14"/>
      <c r="J258" s="29"/>
      <c r="K258" s="30"/>
      <c r="M258" s="17">
        <v>36.9</v>
      </c>
      <c r="N258" s="7">
        <f t="shared" si="52"/>
        <v>44.279999999999994</v>
      </c>
      <c r="O258" s="5">
        <v>4</v>
      </c>
      <c r="P258" s="3"/>
      <c r="Q258" s="5">
        <v>35.54</v>
      </c>
      <c r="R258" s="7">
        <f t="shared" si="53"/>
        <v>42.647999999999996</v>
      </c>
      <c r="S258" s="5">
        <v>4</v>
      </c>
      <c r="U258" s="10">
        <v>69.91</v>
      </c>
      <c r="V258" s="11">
        <f t="shared" si="54"/>
        <v>83.891999999999996</v>
      </c>
      <c r="W258" s="6">
        <v>4</v>
      </c>
      <c r="Y258" s="10">
        <v>70.56</v>
      </c>
      <c r="Z258" s="11">
        <f t="shared" si="55"/>
        <v>84.671999999999997</v>
      </c>
      <c r="AA258" s="6">
        <v>4</v>
      </c>
      <c r="AB258" s="1">
        <v>1.2</v>
      </c>
      <c r="AC258" s="21" t="str">
        <f t="shared" si="49"/>
        <v/>
      </c>
      <c r="AD258" s="27" t="str">
        <f t="shared" si="56"/>
        <v/>
      </c>
      <c r="AE258" s="27" t="str">
        <f t="shared" si="50"/>
        <v/>
      </c>
      <c r="AF258" s="14">
        <f t="shared" si="51"/>
        <v>0</v>
      </c>
      <c r="AG258" s="12">
        <f t="shared" si="47"/>
        <v>0</v>
      </c>
      <c r="AH258" s="24">
        <f t="shared" si="48"/>
        <v>0</v>
      </c>
    </row>
    <row r="259" spans="1:37" ht="19.95" customHeight="1" x14ac:dyDescent="0.4">
      <c r="A259" s="2">
        <v>1412</v>
      </c>
      <c r="B259" s="16"/>
      <c r="C259" s="22">
        <f t="shared" si="57"/>
        <v>0</v>
      </c>
      <c r="D259" s="23">
        <f t="shared" si="58"/>
        <v>0</v>
      </c>
      <c r="E259" s="14"/>
      <c r="F259" s="12">
        <f t="shared" si="45"/>
        <v>0</v>
      </c>
      <c r="G259" s="24">
        <f t="shared" si="46"/>
        <v>0</v>
      </c>
      <c r="H259" s="14"/>
      <c r="I259" s="14"/>
      <c r="J259" s="29"/>
      <c r="K259" s="30"/>
      <c r="M259" s="17">
        <v>35.47</v>
      </c>
      <c r="N259" s="7">
        <f t="shared" si="52"/>
        <v>42.564</v>
      </c>
      <c r="O259" s="5">
        <v>4</v>
      </c>
      <c r="P259" s="3"/>
      <c r="Q259" s="5">
        <v>34.619999999999997</v>
      </c>
      <c r="R259" s="7">
        <f t="shared" si="53"/>
        <v>41.543999999999997</v>
      </c>
      <c r="S259" s="5">
        <v>4</v>
      </c>
      <c r="U259" s="10">
        <v>69.47</v>
      </c>
      <c r="V259" s="11">
        <f t="shared" si="54"/>
        <v>83.36399999999999</v>
      </c>
      <c r="W259" s="6">
        <v>4</v>
      </c>
      <c r="Y259" s="10">
        <v>69.81</v>
      </c>
      <c r="Z259" s="11">
        <f t="shared" si="55"/>
        <v>83.772000000000006</v>
      </c>
      <c r="AA259" s="6">
        <v>4</v>
      </c>
      <c r="AB259" s="1">
        <v>1.2</v>
      </c>
      <c r="AC259" s="21" t="str">
        <f t="shared" si="49"/>
        <v/>
      </c>
      <c r="AD259" s="27" t="str">
        <f t="shared" si="56"/>
        <v/>
      </c>
      <c r="AE259" s="27" t="str">
        <f t="shared" si="50"/>
        <v/>
      </c>
      <c r="AF259" s="14">
        <f t="shared" si="51"/>
        <v>0</v>
      </c>
      <c r="AG259" s="12">
        <f t="shared" si="47"/>
        <v>0</v>
      </c>
      <c r="AH259" s="24">
        <f t="shared" si="48"/>
        <v>0</v>
      </c>
    </row>
    <row r="260" spans="1:37" ht="19.95" customHeight="1" x14ac:dyDescent="0.4">
      <c r="A260" s="2">
        <v>1413</v>
      </c>
      <c r="B260" s="16"/>
      <c r="C260" s="22">
        <f t="shared" ref="C260:C277" si="59">INT(B260)</f>
        <v>0</v>
      </c>
      <c r="D260" s="23">
        <f t="shared" ref="D260:D277" si="60">B260-INT(B260)</f>
        <v>0</v>
      </c>
      <c r="E260" s="14"/>
      <c r="F260" s="12">
        <f t="shared" ref="F260:F277" si="61">INT(E260)</f>
        <v>0</v>
      </c>
      <c r="G260" s="24">
        <f t="shared" ref="G260:G277" si="62">E260-INT(E260)</f>
        <v>0</v>
      </c>
      <c r="H260" s="14"/>
      <c r="I260" s="14"/>
      <c r="J260" s="29"/>
      <c r="K260" s="30"/>
      <c r="M260" s="17">
        <v>32.770000000000003</v>
      </c>
      <c r="N260" s="7">
        <f t="shared" si="52"/>
        <v>39.324000000000005</v>
      </c>
      <c r="O260" s="5">
        <v>4</v>
      </c>
      <c r="P260" s="3"/>
      <c r="Q260" s="5">
        <v>32.76</v>
      </c>
      <c r="R260" s="7">
        <f t="shared" si="53"/>
        <v>39.311999999999998</v>
      </c>
      <c r="S260" s="5">
        <v>4</v>
      </c>
      <c r="U260" s="10">
        <v>70.75</v>
      </c>
      <c r="V260" s="11">
        <f t="shared" si="54"/>
        <v>84.899999999999991</v>
      </c>
      <c r="W260" s="6">
        <v>4</v>
      </c>
      <c r="Y260" s="10">
        <v>70.760000000000005</v>
      </c>
      <c r="Z260" s="11">
        <f t="shared" si="55"/>
        <v>84.912000000000006</v>
      </c>
      <c r="AA260" s="6">
        <v>4</v>
      </c>
      <c r="AB260" s="1">
        <v>1.2</v>
      </c>
      <c r="AC260" s="21" t="str">
        <f t="shared" si="49"/>
        <v/>
      </c>
      <c r="AD260" s="27" t="str">
        <f t="shared" si="56"/>
        <v/>
      </c>
      <c r="AE260" s="27" t="str">
        <f t="shared" si="50"/>
        <v/>
      </c>
      <c r="AF260" s="14">
        <f t="shared" si="51"/>
        <v>0</v>
      </c>
      <c r="AG260" s="12">
        <f t="shared" ref="AG260:AG277" si="63">INT(AF260)</f>
        <v>0</v>
      </c>
      <c r="AH260" s="24">
        <f t="shared" ref="AH260:AH277" si="64">AF260-INT(AF260)</f>
        <v>0</v>
      </c>
    </row>
    <row r="261" spans="1:37" ht="19.95" customHeight="1" x14ac:dyDescent="0.4">
      <c r="A261" s="2">
        <v>1414</v>
      </c>
      <c r="B261" s="16"/>
      <c r="C261" s="22">
        <f t="shared" si="59"/>
        <v>0</v>
      </c>
      <c r="D261" s="23">
        <f t="shared" si="60"/>
        <v>0</v>
      </c>
      <c r="E261" s="14"/>
      <c r="F261" s="12">
        <f t="shared" si="61"/>
        <v>0</v>
      </c>
      <c r="G261" s="24">
        <f t="shared" si="62"/>
        <v>0</v>
      </c>
      <c r="H261" s="14"/>
      <c r="I261" s="14"/>
      <c r="J261" s="29"/>
      <c r="K261" s="30"/>
      <c r="M261" s="17">
        <v>32.78</v>
      </c>
      <c r="N261" s="7">
        <f t="shared" si="52"/>
        <v>39.335999999999999</v>
      </c>
      <c r="O261" s="5">
        <v>4</v>
      </c>
      <c r="P261" s="3"/>
      <c r="Q261" s="5">
        <v>34.75</v>
      </c>
      <c r="R261" s="7">
        <f t="shared" si="53"/>
        <v>41.699999999999996</v>
      </c>
      <c r="S261" s="5">
        <v>4</v>
      </c>
      <c r="U261" s="10">
        <v>71.2</v>
      </c>
      <c r="V261" s="11">
        <f t="shared" si="54"/>
        <v>85.44</v>
      </c>
      <c r="W261" s="6">
        <v>4</v>
      </c>
      <c r="Y261" s="10">
        <v>70.989999999999995</v>
      </c>
      <c r="Z261" s="11">
        <f t="shared" si="55"/>
        <v>85.187999999999988</v>
      </c>
      <c r="AA261" s="6">
        <v>4</v>
      </c>
      <c r="AB261" s="1">
        <v>1.2</v>
      </c>
      <c r="AC261" s="21" t="str">
        <f t="shared" ref="AC261:AC268" si="65">IF(B261="","",TEXT(E261-B261,"[hh]:mm"))</f>
        <v/>
      </c>
      <c r="AD261" s="27" t="str">
        <f t="shared" si="56"/>
        <v/>
      </c>
      <c r="AE261" s="27" t="str">
        <f t="shared" ref="AE261:AE267" si="66">IF(I261="","",TEXT(I261-B261,"[hh]:mm"))</f>
        <v/>
      </c>
      <c r="AF261" s="14">
        <f t="shared" ref="AF261:AF276" si="67">MAX(E261,H261,I261)</f>
        <v>0</v>
      </c>
      <c r="AG261" s="12">
        <f t="shared" si="63"/>
        <v>0</v>
      </c>
      <c r="AH261" s="24">
        <f t="shared" si="64"/>
        <v>0</v>
      </c>
    </row>
    <row r="262" spans="1:37" ht="19.95" customHeight="1" x14ac:dyDescent="0.4">
      <c r="A262" s="2">
        <v>1415</v>
      </c>
      <c r="B262" s="16"/>
      <c r="C262" s="22">
        <f t="shared" si="59"/>
        <v>0</v>
      </c>
      <c r="D262" s="23">
        <f t="shared" si="60"/>
        <v>0</v>
      </c>
      <c r="E262" s="14"/>
      <c r="F262" s="12">
        <f t="shared" si="61"/>
        <v>0</v>
      </c>
      <c r="G262" s="24">
        <f t="shared" si="62"/>
        <v>0</v>
      </c>
      <c r="H262" s="14"/>
      <c r="I262" s="14"/>
      <c r="J262" s="29"/>
      <c r="K262" s="30"/>
      <c r="M262" s="17">
        <v>34.57</v>
      </c>
      <c r="N262" s="7">
        <f t="shared" si="52"/>
        <v>41.484000000000002</v>
      </c>
      <c r="O262" s="5">
        <v>4</v>
      </c>
      <c r="P262" s="3"/>
      <c r="Q262" s="5">
        <v>36.75</v>
      </c>
      <c r="R262" s="7">
        <f t="shared" si="53"/>
        <v>44.1</v>
      </c>
      <c r="S262" s="5">
        <v>4</v>
      </c>
      <c r="U262" s="10">
        <v>71.819999999999993</v>
      </c>
      <c r="V262" s="11">
        <f t="shared" si="54"/>
        <v>86.183999999999983</v>
      </c>
      <c r="W262" s="6">
        <v>4</v>
      </c>
      <c r="Y262" s="10">
        <v>71.459999999999994</v>
      </c>
      <c r="Z262" s="11">
        <f t="shared" si="55"/>
        <v>85.751999999999995</v>
      </c>
      <c r="AA262" s="6">
        <v>4</v>
      </c>
      <c r="AB262" s="1">
        <v>1.2</v>
      </c>
      <c r="AC262" s="21" t="str">
        <f t="shared" si="65"/>
        <v/>
      </c>
      <c r="AD262" s="27" t="str">
        <f t="shared" si="56"/>
        <v/>
      </c>
      <c r="AE262" s="27" t="str">
        <f t="shared" si="66"/>
        <v/>
      </c>
      <c r="AF262" s="14">
        <f t="shared" si="67"/>
        <v>0</v>
      </c>
      <c r="AG262" s="12">
        <f t="shared" si="63"/>
        <v>0</v>
      </c>
      <c r="AH262" s="24">
        <f t="shared" si="64"/>
        <v>0</v>
      </c>
    </row>
    <row r="263" spans="1:37" ht="19.95" customHeight="1" x14ac:dyDescent="0.4">
      <c r="A263" s="2">
        <v>1416</v>
      </c>
      <c r="B263" s="16"/>
      <c r="C263" s="22">
        <f t="shared" si="59"/>
        <v>0</v>
      </c>
      <c r="D263" s="23">
        <f t="shared" si="60"/>
        <v>0</v>
      </c>
      <c r="E263" s="14"/>
      <c r="F263" s="12">
        <f t="shared" si="61"/>
        <v>0</v>
      </c>
      <c r="G263" s="24">
        <f t="shared" si="62"/>
        <v>0</v>
      </c>
      <c r="H263" s="14"/>
      <c r="I263" s="14"/>
      <c r="J263" s="29"/>
      <c r="K263" s="30"/>
      <c r="M263" s="17">
        <v>51.26</v>
      </c>
      <c r="N263" s="7">
        <f t="shared" si="52"/>
        <v>61.511999999999993</v>
      </c>
      <c r="O263" s="5">
        <v>4</v>
      </c>
      <c r="P263" s="3"/>
      <c r="Q263" s="5">
        <v>49.52</v>
      </c>
      <c r="R263" s="7">
        <f t="shared" si="53"/>
        <v>59.423999999999999</v>
      </c>
      <c r="S263" s="5">
        <v>4</v>
      </c>
      <c r="U263" s="10">
        <v>71.92</v>
      </c>
      <c r="V263" s="11">
        <f t="shared" si="54"/>
        <v>86.304000000000002</v>
      </c>
      <c r="W263" s="6">
        <v>4</v>
      </c>
      <c r="Y263" s="10">
        <v>71.52</v>
      </c>
      <c r="Z263" s="11">
        <f t="shared" si="55"/>
        <v>85.823999999999998</v>
      </c>
      <c r="AA263" s="6">
        <v>4</v>
      </c>
      <c r="AB263" s="1">
        <v>1.2</v>
      </c>
      <c r="AC263" s="21" t="str">
        <f t="shared" si="65"/>
        <v/>
      </c>
      <c r="AD263" s="27" t="str">
        <f t="shared" si="56"/>
        <v/>
      </c>
      <c r="AE263" s="27" t="str">
        <f t="shared" si="66"/>
        <v/>
      </c>
      <c r="AF263" s="14">
        <f t="shared" si="67"/>
        <v>0</v>
      </c>
      <c r="AG263" s="12">
        <f t="shared" si="63"/>
        <v>0</v>
      </c>
      <c r="AH263" s="24">
        <f t="shared" si="64"/>
        <v>0</v>
      </c>
    </row>
    <row r="264" spans="1:37" ht="19.95" customHeight="1" x14ac:dyDescent="0.4">
      <c r="A264" s="2">
        <v>1417</v>
      </c>
      <c r="B264" s="16"/>
      <c r="C264" s="22">
        <f t="shared" si="59"/>
        <v>0</v>
      </c>
      <c r="D264" s="23">
        <f t="shared" si="60"/>
        <v>0</v>
      </c>
      <c r="E264" s="14"/>
      <c r="F264" s="12">
        <f t="shared" si="61"/>
        <v>0</v>
      </c>
      <c r="G264" s="24">
        <f t="shared" si="62"/>
        <v>0</v>
      </c>
      <c r="H264" s="14"/>
      <c r="I264" s="14"/>
      <c r="J264" s="29"/>
      <c r="K264" s="30"/>
      <c r="M264" s="17">
        <v>45.63</v>
      </c>
      <c r="N264" s="7">
        <f t="shared" ref="N264:N327" si="68">IF(M264="","",M264*AB264)</f>
        <v>54.756</v>
      </c>
      <c r="O264" s="5">
        <v>4</v>
      </c>
      <c r="P264" s="3"/>
      <c r="Q264" s="5">
        <v>46.95</v>
      </c>
      <c r="R264" s="7">
        <f t="shared" ref="R264:R327" si="69">IF(Q264="","",Q264*AB264)</f>
        <v>56.34</v>
      </c>
      <c r="S264" s="5">
        <v>4</v>
      </c>
      <c r="U264" s="10">
        <v>71.59</v>
      </c>
      <c r="V264" s="11">
        <f t="shared" ref="V264:V327" si="70">IF(U264="","",U264*AB264)</f>
        <v>85.908000000000001</v>
      </c>
      <c r="W264" s="6">
        <v>4</v>
      </c>
      <c r="Y264" s="10">
        <v>71.260000000000005</v>
      </c>
      <c r="Z264" s="11">
        <f t="shared" ref="Z264:Z327" si="71">IF(Y264="","",Y264*AB264)</f>
        <v>85.512</v>
      </c>
      <c r="AA264" s="6">
        <v>4</v>
      </c>
      <c r="AB264" s="1">
        <v>1.2</v>
      </c>
      <c r="AC264" s="21" t="str">
        <f t="shared" si="65"/>
        <v/>
      </c>
      <c r="AD264" s="27" t="str">
        <f t="shared" si="56"/>
        <v/>
      </c>
      <c r="AE264" s="27" t="str">
        <f t="shared" si="66"/>
        <v/>
      </c>
      <c r="AF264" s="14">
        <f t="shared" si="67"/>
        <v>0</v>
      </c>
      <c r="AG264" s="12">
        <f t="shared" si="63"/>
        <v>0</v>
      </c>
      <c r="AH264" s="24">
        <f t="shared" si="64"/>
        <v>0</v>
      </c>
    </row>
    <row r="265" spans="1:37" ht="19.95" customHeight="1" x14ac:dyDescent="0.4">
      <c r="A265" s="2">
        <v>1418</v>
      </c>
      <c r="B265" s="16"/>
      <c r="C265" s="22">
        <f t="shared" si="59"/>
        <v>0</v>
      </c>
      <c r="D265" s="23">
        <f t="shared" si="60"/>
        <v>0</v>
      </c>
      <c r="E265" s="14"/>
      <c r="F265" s="12">
        <f t="shared" si="61"/>
        <v>0</v>
      </c>
      <c r="G265" s="24">
        <f t="shared" si="62"/>
        <v>0</v>
      </c>
      <c r="H265" s="14"/>
      <c r="I265" s="14"/>
      <c r="J265" s="29"/>
      <c r="K265" s="30"/>
      <c r="M265" s="17">
        <v>53.84</v>
      </c>
      <c r="N265" s="7">
        <f t="shared" si="68"/>
        <v>64.608000000000004</v>
      </c>
      <c r="O265" s="5">
        <v>4</v>
      </c>
      <c r="P265" s="3"/>
      <c r="Q265" s="5">
        <v>51.52</v>
      </c>
      <c r="R265" s="7">
        <f t="shared" si="69"/>
        <v>61.823999999999998</v>
      </c>
      <c r="S265" s="5">
        <v>4</v>
      </c>
      <c r="U265" s="10">
        <v>72.150000000000006</v>
      </c>
      <c r="V265" s="11">
        <f t="shared" si="70"/>
        <v>86.58</v>
      </c>
      <c r="W265" s="6">
        <v>4</v>
      </c>
      <c r="Y265" s="10">
        <v>71.87</v>
      </c>
      <c r="Z265" s="11">
        <f t="shared" si="71"/>
        <v>86.244</v>
      </c>
      <c r="AA265" s="6">
        <v>4</v>
      </c>
      <c r="AB265" s="1">
        <v>1.2</v>
      </c>
      <c r="AC265" s="21" t="str">
        <f t="shared" si="65"/>
        <v/>
      </c>
      <c r="AD265" s="27" t="str">
        <f t="shared" si="56"/>
        <v/>
      </c>
      <c r="AE265" s="27" t="str">
        <f t="shared" si="66"/>
        <v/>
      </c>
      <c r="AF265" s="14">
        <f t="shared" si="67"/>
        <v>0</v>
      </c>
      <c r="AG265" s="12">
        <f t="shared" si="63"/>
        <v>0</v>
      </c>
      <c r="AH265" s="24">
        <f t="shared" si="64"/>
        <v>0</v>
      </c>
    </row>
    <row r="266" spans="1:37" ht="19.95" customHeight="1" x14ac:dyDescent="0.4">
      <c r="A266" s="2">
        <v>1419</v>
      </c>
      <c r="B266" s="16"/>
      <c r="C266" s="22">
        <f t="shared" si="59"/>
        <v>0</v>
      </c>
      <c r="D266" s="23">
        <f t="shared" si="60"/>
        <v>0</v>
      </c>
      <c r="E266" s="14"/>
      <c r="F266" s="12">
        <f t="shared" si="61"/>
        <v>0</v>
      </c>
      <c r="G266" s="24">
        <f t="shared" si="62"/>
        <v>0</v>
      </c>
      <c r="H266" s="14"/>
      <c r="I266" s="14"/>
      <c r="J266" s="29"/>
      <c r="K266" s="30"/>
      <c r="M266" s="17">
        <v>49.67</v>
      </c>
      <c r="N266" s="7">
        <f t="shared" si="68"/>
        <v>59.603999999999999</v>
      </c>
      <c r="O266" s="5">
        <v>4</v>
      </c>
      <c r="P266" s="3"/>
      <c r="Q266" s="5">
        <v>51.07</v>
      </c>
      <c r="R266" s="7">
        <f t="shared" si="69"/>
        <v>61.283999999999999</v>
      </c>
      <c r="S266" s="5">
        <v>4</v>
      </c>
      <c r="U266" s="10">
        <v>71.790000000000006</v>
      </c>
      <c r="V266" s="11">
        <f t="shared" si="70"/>
        <v>86.14800000000001</v>
      </c>
      <c r="W266" s="6">
        <v>4</v>
      </c>
      <c r="Y266" s="10">
        <v>71.66</v>
      </c>
      <c r="Z266" s="11">
        <f t="shared" si="71"/>
        <v>85.99199999999999</v>
      </c>
      <c r="AA266" s="6">
        <v>4</v>
      </c>
      <c r="AB266" s="1">
        <v>1.2</v>
      </c>
      <c r="AC266" s="21" t="str">
        <f t="shared" si="65"/>
        <v/>
      </c>
      <c r="AD266" s="27" t="str">
        <f t="shared" si="56"/>
        <v/>
      </c>
      <c r="AE266" s="27" t="str">
        <f t="shared" si="66"/>
        <v/>
      </c>
      <c r="AF266" s="14">
        <f t="shared" si="67"/>
        <v>0</v>
      </c>
      <c r="AG266" s="12">
        <f t="shared" si="63"/>
        <v>0</v>
      </c>
      <c r="AH266" s="24">
        <f t="shared" si="64"/>
        <v>0</v>
      </c>
    </row>
    <row r="267" spans="1:37" ht="19.95" customHeight="1" x14ac:dyDescent="0.4">
      <c r="A267" s="2">
        <v>1420</v>
      </c>
      <c r="B267" s="16"/>
      <c r="C267" s="22">
        <f t="shared" si="59"/>
        <v>0</v>
      </c>
      <c r="D267" s="23">
        <f t="shared" si="60"/>
        <v>0</v>
      </c>
      <c r="E267" s="14"/>
      <c r="F267" s="12">
        <f t="shared" si="61"/>
        <v>0</v>
      </c>
      <c r="G267" s="24">
        <f t="shared" si="62"/>
        <v>0</v>
      </c>
      <c r="H267" s="14"/>
      <c r="I267" s="14"/>
      <c r="J267" s="29"/>
      <c r="K267" s="30"/>
      <c r="M267" s="17">
        <v>34.79</v>
      </c>
      <c r="N267" s="7">
        <f t="shared" si="68"/>
        <v>41.747999999999998</v>
      </c>
      <c r="O267" s="5">
        <v>4</v>
      </c>
      <c r="P267" s="3"/>
      <c r="Q267" s="5">
        <v>36.72</v>
      </c>
      <c r="R267" s="7">
        <f t="shared" si="69"/>
        <v>44.064</v>
      </c>
      <c r="S267" s="5">
        <v>4</v>
      </c>
      <c r="U267" s="10">
        <v>71.56</v>
      </c>
      <c r="V267" s="11">
        <f t="shared" si="70"/>
        <v>85.872</v>
      </c>
      <c r="W267" s="6">
        <v>4</v>
      </c>
      <c r="Y267" s="10">
        <v>71.22</v>
      </c>
      <c r="Z267" s="11">
        <f t="shared" si="71"/>
        <v>85.463999999999999</v>
      </c>
      <c r="AA267" s="6">
        <v>4</v>
      </c>
      <c r="AB267" s="1">
        <v>1.2</v>
      </c>
      <c r="AC267" s="21" t="str">
        <f t="shared" si="65"/>
        <v/>
      </c>
      <c r="AD267" s="27" t="str">
        <f t="shared" si="56"/>
        <v/>
      </c>
      <c r="AE267" s="27" t="str">
        <f t="shared" si="66"/>
        <v/>
      </c>
      <c r="AF267" s="14">
        <f t="shared" si="67"/>
        <v>0</v>
      </c>
      <c r="AG267" s="12">
        <f t="shared" si="63"/>
        <v>0</v>
      </c>
      <c r="AH267" s="24">
        <f t="shared" si="64"/>
        <v>0</v>
      </c>
    </row>
    <row r="268" spans="1:37" ht="19.95" customHeight="1" x14ac:dyDescent="0.4">
      <c r="A268" s="2">
        <v>1421</v>
      </c>
      <c r="B268" s="16">
        <v>45936.5625</v>
      </c>
      <c r="C268" s="22">
        <f t="shared" si="59"/>
        <v>45936</v>
      </c>
      <c r="D268" s="23">
        <f t="shared" si="60"/>
        <v>0.5625</v>
      </c>
      <c r="E268" s="14">
        <v>45937.541666666664</v>
      </c>
      <c r="F268" s="12">
        <f t="shared" si="61"/>
        <v>45937</v>
      </c>
      <c r="G268" s="24">
        <f t="shared" si="62"/>
        <v>0.54166666666424135</v>
      </c>
      <c r="H268" s="14"/>
      <c r="I268" s="14"/>
      <c r="J268" s="29"/>
      <c r="K268" s="30"/>
      <c r="M268" s="17">
        <v>25.08</v>
      </c>
      <c r="N268" s="7">
        <f t="shared" si="68"/>
        <v>30.095999999999997</v>
      </c>
      <c r="O268" s="5">
        <v>4</v>
      </c>
      <c r="P268" s="3"/>
      <c r="Q268" s="5">
        <v>24.9</v>
      </c>
      <c r="R268" s="7">
        <f t="shared" si="69"/>
        <v>29.879999999999995</v>
      </c>
      <c r="S268" s="5">
        <v>4</v>
      </c>
      <c r="U268" s="10">
        <v>70.23</v>
      </c>
      <c r="V268" s="11">
        <f t="shared" si="70"/>
        <v>84.275999999999996</v>
      </c>
      <c r="W268" s="6">
        <v>4</v>
      </c>
      <c r="Y268" s="10">
        <v>70.69</v>
      </c>
      <c r="Z268" s="11">
        <f t="shared" si="71"/>
        <v>84.827999999999989</v>
      </c>
      <c r="AA268" s="6">
        <v>4</v>
      </c>
      <c r="AB268" s="1">
        <v>1.2</v>
      </c>
      <c r="AC268" s="53" t="str">
        <f t="shared" si="65"/>
        <v>23:30</v>
      </c>
      <c r="AD268" s="52" t="str">
        <f>IF(H268="","00:00",TEXT(H268-B268,"[hh]:mm"))</f>
        <v>00:00</v>
      </c>
      <c r="AE268" s="52" t="str">
        <f>IF(I268="","00:00",TEXT(I268-B268,"[hh]:mm"))</f>
        <v>00:00</v>
      </c>
      <c r="AF268" s="51"/>
      <c r="AG268" s="12"/>
      <c r="AH268" s="24"/>
      <c r="AI268" s="49">
        <f>MAX(VALUE(AC268),VALUE(AD268),VALUE(AE268))</f>
        <v>0.97916666666666663</v>
      </c>
      <c r="AK268" s="50" t="str">
        <f>IF(VALUE(AI268)&lt;=VALUE($AK$3),"BOM","RUIM")</f>
        <v>RUIM</v>
      </c>
    </row>
    <row r="269" spans="1:37" ht="19.95" customHeight="1" x14ac:dyDescent="0.4">
      <c r="A269" s="2">
        <v>1422</v>
      </c>
      <c r="B269" s="16">
        <v>45936.604166666664</v>
      </c>
      <c r="C269" s="22">
        <f t="shared" si="59"/>
        <v>45936</v>
      </c>
      <c r="D269" s="23">
        <f t="shared" si="60"/>
        <v>0.60416666666424135</v>
      </c>
      <c r="E269" s="14">
        <v>45937.545138888891</v>
      </c>
      <c r="F269" s="12">
        <f t="shared" si="61"/>
        <v>45937</v>
      </c>
      <c r="G269" s="24">
        <f t="shared" si="62"/>
        <v>0.54513888889050577</v>
      </c>
      <c r="H269" s="14"/>
      <c r="I269" s="14"/>
      <c r="J269" s="29"/>
      <c r="K269" s="30"/>
      <c r="M269" s="17">
        <v>21.75</v>
      </c>
      <c r="N269" s="7">
        <f t="shared" si="68"/>
        <v>26.099999999999998</v>
      </c>
      <c r="O269" s="5">
        <v>4</v>
      </c>
      <c r="P269" s="3"/>
      <c r="Q269" s="5">
        <v>22.53</v>
      </c>
      <c r="R269" s="7">
        <f t="shared" si="69"/>
        <v>27.036000000000001</v>
      </c>
      <c r="S269" s="5">
        <v>4</v>
      </c>
      <c r="U269" s="10">
        <v>64.78</v>
      </c>
      <c r="V269" s="11">
        <f t="shared" si="70"/>
        <v>77.736000000000004</v>
      </c>
      <c r="W269" s="6">
        <v>4</v>
      </c>
      <c r="Y269" s="10">
        <v>63.76</v>
      </c>
      <c r="Z269" s="11">
        <f t="shared" si="71"/>
        <v>76.512</v>
      </c>
      <c r="AA269" s="6">
        <v>4</v>
      </c>
      <c r="AB269" s="1">
        <v>1.2</v>
      </c>
      <c r="AC269" s="53" t="str">
        <f t="shared" ref="AC269:AC332" si="72">IF(B269="","",TEXT(E269-B269,"[hh]:mm"))</f>
        <v>22:35</v>
      </c>
      <c r="AD269" s="52" t="str">
        <f t="shared" ref="AD269:AD332" si="73">IF(H269="","00:00",TEXT(H269-B269,"[hh]:mm"))</f>
        <v>00:00</v>
      </c>
      <c r="AE269" s="52" t="str">
        <f t="shared" ref="AE269:AE332" si="74">IF(I269="","00:00",TEXT(I269-B269,"[hh]:mm"))</f>
        <v>00:00</v>
      </c>
      <c r="AF269" s="14">
        <f t="shared" si="67"/>
        <v>45937.545138888891</v>
      </c>
      <c r="AG269" s="12">
        <f t="shared" si="63"/>
        <v>45937</v>
      </c>
      <c r="AH269" s="24">
        <f t="shared" si="64"/>
        <v>0.54513888889050577</v>
      </c>
      <c r="AI269" s="49">
        <f t="shared" ref="AI269:AI272" si="75">MAX(VALUE(AC269),VALUE(AD269),VALUE(AE269))</f>
        <v>0.94097222222222221</v>
      </c>
      <c r="AK269" s="50" t="str">
        <f t="shared" ref="AK269:AK332" si="76">IF(VALUE(AI269)&lt;=VALUE($AK$3),"BOM","RUIM")</f>
        <v>RUIM</v>
      </c>
    </row>
    <row r="270" spans="1:37" ht="19.95" customHeight="1" x14ac:dyDescent="0.4">
      <c r="A270" s="2">
        <v>1423</v>
      </c>
      <c r="B270" s="16">
        <v>45936.625</v>
      </c>
      <c r="C270" s="22">
        <f t="shared" si="59"/>
        <v>45936</v>
      </c>
      <c r="D270" s="23">
        <f t="shared" si="60"/>
        <v>0.625</v>
      </c>
      <c r="E270" s="14">
        <v>45937.548611111109</v>
      </c>
      <c r="F270" s="12">
        <f t="shared" si="61"/>
        <v>45937</v>
      </c>
      <c r="G270" s="24">
        <f t="shared" si="62"/>
        <v>0.54861111110949423</v>
      </c>
      <c r="H270" s="14"/>
      <c r="I270" s="14"/>
      <c r="J270" s="29"/>
      <c r="K270" s="30"/>
      <c r="M270" s="17">
        <v>22.42</v>
      </c>
      <c r="N270" s="7">
        <f t="shared" si="68"/>
        <v>26.904</v>
      </c>
      <c r="O270" s="5">
        <v>4</v>
      </c>
      <c r="P270" s="3"/>
      <c r="Q270" s="5">
        <v>24.5</v>
      </c>
      <c r="R270" s="7">
        <f t="shared" si="69"/>
        <v>29.4</v>
      </c>
      <c r="S270" s="5">
        <v>4</v>
      </c>
      <c r="U270" s="10">
        <v>71.099999999999994</v>
      </c>
      <c r="V270" s="11">
        <f t="shared" si="70"/>
        <v>85.32</v>
      </c>
      <c r="W270" s="6">
        <v>4</v>
      </c>
      <c r="Y270" s="10">
        <v>70.56</v>
      </c>
      <c r="Z270" s="11">
        <f t="shared" si="71"/>
        <v>84.671999999999997</v>
      </c>
      <c r="AA270" s="6">
        <v>4</v>
      </c>
      <c r="AB270" s="1">
        <v>1.2</v>
      </c>
      <c r="AC270" s="53" t="str">
        <f t="shared" si="72"/>
        <v>22:10</v>
      </c>
      <c r="AD270" s="52" t="str">
        <f t="shared" si="73"/>
        <v>00:00</v>
      </c>
      <c r="AE270" s="52" t="str">
        <f t="shared" si="74"/>
        <v>00:00</v>
      </c>
      <c r="AF270" s="14">
        <f t="shared" si="67"/>
        <v>45937.548611111109</v>
      </c>
      <c r="AG270" s="12">
        <f t="shared" si="63"/>
        <v>45937</v>
      </c>
      <c r="AH270" s="24">
        <f t="shared" si="64"/>
        <v>0.54861111110949423</v>
      </c>
      <c r="AI270" s="49">
        <f t="shared" si="75"/>
        <v>0.92361111111111116</v>
      </c>
      <c r="AK270" s="50" t="str">
        <f t="shared" si="76"/>
        <v>RUIM</v>
      </c>
    </row>
    <row r="271" spans="1:37" ht="19.95" customHeight="1" x14ac:dyDescent="0.4">
      <c r="A271" s="2">
        <v>1424</v>
      </c>
      <c r="B271" s="16">
        <v>45936.638888888891</v>
      </c>
      <c r="C271" s="22">
        <f t="shared" si="59"/>
        <v>45936</v>
      </c>
      <c r="D271" s="23">
        <f t="shared" si="60"/>
        <v>0.63888888889050577</v>
      </c>
      <c r="E271" s="14">
        <v>45937.552083333336</v>
      </c>
      <c r="F271" s="12">
        <f t="shared" si="61"/>
        <v>45937</v>
      </c>
      <c r="G271" s="24">
        <f t="shared" si="62"/>
        <v>0.55208333333575865</v>
      </c>
      <c r="H271" s="14"/>
      <c r="I271" s="14"/>
      <c r="J271" s="29"/>
      <c r="K271" s="30"/>
      <c r="M271" s="17">
        <v>22.46</v>
      </c>
      <c r="N271" s="7">
        <f t="shared" si="68"/>
        <v>26.952000000000002</v>
      </c>
      <c r="O271" s="5">
        <v>4</v>
      </c>
      <c r="P271" s="3"/>
      <c r="Q271" s="5">
        <v>20.420000000000002</v>
      </c>
      <c r="R271" s="7">
        <f t="shared" si="69"/>
        <v>24.504000000000001</v>
      </c>
      <c r="S271" s="5">
        <v>4</v>
      </c>
      <c r="U271" s="10">
        <v>66.3</v>
      </c>
      <c r="V271" s="11">
        <f t="shared" si="70"/>
        <v>79.559999999999988</v>
      </c>
      <c r="W271" s="6">
        <v>4</v>
      </c>
      <c r="Y271" s="10">
        <v>67.5</v>
      </c>
      <c r="Z271" s="11">
        <f t="shared" si="71"/>
        <v>81</v>
      </c>
      <c r="AA271" s="6">
        <v>4</v>
      </c>
      <c r="AB271" s="1">
        <v>1.2</v>
      </c>
      <c r="AC271" s="53" t="str">
        <f t="shared" si="72"/>
        <v>21:55</v>
      </c>
      <c r="AD271" s="52" t="str">
        <f t="shared" si="73"/>
        <v>00:00</v>
      </c>
      <c r="AE271" s="52" t="str">
        <f t="shared" si="74"/>
        <v>00:00</v>
      </c>
      <c r="AF271" s="14">
        <f t="shared" si="67"/>
        <v>45937.552083333336</v>
      </c>
      <c r="AG271" s="12">
        <f t="shared" si="63"/>
        <v>45937</v>
      </c>
      <c r="AH271" s="24">
        <f t="shared" si="64"/>
        <v>0.55208333333575865</v>
      </c>
      <c r="AI271" s="49">
        <f t="shared" si="75"/>
        <v>0.91319444444444442</v>
      </c>
      <c r="AK271" s="50" t="str">
        <f t="shared" si="76"/>
        <v>RUIM</v>
      </c>
    </row>
    <row r="272" spans="1:37" ht="19.95" customHeight="1" x14ac:dyDescent="0.4">
      <c r="A272" s="2">
        <v>1425</v>
      </c>
      <c r="B272" s="16">
        <v>45936.666666666664</v>
      </c>
      <c r="C272" s="22">
        <f t="shared" si="59"/>
        <v>45936</v>
      </c>
      <c r="D272" s="23">
        <f t="shared" si="60"/>
        <v>0.66666666666424135</v>
      </c>
      <c r="E272" s="14">
        <v>45937.555555555555</v>
      </c>
      <c r="F272" s="12">
        <f t="shared" si="61"/>
        <v>45937</v>
      </c>
      <c r="G272" s="24">
        <f t="shared" si="62"/>
        <v>0.55555555555474712</v>
      </c>
      <c r="H272" s="14"/>
      <c r="I272" s="14"/>
      <c r="J272" s="29"/>
      <c r="K272" s="30"/>
      <c r="M272" s="17">
        <v>24.07</v>
      </c>
      <c r="N272" s="7">
        <f t="shared" si="68"/>
        <v>28.884</v>
      </c>
      <c r="O272" s="5">
        <v>4</v>
      </c>
      <c r="P272" s="3"/>
      <c r="Q272" s="5">
        <v>23.31</v>
      </c>
      <c r="R272" s="7">
        <f t="shared" si="69"/>
        <v>27.971999999999998</v>
      </c>
      <c r="S272" s="5">
        <v>4</v>
      </c>
      <c r="U272" s="10">
        <v>70.489999999999995</v>
      </c>
      <c r="V272" s="11">
        <f t="shared" si="70"/>
        <v>84.587999999999994</v>
      </c>
      <c r="W272" s="6">
        <v>4</v>
      </c>
      <c r="Y272" s="10">
        <v>70.45</v>
      </c>
      <c r="Z272" s="11">
        <f t="shared" si="71"/>
        <v>84.54</v>
      </c>
      <c r="AA272" s="6">
        <v>4</v>
      </c>
      <c r="AB272" s="1">
        <v>1.2</v>
      </c>
      <c r="AC272" s="53" t="str">
        <f t="shared" si="72"/>
        <v>21:20</v>
      </c>
      <c r="AD272" s="52" t="str">
        <f t="shared" si="73"/>
        <v>00:00</v>
      </c>
      <c r="AE272" s="52" t="str">
        <f t="shared" si="74"/>
        <v>00:00</v>
      </c>
      <c r="AF272" s="14">
        <f t="shared" si="67"/>
        <v>45937.555555555555</v>
      </c>
      <c r="AG272" s="12">
        <f t="shared" si="63"/>
        <v>45937</v>
      </c>
      <c r="AH272" s="24">
        <f t="shared" si="64"/>
        <v>0.55555555555474712</v>
      </c>
      <c r="AI272" s="49">
        <f t="shared" si="75"/>
        <v>0.88888888888888884</v>
      </c>
      <c r="AK272" s="50" t="str">
        <f t="shared" si="76"/>
        <v>RUIM</v>
      </c>
    </row>
    <row r="273" spans="1:37" ht="19.95" customHeight="1" x14ac:dyDescent="0.4">
      <c r="A273" s="2">
        <v>1426</v>
      </c>
      <c r="B273" s="16">
        <v>45937.625</v>
      </c>
      <c r="C273" s="22">
        <f t="shared" si="59"/>
        <v>45937</v>
      </c>
      <c r="D273" s="23">
        <f t="shared" si="60"/>
        <v>0.625</v>
      </c>
      <c r="E273" s="14">
        <v>45938.430555555555</v>
      </c>
      <c r="F273" s="12">
        <f t="shared" si="61"/>
        <v>45938</v>
      </c>
      <c r="G273" s="24">
        <f t="shared" si="62"/>
        <v>0.43055555555474712</v>
      </c>
      <c r="H273" s="14"/>
      <c r="I273" s="14"/>
      <c r="J273" s="29"/>
      <c r="K273" s="30"/>
      <c r="M273" s="17">
        <v>22.24</v>
      </c>
      <c r="N273" s="7">
        <f t="shared" si="68"/>
        <v>26.687999999999999</v>
      </c>
      <c r="O273" s="5">
        <v>4</v>
      </c>
      <c r="P273" s="3"/>
      <c r="Q273" s="5">
        <v>24.65</v>
      </c>
      <c r="R273" s="7">
        <f t="shared" si="69"/>
        <v>29.58</v>
      </c>
      <c r="S273" s="5">
        <v>4</v>
      </c>
      <c r="U273" s="10">
        <v>70.959999999999994</v>
      </c>
      <c r="V273" s="11">
        <f t="shared" si="70"/>
        <v>85.151999999999987</v>
      </c>
      <c r="W273" s="6">
        <v>4</v>
      </c>
      <c r="Y273" s="10">
        <v>70.23</v>
      </c>
      <c r="Z273" s="11">
        <f t="shared" si="71"/>
        <v>84.275999999999996</v>
      </c>
      <c r="AA273" s="6">
        <v>4</v>
      </c>
      <c r="AB273" s="1">
        <v>1.2</v>
      </c>
      <c r="AC273" s="53" t="str">
        <f t="shared" si="72"/>
        <v>19:20</v>
      </c>
      <c r="AD273" s="52" t="str">
        <f t="shared" si="73"/>
        <v>00:00</v>
      </c>
      <c r="AE273" s="52" t="str">
        <f t="shared" si="74"/>
        <v>00:00</v>
      </c>
      <c r="AF273" s="14">
        <f t="shared" si="67"/>
        <v>45938.430555555555</v>
      </c>
      <c r="AG273" s="12">
        <f t="shared" si="63"/>
        <v>45938</v>
      </c>
      <c r="AH273" s="24">
        <f t="shared" si="64"/>
        <v>0.43055555555474712</v>
      </c>
      <c r="AI273" s="49">
        <f t="shared" ref="AI273:AI332" si="77">MAX(VALUE(AC273),VALUE(AD273),VALUE(AE273))</f>
        <v>0.80555555555555558</v>
      </c>
      <c r="AK273" s="50" t="str">
        <f t="shared" si="76"/>
        <v>BOM</v>
      </c>
    </row>
    <row r="274" spans="1:37" ht="19.95" customHeight="1" x14ac:dyDescent="0.4">
      <c r="A274" s="2">
        <v>1427</v>
      </c>
      <c r="B274" s="16">
        <v>45937.65625</v>
      </c>
      <c r="C274" s="22">
        <f t="shared" si="59"/>
        <v>45937</v>
      </c>
      <c r="D274" s="23">
        <f t="shared" si="60"/>
        <v>0.65625</v>
      </c>
      <c r="E274" s="14">
        <v>45938.434027777781</v>
      </c>
      <c r="F274" s="12">
        <f t="shared" si="61"/>
        <v>45938</v>
      </c>
      <c r="G274" s="24">
        <f t="shared" si="62"/>
        <v>0.43402777778101154</v>
      </c>
      <c r="H274" s="14"/>
      <c r="I274" s="14"/>
      <c r="J274" s="29"/>
      <c r="K274" s="30"/>
      <c r="M274" s="17">
        <v>21.06</v>
      </c>
      <c r="N274" s="7">
        <f t="shared" si="68"/>
        <v>25.271999999999998</v>
      </c>
      <c r="O274" s="5">
        <v>4</v>
      </c>
      <c r="P274" s="3"/>
      <c r="Q274" s="5">
        <v>21.97</v>
      </c>
      <c r="R274" s="7">
        <f t="shared" si="69"/>
        <v>26.363999999999997</v>
      </c>
      <c r="S274" s="5">
        <v>4</v>
      </c>
      <c r="U274" s="10">
        <v>70.78</v>
      </c>
      <c r="V274" s="11">
        <f t="shared" si="70"/>
        <v>84.935999999999993</v>
      </c>
      <c r="W274" s="6">
        <v>4</v>
      </c>
      <c r="Y274" s="10">
        <v>69.959999999999994</v>
      </c>
      <c r="Z274" s="11">
        <f t="shared" si="71"/>
        <v>83.951999999999984</v>
      </c>
      <c r="AA274" s="6">
        <v>4</v>
      </c>
      <c r="AB274" s="1">
        <v>1.2</v>
      </c>
      <c r="AC274" s="53" t="str">
        <f t="shared" si="72"/>
        <v>18:40</v>
      </c>
      <c r="AD274" s="52" t="str">
        <f t="shared" si="73"/>
        <v>00:00</v>
      </c>
      <c r="AE274" s="52" t="str">
        <f t="shared" si="74"/>
        <v>00:00</v>
      </c>
      <c r="AF274" s="14">
        <f t="shared" si="67"/>
        <v>45938.434027777781</v>
      </c>
      <c r="AG274" s="12">
        <f t="shared" si="63"/>
        <v>45938</v>
      </c>
      <c r="AH274" s="24">
        <f t="shared" si="64"/>
        <v>0.43402777778101154</v>
      </c>
      <c r="AI274" s="49">
        <f t="shared" si="77"/>
        <v>0.77777777777777779</v>
      </c>
      <c r="AK274" s="50" t="str">
        <f t="shared" si="76"/>
        <v>BOM</v>
      </c>
    </row>
    <row r="275" spans="1:37" ht="19.95" customHeight="1" x14ac:dyDescent="0.4">
      <c r="A275" s="2">
        <v>1428</v>
      </c>
      <c r="B275" s="16">
        <v>45937.659722222219</v>
      </c>
      <c r="C275" s="22">
        <f t="shared" si="59"/>
        <v>45937</v>
      </c>
      <c r="D275" s="23">
        <f t="shared" si="60"/>
        <v>0.65972222221898846</v>
      </c>
      <c r="E275" s="14">
        <v>45938.4375</v>
      </c>
      <c r="F275" s="12">
        <f t="shared" si="61"/>
        <v>45938</v>
      </c>
      <c r="G275" s="24">
        <f t="shared" si="62"/>
        <v>0.4375</v>
      </c>
      <c r="H275" s="14"/>
      <c r="I275" s="14"/>
      <c r="J275" s="29"/>
      <c r="K275" s="30"/>
      <c r="M275" s="17">
        <v>23.44</v>
      </c>
      <c r="N275" s="7">
        <f t="shared" si="68"/>
        <v>28.128</v>
      </c>
      <c r="O275" s="5">
        <v>4</v>
      </c>
      <c r="P275" s="3"/>
      <c r="Q275" s="5">
        <v>23.44</v>
      </c>
      <c r="R275" s="7">
        <f t="shared" si="69"/>
        <v>28.128</v>
      </c>
      <c r="S275" s="5">
        <v>4</v>
      </c>
      <c r="U275" s="10">
        <v>70.75</v>
      </c>
      <c r="V275" s="11">
        <f t="shared" si="70"/>
        <v>84.899999999999991</v>
      </c>
      <c r="W275" s="6">
        <v>4</v>
      </c>
      <c r="Y275" s="10">
        <v>70.12</v>
      </c>
      <c r="Z275" s="11">
        <f t="shared" si="71"/>
        <v>84.144000000000005</v>
      </c>
      <c r="AA275" s="6">
        <v>4</v>
      </c>
      <c r="AB275" s="1">
        <v>1.2</v>
      </c>
      <c r="AC275" s="53" t="str">
        <f t="shared" si="72"/>
        <v>18:40</v>
      </c>
      <c r="AD275" s="52" t="str">
        <f t="shared" si="73"/>
        <v>00:00</v>
      </c>
      <c r="AE275" s="52" t="str">
        <f t="shared" si="74"/>
        <v>00:00</v>
      </c>
      <c r="AF275" s="14">
        <f>MAX(E275,H275,I275)</f>
        <v>45938.4375</v>
      </c>
      <c r="AG275" s="12">
        <f>INT(AF275)</f>
        <v>45938</v>
      </c>
      <c r="AH275" s="24">
        <f>AF275-INT(AF275)</f>
        <v>0.4375</v>
      </c>
      <c r="AI275" s="49">
        <f t="shared" si="77"/>
        <v>0.77777777777777779</v>
      </c>
      <c r="AK275" s="50" t="str">
        <f t="shared" si="76"/>
        <v>BOM</v>
      </c>
    </row>
    <row r="276" spans="1:37" ht="19.95" customHeight="1" x14ac:dyDescent="0.4">
      <c r="A276" s="2">
        <v>1429</v>
      </c>
      <c r="B276" s="16">
        <v>45937.6875</v>
      </c>
      <c r="C276" s="22">
        <f t="shared" si="59"/>
        <v>45937</v>
      </c>
      <c r="D276" s="23">
        <f t="shared" si="60"/>
        <v>0.6875</v>
      </c>
      <c r="E276" s="14">
        <v>45938.440972222219</v>
      </c>
      <c r="F276" s="12">
        <f t="shared" si="61"/>
        <v>45938</v>
      </c>
      <c r="G276" s="24">
        <f t="shared" si="62"/>
        <v>0.44097222221898846</v>
      </c>
      <c r="H276" s="14"/>
      <c r="I276" s="14"/>
      <c r="J276" s="29"/>
      <c r="K276" s="30"/>
      <c r="M276" s="17">
        <v>19.989999999999998</v>
      </c>
      <c r="N276" s="7">
        <f t="shared" si="68"/>
        <v>23.987999999999996</v>
      </c>
      <c r="O276" s="5">
        <v>4</v>
      </c>
      <c r="P276" s="3"/>
      <c r="Q276" s="5">
        <v>20.97</v>
      </c>
      <c r="R276" s="7">
        <f t="shared" si="69"/>
        <v>25.163999999999998</v>
      </c>
      <c r="S276" s="5">
        <v>4</v>
      </c>
      <c r="U276" s="10">
        <v>70.19</v>
      </c>
      <c r="V276" s="11">
        <f t="shared" si="70"/>
        <v>84.227999999999994</v>
      </c>
      <c r="W276" s="6">
        <v>4</v>
      </c>
      <c r="Y276" s="10">
        <v>70.64</v>
      </c>
      <c r="Z276" s="11">
        <f t="shared" si="71"/>
        <v>84.768000000000001</v>
      </c>
      <c r="AA276" s="6">
        <v>4</v>
      </c>
      <c r="AB276" s="1">
        <v>1.2</v>
      </c>
      <c r="AC276" s="53" t="str">
        <f t="shared" si="72"/>
        <v>18:05</v>
      </c>
      <c r="AD276" s="52" t="str">
        <f t="shared" si="73"/>
        <v>00:00</v>
      </c>
      <c r="AE276" s="52" t="str">
        <f t="shared" si="74"/>
        <v>00:00</v>
      </c>
      <c r="AF276" s="14">
        <f t="shared" si="67"/>
        <v>45938.440972222219</v>
      </c>
      <c r="AG276" s="12">
        <f>INT(AF276)</f>
        <v>45938</v>
      </c>
      <c r="AH276" s="24">
        <f>AF276-INT(AF276)</f>
        <v>0.44097222221898846</v>
      </c>
      <c r="AI276" s="49">
        <f t="shared" si="77"/>
        <v>0.75347222222222221</v>
      </c>
      <c r="AK276" s="50" t="str">
        <f t="shared" si="76"/>
        <v>BOM</v>
      </c>
    </row>
    <row r="277" spans="1:37" ht="19.95" customHeight="1" x14ac:dyDescent="0.4">
      <c r="A277" s="2">
        <v>1430</v>
      </c>
      <c r="B277" s="16">
        <v>45937.479166666664</v>
      </c>
      <c r="C277" s="22">
        <f t="shared" si="59"/>
        <v>45937</v>
      </c>
      <c r="D277" s="23">
        <f t="shared" si="60"/>
        <v>0.47916666666424135</v>
      </c>
      <c r="E277" s="14">
        <v>45938.430555555555</v>
      </c>
      <c r="F277" s="12">
        <f t="shared" si="61"/>
        <v>45938</v>
      </c>
      <c r="G277" s="24">
        <f t="shared" si="62"/>
        <v>0.43055555555474712</v>
      </c>
      <c r="H277" s="14">
        <v>45938.555555555555</v>
      </c>
      <c r="I277" s="14"/>
      <c r="J277" s="29">
        <v>17.32</v>
      </c>
      <c r="K277" s="30"/>
      <c r="M277" s="17">
        <v>24.92</v>
      </c>
      <c r="N277" s="7">
        <f t="shared" si="68"/>
        <v>29.904</v>
      </c>
      <c r="O277" s="5">
        <v>4</v>
      </c>
      <c r="P277" s="3"/>
      <c r="Q277" s="5">
        <v>23.69</v>
      </c>
      <c r="R277" s="7">
        <f t="shared" si="69"/>
        <v>28.428000000000001</v>
      </c>
      <c r="S277" s="5">
        <v>4</v>
      </c>
      <c r="U277" s="10">
        <v>70.36</v>
      </c>
      <c r="V277" s="11">
        <f t="shared" si="70"/>
        <v>84.432000000000002</v>
      </c>
      <c r="W277" s="6">
        <v>4</v>
      </c>
      <c r="Y277" s="10">
        <v>70.290000000000006</v>
      </c>
      <c r="Z277" s="11">
        <f t="shared" si="71"/>
        <v>84.347999999999999</v>
      </c>
      <c r="AA277" s="6">
        <v>4</v>
      </c>
      <c r="AB277" s="1">
        <v>1.2</v>
      </c>
      <c r="AC277" s="53" t="str">
        <f t="shared" si="72"/>
        <v>22:50</v>
      </c>
      <c r="AD277" s="52" t="str">
        <f t="shared" si="73"/>
        <v>25:50</v>
      </c>
      <c r="AE277" s="52" t="str">
        <f t="shared" si="74"/>
        <v>00:00</v>
      </c>
      <c r="AF277" s="14">
        <f>MAX(E277,H277,I277)</f>
        <v>45938.555555555555</v>
      </c>
      <c r="AG277" s="12">
        <f t="shared" si="63"/>
        <v>45938</v>
      </c>
      <c r="AH277" s="24">
        <f t="shared" si="64"/>
        <v>0.55555555555474712</v>
      </c>
      <c r="AI277" s="49">
        <f t="shared" si="77"/>
        <v>1.0763888888888888</v>
      </c>
      <c r="AK277" s="50" t="str">
        <f t="shared" si="76"/>
        <v>RUIM</v>
      </c>
    </row>
    <row r="278" spans="1:37" ht="19.95" customHeight="1" x14ac:dyDescent="0.4">
      <c r="A278" s="2">
        <v>1431</v>
      </c>
      <c r="B278" s="16">
        <v>45939.40625</v>
      </c>
      <c r="C278" s="22">
        <f>INT(B278)</f>
        <v>45939</v>
      </c>
      <c r="D278" s="23">
        <f>B278-INT(B278)</f>
        <v>0.40625</v>
      </c>
      <c r="E278" s="14">
        <v>45940.3125</v>
      </c>
      <c r="F278" s="12">
        <f>INT(E278)</f>
        <v>45940</v>
      </c>
      <c r="G278" s="24">
        <f>E278-INT(E278)</f>
        <v>0.3125</v>
      </c>
      <c r="H278" s="14"/>
      <c r="I278" s="14"/>
      <c r="J278" s="29"/>
      <c r="K278" s="30"/>
      <c r="M278" s="17">
        <v>21.81</v>
      </c>
      <c r="N278" s="7">
        <f t="shared" si="68"/>
        <v>26.171999999999997</v>
      </c>
      <c r="O278" s="5">
        <v>4</v>
      </c>
      <c r="P278" s="3"/>
      <c r="Q278" s="5">
        <v>23.1</v>
      </c>
      <c r="R278" s="7">
        <f t="shared" si="69"/>
        <v>27.720000000000002</v>
      </c>
      <c r="S278" s="5">
        <v>4</v>
      </c>
      <c r="U278" s="10">
        <v>69.94</v>
      </c>
      <c r="V278" s="11">
        <f t="shared" si="70"/>
        <v>83.927999999999997</v>
      </c>
      <c r="W278" s="6">
        <v>4</v>
      </c>
      <c r="Y278" s="10">
        <v>69.540000000000006</v>
      </c>
      <c r="Z278" s="11">
        <f t="shared" si="71"/>
        <v>83.448000000000008</v>
      </c>
      <c r="AA278" s="6">
        <v>4</v>
      </c>
      <c r="AB278" s="1">
        <v>1.2</v>
      </c>
      <c r="AC278" s="53" t="str">
        <f t="shared" si="72"/>
        <v>21:45</v>
      </c>
      <c r="AD278" s="52" t="str">
        <f t="shared" si="73"/>
        <v>00:00</v>
      </c>
      <c r="AE278" s="52" t="str">
        <f t="shared" si="74"/>
        <v>00:00</v>
      </c>
      <c r="AF278" s="14">
        <f t="shared" ref="AF278:AF341" si="78">MAX(E278,H278,I278)</f>
        <v>45940.3125</v>
      </c>
      <c r="AG278" s="12">
        <f>INT(AF278)</f>
        <v>45940</v>
      </c>
      <c r="AH278" s="24">
        <f>AF278-INT(AF278)</f>
        <v>0.3125</v>
      </c>
      <c r="AI278" s="49">
        <f t="shared" si="77"/>
        <v>0.90625</v>
      </c>
      <c r="AK278" s="50" t="str">
        <f t="shared" si="76"/>
        <v>RUIM</v>
      </c>
    </row>
    <row r="279" spans="1:37" ht="19.95" customHeight="1" x14ac:dyDescent="0.4">
      <c r="A279" s="2">
        <v>1432</v>
      </c>
      <c r="B279" s="16">
        <v>45939.416666666664</v>
      </c>
      <c r="C279" s="22">
        <f t="shared" ref="C279:C342" si="79">INT(B279)</f>
        <v>45939</v>
      </c>
      <c r="D279" s="23">
        <f t="shared" ref="D279:D342" si="80">B279-INT(B279)</f>
        <v>0.41666666666424135</v>
      </c>
      <c r="E279" s="14">
        <v>45940.315972222219</v>
      </c>
      <c r="F279" s="12">
        <f t="shared" ref="F279:F342" si="81">INT(E279)</f>
        <v>45940</v>
      </c>
      <c r="G279" s="24">
        <f t="shared" ref="G279:G292" si="82">E279-INT(E279)</f>
        <v>0.31597222221898846</v>
      </c>
      <c r="H279" s="14"/>
      <c r="I279" s="14"/>
      <c r="J279" s="29"/>
      <c r="K279" s="30"/>
      <c r="M279" s="17">
        <v>22.86</v>
      </c>
      <c r="N279" s="7">
        <f t="shared" si="68"/>
        <v>27.431999999999999</v>
      </c>
      <c r="O279" s="5">
        <v>4</v>
      </c>
      <c r="P279" s="3"/>
      <c r="Q279" s="5">
        <v>23.38</v>
      </c>
      <c r="R279" s="7">
        <f t="shared" si="69"/>
        <v>28.055999999999997</v>
      </c>
      <c r="S279" s="5">
        <v>4</v>
      </c>
      <c r="U279" s="10">
        <v>70.95</v>
      </c>
      <c r="V279" s="11">
        <f t="shared" si="70"/>
        <v>85.14</v>
      </c>
      <c r="W279" s="6">
        <v>4</v>
      </c>
      <c r="Y279" s="10">
        <v>70.27</v>
      </c>
      <c r="Z279" s="11">
        <f t="shared" si="71"/>
        <v>84.323999999999998</v>
      </c>
      <c r="AA279" s="6">
        <v>4</v>
      </c>
      <c r="AB279" s="1">
        <v>1.2</v>
      </c>
      <c r="AC279" s="53" t="str">
        <f t="shared" si="72"/>
        <v>21:35</v>
      </c>
      <c r="AD279" s="52" t="str">
        <f t="shared" si="73"/>
        <v>00:00</v>
      </c>
      <c r="AE279" s="52" t="str">
        <f t="shared" si="74"/>
        <v>00:00</v>
      </c>
      <c r="AF279" s="14">
        <f t="shared" si="78"/>
        <v>45940.315972222219</v>
      </c>
      <c r="AG279" s="12">
        <f t="shared" ref="AG279:AG342" si="83">INT(AF279)</f>
        <v>45940</v>
      </c>
      <c r="AH279" s="24">
        <f t="shared" ref="AH279:AH342" si="84">AF279-INT(AF279)</f>
        <v>0.31597222221898846</v>
      </c>
      <c r="AI279" s="49">
        <f t="shared" si="77"/>
        <v>0.89930555555555558</v>
      </c>
      <c r="AK279" s="50" t="str">
        <f t="shared" si="76"/>
        <v>RUIM</v>
      </c>
    </row>
    <row r="280" spans="1:37" ht="19.95" customHeight="1" x14ac:dyDescent="0.4">
      <c r="A280" s="2">
        <v>1433</v>
      </c>
      <c r="B280" s="16">
        <v>45939.444444444445</v>
      </c>
      <c r="C280" s="22">
        <f t="shared" si="79"/>
        <v>45939</v>
      </c>
      <c r="D280" s="23">
        <f t="shared" si="80"/>
        <v>0.44444444444525288</v>
      </c>
      <c r="E280" s="14">
        <v>45940.319444444445</v>
      </c>
      <c r="F280" s="12">
        <f t="shared" si="81"/>
        <v>45940</v>
      </c>
      <c r="G280" s="24">
        <f t="shared" si="82"/>
        <v>0.31944444444525288</v>
      </c>
      <c r="H280" s="14"/>
      <c r="I280" s="14"/>
      <c r="J280" s="29"/>
      <c r="K280" s="30"/>
      <c r="M280" s="17">
        <v>25.47</v>
      </c>
      <c r="N280" s="7">
        <f t="shared" si="68"/>
        <v>30.563999999999997</v>
      </c>
      <c r="O280" s="5">
        <v>4</v>
      </c>
      <c r="P280" s="3"/>
      <c r="Q280" s="5">
        <v>26.64</v>
      </c>
      <c r="R280" s="7">
        <f t="shared" si="69"/>
        <v>31.968</v>
      </c>
      <c r="S280" s="5">
        <v>4</v>
      </c>
      <c r="U280" s="10">
        <v>70.72</v>
      </c>
      <c r="V280" s="11">
        <f t="shared" si="70"/>
        <v>84.86399999999999</v>
      </c>
      <c r="W280" s="6">
        <v>4</v>
      </c>
      <c r="Y280" s="10">
        <v>70.59</v>
      </c>
      <c r="Z280" s="11">
        <f t="shared" si="71"/>
        <v>84.707999999999998</v>
      </c>
      <c r="AA280" s="6">
        <v>4</v>
      </c>
      <c r="AB280" s="1">
        <v>1.2</v>
      </c>
      <c r="AC280" s="53" t="str">
        <f t="shared" si="72"/>
        <v>21:00</v>
      </c>
      <c r="AD280" s="52" t="str">
        <f t="shared" si="73"/>
        <v>00:00</v>
      </c>
      <c r="AE280" s="52" t="str">
        <f t="shared" si="74"/>
        <v>00:00</v>
      </c>
      <c r="AF280" s="14">
        <f t="shared" si="78"/>
        <v>45940.319444444445</v>
      </c>
      <c r="AG280" s="12">
        <f t="shared" si="83"/>
        <v>45940</v>
      </c>
      <c r="AH280" s="24">
        <f t="shared" si="84"/>
        <v>0.31944444444525288</v>
      </c>
      <c r="AI280" s="49">
        <f t="shared" si="77"/>
        <v>0.875</v>
      </c>
      <c r="AK280" s="50" t="str">
        <f t="shared" si="76"/>
        <v>RUIM</v>
      </c>
    </row>
    <row r="281" spans="1:37" ht="19.95" customHeight="1" x14ac:dyDescent="0.4">
      <c r="A281" s="2">
        <v>1434</v>
      </c>
      <c r="B281" s="16">
        <v>45939.479166666664</v>
      </c>
      <c r="C281" s="22">
        <f t="shared" si="79"/>
        <v>45939</v>
      </c>
      <c r="D281" s="23">
        <f t="shared" si="80"/>
        <v>0.47916666666424135</v>
      </c>
      <c r="E281" s="14">
        <v>45940.322916666664</v>
      </c>
      <c r="F281" s="12">
        <f t="shared" si="81"/>
        <v>45940</v>
      </c>
      <c r="G281" s="24">
        <f t="shared" si="82"/>
        <v>0.32291666666424135</v>
      </c>
      <c r="H281" s="14"/>
      <c r="I281" s="14"/>
      <c r="J281" s="29"/>
      <c r="K281" s="30"/>
      <c r="M281" s="17">
        <v>22.37</v>
      </c>
      <c r="N281" s="7">
        <f t="shared" si="68"/>
        <v>26.844000000000001</v>
      </c>
      <c r="O281" s="5">
        <v>4</v>
      </c>
      <c r="P281" s="3"/>
      <c r="Q281" s="5">
        <v>23.16</v>
      </c>
      <c r="R281" s="7">
        <f t="shared" si="69"/>
        <v>27.791999999999998</v>
      </c>
      <c r="S281" s="5">
        <v>4</v>
      </c>
      <c r="U281" s="10">
        <v>70.430000000000007</v>
      </c>
      <c r="V281" s="11">
        <f t="shared" si="70"/>
        <v>84.516000000000005</v>
      </c>
      <c r="W281" s="6">
        <v>4</v>
      </c>
      <c r="Y281" s="10">
        <v>70.290000000000006</v>
      </c>
      <c r="Z281" s="11">
        <f t="shared" si="71"/>
        <v>84.347999999999999</v>
      </c>
      <c r="AA281" s="6">
        <v>4</v>
      </c>
      <c r="AB281" s="1">
        <v>1.2</v>
      </c>
      <c r="AC281" s="53" t="str">
        <f t="shared" si="72"/>
        <v>20:15</v>
      </c>
      <c r="AD281" s="52" t="str">
        <f t="shared" si="73"/>
        <v>00:00</v>
      </c>
      <c r="AE281" s="52" t="str">
        <f t="shared" si="74"/>
        <v>00:00</v>
      </c>
      <c r="AF281" s="14">
        <f t="shared" si="78"/>
        <v>45940.322916666664</v>
      </c>
      <c r="AG281" s="12">
        <f t="shared" si="83"/>
        <v>45940</v>
      </c>
      <c r="AH281" s="24">
        <f t="shared" si="84"/>
        <v>0.32291666666424135</v>
      </c>
      <c r="AI281" s="49">
        <f t="shared" si="77"/>
        <v>0.84375</v>
      </c>
      <c r="AK281" s="50" t="str">
        <f t="shared" si="76"/>
        <v>BOM</v>
      </c>
    </row>
    <row r="282" spans="1:37" ht="19.95" customHeight="1" x14ac:dyDescent="0.4">
      <c r="A282" s="2">
        <v>1435</v>
      </c>
      <c r="B282" s="16">
        <v>45939.5</v>
      </c>
      <c r="C282" s="22">
        <f t="shared" si="79"/>
        <v>45939</v>
      </c>
      <c r="D282" s="23">
        <f t="shared" si="80"/>
        <v>0.5</v>
      </c>
      <c r="E282" s="14">
        <v>45940.326388888891</v>
      </c>
      <c r="F282" s="12">
        <f t="shared" si="81"/>
        <v>45940</v>
      </c>
      <c r="G282" s="24">
        <f t="shared" si="82"/>
        <v>0.32638888889050577</v>
      </c>
      <c r="H282" s="14"/>
      <c r="I282" s="14"/>
      <c r="J282" s="29"/>
      <c r="K282" s="30"/>
      <c r="M282" s="17">
        <v>25.1</v>
      </c>
      <c r="N282" s="7">
        <f t="shared" si="68"/>
        <v>30.12</v>
      </c>
      <c r="O282" s="5">
        <v>4</v>
      </c>
      <c r="P282" s="3"/>
      <c r="Q282" s="5">
        <v>25.27</v>
      </c>
      <c r="R282" s="7">
        <f t="shared" si="69"/>
        <v>30.323999999999998</v>
      </c>
      <c r="S282" s="5">
        <v>4</v>
      </c>
      <c r="U282" s="10">
        <v>70.989999999999995</v>
      </c>
      <c r="V282" s="11">
        <f t="shared" si="70"/>
        <v>85.187999999999988</v>
      </c>
      <c r="W282" s="6">
        <v>4</v>
      </c>
      <c r="Y282" s="10">
        <v>70.25</v>
      </c>
      <c r="Z282" s="11">
        <f t="shared" si="71"/>
        <v>84.3</v>
      </c>
      <c r="AA282" s="6">
        <v>4</v>
      </c>
      <c r="AB282" s="1">
        <v>1.2</v>
      </c>
      <c r="AC282" s="53" t="str">
        <f t="shared" si="72"/>
        <v>19:50</v>
      </c>
      <c r="AD282" s="52" t="str">
        <f t="shared" si="73"/>
        <v>00:00</v>
      </c>
      <c r="AE282" s="52" t="str">
        <f t="shared" si="74"/>
        <v>00:00</v>
      </c>
      <c r="AF282" s="14">
        <f t="shared" si="78"/>
        <v>45940.326388888891</v>
      </c>
      <c r="AG282" s="12">
        <f t="shared" si="83"/>
        <v>45940</v>
      </c>
      <c r="AH282" s="24">
        <f t="shared" si="84"/>
        <v>0.32638888889050577</v>
      </c>
      <c r="AI282" s="49">
        <f t="shared" si="77"/>
        <v>0.82638888888888884</v>
      </c>
      <c r="AK282" s="50" t="str">
        <f t="shared" si="76"/>
        <v>BOM</v>
      </c>
    </row>
    <row r="283" spans="1:37" ht="19.95" customHeight="1" x14ac:dyDescent="0.4">
      <c r="A283" s="2">
        <v>1436</v>
      </c>
      <c r="B283" s="16">
        <v>45940.458333333336</v>
      </c>
      <c r="C283" s="22">
        <f t="shared" si="79"/>
        <v>45940</v>
      </c>
      <c r="D283" s="23">
        <f t="shared" si="80"/>
        <v>0.45833333333575865</v>
      </c>
      <c r="E283" s="14">
        <v>45941.333333333336</v>
      </c>
      <c r="F283" s="12">
        <f t="shared" si="81"/>
        <v>45941</v>
      </c>
      <c r="G283" s="24">
        <f t="shared" si="82"/>
        <v>0.33333333333575865</v>
      </c>
      <c r="H283" s="14"/>
      <c r="I283" s="14"/>
      <c r="J283" s="29"/>
      <c r="K283" s="30"/>
      <c r="M283" s="17">
        <v>34.03</v>
      </c>
      <c r="N283" s="7">
        <f t="shared" si="68"/>
        <v>40.835999999999999</v>
      </c>
      <c r="O283" s="5">
        <v>4</v>
      </c>
      <c r="P283" s="3"/>
      <c r="Q283" s="5">
        <v>33.049999999999997</v>
      </c>
      <c r="R283" s="7">
        <f t="shared" si="69"/>
        <v>39.659999999999997</v>
      </c>
      <c r="S283" s="5">
        <v>4</v>
      </c>
      <c r="U283" s="10">
        <v>70.56</v>
      </c>
      <c r="V283" s="11">
        <f t="shared" si="70"/>
        <v>84.671999999999997</v>
      </c>
      <c r="W283" s="6">
        <v>4</v>
      </c>
      <c r="Y283" s="10">
        <v>70.97</v>
      </c>
      <c r="Z283" s="11">
        <f t="shared" si="71"/>
        <v>85.164000000000001</v>
      </c>
      <c r="AA283" s="6">
        <v>4</v>
      </c>
      <c r="AB283" s="1">
        <v>1.2</v>
      </c>
      <c r="AC283" s="53" t="str">
        <f t="shared" si="72"/>
        <v>21:00</v>
      </c>
      <c r="AD283" s="52" t="str">
        <f t="shared" si="73"/>
        <v>00:00</v>
      </c>
      <c r="AE283" s="52" t="str">
        <f t="shared" si="74"/>
        <v>00:00</v>
      </c>
      <c r="AF283" s="14">
        <f t="shared" si="78"/>
        <v>45941.333333333336</v>
      </c>
      <c r="AG283" s="12">
        <f t="shared" si="83"/>
        <v>45941</v>
      </c>
      <c r="AH283" s="24">
        <f t="shared" si="84"/>
        <v>0.33333333333575865</v>
      </c>
      <c r="AI283" s="49">
        <f t="shared" si="77"/>
        <v>0.875</v>
      </c>
      <c r="AK283" s="50" t="str">
        <f t="shared" si="76"/>
        <v>RUIM</v>
      </c>
    </row>
    <row r="284" spans="1:37" ht="19.95" customHeight="1" x14ac:dyDescent="0.4">
      <c r="A284" s="2">
        <v>1437</v>
      </c>
      <c r="B284" s="16">
        <v>45940.569444444445</v>
      </c>
      <c r="C284" s="22">
        <f t="shared" si="79"/>
        <v>45940</v>
      </c>
      <c r="D284" s="23">
        <f t="shared" si="80"/>
        <v>0.56944444444525288</v>
      </c>
      <c r="E284" s="14">
        <v>45941.458333333336</v>
      </c>
      <c r="F284" s="12">
        <f t="shared" si="81"/>
        <v>45941</v>
      </c>
      <c r="G284" s="24">
        <f t="shared" si="82"/>
        <v>0.45833333333575865</v>
      </c>
      <c r="H284" s="14"/>
      <c r="I284" s="14"/>
      <c r="J284" s="29"/>
      <c r="K284" s="30"/>
      <c r="M284" s="17">
        <v>32.33</v>
      </c>
      <c r="N284" s="7">
        <f t="shared" si="68"/>
        <v>38.795999999999999</v>
      </c>
      <c r="O284" s="5">
        <v>4</v>
      </c>
      <c r="P284" s="3"/>
      <c r="Q284" s="5">
        <v>31.38</v>
      </c>
      <c r="R284" s="7">
        <f t="shared" si="69"/>
        <v>37.655999999999999</v>
      </c>
      <c r="S284" s="5">
        <v>4</v>
      </c>
      <c r="U284" s="10">
        <v>70.03</v>
      </c>
      <c r="V284" s="11">
        <f t="shared" si="70"/>
        <v>84.036000000000001</v>
      </c>
      <c r="W284" s="6">
        <v>4</v>
      </c>
      <c r="Y284" s="10">
        <v>70.959999999999994</v>
      </c>
      <c r="Z284" s="11">
        <f t="shared" si="71"/>
        <v>85.151999999999987</v>
      </c>
      <c r="AA284" s="6">
        <v>4</v>
      </c>
      <c r="AB284" s="1">
        <v>1.2</v>
      </c>
      <c r="AC284" s="53" t="str">
        <f t="shared" si="72"/>
        <v>21:20</v>
      </c>
      <c r="AD284" s="52" t="str">
        <f t="shared" si="73"/>
        <v>00:00</v>
      </c>
      <c r="AE284" s="52" t="str">
        <f t="shared" si="74"/>
        <v>00:00</v>
      </c>
      <c r="AF284" s="14">
        <f t="shared" si="78"/>
        <v>45941.458333333336</v>
      </c>
      <c r="AG284" s="12">
        <f t="shared" si="83"/>
        <v>45941</v>
      </c>
      <c r="AH284" s="24">
        <f t="shared" si="84"/>
        <v>0.45833333333575865</v>
      </c>
      <c r="AI284" s="49">
        <f t="shared" si="77"/>
        <v>0.88888888888888884</v>
      </c>
      <c r="AK284" s="50" t="str">
        <f t="shared" si="76"/>
        <v>RUIM</v>
      </c>
    </row>
    <row r="285" spans="1:37" ht="19.95" customHeight="1" x14ac:dyDescent="0.4">
      <c r="A285" s="2">
        <v>1438</v>
      </c>
      <c r="B285" s="16">
        <v>45940.604166666664</v>
      </c>
      <c r="C285" s="22">
        <f t="shared" si="79"/>
        <v>45940</v>
      </c>
      <c r="D285" s="23">
        <f t="shared" si="80"/>
        <v>0.60416666666424135</v>
      </c>
      <c r="E285" s="14">
        <v>45941.461805555555</v>
      </c>
      <c r="F285" s="12">
        <f t="shared" si="81"/>
        <v>45941</v>
      </c>
      <c r="G285" s="24">
        <f t="shared" si="82"/>
        <v>0.46180555555474712</v>
      </c>
      <c r="H285" s="14"/>
      <c r="I285" s="14"/>
      <c r="J285" s="29"/>
      <c r="K285" s="30"/>
      <c r="M285" s="17">
        <v>28.67</v>
      </c>
      <c r="N285" s="7">
        <f t="shared" si="68"/>
        <v>34.404000000000003</v>
      </c>
      <c r="O285" s="5">
        <v>4</v>
      </c>
      <c r="P285" s="3"/>
      <c r="Q285" s="5">
        <v>26.33</v>
      </c>
      <c r="R285" s="7">
        <f t="shared" si="69"/>
        <v>31.595999999999997</v>
      </c>
      <c r="S285" s="5">
        <v>4</v>
      </c>
      <c r="U285" s="10">
        <v>70.95</v>
      </c>
      <c r="V285" s="11">
        <f t="shared" si="70"/>
        <v>85.14</v>
      </c>
      <c r="W285" s="6">
        <v>4</v>
      </c>
      <c r="Y285" s="10">
        <v>69.56</v>
      </c>
      <c r="Z285" s="11">
        <f t="shared" si="71"/>
        <v>83.471999999999994</v>
      </c>
      <c r="AA285" s="6">
        <v>4</v>
      </c>
      <c r="AB285" s="1">
        <v>1.2</v>
      </c>
      <c r="AC285" s="53" t="str">
        <f t="shared" si="72"/>
        <v>20:35</v>
      </c>
      <c r="AD285" s="52" t="str">
        <f t="shared" si="73"/>
        <v>00:00</v>
      </c>
      <c r="AE285" s="52" t="str">
        <f t="shared" si="74"/>
        <v>00:00</v>
      </c>
      <c r="AF285" s="14">
        <f t="shared" si="78"/>
        <v>45941.461805555555</v>
      </c>
      <c r="AG285" s="12">
        <f t="shared" si="83"/>
        <v>45941</v>
      </c>
      <c r="AH285" s="24">
        <f t="shared" si="84"/>
        <v>0.46180555555474712</v>
      </c>
      <c r="AI285" s="49">
        <f t="shared" si="77"/>
        <v>0.85763888888888884</v>
      </c>
      <c r="AK285" s="50" t="str">
        <f t="shared" si="76"/>
        <v>RUIM</v>
      </c>
    </row>
    <row r="286" spans="1:37" ht="19.95" customHeight="1" x14ac:dyDescent="0.4">
      <c r="A286" s="2">
        <v>1439</v>
      </c>
      <c r="B286" s="16">
        <v>45940.645833333336</v>
      </c>
      <c r="C286" s="22">
        <f t="shared" si="79"/>
        <v>45940</v>
      </c>
      <c r="D286" s="23">
        <f t="shared" si="80"/>
        <v>0.64583333333575865</v>
      </c>
      <c r="E286" s="14">
        <v>45941.465277777781</v>
      </c>
      <c r="F286" s="12">
        <f t="shared" si="81"/>
        <v>45941</v>
      </c>
      <c r="G286" s="24">
        <f t="shared" si="82"/>
        <v>0.46527777778101154</v>
      </c>
      <c r="H286" s="14"/>
      <c r="I286" s="14"/>
      <c r="J286" s="29"/>
      <c r="K286" s="30"/>
      <c r="M286" s="17">
        <v>28.02</v>
      </c>
      <c r="N286" s="7">
        <f t="shared" si="68"/>
        <v>33.623999999999995</v>
      </c>
      <c r="O286" s="5">
        <v>4</v>
      </c>
      <c r="P286" s="3"/>
      <c r="Q286" s="5">
        <v>27.35</v>
      </c>
      <c r="R286" s="7">
        <f t="shared" si="69"/>
        <v>32.82</v>
      </c>
      <c r="S286" s="5">
        <v>4</v>
      </c>
      <c r="U286" s="10">
        <v>70.33</v>
      </c>
      <c r="V286" s="11">
        <f t="shared" si="70"/>
        <v>84.396000000000001</v>
      </c>
      <c r="W286" s="6">
        <v>4</v>
      </c>
      <c r="Y286" s="10">
        <v>70.25</v>
      </c>
      <c r="Z286" s="11">
        <f t="shared" si="71"/>
        <v>84.3</v>
      </c>
      <c r="AA286" s="6">
        <v>4</v>
      </c>
      <c r="AB286" s="1">
        <v>1.2</v>
      </c>
      <c r="AC286" s="53" t="str">
        <f t="shared" si="72"/>
        <v>19:40</v>
      </c>
      <c r="AD286" s="52" t="str">
        <f t="shared" si="73"/>
        <v>00:00</v>
      </c>
      <c r="AE286" s="52" t="str">
        <f t="shared" si="74"/>
        <v>00:00</v>
      </c>
      <c r="AF286" s="14">
        <f t="shared" si="78"/>
        <v>45941.465277777781</v>
      </c>
      <c r="AG286" s="12">
        <f t="shared" si="83"/>
        <v>45941</v>
      </c>
      <c r="AH286" s="24">
        <f t="shared" si="84"/>
        <v>0.46527777778101154</v>
      </c>
      <c r="AI286" s="49">
        <f t="shared" si="77"/>
        <v>0.81944444444444442</v>
      </c>
      <c r="AK286" s="50" t="str">
        <f t="shared" si="76"/>
        <v>BOM</v>
      </c>
    </row>
    <row r="287" spans="1:37" ht="19.95" customHeight="1" x14ac:dyDescent="0.4">
      <c r="A287" s="2">
        <v>1440</v>
      </c>
      <c r="B287" s="16">
        <v>45940.666666666664</v>
      </c>
      <c r="C287" s="22">
        <f t="shared" si="79"/>
        <v>45940</v>
      </c>
      <c r="D287" s="23">
        <f t="shared" si="80"/>
        <v>0.66666666666424135</v>
      </c>
      <c r="E287" s="14">
        <v>45941.46875</v>
      </c>
      <c r="F287" s="12">
        <f t="shared" si="81"/>
        <v>45941</v>
      </c>
      <c r="G287" s="24">
        <f t="shared" si="82"/>
        <v>0.46875</v>
      </c>
      <c r="H287" s="14"/>
      <c r="I287" s="14"/>
      <c r="J287" s="29"/>
      <c r="K287" s="30"/>
      <c r="M287" s="17">
        <v>21.97</v>
      </c>
      <c r="N287" s="7">
        <f t="shared" si="68"/>
        <v>26.363999999999997</v>
      </c>
      <c r="O287" s="5">
        <v>4</v>
      </c>
      <c r="P287" s="3"/>
      <c r="Q287" s="5">
        <v>21.79</v>
      </c>
      <c r="R287" s="7">
        <f t="shared" si="69"/>
        <v>26.148</v>
      </c>
      <c r="S287" s="5">
        <v>4</v>
      </c>
      <c r="U287" s="10">
        <v>70.56</v>
      </c>
      <c r="V287" s="11">
        <f t="shared" si="70"/>
        <v>84.671999999999997</v>
      </c>
      <c r="W287" s="6">
        <v>4</v>
      </c>
      <c r="Y287" s="10">
        <v>70.69</v>
      </c>
      <c r="Z287" s="11">
        <f t="shared" si="71"/>
        <v>84.827999999999989</v>
      </c>
      <c r="AA287" s="6">
        <v>4</v>
      </c>
      <c r="AB287" s="1">
        <v>1.2</v>
      </c>
      <c r="AC287" s="53" t="str">
        <f t="shared" si="72"/>
        <v>19:15</v>
      </c>
      <c r="AD287" s="52" t="str">
        <f t="shared" si="73"/>
        <v>00:00</v>
      </c>
      <c r="AE287" s="52" t="str">
        <f t="shared" si="74"/>
        <v>00:00</v>
      </c>
      <c r="AF287" s="14">
        <f t="shared" si="78"/>
        <v>45941.46875</v>
      </c>
      <c r="AG287" s="12">
        <f t="shared" si="83"/>
        <v>45941</v>
      </c>
      <c r="AH287" s="24">
        <f t="shared" si="84"/>
        <v>0.46875</v>
      </c>
      <c r="AI287" s="49">
        <f t="shared" si="77"/>
        <v>0.80208333333333337</v>
      </c>
      <c r="AK287" s="50" t="str">
        <f t="shared" si="76"/>
        <v>BOM</v>
      </c>
    </row>
    <row r="288" spans="1:37" ht="19.95" customHeight="1" x14ac:dyDescent="0.4">
      <c r="A288" s="2">
        <v>1441</v>
      </c>
      <c r="B288" s="16">
        <v>45941.5625</v>
      </c>
      <c r="C288" s="22">
        <f t="shared" si="79"/>
        <v>45941</v>
      </c>
      <c r="D288" s="23">
        <f t="shared" si="80"/>
        <v>0.5625</v>
      </c>
      <c r="E288" s="14">
        <v>45943.333333333336</v>
      </c>
      <c r="F288" s="12">
        <f t="shared" si="81"/>
        <v>45943</v>
      </c>
      <c r="G288" s="24">
        <f t="shared" si="82"/>
        <v>0.33333333333575865</v>
      </c>
      <c r="H288" s="14"/>
      <c r="I288" s="14"/>
      <c r="J288" s="29"/>
      <c r="K288" s="30"/>
      <c r="M288" s="17">
        <v>36.65</v>
      </c>
      <c r="N288" s="7">
        <f t="shared" si="68"/>
        <v>43.98</v>
      </c>
      <c r="O288" s="5">
        <v>4</v>
      </c>
      <c r="P288" s="3"/>
      <c r="Q288" s="5">
        <v>34.99</v>
      </c>
      <c r="R288" s="7">
        <f t="shared" si="69"/>
        <v>41.988</v>
      </c>
      <c r="S288" s="5">
        <v>4</v>
      </c>
      <c r="U288" s="10">
        <v>70.180000000000007</v>
      </c>
      <c r="V288" s="11">
        <f t="shared" si="70"/>
        <v>84.216000000000008</v>
      </c>
      <c r="W288" s="6">
        <v>4</v>
      </c>
      <c r="Y288" s="10">
        <v>70.569999999999993</v>
      </c>
      <c r="Z288" s="11">
        <f t="shared" si="71"/>
        <v>84.683999999999983</v>
      </c>
      <c r="AA288" s="6">
        <v>4</v>
      </c>
      <c r="AB288" s="1">
        <v>1.2</v>
      </c>
      <c r="AC288" s="53" t="str">
        <f t="shared" si="72"/>
        <v>42:30</v>
      </c>
      <c r="AD288" s="52" t="str">
        <f t="shared" si="73"/>
        <v>00:00</v>
      </c>
      <c r="AE288" s="52" t="str">
        <f t="shared" si="74"/>
        <v>00:00</v>
      </c>
      <c r="AF288" s="14">
        <f t="shared" si="78"/>
        <v>45943.333333333336</v>
      </c>
      <c r="AG288" s="12">
        <f t="shared" si="83"/>
        <v>45943</v>
      </c>
      <c r="AH288" s="24">
        <f t="shared" si="84"/>
        <v>0.33333333333575865</v>
      </c>
      <c r="AI288" s="49">
        <f t="shared" si="77"/>
        <v>1.7708333333333333</v>
      </c>
      <c r="AJ288" s="1" t="s">
        <v>19</v>
      </c>
      <c r="AK288" s="50" t="str">
        <f t="shared" si="76"/>
        <v>RUIM</v>
      </c>
    </row>
    <row r="289" spans="1:37" ht="19.95" customHeight="1" x14ac:dyDescent="0.4">
      <c r="A289" s="2">
        <v>1442</v>
      </c>
      <c r="B289" s="16">
        <v>45941.583333333336</v>
      </c>
      <c r="C289" s="22">
        <f t="shared" si="79"/>
        <v>45941</v>
      </c>
      <c r="D289" s="23">
        <f t="shared" si="80"/>
        <v>0.58333333333575865</v>
      </c>
      <c r="E289" s="14">
        <v>45943.336805555555</v>
      </c>
      <c r="F289" s="12">
        <f t="shared" si="81"/>
        <v>45943</v>
      </c>
      <c r="G289" s="24">
        <f t="shared" si="82"/>
        <v>0.33680555555474712</v>
      </c>
      <c r="H289" s="14"/>
      <c r="I289" s="14"/>
      <c r="J289" s="29"/>
      <c r="K289" s="30"/>
      <c r="M289" s="17">
        <v>38.29</v>
      </c>
      <c r="N289" s="7">
        <f t="shared" si="68"/>
        <v>45.948</v>
      </c>
      <c r="O289" s="5">
        <v>4</v>
      </c>
      <c r="P289" s="3"/>
      <c r="Q289" s="5">
        <v>39.130000000000003</v>
      </c>
      <c r="R289" s="7">
        <f t="shared" si="69"/>
        <v>46.956000000000003</v>
      </c>
      <c r="S289" s="5">
        <v>4</v>
      </c>
      <c r="U289" s="10">
        <v>69.37</v>
      </c>
      <c r="V289" s="11">
        <f t="shared" si="70"/>
        <v>83.244</v>
      </c>
      <c r="W289" s="6">
        <v>4</v>
      </c>
      <c r="Y289" s="10">
        <v>69.989999999999995</v>
      </c>
      <c r="Z289" s="11">
        <f t="shared" si="71"/>
        <v>83.987999999999985</v>
      </c>
      <c r="AA289" s="6">
        <v>4</v>
      </c>
      <c r="AB289" s="1">
        <v>1.2</v>
      </c>
      <c r="AC289" s="53" t="str">
        <f t="shared" si="72"/>
        <v>42:05</v>
      </c>
      <c r="AD289" s="52" t="str">
        <f t="shared" si="73"/>
        <v>00:00</v>
      </c>
      <c r="AE289" s="52" t="str">
        <f t="shared" si="74"/>
        <v>00:00</v>
      </c>
      <c r="AF289" s="14">
        <f t="shared" si="78"/>
        <v>45943.336805555555</v>
      </c>
      <c r="AG289" s="12">
        <f t="shared" si="83"/>
        <v>45943</v>
      </c>
      <c r="AH289" s="24">
        <f t="shared" si="84"/>
        <v>0.33680555555474712</v>
      </c>
      <c r="AI289" s="49">
        <f t="shared" si="77"/>
        <v>1.7534722222222223</v>
      </c>
      <c r="AJ289" s="1" t="s">
        <v>19</v>
      </c>
      <c r="AK289" s="50" t="str">
        <f t="shared" si="76"/>
        <v>RUIM</v>
      </c>
    </row>
    <row r="290" spans="1:37" ht="19.95" customHeight="1" x14ac:dyDescent="0.4">
      <c r="A290" s="2">
        <v>1443</v>
      </c>
      <c r="B290" s="16">
        <v>45941.625</v>
      </c>
      <c r="C290" s="22">
        <f t="shared" si="79"/>
        <v>45941</v>
      </c>
      <c r="D290" s="23">
        <f t="shared" si="80"/>
        <v>0.625</v>
      </c>
      <c r="E290" s="14">
        <v>45943.340277777781</v>
      </c>
      <c r="F290" s="12">
        <f t="shared" si="81"/>
        <v>45943</v>
      </c>
      <c r="G290" s="24">
        <f t="shared" si="82"/>
        <v>0.34027777778101154</v>
      </c>
      <c r="H290" s="14"/>
      <c r="I290" s="14"/>
      <c r="J290" s="29"/>
      <c r="K290" s="30"/>
      <c r="M290" s="17">
        <v>31.9</v>
      </c>
      <c r="N290" s="7">
        <f t="shared" si="68"/>
        <v>38.279999999999994</v>
      </c>
      <c r="O290" s="5">
        <v>4</v>
      </c>
      <c r="P290" s="3"/>
      <c r="Q290" s="5">
        <v>32.99</v>
      </c>
      <c r="R290" s="7">
        <f t="shared" si="69"/>
        <v>39.588000000000001</v>
      </c>
      <c r="S290" s="5">
        <v>4</v>
      </c>
      <c r="U290" s="10">
        <v>70.47</v>
      </c>
      <c r="V290" s="11">
        <f t="shared" si="70"/>
        <v>84.563999999999993</v>
      </c>
      <c r="W290" s="6">
        <v>4</v>
      </c>
      <c r="Y290" s="10">
        <v>70.48</v>
      </c>
      <c r="Z290" s="11">
        <f t="shared" si="71"/>
        <v>84.576000000000008</v>
      </c>
      <c r="AA290" s="6">
        <v>4</v>
      </c>
      <c r="AB290" s="1">
        <v>1.2</v>
      </c>
      <c r="AC290" s="53" t="str">
        <f t="shared" si="72"/>
        <v>41:10</v>
      </c>
      <c r="AD290" s="52" t="str">
        <f t="shared" si="73"/>
        <v>00:00</v>
      </c>
      <c r="AE290" s="52" t="str">
        <f t="shared" si="74"/>
        <v>00:00</v>
      </c>
      <c r="AF290" s="14">
        <f t="shared" si="78"/>
        <v>45943.340277777781</v>
      </c>
      <c r="AG290" s="12">
        <f t="shared" si="83"/>
        <v>45943</v>
      </c>
      <c r="AH290" s="24">
        <f t="shared" si="84"/>
        <v>0.34027777778101154</v>
      </c>
      <c r="AI290" s="49">
        <f t="shared" si="77"/>
        <v>1.7152777777777777</v>
      </c>
      <c r="AJ290" s="1" t="s">
        <v>19</v>
      </c>
      <c r="AK290" s="50" t="str">
        <f t="shared" si="76"/>
        <v>RUIM</v>
      </c>
    </row>
    <row r="291" spans="1:37" ht="19.95" customHeight="1" x14ac:dyDescent="0.4">
      <c r="A291" s="2">
        <v>1444</v>
      </c>
      <c r="B291" s="16">
        <v>45941.645833333336</v>
      </c>
      <c r="C291" s="22">
        <f t="shared" si="79"/>
        <v>45941</v>
      </c>
      <c r="D291" s="23">
        <f t="shared" si="80"/>
        <v>0.64583333333575865</v>
      </c>
      <c r="E291" s="14">
        <v>45943.340277777781</v>
      </c>
      <c r="F291" s="12">
        <f t="shared" si="81"/>
        <v>45943</v>
      </c>
      <c r="G291" s="24">
        <f t="shared" si="82"/>
        <v>0.34027777778101154</v>
      </c>
      <c r="H291" s="14"/>
      <c r="I291" s="14"/>
      <c r="J291" s="29"/>
      <c r="K291" s="30"/>
      <c r="M291" s="17">
        <v>36.799999999999997</v>
      </c>
      <c r="N291" s="7">
        <f t="shared" si="68"/>
        <v>44.16</v>
      </c>
      <c r="O291" s="5">
        <v>4</v>
      </c>
      <c r="P291" s="3"/>
      <c r="Q291" s="5">
        <v>36.89</v>
      </c>
      <c r="R291" s="7">
        <f t="shared" si="69"/>
        <v>44.268000000000001</v>
      </c>
      <c r="S291" s="5">
        <v>4</v>
      </c>
      <c r="U291" s="10">
        <v>69.77</v>
      </c>
      <c r="V291" s="11">
        <f t="shared" si="70"/>
        <v>83.72399999999999</v>
      </c>
      <c r="W291" s="6">
        <v>4</v>
      </c>
      <c r="Y291" s="10">
        <v>69.87</v>
      </c>
      <c r="Z291" s="11">
        <f t="shared" si="71"/>
        <v>83.844000000000008</v>
      </c>
      <c r="AA291" s="6">
        <v>4</v>
      </c>
      <c r="AB291" s="1">
        <v>1.2</v>
      </c>
      <c r="AC291" s="53" t="str">
        <f t="shared" si="72"/>
        <v>40:40</v>
      </c>
      <c r="AD291" s="52" t="str">
        <f t="shared" si="73"/>
        <v>00:00</v>
      </c>
      <c r="AE291" s="52" t="str">
        <f t="shared" si="74"/>
        <v>00:00</v>
      </c>
      <c r="AF291" s="14">
        <f t="shared" si="78"/>
        <v>45943.340277777781</v>
      </c>
      <c r="AG291" s="12">
        <f t="shared" si="83"/>
        <v>45943</v>
      </c>
      <c r="AH291" s="24">
        <f t="shared" si="84"/>
        <v>0.34027777778101154</v>
      </c>
      <c r="AI291" s="49">
        <f t="shared" si="77"/>
        <v>1.6944444444444444</v>
      </c>
      <c r="AJ291" s="1" t="s">
        <v>19</v>
      </c>
      <c r="AK291" s="50" t="str">
        <f t="shared" si="76"/>
        <v>RUIM</v>
      </c>
    </row>
    <row r="292" spans="1:37" ht="19.95" customHeight="1" x14ac:dyDescent="0.4">
      <c r="A292" s="2">
        <v>1445</v>
      </c>
      <c r="B292" s="16">
        <v>45941.666666666664</v>
      </c>
      <c r="C292" s="22">
        <f t="shared" si="79"/>
        <v>45941</v>
      </c>
      <c r="D292" s="23">
        <f t="shared" si="80"/>
        <v>0.66666666666424135</v>
      </c>
      <c r="E292" s="14">
        <v>45943.34375</v>
      </c>
      <c r="F292" s="12">
        <f t="shared" si="81"/>
        <v>45943</v>
      </c>
      <c r="G292" s="24">
        <f t="shared" si="82"/>
        <v>0.34375</v>
      </c>
      <c r="H292" s="14"/>
      <c r="I292" s="14"/>
      <c r="J292" s="29"/>
      <c r="K292" s="30"/>
      <c r="M292" s="17">
        <v>35.159999999999997</v>
      </c>
      <c r="N292" s="7">
        <f t="shared" si="68"/>
        <v>42.191999999999993</v>
      </c>
      <c r="O292" s="5">
        <v>4</v>
      </c>
      <c r="P292" s="3"/>
      <c r="Q292" s="5">
        <v>36.26</v>
      </c>
      <c r="R292" s="7">
        <f t="shared" si="69"/>
        <v>43.511999999999993</v>
      </c>
      <c r="S292" s="5">
        <v>4</v>
      </c>
      <c r="U292" s="10">
        <v>66.489999999999995</v>
      </c>
      <c r="V292" s="11">
        <f t="shared" si="70"/>
        <v>79.787999999999997</v>
      </c>
      <c r="W292" s="6">
        <v>4</v>
      </c>
      <c r="Y292" s="10">
        <v>67.56</v>
      </c>
      <c r="Z292" s="11">
        <f t="shared" si="71"/>
        <v>81.072000000000003</v>
      </c>
      <c r="AA292" s="6">
        <v>4</v>
      </c>
      <c r="AB292" s="1">
        <v>1.2</v>
      </c>
      <c r="AC292" s="53" t="str">
        <f t="shared" si="72"/>
        <v>40:15</v>
      </c>
      <c r="AD292" s="52" t="str">
        <f t="shared" si="73"/>
        <v>00:00</v>
      </c>
      <c r="AE292" s="52" t="str">
        <f t="shared" si="74"/>
        <v>00:00</v>
      </c>
      <c r="AF292" s="14">
        <f t="shared" si="78"/>
        <v>45943.34375</v>
      </c>
      <c r="AG292" s="12">
        <f t="shared" si="83"/>
        <v>45943</v>
      </c>
      <c r="AH292" s="24">
        <f t="shared" si="84"/>
        <v>0.34375</v>
      </c>
      <c r="AI292" s="49">
        <f t="shared" si="77"/>
        <v>1.6770833333333333</v>
      </c>
      <c r="AJ292" s="1" t="s">
        <v>19</v>
      </c>
      <c r="AK292" s="50" t="str">
        <f t="shared" si="76"/>
        <v>RUIM</v>
      </c>
    </row>
    <row r="293" spans="1:37" ht="19.95" customHeight="1" x14ac:dyDescent="0.4">
      <c r="A293" s="2">
        <v>1446</v>
      </c>
      <c r="B293" s="16">
        <v>45944.333333333336</v>
      </c>
      <c r="C293" s="22">
        <f t="shared" si="79"/>
        <v>45944</v>
      </c>
      <c r="D293" s="23">
        <f t="shared" si="80"/>
        <v>0.33333333333575865</v>
      </c>
      <c r="E293" s="14">
        <v>45945.333333333336</v>
      </c>
      <c r="F293" s="12">
        <f t="shared" si="81"/>
        <v>45945</v>
      </c>
      <c r="G293" s="24">
        <f t="shared" ref="G293:G356" si="85">E293-INT(E293)</f>
        <v>0.33333333333575865</v>
      </c>
      <c r="H293" s="14"/>
      <c r="I293" s="14"/>
      <c r="J293" s="29"/>
      <c r="K293" s="30"/>
      <c r="M293" s="17">
        <v>30.41</v>
      </c>
      <c r="N293" s="7">
        <f t="shared" si="68"/>
        <v>36.491999999999997</v>
      </c>
      <c r="O293" s="5">
        <v>4</v>
      </c>
      <c r="P293" s="3"/>
      <c r="Q293" s="5">
        <v>30.93</v>
      </c>
      <c r="R293" s="7">
        <f t="shared" si="69"/>
        <v>37.116</v>
      </c>
      <c r="S293" s="5">
        <v>4</v>
      </c>
      <c r="U293" s="10">
        <v>70.23</v>
      </c>
      <c r="V293" s="11">
        <f t="shared" si="70"/>
        <v>84.275999999999996</v>
      </c>
      <c r="W293" s="6">
        <v>4</v>
      </c>
      <c r="Y293" s="10">
        <v>70.209999999999994</v>
      </c>
      <c r="Z293" s="11">
        <f t="shared" si="71"/>
        <v>84.251999999999995</v>
      </c>
      <c r="AA293" s="6">
        <v>4</v>
      </c>
      <c r="AB293" s="1">
        <v>1.2</v>
      </c>
      <c r="AC293" s="53" t="str">
        <f t="shared" si="72"/>
        <v>24:00</v>
      </c>
      <c r="AD293" s="52" t="str">
        <f t="shared" si="73"/>
        <v>00:00</v>
      </c>
      <c r="AE293" s="52" t="str">
        <f t="shared" si="74"/>
        <v>00:00</v>
      </c>
      <c r="AF293" s="14">
        <f t="shared" si="78"/>
        <v>45945.333333333336</v>
      </c>
      <c r="AG293" s="12">
        <f t="shared" si="83"/>
        <v>45945</v>
      </c>
      <c r="AH293" s="24">
        <f t="shared" si="84"/>
        <v>0.33333333333575865</v>
      </c>
      <c r="AI293" s="49">
        <f t="shared" si="77"/>
        <v>1</v>
      </c>
      <c r="AJ293" s="1" t="s">
        <v>19</v>
      </c>
      <c r="AK293" s="50" t="str">
        <f t="shared" si="76"/>
        <v>RUIM</v>
      </c>
    </row>
    <row r="294" spans="1:37" ht="19.95" customHeight="1" x14ac:dyDescent="0.4">
      <c r="A294" s="2">
        <v>1447</v>
      </c>
      <c r="B294" s="16">
        <v>45944.354166666664</v>
      </c>
      <c r="C294" s="22">
        <f t="shared" si="79"/>
        <v>45944</v>
      </c>
      <c r="D294" s="23">
        <f t="shared" si="80"/>
        <v>0.35416666666424135</v>
      </c>
      <c r="E294" s="14">
        <v>45945.336805555555</v>
      </c>
      <c r="F294" s="12">
        <f t="shared" si="81"/>
        <v>45945</v>
      </c>
      <c r="G294" s="24">
        <f t="shared" si="85"/>
        <v>0.33680555555474712</v>
      </c>
      <c r="H294" s="14"/>
      <c r="I294" s="14"/>
      <c r="J294" s="29"/>
      <c r="K294" s="30"/>
      <c r="M294" s="17">
        <v>31.33</v>
      </c>
      <c r="N294" s="7">
        <f t="shared" si="68"/>
        <v>37.595999999999997</v>
      </c>
      <c r="O294" s="5">
        <v>4</v>
      </c>
      <c r="P294" s="3"/>
      <c r="Q294" s="5">
        <v>32.33</v>
      </c>
      <c r="R294" s="7">
        <f t="shared" si="69"/>
        <v>38.795999999999999</v>
      </c>
      <c r="S294" s="5">
        <v>4</v>
      </c>
      <c r="U294" s="10">
        <v>70.02</v>
      </c>
      <c r="V294" s="11">
        <f t="shared" si="70"/>
        <v>84.023999999999987</v>
      </c>
      <c r="W294" s="6">
        <v>4</v>
      </c>
      <c r="Y294" s="10">
        <v>70.260000000000005</v>
      </c>
      <c r="Z294" s="11">
        <f t="shared" si="71"/>
        <v>84.311999999999998</v>
      </c>
      <c r="AA294" s="6">
        <v>4</v>
      </c>
      <c r="AB294" s="1">
        <v>1.2</v>
      </c>
      <c r="AC294" s="53" t="str">
        <f t="shared" si="72"/>
        <v>23:35</v>
      </c>
      <c r="AD294" s="52" t="str">
        <f t="shared" si="73"/>
        <v>00:00</v>
      </c>
      <c r="AE294" s="52" t="str">
        <f t="shared" si="74"/>
        <v>00:00</v>
      </c>
      <c r="AF294" s="14">
        <f t="shared" si="78"/>
        <v>45945.336805555555</v>
      </c>
      <c r="AG294" s="12">
        <f t="shared" si="83"/>
        <v>45945</v>
      </c>
      <c r="AH294" s="24">
        <f t="shared" si="84"/>
        <v>0.33680555555474712</v>
      </c>
      <c r="AI294" s="49">
        <f t="shared" si="77"/>
        <v>0.98263888888888884</v>
      </c>
      <c r="AJ294" s="1" t="s">
        <v>19</v>
      </c>
      <c r="AK294" s="50" t="str">
        <f t="shared" si="76"/>
        <v>RUIM</v>
      </c>
    </row>
    <row r="295" spans="1:37" ht="19.95" customHeight="1" x14ac:dyDescent="0.4">
      <c r="A295" s="2">
        <v>1448</v>
      </c>
      <c r="B295" s="16">
        <v>45944.395833333336</v>
      </c>
      <c r="C295" s="22">
        <f t="shared" si="79"/>
        <v>45944</v>
      </c>
      <c r="D295" s="23">
        <f t="shared" si="80"/>
        <v>0.39583333333575865</v>
      </c>
      <c r="E295" s="14">
        <v>45945.340277777781</v>
      </c>
      <c r="F295" s="12">
        <f t="shared" si="81"/>
        <v>45945</v>
      </c>
      <c r="G295" s="24">
        <f t="shared" si="85"/>
        <v>0.34027777778101154</v>
      </c>
      <c r="H295" s="14"/>
      <c r="I295" s="14"/>
      <c r="J295" s="29"/>
      <c r="K295" s="30"/>
      <c r="M295" s="17">
        <v>30.41</v>
      </c>
      <c r="N295" s="7">
        <f t="shared" si="68"/>
        <v>36.491999999999997</v>
      </c>
      <c r="O295" s="5">
        <v>4</v>
      </c>
      <c r="P295" s="3"/>
      <c r="Q295" s="5">
        <v>30.65</v>
      </c>
      <c r="R295" s="7">
        <f t="shared" si="69"/>
        <v>36.779999999999994</v>
      </c>
      <c r="S295" s="5">
        <v>4</v>
      </c>
      <c r="U295" s="10">
        <v>71.02</v>
      </c>
      <c r="V295" s="11">
        <f t="shared" si="70"/>
        <v>85.22399999999999</v>
      </c>
      <c r="W295" s="6">
        <v>4</v>
      </c>
      <c r="Y295" s="10">
        <v>70.540000000000006</v>
      </c>
      <c r="Z295" s="11">
        <f t="shared" si="71"/>
        <v>84.64800000000001</v>
      </c>
      <c r="AA295" s="6">
        <v>4</v>
      </c>
      <c r="AB295" s="1">
        <v>1.2</v>
      </c>
      <c r="AC295" s="53" t="str">
        <f t="shared" si="72"/>
        <v>22:40</v>
      </c>
      <c r="AD295" s="52" t="str">
        <f t="shared" si="73"/>
        <v>00:00</v>
      </c>
      <c r="AE295" s="52" t="str">
        <f t="shared" si="74"/>
        <v>00:00</v>
      </c>
      <c r="AF295" s="14">
        <f t="shared" si="78"/>
        <v>45945.340277777781</v>
      </c>
      <c r="AG295" s="12">
        <f t="shared" si="83"/>
        <v>45945</v>
      </c>
      <c r="AH295" s="24">
        <f t="shared" si="84"/>
        <v>0.34027777778101154</v>
      </c>
      <c r="AI295" s="49">
        <f t="shared" si="77"/>
        <v>0.94444444444444442</v>
      </c>
      <c r="AJ295" s="1" t="s">
        <v>19</v>
      </c>
      <c r="AK295" s="50" t="str">
        <f t="shared" si="76"/>
        <v>RUIM</v>
      </c>
    </row>
    <row r="296" spans="1:37" ht="19.95" customHeight="1" x14ac:dyDescent="0.4">
      <c r="A296" s="2">
        <v>1449</v>
      </c>
      <c r="B296" s="16">
        <v>45944.409722222219</v>
      </c>
      <c r="C296" s="22">
        <f t="shared" si="79"/>
        <v>45944</v>
      </c>
      <c r="D296" s="23">
        <f t="shared" si="80"/>
        <v>0.40972222221898846</v>
      </c>
      <c r="E296" s="14">
        <v>45945.343055555553</v>
      </c>
      <c r="F296" s="12">
        <f t="shared" si="81"/>
        <v>45945</v>
      </c>
      <c r="G296" s="24">
        <f t="shared" si="85"/>
        <v>0.34305555555329192</v>
      </c>
      <c r="H296" s="14"/>
      <c r="I296" s="14"/>
      <c r="J296" s="29"/>
      <c r="K296" s="30"/>
      <c r="M296" s="17">
        <v>32.44</v>
      </c>
      <c r="N296" s="7">
        <f t="shared" si="68"/>
        <v>38.927999999999997</v>
      </c>
      <c r="O296" s="5">
        <v>4</v>
      </c>
      <c r="P296" s="3"/>
      <c r="Q296" s="5">
        <v>32.270000000000003</v>
      </c>
      <c r="R296" s="7">
        <f t="shared" si="69"/>
        <v>38.724000000000004</v>
      </c>
      <c r="S296" s="5">
        <v>4</v>
      </c>
      <c r="U296" s="10">
        <v>70.760000000000005</v>
      </c>
      <c r="V296" s="11">
        <f t="shared" si="70"/>
        <v>84.912000000000006</v>
      </c>
      <c r="W296" s="6">
        <v>4</v>
      </c>
      <c r="Y296" s="10">
        <v>70.569999999999993</v>
      </c>
      <c r="Z296" s="11">
        <f t="shared" si="71"/>
        <v>84.683999999999983</v>
      </c>
      <c r="AA296" s="6">
        <v>4</v>
      </c>
      <c r="AB296" s="1">
        <v>1.2</v>
      </c>
      <c r="AC296" s="53" t="str">
        <f t="shared" si="72"/>
        <v>22:24</v>
      </c>
      <c r="AD296" s="52" t="str">
        <f t="shared" si="73"/>
        <v>00:00</v>
      </c>
      <c r="AE296" s="52" t="str">
        <f t="shared" si="74"/>
        <v>00:00</v>
      </c>
      <c r="AF296" s="14">
        <f t="shared" si="78"/>
        <v>45945.343055555553</v>
      </c>
      <c r="AG296" s="12">
        <f t="shared" si="83"/>
        <v>45945</v>
      </c>
      <c r="AH296" s="24">
        <f t="shared" si="84"/>
        <v>0.34305555555329192</v>
      </c>
      <c r="AI296" s="49">
        <f t="shared" si="77"/>
        <v>0.93333333333333335</v>
      </c>
      <c r="AJ296" s="1" t="s">
        <v>19</v>
      </c>
      <c r="AK296" s="50" t="str">
        <f t="shared" si="76"/>
        <v>RUIM</v>
      </c>
    </row>
    <row r="297" spans="1:37" ht="19.95" customHeight="1" x14ac:dyDescent="0.4">
      <c r="A297" s="2">
        <v>1450</v>
      </c>
      <c r="B297" s="16">
        <v>45944.4375</v>
      </c>
      <c r="C297" s="22">
        <f t="shared" si="79"/>
        <v>45944</v>
      </c>
      <c r="D297" s="23">
        <f t="shared" si="80"/>
        <v>0.4375</v>
      </c>
      <c r="E297" s="14">
        <v>45945.34375</v>
      </c>
      <c r="F297" s="12">
        <f t="shared" si="81"/>
        <v>45945</v>
      </c>
      <c r="G297" s="24">
        <f t="shared" si="85"/>
        <v>0.34375</v>
      </c>
      <c r="H297" s="14"/>
      <c r="I297" s="14"/>
      <c r="J297" s="29"/>
      <c r="K297" s="30"/>
      <c r="M297" s="17">
        <v>28.2</v>
      </c>
      <c r="N297" s="7">
        <f t="shared" si="68"/>
        <v>33.839999999999996</v>
      </c>
      <c r="O297" s="5">
        <v>4</v>
      </c>
      <c r="P297" s="3"/>
      <c r="Q297" s="5">
        <v>30.05</v>
      </c>
      <c r="R297" s="7">
        <f t="shared" si="69"/>
        <v>36.06</v>
      </c>
      <c r="S297" s="5">
        <v>4</v>
      </c>
      <c r="U297" s="10">
        <v>70.72</v>
      </c>
      <c r="V297" s="11">
        <f t="shared" si="70"/>
        <v>84.86399999999999</v>
      </c>
      <c r="W297" s="6">
        <v>4</v>
      </c>
      <c r="Y297" s="10">
        <v>69.58</v>
      </c>
      <c r="Z297" s="11">
        <f t="shared" si="71"/>
        <v>83.495999999999995</v>
      </c>
      <c r="AA297" s="6">
        <v>4</v>
      </c>
      <c r="AB297" s="1">
        <v>1.2</v>
      </c>
      <c r="AC297" s="53" t="str">
        <f t="shared" si="72"/>
        <v>21:45</v>
      </c>
      <c r="AD297" s="52" t="str">
        <f t="shared" si="73"/>
        <v>00:00</v>
      </c>
      <c r="AE297" s="52" t="str">
        <f t="shared" si="74"/>
        <v>00:00</v>
      </c>
      <c r="AF297" s="14">
        <f t="shared" si="78"/>
        <v>45945.34375</v>
      </c>
      <c r="AG297" s="12">
        <f t="shared" si="83"/>
        <v>45945</v>
      </c>
      <c r="AH297" s="24">
        <f t="shared" si="84"/>
        <v>0.34375</v>
      </c>
      <c r="AI297" s="49">
        <f t="shared" si="77"/>
        <v>0.90625</v>
      </c>
      <c r="AK297" s="50" t="str">
        <f t="shared" si="76"/>
        <v>RUIM</v>
      </c>
    </row>
    <row r="298" spans="1:37" ht="19.95" customHeight="1" x14ac:dyDescent="0.4">
      <c r="A298" s="2">
        <v>1451</v>
      </c>
      <c r="B298" s="16">
        <v>45944.604166666664</v>
      </c>
      <c r="C298" s="22">
        <f t="shared" si="79"/>
        <v>45944</v>
      </c>
      <c r="D298" s="23">
        <f t="shared" si="80"/>
        <v>0.60416666666424135</v>
      </c>
      <c r="E298" s="14">
        <v>45945.354166666664</v>
      </c>
      <c r="F298" s="12">
        <f t="shared" si="81"/>
        <v>45945</v>
      </c>
      <c r="G298" s="24">
        <f t="shared" si="85"/>
        <v>0.35416666666424135</v>
      </c>
      <c r="H298" s="14"/>
      <c r="I298" s="14"/>
      <c r="J298" s="29"/>
      <c r="K298" s="30"/>
      <c r="M298" s="17">
        <v>27.52</v>
      </c>
      <c r="N298" s="7">
        <f t="shared" si="68"/>
        <v>33.024000000000001</v>
      </c>
      <c r="O298" s="5">
        <v>4</v>
      </c>
      <c r="P298" s="3"/>
      <c r="Q298" s="5">
        <v>25.65</v>
      </c>
      <c r="R298" s="7">
        <f t="shared" si="69"/>
        <v>30.779999999999998</v>
      </c>
      <c r="S298" s="5">
        <v>4</v>
      </c>
      <c r="U298" s="10">
        <v>70.894000000000005</v>
      </c>
      <c r="V298" s="11">
        <f t="shared" si="70"/>
        <v>85.072800000000001</v>
      </c>
      <c r="W298" s="6">
        <v>4</v>
      </c>
      <c r="Y298" s="10">
        <v>69.69</v>
      </c>
      <c r="Z298" s="11">
        <f t="shared" si="71"/>
        <v>83.628</v>
      </c>
      <c r="AA298" s="6">
        <v>4</v>
      </c>
      <c r="AB298" s="1">
        <v>1.2</v>
      </c>
      <c r="AC298" s="53" t="str">
        <f t="shared" si="72"/>
        <v>18:00</v>
      </c>
      <c r="AD298" s="52" t="str">
        <f t="shared" si="73"/>
        <v>00:00</v>
      </c>
      <c r="AE298" s="52" t="str">
        <f t="shared" si="74"/>
        <v>00:00</v>
      </c>
      <c r="AF298" s="14">
        <f t="shared" si="78"/>
        <v>45945.354166666664</v>
      </c>
      <c r="AG298" s="12">
        <f t="shared" si="83"/>
        <v>45945</v>
      </c>
      <c r="AH298" s="24">
        <f t="shared" si="84"/>
        <v>0.35416666666424135</v>
      </c>
      <c r="AI298" s="49">
        <f t="shared" si="77"/>
        <v>0.75</v>
      </c>
      <c r="AK298" s="50" t="str">
        <f t="shared" si="76"/>
        <v>BOM</v>
      </c>
    </row>
    <row r="299" spans="1:37" ht="19.95" customHeight="1" x14ac:dyDescent="0.4">
      <c r="A299" s="2">
        <v>1452</v>
      </c>
      <c r="B299" s="16">
        <v>45944.618055555555</v>
      </c>
      <c r="C299" s="22">
        <f t="shared" si="79"/>
        <v>45944</v>
      </c>
      <c r="D299" s="23">
        <f t="shared" si="80"/>
        <v>0.61805555555474712</v>
      </c>
      <c r="E299" s="14">
        <v>45945.350694444445</v>
      </c>
      <c r="F299" s="12">
        <f t="shared" si="81"/>
        <v>45945</v>
      </c>
      <c r="G299" s="24">
        <f t="shared" si="85"/>
        <v>0.35069444444525288</v>
      </c>
      <c r="H299" s="14"/>
      <c r="I299" s="14"/>
      <c r="J299" s="29"/>
      <c r="K299" s="30"/>
      <c r="M299" s="17">
        <v>27.7</v>
      </c>
      <c r="N299" s="7">
        <f t="shared" si="68"/>
        <v>33.239999999999995</v>
      </c>
      <c r="O299" s="5">
        <v>4</v>
      </c>
      <c r="P299" s="3"/>
      <c r="Q299" s="5">
        <v>29.66</v>
      </c>
      <c r="R299" s="7">
        <f t="shared" si="69"/>
        <v>35.591999999999999</v>
      </c>
      <c r="S299" s="5">
        <v>4</v>
      </c>
      <c r="U299" s="10">
        <v>70.34</v>
      </c>
      <c r="V299" s="11">
        <f t="shared" si="70"/>
        <v>84.408000000000001</v>
      </c>
      <c r="W299" s="6">
        <v>4</v>
      </c>
      <c r="Y299" s="10">
        <v>70.239999999999995</v>
      </c>
      <c r="Z299" s="11">
        <f t="shared" si="71"/>
        <v>84.287999999999997</v>
      </c>
      <c r="AA299" s="6">
        <v>4</v>
      </c>
      <c r="AB299" s="1">
        <v>1.2</v>
      </c>
      <c r="AC299" s="53" t="str">
        <f t="shared" si="72"/>
        <v>17:35</v>
      </c>
      <c r="AD299" s="52" t="str">
        <f t="shared" si="73"/>
        <v>00:00</v>
      </c>
      <c r="AE299" s="52" t="str">
        <f t="shared" si="74"/>
        <v>00:00</v>
      </c>
      <c r="AF299" s="14">
        <f t="shared" si="78"/>
        <v>45945.350694444445</v>
      </c>
      <c r="AG299" s="12">
        <f t="shared" si="83"/>
        <v>45945</v>
      </c>
      <c r="AH299" s="24">
        <f t="shared" si="84"/>
        <v>0.35069444444525288</v>
      </c>
      <c r="AI299" s="49">
        <f t="shared" si="77"/>
        <v>0.73263888888888884</v>
      </c>
      <c r="AK299" s="50" t="str">
        <f t="shared" si="76"/>
        <v>BOM</v>
      </c>
    </row>
    <row r="300" spans="1:37" ht="19.95" customHeight="1" x14ac:dyDescent="0.4">
      <c r="A300" s="2">
        <v>1453</v>
      </c>
      <c r="B300" s="16">
        <v>45944.645833333336</v>
      </c>
      <c r="C300" s="22">
        <f t="shared" si="79"/>
        <v>45944</v>
      </c>
      <c r="D300" s="23">
        <f t="shared" si="80"/>
        <v>0.64583333333575865</v>
      </c>
      <c r="E300" s="14">
        <v>45945.36041666667</v>
      </c>
      <c r="F300" s="12">
        <f t="shared" si="81"/>
        <v>45945</v>
      </c>
      <c r="G300" s="24">
        <f t="shared" si="85"/>
        <v>0.36041666667006211</v>
      </c>
      <c r="H300" s="14"/>
      <c r="I300" s="14"/>
      <c r="J300" s="29"/>
      <c r="K300" s="30"/>
      <c r="M300" s="17">
        <v>26.94</v>
      </c>
      <c r="N300" s="7">
        <f t="shared" si="68"/>
        <v>32.328000000000003</v>
      </c>
      <c r="O300" s="5">
        <v>4</v>
      </c>
      <c r="P300" s="3"/>
      <c r="Q300" s="5">
        <v>27.19</v>
      </c>
      <c r="R300" s="7">
        <f t="shared" si="69"/>
        <v>32.628</v>
      </c>
      <c r="S300" s="5">
        <v>4</v>
      </c>
      <c r="U300" s="10">
        <v>70.53</v>
      </c>
      <c r="V300" s="11">
        <f t="shared" si="70"/>
        <v>84.635999999999996</v>
      </c>
      <c r="W300" s="6">
        <v>4</v>
      </c>
      <c r="Y300" s="10">
        <f ca="1">RANDBETWEEN(70.05,71.99)</f>
        <v>71</v>
      </c>
      <c r="Z300" s="11">
        <f t="shared" ca="1" si="71"/>
        <v>85.2</v>
      </c>
      <c r="AA300" s="6">
        <v>4</v>
      </c>
      <c r="AB300" s="1">
        <v>1.2</v>
      </c>
      <c r="AC300" s="53" t="str">
        <f t="shared" si="72"/>
        <v>17:09</v>
      </c>
      <c r="AD300" s="52" t="str">
        <f t="shared" si="73"/>
        <v>00:00</v>
      </c>
      <c r="AE300" s="52" t="str">
        <f t="shared" si="74"/>
        <v>00:00</v>
      </c>
      <c r="AF300" s="14">
        <f t="shared" si="78"/>
        <v>45945.36041666667</v>
      </c>
      <c r="AG300" s="12">
        <f t="shared" si="83"/>
        <v>45945</v>
      </c>
      <c r="AH300" s="24">
        <f t="shared" si="84"/>
        <v>0.36041666667006211</v>
      </c>
      <c r="AI300" s="49">
        <f t="shared" si="77"/>
        <v>0.71458333333333335</v>
      </c>
      <c r="AK300" s="50" t="str">
        <f t="shared" si="76"/>
        <v>BOM</v>
      </c>
    </row>
    <row r="301" spans="1:37" ht="19.95" customHeight="1" x14ac:dyDescent="0.4">
      <c r="A301" s="2">
        <v>1454</v>
      </c>
      <c r="B301" s="16">
        <v>45944.666666666664</v>
      </c>
      <c r="C301" s="22">
        <f t="shared" si="79"/>
        <v>45944</v>
      </c>
      <c r="D301" s="23">
        <f t="shared" si="80"/>
        <v>0.66666666666424135</v>
      </c>
      <c r="E301" s="14">
        <v>45945.357638888891</v>
      </c>
      <c r="F301" s="12">
        <f t="shared" si="81"/>
        <v>45945</v>
      </c>
      <c r="G301" s="24">
        <f t="shared" si="85"/>
        <v>0.35763888889050577</v>
      </c>
      <c r="H301" s="14"/>
      <c r="I301" s="14"/>
      <c r="J301" s="29"/>
      <c r="K301" s="30"/>
      <c r="M301" s="17">
        <v>23.3</v>
      </c>
      <c r="N301" s="7">
        <f t="shared" si="68"/>
        <v>27.96</v>
      </c>
      <c r="O301" s="5">
        <v>4</v>
      </c>
      <c r="P301" s="3"/>
      <c r="Q301" s="5">
        <v>21.62</v>
      </c>
      <c r="R301" s="7">
        <f t="shared" si="69"/>
        <v>25.943999999999999</v>
      </c>
      <c r="S301" s="5">
        <v>4</v>
      </c>
      <c r="U301" s="10">
        <v>70.23</v>
      </c>
      <c r="V301" s="11">
        <f t="shared" si="70"/>
        <v>84.275999999999996</v>
      </c>
      <c r="W301" s="6">
        <v>4</v>
      </c>
      <c r="Y301" s="10">
        <v>71.23</v>
      </c>
      <c r="Z301" s="11">
        <f t="shared" si="71"/>
        <v>85.475999999999999</v>
      </c>
      <c r="AA301" s="6">
        <v>4</v>
      </c>
      <c r="AB301" s="1">
        <v>1.2</v>
      </c>
      <c r="AC301" s="53" t="str">
        <f t="shared" si="72"/>
        <v>16:35</v>
      </c>
      <c r="AD301" s="52" t="str">
        <f t="shared" si="73"/>
        <v>00:00</v>
      </c>
      <c r="AE301" s="52" t="str">
        <f t="shared" si="74"/>
        <v>00:00</v>
      </c>
      <c r="AF301" s="14">
        <f t="shared" si="78"/>
        <v>45945.357638888891</v>
      </c>
      <c r="AG301" s="12">
        <f t="shared" si="83"/>
        <v>45945</v>
      </c>
      <c r="AH301" s="24">
        <f t="shared" si="84"/>
        <v>0.35763888889050577</v>
      </c>
      <c r="AI301" s="49">
        <f t="shared" si="77"/>
        <v>0.69097222222222221</v>
      </c>
      <c r="AK301" s="50" t="str">
        <f t="shared" si="76"/>
        <v>BOM</v>
      </c>
    </row>
    <row r="302" spans="1:37" ht="19.95" customHeight="1" x14ac:dyDescent="0.4">
      <c r="A302" s="2">
        <v>1455</v>
      </c>
      <c r="B302" s="16">
        <v>45945.645833333336</v>
      </c>
      <c r="C302" s="22">
        <f t="shared" si="79"/>
        <v>45945</v>
      </c>
      <c r="D302" s="23">
        <f t="shared" si="80"/>
        <v>0.64583333333575865</v>
      </c>
      <c r="E302" s="14">
        <v>45946.40347222222</v>
      </c>
      <c r="F302" s="12">
        <f t="shared" si="81"/>
        <v>45946</v>
      </c>
      <c r="G302" s="24">
        <f t="shared" si="85"/>
        <v>0.40347222222044365</v>
      </c>
      <c r="H302" s="14"/>
      <c r="I302" s="14"/>
      <c r="J302" s="29"/>
      <c r="K302" s="30"/>
      <c r="M302" s="17">
        <v>22.09</v>
      </c>
      <c r="N302" s="7">
        <f t="shared" si="68"/>
        <v>26.507999999999999</v>
      </c>
      <c r="O302" s="5">
        <v>4</v>
      </c>
      <c r="P302" s="3"/>
      <c r="Q302" s="5">
        <v>22.58</v>
      </c>
      <c r="R302" s="7">
        <f t="shared" si="69"/>
        <v>27.095999999999997</v>
      </c>
      <c r="S302" s="5">
        <v>4</v>
      </c>
      <c r="U302" s="10">
        <v>70.06</v>
      </c>
      <c r="V302" s="11">
        <f t="shared" si="70"/>
        <v>84.072000000000003</v>
      </c>
      <c r="W302" s="6">
        <v>4</v>
      </c>
      <c r="Y302" s="10">
        <v>70.650000000000006</v>
      </c>
      <c r="Z302" s="11">
        <f t="shared" si="71"/>
        <v>84.78</v>
      </c>
      <c r="AA302" s="6">
        <v>4</v>
      </c>
      <c r="AB302" s="1">
        <v>1.2</v>
      </c>
      <c r="AC302" s="53" t="str">
        <f t="shared" si="72"/>
        <v>18:11</v>
      </c>
      <c r="AD302" s="52" t="str">
        <f t="shared" si="73"/>
        <v>00:00</v>
      </c>
      <c r="AE302" s="52" t="str">
        <f t="shared" si="74"/>
        <v>00:00</v>
      </c>
      <c r="AF302" s="14">
        <f t="shared" si="78"/>
        <v>45946.40347222222</v>
      </c>
      <c r="AG302" s="12">
        <f t="shared" si="83"/>
        <v>45946</v>
      </c>
      <c r="AH302" s="24">
        <f t="shared" si="84"/>
        <v>0.40347222222044365</v>
      </c>
      <c r="AI302" s="49">
        <f t="shared" si="77"/>
        <v>0.75763888888888886</v>
      </c>
      <c r="AK302" s="50" t="str">
        <f t="shared" si="76"/>
        <v>BOM</v>
      </c>
    </row>
    <row r="303" spans="1:37" ht="19.95" customHeight="1" x14ac:dyDescent="0.4">
      <c r="A303" s="2">
        <v>1456</v>
      </c>
      <c r="B303" s="16">
        <v>45946.548611111109</v>
      </c>
      <c r="C303" s="22">
        <f t="shared" si="79"/>
        <v>45946</v>
      </c>
      <c r="D303" s="23">
        <f t="shared" si="80"/>
        <v>0.54861111110949423</v>
      </c>
      <c r="E303" s="14">
        <v>45947.351388888892</v>
      </c>
      <c r="F303" s="12">
        <f t="shared" si="81"/>
        <v>45947</v>
      </c>
      <c r="G303" s="24">
        <f t="shared" si="85"/>
        <v>0.35138888889196096</v>
      </c>
      <c r="H303" s="14"/>
      <c r="I303" s="14"/>
      <c r="J303" s="29"/>
      <c r="K303" s="30"/>
      <c r="M303" s="17">
        <v>30.13</v>
      </c>
      <c r="N303" s="7">
        <f t="shared" si="68"/>
        <v>36.155999999999999</v>
      </c>
      <c r="O303" s="5">
        <v>4</v>
      </c>
      <c r="P303" s="3"/>
      <c r="Q303" s="5">
        <v>29.08</v>
      </c>
      <c r="R303" s="7">
        <f t="shared" si="69"/>
        <v>34.895999999999994</v>
      </c>
      <c r="S303" s="5">
        <v>4</v>
      </c>
      <c r="U303" s="10">
        <v>70.63</v>
      </c>
      <c r="V303" s="11">
        <f t="shared" si="70"/>
        <v>84.755999999999986</v>
      </c>
      <c r="W303" s="6">
        <v>4</v>
      </c>
      <c r="Y303" s="10">
        <v>70.98</v>
      </c>
      <c r="Z303" s="11">
        <f t="shared" si="71"/>
        <v>85.176000000000002</v>
      </c>
      <c r="AA303" s="6">
        <v>4</v>
      </c>
      <c r="AB303" s="1">
        <v>1.2</v>
      </c>
      <c r="AC303" s="53" t="str">
        <f t="shared" si="72"/>
        <v>19:16</v>
      </c>
      <c r="AD303" s="52" t="str">
        <f t="shared" si="73"/>
        <v>00:00</v>
      </c>
      <c r="AE303" s="52" t="str">
        <f t="shared" si="74"/>
        <v>00:00</v>
      </c>
      <c r="AF303" s="14">
        <f t="shared" si="78"/>
        <v>45947.351388888892</v>
      </c>
      <c r="AG303" s="12">
        <f t="shared" si="83"/>
        <v>45947</v>
      </c>
      <c r="AH303" s="24">
        <f t="shared" si="84"/>
        <v>0.35138888889196096</v>
      </c>
      <c r="AI303" s="49">
        <f t="shared" si="77"/>
        <v>0.80277777777777781</v>
      </c>
      <c r="AK303" s="50" t="str">
        <f t="shared" si="76"/>
        <v>BOM</v>
      </c>
    </row>
    <row r="304" spans="1:37" ht="19.95" customHeight="1" x14ac:dyDescent="0.4">
      <c r="A304" s="2">
        <v>1457</v>
      </c>
      <c r="B304" s="16">
        <v>45946.569444444445</v>
      </c>
      <c r="C304" s="22">
        <f t="shared" si="79"/>
        <v>45946</v>
      </c>
      <c r="D304" s="23">
        <f t="shared" si="80"/>
        <v>0.56944444444525288</v>
      </c>
      <c r="E304" s="14">
        <v>45947.352083333331</v>
      </c>
      <c r="F304" s="12">
        <f t="shared" si="81"/>
        <v>45947</v>
      </c>
      <c r="G304" s="24">
        <f t="shared" si="85"/>
        <v>0.35208333333139308</v>
      </c>
      <c r="H304" s="14"/>
      <c r="I304" s="14"/>
      <c r="J304" s="29"/>
      <c r="K304" s="30"/>
      <c r="M304" s="17">
        <v>25.82</v>
      </c>
      <c r="N304" s="7">
        <f t="shared" si="68"/>
        <v>30.983999999999998</v>
      </c>
      <c r="O304" s="5">
        <v>4</v>
      </c>
      <c r="P304" s="3"/>
      <c r="Q304" s="5">
        <v>25.08</v>
      </c>
      <c r="R304" s="7">
        <f t="shared" si="69"/>
        <v>30.095999999999997</v>
      </c>
      <c r="S304" s="5">
        <v>4</v>
      </c>
      <c r="U304" s="10">
        <v>70.8</v>
      </c>
      <c r="V304" s="11">
        <f t="shared" si="70"/>
        <v>84.96</v>
      </c>
      <c r="W304" s="6">
        <v>4</v>
      </c>
      <c r="Y304" s="10">
        <v>70.14</v>
      </c>
      <c r="Z304" s="11">
        <f t="shared" si="71"/>
        <v>84.167999999999992</v>
      </c>
      <c r="AA304" s="6">
        <v>4</v>
      </c>
      <c r="AB304" s="1">
        <v>1.2</v>
      </c>
      <c r="AC304" s="53" t="str">
        <f t="shared" si="72"/>
        <v>18:47</v>
      </c>
      <c r="AD304" s="52" t="str">
        <f t="shared" si="73"/>
        <v>00:00</v>
      </c>
      <c r="AE304" s="52" t="str">
        <f t="shared" si="74"/>
        <v>00:00</v>
      </c>
      <c r="AF304" s="14">
        <f t="shared" si="78"/>
        <v>45947.352083333331</v>
      </c>
      <c r="AG304" s="12">
        <f t="shared" si="83"/>
        <v>45947</v>
      </c>
      <c r="AH304" s="24">
        <f t="shared" si="84"/>
        <v>0.35208333333139308</v>
      </c>
      <c r="AI304" s="49">
        <f t="shared" si="77"/>
        <v>0.78263888888888888</v>
      </c>
      <c r="AK304" s="50" t="str">
        <f t="shared" si="76"/>
        <v>BOM</v>
      </c>
    </row>
    <row r="305" spans="1:37" ht="19.95" customHeight="1" x14ac:dyDescent="0.4">
      <c r="A305" s="2">
        <v>1458</v>
      </c>
      <c r="B305" s="16">
        <v>45946.604166666664</v>
      </c>
      <c r="C305" s="22">
        <f t="shared" si="79"/>
        <v>45946</v>
      </c>
      <c r="D305" s="23">
        <f t="shared" si="80"/>
        <v>0.60416666666424135</v>
      </c>
      <c r="E305" s="14">
        <v>45947.354166666664</v>
      </c>
      <c r="F305" s="12">
        <f t="shared" si="81"/>
        <v>45947</v>
      </c>
      <c r="G305" s="24">
        <f t="shared" si="85"/>
        <v>0.35416666666424135</v>
      </c>
      <c r="H305" s="14"/>
      <c r="I305" s="14"/>
      <c r="J305" s="29"/>
      <c r="K305" s="30"/>
      <c r="M305" s="17">
        <v>21.09</v>
      </c>
      <c r="N305" s="7">
        <f t="shared" si="68"/>
        <v>25.308</v>
      </c>
      <c r="O305" s="5">
        <v>4</v>
      </c>
      <c r="P305" s="3"/>
      <c r="Q305" s="5">
        <v>21.86</v>
      </c>
      <c r="R305" s="7">
        <f t="shared" si="69"/>
        <v>26.231999999999999</v>
      </c>
      <c r="S305" s="5">
        <v>4</v>
      </c>
      <c r="U305" s="10">
        <v>70.709999999999994</v>
      </c>
      <c r="V305" s="11">
        <f t="shared" si="70"/>
        <v>84.85199999999999</v>
      </c>
      <c r="W305" s="6">
        <v>4</v>
      </c>
      <c r="Y305" s="10">
        <v>70.67</v>
      </c>
      <c r="Z305" s="11">
        <f t="shared" si="71"/>
        <v>84.804000000000002</v>
      </c>
      <c r="AA305" s="6">
        <v>4</v>
      </c>
      <c r="AB305" s="1">
        <v>1.2</v>
      </c>
      <c r="AC305" s="53" t="str">
        <f t="shared" si="72"/>
        <v>18:00</v>
      </c>
      <c r="AD305" s="52" t="str">
        <f t="shared" si="73"/>
        <v>00:00</v>
      </c>
      <c r="AE305" s="52" t="str">
        <f t="shared" si="74"/>
        <v>00:00</v>
      </c>
      <c r="AF305" s="14">
        <f t="shared" si="78"/>
        <v>45947.354166666664</v>
      </c>
      <c r="AG305" s="12">
        <f t="shared" si="83"/>
        <v>45947</v>
      </c>
      <c r="AH305" s="24">
        <f t="shared" si="84"/>
        <v>0.35416666666424135</v>
      </c>
      <c r="AI305" s="49">
        <f t="shared" si="77"/>
        <v>0.75</v>
      </c>
      <c r="AK305" s="50" t="str">
        <f t="shared" si="76"/>
        <v>BOM</v>
      </c>
    </row>
    <row r="306" spans="1:37" ht="19.95" customHeight="1" x14ac:dyDescent="0.4">
      <c r="A306" s="2">
        <v>1459</v>
      </c>
      <c r="B306" s="16">
        <v>45946.645833333336</v>
      </c>
      <c r="C306" s="22">
        <f t="shared" si="79"/>
        <v>45946</v>
      </c>
      <c r="D306" s="23">
        <f t="shared" si="80"/>
        <v>0.64583333333575865</v>
      </c>
      <c r="E306" s="14">
        <v>45947.354166666664</v>
      </c>
      <c r="F306" s="12">
        <f t="shared" si="81"/>
        <v>45947</v>
      </c>
      <c r="G306" s="24">
        <f t="shared" si="85"/>
        <v>0.35416666666424135</v>
      </c>
      <c r="H306" s="14"/>
      <c r="I306" s="14"/>
      <c r="J306" s="29"/>
      <c r="K306" s="30"/>
      <c r="M306" s="17">
        <v>22.7</v>
      </c>
      <c r="N306" s="7">
        <f t="shared" si="68"/>
        <v>27.24</v>
      </c>
      <c r="O306" s="5">
        <v>4</v>
      </c>
      <c r="P306" s="3"/>
      <c r="Q306" s="5">
        <v>24.54</v>
      </c>
      <c r="R306" s="7">
        <f t="shared" si="69"/>
        <v>29.447999999999997</v>
      </c>
      <c r="S306" s="5">
        <v>4</v>
      </c>
      <c r="U306" s="10">
        <v>70.37</v>
      </c>
      <c r="V306" s="11">
        <f t="shared" si="70"/>
        <v>84.444000000000003</v>
      </c>
      <c r="W306" s="6">
        <v>4</v>
      </c>
      <c r="Y306" s="10">
        <v>70.95</v>
      </c>
      <c r="Z306" s="11">
        <f t="shared" si="71"/>
        <v>85.14</v>
      </c>
      <c r="AA306" s="6">
        <v>4</v>
      </c>
      <c r="AB306" s="1">
        <v>1.2</v>
      </c>
      <c r="AC306" s="53" t="str">
        <f t="shared" si="72"/>
        <v>17:00</v>
      </c>
      <c r="AD306" s="52" t="str">
        <f t="shared" si="73"/>
        <v>00:00</v>
      </c>
      <c r="AE306" s="52" t="str">
        <f t="shared" si="74"/>
        <v>00:00</v>
      </c>
      <c r="AF306" s="14">
        <f t="shared" si="78"/>
        <v>45947.354166666664</v>
      </c>
      <c r="AG306" s="12">
        <f t="shared" si="83"/>
        <v>45947</v>
      </c>
      <c r="AH306" s="24">
        <f t="shared" si="84"/>
        <v>0.35416666666424135</v>
      </c>
      <c r="AI306" s="49">
        <f t="shared" si="77"/>
        <v>0.70833333333333337</v>
      </c>
      <c r="AK306" s="50" t="str">
        <f t="shared" si="76"/>
        <v>BOM</v>
      </c>
    </row>
    <row r="307" spans="1:37" ht="19.95" customHeight="1" x14ac:dyDescent="0.4">
      <c r="A307" s="2">
        <v>1460</v>
      </c>
      <c r="B307" s="16">
        <v>45947.5625</v>
      </c>
      <c r="C307" s="22">
        <f t="shared" si="79"/>
        <v>45947</v>
      </c>
      <c r="D307" s="23">
        <f t="shared" si="80"/>
        <v>0.5625</v>
      </c>
      <c r="E307" s="14">
        <v>45948.451388888891</v>
      </c>
      <c r="F307" s="12">
        <f t="shared" si="81"/>
        <v>45948</v>
      </c>
      <c r="G307" s="24">
        <f t="shared" si="85"/>
        <v>0.45138888889050577</v>
      </c>
      <c r="H307" s="14"/>
      <c r="I307" s="14"/>
      <c r="J307" s="29"/>
      <c r="K307" s="30"/>
      <c r="M307" s="17">
        <v>24.8</v>
      </c>
      <c r="N307" s="7">
        <f t="shared" si="68"/>
        <v>29.759999999999998</v>
      </c>
      <c r="O307" s="5">
        <v>4</v>
      </c>
      <c r="P307" s="3"/>
      <c r="Q307" s="5">
        <v>26.06</v>
      </c>
      <c r="R307" s="7">
        <f t="shared" si="69"/>
        <v>31.271999999999998</v>
      </c>
      <c r="S307" s="5">
        <v>4</v>
      </c>
      <c r="U307" s="10">
        <v>70.739999999999995</v>
      </c>
      <c r="V307" s="11">
        <f t="shared" si="70"/>
        <v>84.887999999999991</v>
      </c>
      <c r="W307" s="6">
        <v>4</v>
      </c>
      <c r="Y307" s="10">
        <v>70.58</v>
      </c>
      <c r="Z307" s="11">
        <f t="shared" si="71"/>
        <v>84.695999999999998</v>
      </c>
      <c r="AA307" s="6">
        <v>4</v>
      </c>
      <c r="AB307" s="1">
        <v>1.2</v>
      </c>
      <c r="AC307" s="53" t="str">
        <f t="shared" si="72"/>
        <v>21:20</v>
      </c>
      <c r="AD307" s="52" t="str">
        <f t="shared" si="73"/>
        <v>00:00</v>
      </c>
      <c r="AE307" s="52" t="str">
        <f t="shared" si="74"/>
        <v>00:00</v>
      </c>
      <c r="AF307" s="14">
        <f t="shared" si="78"/>
        <v>45948.451388888891</v>
      </c>
      <c r="AG307" s="12">
        <f t="shared" si="83"/>
        <v>45948</v>
      </c>
      <c r="AH307" s="24">
        <f t="shared" si="84"/>
        <v>0.45138888889050577</v>
      </c>
      <c r="AI307" s="49">
        <f t="shared" si="77"/>
        <v>0.88888888888888884</v>
      </c>
      <c r="AK307" s="50" t="str">
        <f t="shared" si="76"/>
        <v>RUIM</v>
      </c>
    </row>
    <row r="308" spans="1:37" ht="19.95" customHeight="1" x14ac:dyDescent="0.4">
      <c r="A308" s="2">
        <v>1461</v>
      </c>
      <c r="B308" s="16">
        <v>45947.583333333336</v>
      </c>
      <c r="C308" s="22">
        <f t="shared" si="79"/>
        <v>45947</v>
      </c>
      <c r="D308" s="23">
        <f t="shared" si="80"/>
        <v>0.58333333333575865</v>
      </c>
      <c r="E308" s="14">
        <v>45948.456250000003</v>
      </c>
      <c r="F308" s="12">
        <f t="shared" si="81"/>
        <v>45948</v>
      </c>
      <c r="G308" s="24">
        <f t="shared" si="85"/>
        <v>0.45625000000291038</v>
      </c>
      <c r="H308" s="14"/>
      <c r="I308" s="14"/>
      <c r="J308" s="29"/>
      <c r="K308" s="30"/>
      <c r="M308" s="17">
        <v>25.28</v>
      </c>
      <c r="N308" s="7">
        <f t="shared" si="68"/>
        <v>30.335999999999999</v>
      </c>
      <c r="O308" s="5">
        <v>4</v>
      </c>
      <c r="P308" s="3"/>
      <c r="Q308" s="5">
        <v>27.19</v>
      </c>
      <c r="R308" s="7">
        <f t="shared" si="69"/>
        <v>32.628</v>
      </c>
      <c r="S308" s="5">
        <v>4</v>
      </c>
      <c r="U308" s="10">
        <v>70.78</v>
      </c>
      <c r="V308" s="11">
        <f t="shared" si="70"/>
        <v>84.935999999999993</v>
      </c>
      <c r="W308" s="6">
        <v>4</v>
      </c>
      <c r="Y308" s="10">
        <v>70.489999999999995</v>
      </c>
      <c r="Z308" s="11">
        <f t="shared" si="71"/>
        <v>84.587999999999994</v>
      </c>
      <c r="AA308" s="6">
        <v>4</v>
      </c>
      <c r="AB308" s="1">
        <v>1.2</v>
      </c>
      <c r="AC308" s="53" t="str">
        <f t="shared" si="72"/>
        <v>20:57</v>
      </c>
      <c r="AD308" s="52" t="str">
        <f t="shared" si="73"/>
        <v>00:00</v>
      </c>
      <c r="AE308" s="52" t="str">
        <f t="shared" si="74"/>
        <v>00:00</v>
      </c>
      <c r="AF308" s="14">
        <f t="shared" si="78"/>
        <v>45948.456250000003</v>
      </c>
      <c r="AG308" s="12">
        <f t="shared" si="83"/>
        <v>45948</v>
      </c>
      <c r="AH308" s="24">
        <f t="shared" si="84"/>
        <v>0.45625000000291038</v>
      </c>
      <c r="AI308" s="49">
        <f t="shared" si="77"/>
        <v>0.87291666666666667</v>
      </c>
      <c r="AK308" s="50" t="str">
        <f t="shared" si="76"/>
        <v>RUIM</v>
      </c>
    </row>
    <row r="309" spans="1:37" ht="19.95" customHeight="1" x14ac:dyDescent="0.4">
      <c r="A309" s="2">
        <v>1462</v>
      </c>
      <c r="B309" s="16">
        <v>45947.625</v>
      </c>
      <c r="C309" s="22">
        <f t="shared" si="79"/>
        <v>45947</v>
      </c>
      <c r="D309" s="23">
        <f t="shared" si="80"/>
        <v>0.625</v>
      </c>
      <c r="E309" s="14">
        <v>45948.447916666664</v>
      </c>
      <c r="F309" s="12">
        <f t="shared" si="81"/>
        <v>45948</v>
      </c>
      <c r="G309" s="24">
        <f t="shared" si="85"/>
        <v>0.44791666666424135</v>
      </c>
      <c r="H309" s="14"/>
      <c r="I309" s="14"/>
      <c r="J309" s="29"/>
      <c r="K309" s="30"/>
      <c r="M309" s="17">
        <v>23.19</v>
      </c>
      <c r="N309" s="7">
        <f t="shared" si="68"/>
        <v>27.827999999999999</v>
      </c>
      <c r="O309" s="5">
        <v>4</v>
      </c>
      <c r="P309" s="3"/>
      <c r="Q309" s="5">
        <v>22.53</v>
      </c>
      <c r="R309" s="7">
        <f t="shared" si="69"/>
        <v>27.036000000000001</v>
      </c>
      <c r="S309" s="5">
        <v>4</v>
      </c>
      <c r="U309" s="10">
        <v>70.900000000000006</v>
      </c>
      <c r="V309" s="11">
        <f t="shared" si="70"/>
        <v>85.08</v>
      </c>
      <c r="W309" s="6">
        <v>4</v>
      </c>
      <c r="Y309" s="10">
        <v>70.25</v>
      </c>
      <c r="Z309" s="11">
        <f t="shared" si="71"/>
        <v>84.3</v>
      </c>
      <c r="AA309" s="6">
        <v>4</v>
      </c>
      <c r="AB309" s="1">
        <v>1.2</v>
      </c>
      <c r="AC309" s="53" t="str">
        <f t="shared" si="72"/>
        <v>19:45</v>
      </c>
      <c r="AD309" s="52" t="str">
        <f t="shared" si="73"/>
        <v>00:00</v>
      </c>
      <c r="AE309" s="52" t="str">
        <f t="shared" si="74"/>
        <v>00:00</v>
      </c>
      <c r="AF309" s="14">
        <f t="shared" si="78"/>
        <v>45948.447916666664</v>
      </c>
      <c r="AG309" s="12">
        <f t="shared" si="83"/>
        <v>45948</v>
      </c>
      <c r="AH309" s="24">
        <f t="shared" si="84"/>
        <v>0.44791666666424135</v>
      </c>
      <c r="AI309" s="49">
        <f t="shared" si="77"/>
        <v>0.82291666666666663</v>
      </c>
      <c r="AK309" s="50" t="str">
        <f t="shared" si="76"/>
        <v>BOM</v>
      </c>
    </row>
    <row r="310" spans="1:37" ht="19.95" customHeight="1" x14ac:dyDescent="0.4">
      <c r="A310" s="2">
        <v>1463</v>
      </c>
      <c r="B310" s="16">
        <v>45947.659722222219</v>
      </c>
      <c r="C310" s="22">
        <f t="shared" si="79"/>
        <v>45947</v>
      </c>
      <c r="D310" s="23">
        <f t="shared" si="80"/>
        <v>0.65972222221898846</v>
      </c>
      <c r="E310" s="14">
        <v>45948.449305555558</v>
      </c>
      <c r="F310" s="12">
        <f t="shared" si="81"/>
        <v>45948</v>
      </c>
      <c r="G310" s="24">
        <f t="shared" si="85"/>
        <v>0.4493055555576575</v>
      </c>
      <c r="H310" s="14"/>
      <c r="I310" s="14"/>
      <c r="J310" s="29"/>
      <c r="K310" s="30"/>
      <c r="M310" s="17">
        <v>29.19</v>
      </c>
      <c r="N310" s="7">
        <f t="shared" si="68"/>
        <v>35.027999999999999</v>
      </c>
      <c r="O310" s="5">
        <v>4</v>
      </c>
      <c r="P310" s="3"/>
      <c r="Q310" s="5">
        <v>28.89</v>
      </c>
      <c r="R310" s="7">
        <f t="shared" si="69"/>
        <v>34.667999999999999</v>
      </c>
      <c r="S310" s="5">
        <v>4</v>
      </c>
      <c r="U310" s="10">
        <v>69.81</v>
      </c>
      <c r="V310" s="11">
        <f t="shared" si="70"/>
        <v>83.772000000000006</v>
      </c>
      <c r="W310" s="6">
        <v>4</v>
      </c>
      <c r="Y310" s="10">
        <v>69.25</v>
      </c>
      <c r="Z310" s="11">
        <f t="shared" si="71"/>
        <v>83.1</v>
      </c>
      <c r="AA310" s="6">
        <v>4</v>
      </c>
      <c r="AB310" s="1">
        <v>1.2</v>
      </c>
      <c r="AC310" s="53" t="str">
        <f t="shared" si="72"/>
        <v>18:57</v>
      </c>
      <c r="AD310" s="52" t="str">
        <f t="shared" si="73"/>
        <v>00:00</v>
      </c>
      <c r="AE310" s="52" t="str">
        <f t="shared" si="74"/>
        <v>00:00</v>
      </c>
      <c r="AF310" s="14">
        <f t="shared" si="78"/>
        <v>45948.449305555558</v>
      </c>
      <c r="AG310" s="12">
        <f t="shared" si="83"/>
        <v>45948</v>
      </c>
      <c r="AH310" s="24">
        <f t="shared" si="84"/>
        <v>0.4493055555576575</v>
      </c>
      <c r="AI310" s="49">
        <f t="shared" si="77"/>
        <v>0.7895833333333333</v>
      </c>
      <c r="AK310" s="50" t="str">
        <f t="shared" si="76"/>
        <v>BOM</v>
      </c>
    </row>
    <row r="311" spans="1:37" ht="19.95" customHeight="1" x14ac:dyDescent="0.4">
      <c r="A311" s="2">
        <v>1464</v>
      </c>
      <c r="B311" s="16">
        <v>45947.6875</v>
      </c>
      <c r="C311" s="22">
        <f t="shared" si="79"/>
        <v>45947</v>
      </c>
      <c r="D311" s="23">
        <f t="shared" si="80"/>
        <v>0.6875</v>
      </c>
      <c r="E311" s="14">
        <v>45948.548611111109</v>
      </c>
      <c r="F311" s="12">
        <f t="shared" si="81"/>
        <v>45948</v>
      </c>
      <c r="G311" s="24">
        <f t="shared" si="85"/>
        <v>0.54861111110949423</v>
      </c>
      <c r="H311" s="14"/>
      <c r="I311" s="14"/>
      <c r="J311" s="29"/>
      <c r="K311" s="30"/>
      <c r="M311" s="17">
        <v>20.83</v>
      </c>
      <c r="N311" s="7">
        <f t="shared" si="68"/>
        <v>24.995999999999999</v>
      </c>
      <c r="O311" s="5">
        <v>4</v>
      </c>
      <c r="P311" s="3"/>
      <c r="Q311" s="5">
        <v>20.239999999999998</v>
      </c>
      <c r="R311" s="7">
        <f t="shared" si="69"/>
        <v>24.287999999999997</v>
      </c>
      <c r="S311" s="5">
        <v>4</v>
      </c>
      <c r="U311" s="10">
        <v>70.42</v>
      </c>
      <c r="V311" s="11">
        <f t="shared" si="70"/>
        <v>84.504000000000005</v>
      </c>
      <c r="W311" s="6">
        <v>4</v>
      </c>
      <c r="Y311" s="10">
        <v>72.680000000000007</v>
      </c>
      <c r="Z311" s="11">
        <f t="shared" si="71"/>
        <v>87.216000000000008</v>
      </c>
      <c r="AA311" s="6">
        <v>4</v>
      </c>
      <c r="AB311" s="1">
        <v>1.2</v>
      </c>
      <c r="AC311" s="53" t="str">
        <f t="shared" si="72"/>
        <v>20:40</v>
      </c>
      <c r="AD311" s="52" t="str">
        <f t="shared" si="73"/>
        <v>00:00</v>
      </c>
      <c r="AE311" s="52" t="str">
        <f t="shared" si="74"/>
        <v>00:00</v>
      </c>
      <c r="AF311" s="14">
        <f t="shared" si="78"/>
        <v>45948.548611111109</v>
      </c>
      <c r="AG311" s="12">
        <f t="shared" si="83"/>
        <v>45948</v>
      </c>
      <c r="AH311" s="24">
        <f t="shared" si="84"/>
        <v>0.54861111110949423</v>
      </c>
      <c r="AI311" s="49">
        <f t="shared" si="77"/>
        <v>0.86111111111111116</v>
      </c>
      <c r="AK311" s="50" t="str">
        <f t="shared" si="76"/>
        <v>RUIM</v>
      </c>
    </row>
    <row r="312" spans="1:37" ht="19.95" customHeight="1" x14ac:dyDescent="0.4">
      <c r="A312" s="2">
        <v>1465</v>
      </c>
      <c r="B312" s="16">
        <v>45948.548611111109</v>
      </c>
      <c r="C312" s="22">
        <f t="shared" si="79"/>
        <v>45948</v>
      </c>
      <c r="D312" s="23">
        <f t="shared" si="80"/>
        <v>0.54861111110949423</v>
      </c>
      <c r="E312" s="14">
        <v>45950.333333333336</v>
      </c>
      <c r="F312" s="12">
        <f t="shared" si="81"/>
        <v>45950</v>
      </c>
      <c r="G312" s="24">
        <f t="shared" si="85"/>
        <v>0.33333333333575865</v>
      </c>
      <c r="H312" s="14"/>
      <c r="I312" s="14"/>
      <c r="J312" s="29"/>
      <c r="K312" s="30"/>
      <c r="M312" s="17">
        <v>29.65</v>
      </c>
      <c r="N312" s="7">
        <f t="shared" si="68"/>
        <v>35.58</v>
      </c>
      <c r="O312" s="5">
        <v>4</v>
      </c>
      <c r="P312" s="3"/>
      <c r="Q312" s="5">
        <v>28.39</v>
      </c>
      <c r="R312" s="7">
        <f t="shared" si="69"/>
        <v>34.067999999999998</v>
      </c>
      <c r="S312" s="5">
        <v>4</v>
      </c>
      <c r="U312" s="10">
        <v>69.900000000000006</v>
      </c>
      <c r="V312" s="11">
        <f t="shared" si="70"/>
        <v>83.88000000000001</v>
      </c>
      <c r="W312" s="6">
        <v>4</v>
      </c>
      <c r="Y312" s="10">
        <v>69.64</v>
      </c>
      <c r="Z312" s="11">
        <f t="shared" si="71"/>
        <v>83.567999999999998</v>
      </c>
      <c r="AA312" s="6">
        <v>4</v>
      </c>
      <c r="AB312" s="1">
        <v>1.2</v>
      </c>
      <c r="AC312" s="53" t="str">
        <f t="shared" si="72"/>
        <v>42:50</v>
      </c>
      <c r="AD312" s="52" t="str">
        <f t="shared" si="73"/>
        <v>00:00</v>
      </c>
      <c r="AE312" s="52" t="str">
        <f t="shared" si="74"/>
        <v>00:00</v>
      </c>
      <c r="AF312" s="14">
        <f t="shared" si="78"/>
        <v>45950.333333333336</v>
      </c>
      <c r="AG312" s="12">
        <f t="shared" si="83"/>
        <v>45950</v>
      </c>
      <c r="AH312" s="24">
        <f t="shared" si="84"/>
        <v>0.33333333333575865</v>
      </c>
      <c r="AI312" s="49">
        <f t="shared" si="77"/>
        <v>1.7847222222222223</v>
      </c>
      <c r="AK312" s="50" t="str">
        <f t="shared" si="76"/>
        <v>RUIM</v>
      </c>
    </row>
    <row r="313" spans="1:37" ht="19.95" customHeight="1" x14ac:dyDescent="0.4">
      <c r="A313" s="2">
        <v>1466</v>
      </c>
      <c r="B313" s="16">
        <v>45948.576388888891</v>
      </c>
      <c r="C313" s="22">
        <f t="shared" si="79"/>
        <v>45948</v>
      </c>
      <c r="D313" s="23">
        <f t="shared" si="80"/>
        <v>0.57638888889050577</v>
      </c>
      <c r="E313" s="14">
        <v>45950.336805555555</v>
      </c>
      <c r="F313" s="12">
        <f>INT(E313)</f>
        <v>45950</v>
      </c>
      <c r="G313" s="24">
        <f t="shared" si="85"/>
        <v>0.33680555555474712</v>
      </c>
      <c r="H313" s="14"/>
      <c r="I313" s="14"/>
      <c r="J313" s="29"/>
      <c r="K313" s="30"/>
      <c r="M313" s="17">
        <v>30.77</v>
      </c>
      <c r="N313" s="7">
        <f t="shared" si="68"/>
        <v>36.923999999999999</v>
      </c>
      <c r="O313" s="5">
        <v>4</v>
      </c>
      <c r="P313" s="3"/>
      <c r="Q313" s="5">
        <v>32</v>
      </c>
      <c r="R313" s="7">
        <f t="shared" si="69"/>
        <v>38.4</v>
      </c>
      <c r="S313" s="5">
        <v>4</v>
      </c>
      <c r="U313" s="10">
        <v>70.19</v>
      </c>
      <c r="V313" s="11">
        <f t="shared" si="70"/>
        <v>84.227999999999994</v>
      </c>
      <c r="W313" s="6">
        <v>4</v>
      </c>
      <c r="Y313" s="10">
        <v>70.59</v>
      </c>
      <c r="Z313" s="11">
        <f t="shared" si="71"/>
        <v>84.707999999999998</v>
      </c>
      <c r="AA313" s="6">
        <v>4</v>
      </c>
      <c r="AB313" s="1">
        <v>1.2</v>
      </c>
      <c r="AC313" s="53" t="str">
        <f t="shared" si="72"/>
        <v>42:15</v>
      </c>
      <c r="AD313" s="52" t="str">
        <f t="shared" si="73"/>
        <v>00:00</v>
      </c>
      <c r="AE313" s="52" t="str">
        <f t="shared" si="74"/>
        <v>00:00</v>
      </c>
      <c r="AF313" s="14">
        <f t="shared" si="78"/>
        <v>45950.336805555555</v>
      </c>
      <c r="AG313" s="12">
        <f t="shared" si="83"/>
        <v>45950</v>
      </c>
      <c r="AH313" s="24">
        <f t="shared" si="84"/>
        <v>0.33680555555474712</v>
      </c>
      <c r="AI313" s="49">
        <f t="shared" si="77"/>
        <v>1.7604166666666667</v>
      </c>
      <c r="AK313" s="50" t="str">
        <f t="shared" si="76"/>
        <v>RUIM</v>
      </c>
    </row>
    <row r="314" spans="1:37" ht="19.95" customHeight="1" x14ac:dyDescent="0.4">
      <c r="A314" s="2">
        <v>1467</v>
      </c>
      <c r="B314" s="16">
        <v>45948.611111111109</v>
      </c>
      <c r="C314" s="22">
        <f t="shared" si="79"/>
        <v>45948</v>
      </c>
      <c r="D314" s="23">
        <f t="shared" si="80"/>
        <v>0.61111111110949423</v>
      </c>
      <c r="E314" s="14">
        <v>45950.34375</v>
      </c>
      <c r="F314" s="12">
        <f t="shared" si="81"/>
        <v>45950</v>
      </c>
      <c r="G314" s="24">
        <f t="shared" si="85"/>
        <v>0.34375</v>
      </c>
      <c r="H314" s="14"/>
      <c r="I314" s="14"/>
      <c r="J314" s="29"/>
      <c r="K314" s="30"/>
      <c r="M314" s="17">
        <v>34.33</v>
      </c>
      <c r="N314" s="7">
        <f t="shared" si="68"/>
        <v>41.195999999999998</v>
      </c>
      <c r="O314" s="5">
        <v>4</v>
      </c>
      <c r="P314" s="3"/>
      <c r="Q314" s="5">
        <v>33.78</v>
      </c>
      <c r="R314" s="7">
        <f t="shared" si="69"/>
        <v>40.536000000000001</v>
      </c>
      <c r="S314" s="5">
        <v>4</v>
      </c>
      <c r="U314" s="10">
        <v>70.39</v>
      </c>
      <c r="V314" s="11">
        <f t="shared" si="70"/>
        <v>84.468000000000004</v>
      </c>
      <c r="W314" s="6">
        <v>4</v>
      </c>
      <c r="Y314" s="10">
        <v>70.239999999999995</v>
      </c>
      <c r="Z314" s="11">
        <f t="shared" si="71"/>
        <v>84.287999999999997</v>
      </c>
      <c r="AA314" s="6">
        <v>4</v>
      </c>
      <c r="AB314" s="1">
        <v>1.2</v>
      </c>
      <c r="AC314" s="53" t="str">
        <f t="shared" si="72"/>
        <v>41:35</v>
      </c>
      <c r="AD314" s="52" t="str">
        <f t="shared" si="73"/>
        <v>00:00</v>
      </c>
      <c r="AE314" s="52" t="str">
        <f t="shared" si="74"/>
        <v>00:00</v>
      </c>
      <c r="AF314" s="14">
        <f t="shared" si="78"/>
        <v>45950.34375</v>
      </c>
      <c r="AG314" s="12">
        <f t="shared" si="83"/>
        <v>45950</v>
      </c>
      <c r="AH314" s="24">
        <f t="shared" si="84"/>
        <v>0.34375</v>
      </c>
      <c r="AI314" s="49">
        <f t="shared" si="77"/>
        <v>1.7326388888888888</v>
      </c>
      <c r="AK314" s="50" t="str">
        <f t="shared" si="76"/>
        <v>RUIM</v>
      </c>
    </row>
    <row r="315" spans="1:37" ht="19.95" customHeight="1" x14ac:dyDescent="0.4">
      <c r="A315" s="2">
        <v>1468</v>
      </c>
      <c r="B315" s="16">
        <v>45948.646527777775</v>
      </c>
      <c r="C315" s="22">
        <f t="shared" si="79"/>
        <v>45948</v>
      </c>
      <c r="D315" s="23">
        <f t="shared" si="80"/>
        <v>0.64652777777519077</v>
      </c>
      <c r="E315" s="14">
        <v>45950.351388888892</v>
      </c>
      <c r="F315" s="12">
        <f t="shared" si="81"/>
        <v>45950</v>
      </c>
      <c r="G315" s="24">
        <f t="shared" si="85"/>
        <v>0.35138888889196096</v>
      </c>
      <c r="H315" s="14"/>
      <c r="I315" s="14"/>
      <c r="J315" s="29"/>
      <c r="K315" s="30"/>
      <c r="M315" s="17">
        <v>31.34</v>
      </c>
      <c r="N315" s="7">
        <f t="shared" si="68"/>
        <v>37.607999999999997</v>
      </c>
      <c r="O315" s="5">
        <v>4</v>
      </c>
      <c r="P315" s="3"/>
      <c r="Q315" s="5">
        <v>31.7</v>
      </c>
      <c r="R315" s="7">
        <f t="shared" si="69"/>
        <v>38.04</v>
      </c>
      <c r="S315" s="5">
        <v>4</v>
      </c>
      <c r="U315" s="10">
        <v>70.52</v>
      </c>
      <c r="V315" s="11">
        <f t="shared" si="70"/>
        <v>84.623999999999995</v>
      </c>
      <c r="W315" s="6">
        <v>4</v>
      </c>
      <c r="Y315" s="10">
        <v>70.59</v>
      </c>
      <c r="Z315" s="11">
        <f t="shared" si="71"/>
        <v>84.707999999999998</v>
      </c>
      <c r="AA315" s="6">
        <v>4</v>
      </c>
      <c r="AB315" s="1">
        <v>1.2</v>
      </c>
      <c r="AC315" s="53" t="str">
        <f t="shared" si="72"/>
        <v>40:55</v>
      </c>
      <c r="AD315" s="52" t="str">
        <f t="shared" si="73"/>
        <v>00:00</v>
      </c>
      <c r="AE315" s="52" t="str">
        <f t="shared" si="74"/>
        <v>00:00</v>
      </c>
      <c r="AF315" s="14">
        <f t="shared" si="78"/>
        <v>45950.351388888892</v>
      </c>
      <c r="AG315" s="12">
        <f t="shared" si="83"/>
        <v>45950</v>
      </c>
      <c r="AH315" s="24">
        <f t="shared" si="84"/>
        <v>0.35138888889196096</v>
      </c>
      <c r="AI315" s="49">
        <f t="shared" si="77"/>
        <v>1.7048611111111112</v>
      </c>
      <c r="AK315" s="50" t="str">
        <f t="shared" si="76"/>
        <v>RUIM</v>
      </c>
    </row>
    <row r="316" spans="1:37" ht="19.95" customHeight="1" x14ac:dyDescent="0.4">
      <c r="A316" s="2">
        <v>1469</v>
      </c>
      <c r="B316" s="16">
        <v>45950.583333333336</v>
      </c>
      <c r="C316" s="22">
        <f t="shared" si="79"/>
        <v>45950</v>
      </c>
      <c r="D316" s="23">
        <f t="shared" si="80"/>
        <v>0.58333333333575865</v>
      </c>
      <c r="E316" s="14">
        <v>45951.425694444442</v>
      </c>
      <c r="F316" s="12">
        <f t="shared" si="81"/>
        <v>45951</v>
      </c>
      <c r="G316" s="24">
        <f t="shared" si="85"/>
        <v>0.4256944444423425</v>
      </c>
      <c r="H316" s="14">
        <v>45951.631249999999</v>
      </c>
      <c r="I316" s="14"/>
      <c r="J316" s="29">
        <v>18.78</v>
      </c>
      <c r="K316" s="30"/>
      <c r="M316" s="17">
        <v>23.81</v>
      </c>
      <c r="N316" s="7">
        <f t="shared" si="68"/>
        <v>28.571999999999999</v>
      </c>
      <c r="O316" s="5">
        <v>4</v>
      </c>
      <c r="P316" s="3"/>
      <c r="Q316" s="5">
        <v>24.84</v>
      </c>
      <c r="R316" s="7">
        <f t="shared" si="69"/>
        <v>29.808</v>
      </c>
      <c r="S316" s="5">
        <v>4</v>
      </c>
      <c r="U316" s="10">
        <v>71.069999999999993</v>
      </c>
      <c r="V316" s="11">
        <f t="shared" si="70"/>
        <v>85.283999999999992</v>
      </c>
      <c r="W316" s="6">
        <v>4</v>
      </c>
      <c r="Y316" s="10">
        <v>70.45</v>
      </c>
      <c r="Z316" s="11">
        <f t="shared" si="71"/>
        <v>84.54</v>
      </c>
      <c r="AA316" s="6">
        <v>4</v>
      </c>
      <c r="AB316" s="1">
        <v>1.2</v>
      </c>
      <c r="AC316" s="53" t="str">
        <f t="shared" si="72"/>
        <v>20:13</v>
      </c>
      <c r="AD316" s="52" t="str">
        <f t="shared" si="73"/>
        <v>25:09</v>
      </c>
      <c r="AE316" s="52" t="str">
        <f t="shared" si="74"/>
        <v>00:00</v>
      </c>
      <c r="AF316" s="14">
        <f t="shared" si="78"/>
        <v>45951.631249999999</v>
      </c>
      <c r="AG316" s="12">
        <f t="shared" si="83"/>
        <v>45951</v>
      </c>
      <c r="AH316" s="24">
        <f t="shared" si="84"/>
        <v>0.63124999999854481</v>
      </c>
      <c r="AI316" s="49">
        <f t="shared" si="77"/>
        <v>1.0479166666666666</v>
      </c>
      <c r="AK316" s="50" t="str">
        <f t="shared" si="76"/>
        <v>RUIM</v>
      </c>
    </row>
    <row r="317" spans="1:37" ht="19.95" customHeight="1" x14ac:dyDescent="0.4">
      <c r="A317" s="2">
        <v>1470</v>
      </c>
      <c r="B317" s="16">
        <v>45950.604166666664</v>
      </c>
      <c r="C317" s="22">
        <f t="shared" si="79"/>
        <v>45950</v>
      </c>
      <c r="D317" s="23">
        <f t="shared" si="80"/>
        <v>0.60416666666424135</v>
      </c>
      <c r="E317" s="14">
        <v>45951.428472222222</v>
      </c>
      <c r="F317" s="12">
        <f t="shared" si="81"/>
        <v>45951</v>
      </c>
      <c r="G317" s="24">
        <f t="shared" si="85"/>
        <v>0.42847222222189885</v>
      </c>
      <c r="H317" s="14"/>
      <c r="I317" s="14"/>
      <c r="J317" s="29"/>
      <c r="K317" s="30"/>
      <c r="M317" s="17">
        <v>21.1</v>
      </c>
      <c r="N317" s="7">
        <f t="shared" si="68"/>
        <v>25.32</v>
      </c>
      <c r="O317" s="5">
        <v>4</v>
      </c>
      <c r="P317" s="3"/>
      <c r="Q317" s="5">
        <v>20.77</v>
      </c>
      <c r="R317" s="7">
        <f t="shared" si="69"/>
        <v>24.923999999999999</v>
      </c>
      <c r="S317" s="5">
        <v>4</v>
      </c>
      <c r="U317" s="10">
        <v>70.73</v>
      </c>
      <c r="V317" s="11">
        <f t="shared" si="70"/>
        <v>84.876000000000005</v>
      </c>
      <c r="W317" s="6">
        <v>4</v>
      </c>
      <c r="Y317" s="10">
        <v>70.760000000000005</v>
      </c>
      <c r="Z317" s="11">
        <f t="shared" si="71"/>
        <v>84.912000000000006</v>
      </c>
      <c r="AA317" s="6">
        <v>4</v>
      </c>
      <c r="AB317" s="1">
        <v>1.2</v>
      </c>
      <c r="AC317" s="53" t="str">
        <f t="shared" si="72"/>
        <v>19:47</v>
      </c>
      <c r="AD317" s="52" t="str">
        <f t="shared" si="73"/>
        <v>00:00</v>
      </c>
      <c r="AE317" s="52" t="str">
        <f t="shared" si="74"/>
        <v>00:00</v>
      </c>
      <c r="AF317" s="14">
        <f t="shared" si="78"/>
        <v>45951.428472222222</v>
      </c>
      <c r="AG317" s="12">
        <f t="shared" si="83"/>
        <v>45951</v>
      </c>
      <c r="AH317" s="24">
        <f t="shared" si="84"/>
        <v>0.42847222222189885</v>
      </c>
      <c r="AI317" s="49">
        <f t="shared" si="77"/>
        <v>0.82430555555555551</v>
      </c>
      <c r="AK317" s="50" t="str">
        <f t="shared" si="76"/>
        <v>BOM</v>
      </c>
    </row>
    <row r="318" spans="1:37" ht="19.95" customHeight="1" x14ac:dyDescent="0.4">
      <c r="A318" s="2">
        <v>1471</v>
      </c>
      <c r="B318" s="16">
        <v>45950.625</v>
      </c>
      <c r="C318" s="22">
        <f t="shared" si="79"/>
        <v>45950</v>
      </c>
      <c r="D318" s="23">
        <f t="shared" si="80"/>
        <v>0.625</v>
      </c>
      <c r="E318" s="14">
        <v>45951.431250000001</v>
      </c>
      <c r="F318" s="12">
        <f t="shared" si="81"/>
        <v>45951</v>
      </c>
      <c r="G318" s="24">
        <f t="shared" si="85"/>
        <v>0.43125000000145519</v>
      </c>
      <c r="H318" s="14">
        <v>45951.625</v>
      </c>
      <c r="I318" s="14"/>
      <c r="J318" s="29">
        <v>11.69</v>
      </c>
      <c r="K318" s="30"/>
      <c r="M318" s="17">
        <v>21.59</v>
      </c>
      <c r="N318" s="7">
        <f t="shared" si="68"/>
        <v>25.907999999999998</v>
      </c>
      <c r="O318" s="5">
        <v>4</v>
      </c>
      <c r="P318" s="3"/>
      <c r="Q318" s="5">
        <v>20.9</v>
      </c>
      <c r="R318" s="7">
        <f t="shared" si="69"/>
        <v>25.08</v>
      </c>
      <c r="S318" s="5">
        <v>4</v>
      </c>
      <c r="U318" s="10">
        <v>70.75</v>
      </c>
      <c r="V318" s="11">
        <f t="shared" si="70"/>
        <v>84.899999999999991</v>
      </c>
      <c r="W318" s="6">
        <v>4</v>
      </c>
      <c r="Y318" s="10">
        <v>70.459999999999994</v>
      </c>
      <c r="Z318" s="11">
        <f t="shared" si="71"/>
        <v>84.551999999999992</v>
      </c>
      <c r="AA318" s="6">
        <v>4</v>
      </c>
      <c r="AB318" s="1">
        <v>1.2</v>
      </c>
      <c r="AC318" s="53" t="str">
        <f t="shared" si="72"/>
        <v>19:21</v>
      </c>
      <c r="AD318" s="52" t="str">
        <f t="shared" si="73"/>
        <v>24:00</v>
      </c>
      <c r="AE318" s="52" t="str">
        <f t="shared" si="74"/>
        <v>00:00</v>
      </c>
      <c r="AF318" s="14">
        <f t="shared" si="78"/>
        <v>45951.625</v>
      </c>
      <c r="AG318" s="12">
        <f t="shared" si="83"/>
        <v>45951</v>
      </c>
      <c r="AH318" s="24">
        <f t="shared" si="84"/>
        <v>0.625</v>
      </c>
      <c r="AI318" s="49">
        <f t="shared" si="77"/>
        <v>1</v>
      </c>
      <c r="AK318" s="50" t="str">
        <f t="shared" si="76"/>
        <v>RUIM</v>
      </c>
    </row>
    <row r="319" spans="1:37" ht="19.95" customHeight="1" x14ac:dyDescent="0.4">
      <c r="A319" s="2">
        <v>1472</v>
      </c>
      <c r="B319" s="16">
        <v>45950.645833333336</v>
      </c>
      <c r="C319" s="22">
        <f t="shared" si="79"/>
        <v>45950</v>
      </c>
      <c r="D319" s="23">
        <f t="shared" si="80"/>
        <v>0.64583333333575865</v>
      </c>
      <c r="E319" s="14">
        <v>45951.43472222222</v>
      </c>
      <c r="F319" s="12">
        <f t="shared" si="81"/>
        <v>45951</v>
      </c>
      <c r="G319" s="24">
        <f t="shared" si="85"/>
        <v>0.43472222222044365</v>
      </c>
      <c r="H319" s="14">
        <v>45951.637499999997</v>
      </c>
      <c r="I319" s="14"/>
      <c r="J319" s="29">
        <v>17.690000000000001</v>
      </c>
      <c r="K319" s="30"/>
      <c r="M319" s="17">
        <v>22.56</v>
      </c>
      <c r="N319" s="7">
        <f t="shared" si="68"/>
        <v>27.071999999999999</v>
      </c>
      <c r="O319" s="5">
        <v>4</v>
      </c>
      <c r="P319" s="3"/>
      <c r="Q319" s="5">
        <v>23.16</v>
      </c>
      <c r="R319" s="7">
        <f t="shared" si="69"/>
        <v>27.791999999999998</v>
      </c>
      <c r="S319" s="5">
        <v>4</v>
      </c>
      <c r="U319" s="10">
        <v>70.430000000000007</v>
      </c>
      <c r="V319" s="11">
        <f t="shared" si="70"/>
        <v>84.516000000000005</v>
      </c>
      <c r="W319" s="6">
        <v>4</v>
      </c>
      <c r="Y319" s="10">
        <v>70.12</v>
      </c>
      <c r="Z319" s="11">
        <f t="shared" si="71"/>
        <v>84.144000000000005</v>
      </c>
      <c r="AA319" s="6">
        <v>4</v>
      </c>
      <c r="AB319" s="1">
        <v>1.2</v>
      </c>
      <c r="AC319" s="53" t="str">
        <f t="shared" si="72"/>
        <v>18:56</v>
      </c>
      <c r="AD319" s="52" t="str">
        <f t="shared" si="73"/>
        <v>23:48</v>
      </c>
      <c r="AE319" s="52" t="str">
        <f t="shared" si="74"/>
        <v>00:00</v>
      </c>
      <c r="AF319" s="14">
        <f t="shared" si="78"/>
        <v>45951.637499999997</v>
      </c>
      <c r="AG319" s="12">
        <f t="shared" si="83"/>
        <v>45951</v>
      </c>
      <c r="AH319" s="24">
        <f t="shared" si="84"/>
        <v>0.63749999999708962</v>
      </c>
      <c r="AI319" s="49">
        <f t="shared" si="77"/>
        <v>0.9916666666666667</v>
      </c>
      <c r="AK319" s="50" t="str">
        <f t="shared" si="76"/>
        <v>RUIM</v>
      </c>
    </row>
    <row r="320" spans="1:37" ht="19.95" customHeight="1" x14ac:dyDescent="0.4">
      <c r="A320" s="2">
        <v>1473</v>
      </c>
      <c r="B320" s="16">
        <v>45950.670138888891</v>
      </c>
      <c r="C320" s="22">
        <f t="shared" si="79"/>
        <v>45950</v>
      </c>
      <c r="D320" s="23">
        <f t="shared" si="80"/>
        <v>0.67013888889050577</v>
      </c>
      <c r="E320" s="14">
        <v>45951.423611111109</v>
      </c>
      <c r="F320" s="12">
        <f t="shared" si="81"/>
        <v>45951</v>
      </c>
      <c r="G320" s="24">
        <f t="shared" si="85"/>
        <v>0.42361111110949423</v>
      </c>
      <c r="H320" s="14">
        <v>45951.629861111112</v>
      </c>
      <c r="I320" s="14"/>
      <c r="J320" s="29">
        <v>13.41</v>
      </c>
      <c r="K320" s="30"/>
      <c r="M320" s="17">
        <v>23.95</v>
      </c>
      <c r="N320" s="7">
        <f t="shared" si="68"/>
        <v>28.74</v>
      </c>
      <c r="O320" s="5">
        <v>4</v>
      </c>
      <c r="P320" s="3"/>
      <c r="Q320" s="5">
        <v>22.42</v>
      </c>
      <c r="R320" s="7">
        <f t="shared" si="69"/>
        <v>26.904</v>
      </c>
      <c r="S320" s="5">
        <v>4</v>
      </c>
      <c r="U320" s="10">
        <v>70.790000000000006</v>
      </c>
      <c r="V320" s="11">
        <f t="shared" si="70"/>
        <v>84.948000000000008</v>
      </c>
      <c r="W320" s="6">
        <v>4</v>
      </c>
      <c r="Y320" s="10">
        <v>70.540000000000006</v>
      </c>
      <c r="Z320" s="11">
        <f t="shared" si="71"/>
        <v>84.64800000000001</v>
      </c>
      <c r="AA320" s="6">
        <v>4</v>
      </c>
      <c r="AB320" s="1">
        <v>1.2</v>
      </c>
      <c r="AC320" s="53" t="str">
        <f t="shared" si="72"/>
        <v>18:05</v>
      </c>
      <c r="AD320" s="52" t="str">
        <f t="shared" si="73"/>
        <v>23:02</v>
      </c>
      <c r="AE320" s="52" t="str">
        <f t="shared" si="74"/>
        <v>00:00</v>
      </c>
      <c r="AF320" s="14">
        <f t="shared" si="78"/>
        <v>45951.629861111112</v>
      </c>
      <c r="AG320" s="12">
        <f t="shared" si="83"/>
        <v>45951</v>
      </c>
      <c r="AH320" s="24">
        <f t="shared" si="84"/>
        <v>0.62986111111240461</v>
      </c>
      <c r="AI320" s="49">
        <f t="shared" si="77"/>
        <v>0.95972222222222225</v>
      </c>
      <c r="AK320" s="50" t="str">
        <f t="shared" si="76"/>
        <v>RUIM</v>
      </c>
    </row>
    <row r="321" spans="1:37" ht="19.95" customHeight="1" x14ac:dyDescent="0.4">
      <c r="A321" s="2">
        <v>1474</v>
      </c>
      <c r="B321" s="16">
        <v>45951.583333333336</v>
      </c>
      <c r="C321" s="22">
        <f t="shared" si="79"/>
        <v>45951</v>
      </c>
      <c r="D321" s="23">
        <f t="shared" si="80"/>
        <v>0.58333333333575865</v>
      </c>
      <c r="E321" s="14">
        <v>45952.574305555558</v>
      </c>
      <c r="F321" s="12">
        <f t="shared" si="81"/>
        <v>45952</v>
      </c>
      <c r="G321" s="24">
        <f t="shared" si="85"/>
        <v>0.5743055555576575</v>
      </c>
      <c r="H321" s="14"/>
      <c r="I321" s="14"/>
      <c r="J321" s="29"/>
      <c r="K321" s="30"/>
      <c r="M321" s="17">
        <v>27.98</v>
      </c>
      <c r="N321" s="7">
        <f t="shared" si="68"/>
        <v>33.576000000000001</v>
      </c>
      <c r="O321" s="5">
        <v>4</v>
      </c>
      <c r="P321" s="3"/>
      <c r="Q321" s="5">
        <v>25.53</v>
      </c>
      <c r="R321" s="7">
        <f t="shared" si="69"/>
        <v>30.635999999999999</v>
      </c>
      <c r="S321" s="5"/>
      <c r="U321" s="10">
        <v>70.39</v>
      </c>
      <c r="V321" s="11">
        <f t="shared" si="70"/>
        <v>84.468000000000004</v>
      </c>
      <c r="W321" s="6">
        <v>4</v>
      </c>
      <c r="Y321" s="10">
        <v>71.56</v>
      </c>
      <c r="Z321" s="11">
        <f t="shared" si="71"/>
        <v>85.872</v>
      </c>
      <c r="AA321" s="6">
        <v>4</v>
      </c>
      <c r="AB321" s="1">
        <v>1.2</v>
      </c>
      <c r="AC321" s="53" t="str">
        <f t="shared" si="72"/>
        <v>23:47</v>
      </c>
      <c r="AD321" s="52" t="str">
        <f t="shared" si="73"/>
        <v>00:00</v>
      </c>
      <c r="AE321" s="52" t="str">
        <f t="shared" si="74"/>
        <v>00:00</v>
      </c>
      <c r="AF321" s="14">
        <f t="shared" si="78"/>
        <v>45952.574305555558</v>
      </c>
      <c r="AG321" s="12">
        <f t="shared" si="83"/>
        <v>45952</v>
      </c>
      <c r="AH321" s="24">
        <f t="shared" si="84"/>
        <v>0.5743055555576575</v>
      </c>
      <c r="AI321" s="49">
        <f t="shared" si="77"/>
        <v>0.99097222222222225</v>
      </c>
      <c r="AK321" s="50" t="str">
        <f t="shared" si="76"/>
        <v>RUIM</v>
      </c>
    </row>
    <row r="322" spans="1:37" ht="19.95" customHeight="1" x14ac:dyDescent="0.4">
      <c r="A322" s="2">
        <v>1475</v>
      </c>
      <c r="B322" s="16">
        <v>45951.604166666664</v>
      </c>
      <c r="C322" s="22">
        <f t="shared" si="79"/>
        <v>45951</v>
      </c>
      <c r="D322" s="23">
        <f t="shared" si="80"/>
        <v>0.60416666666424135</v>
      </c>
      <c r="E322" s="14">
        <v>45952.570833333331</v>
      </c>
      <c r="F322" s="12">
        <f t="shared" si="81"/>
        <v>45952</v>
      </c>
      <c r="G322" s="24">
        <f t="shared" si="85"/>
        <v>0.57083333333139308</v>
      </c>
      <c r="H322" s="14"/>
      <c r="I322" s="14"/>
      <c r="J322" s="29"/>
      <c r="K322" s="30"/>
      <c r="M322" s="17">
        <v>23.73</v>
      </c>
      <c r="N322" s="7">
        <f t="shared" si="68"/>
        <v>28.475999999999999</v>
      </c>
      <c r="O322" s="5">
        <v>4</v>
      </c>
      <c r="P322" s="3"/>
      <c r="Q322" s="5">
        <v>23.03</v>
      </c>
      <c r="R322" s="7">
        <f t="shared" si="69"/>
        <v>27.635999999999999</v>
      </c>
      <c r="S322" s="5">
        <v>4</v>
      </c>
      <c r="U322" s="10">
        <v>71.16</v>
      </c>
      <c r="V322" s="11">
        <f t="shared" si="70"/>
        <v>85.391999999999996</v>
      </c>
      <c r="W322" s="6">
        <v>4</v>
      </c>
      <c r="Y322" s="10">
        <v>71.95</v>
      </c>
      <c r="Z322" s="11">
        <f t="shared" si="71"/>
        <v>86.34</v>
      </c>
      <c r="AA322" s="6">
        <v>4</v>
      </c>
      <c r="AB322" s="1">
        <v>1.2</v>
      </c>
      <c r="AC322" s="53" t="str">
        <f t="shared" si="72"/>
        <v>23:12</v>
      </c>
      <c r="AD322" s="52" t="str">
        <f t="shared" si="73"/>
        <v>00:00</v>
      </c>
      <c r="AE322" s="52" t="str">
        <f t="shared" si="74"/>
        <v>00:00</v>
      </c>
      <c r="AF322" s="14">
        <f t="shared" si="78"/>
        <v>45952.570833333331</v>
      </c>
      <c r="AG322" s="12">
        <f t="shared" si="83"/>
        <v>45952</v>
      </c>
      <c r="AH322" s="24">
        <f t="shared" si="84"/>
        <v>0.57083333333139308</v>
      </c>
      <c r="AI322" s="49">
        <f t="shared" si="77"/>
        <v>0.96666666666666667</v>
      </c>
      <c r="AK322" s="50" t="str">
        <f t="shared" si="76"/>
        <v>RUIM</v>
      </c>
    </row>
    <row r="323" spans="1:37" ht="19.95" customHeight="1" x14ac:dyDescent="0.4">
      <c r="A323" s="2">
        <v>1476</v>
      </c>
      <c r="B323" s="16">
        <v>45951.645833333336</v>
      </c>
      <c r="C323" s="22">
        <f t="shared" si="79"/>
        <v>45951</v>
      </c>
      <c r="D323" s="23">
        <f t="shared" si="80"/>
        <v>0.64583333333575865</v>
      </c>
      <c r="E323" s="14">
        <v>45952.570138888892</v>
      </c>
      <c r="F323" s="12">
        <f t="shared" si="81"/>
        <v>45952</v>
      </c>
      <c r="G323" s="24">
        <f t="shared" si="85"/>
        <v>0.57013888889196096</v>
      </c>
      <c r="H323" s="14">
        <v>45952.670138888891</v>
      </c>
      <c r="I323" s="14">
        <v>45953.254861111112</v>
      </c>
      <c r="J323" s="29">
        <v>17.41</v>
      </c>
      <c r="K323" s="30">
        <v>18.809999999999999</v>
      </c>
      <c r="M323" s="17">
        <v>31.62</v>
      </c>
      <c r="N323" s="7">
        <f t="shared" si="68"/>
        <v>37.944000000000003</v>
      </c>
      <c r="O323" s="5">
        <v>4</v>
      </c>
      <c r="P323" s="3"/>
      <c r="Q323" s="5">
        <v>29.27</v>
      </c>
      <c r="R323" s="7">
        <f t="shared" si="69"/>
        <v>35.123999999999995</v>
      </c>
      <c r="S323" s="5">
        <v>4</v>
      </c>
      <c r="U323" s="10">
        <v>70.05</v>
      </c>
      <c r="V323" s="11">
        <f t="shared" si="70"/>
        <v>84.059999999999988</v>
      </c>
      <c r="W323" s="6">
        <v>4</v>
      </c>
      <c r="Y323" s="10">
        <v>70.59</v>
      </c>
      <c r="Z323" s="11">
        <f t="shared" si="71"/>
        <v>84.707999999999998</v>
      </c>
      <c r="AA323" s="6">
        <v>4</v>
      </c>
      <c r="AB323" s="1">
        <v>1.2</v>
      </c>
      <c r="AC323" s="53" t="str">
        <f t="shared" si="72"/>
        <v>22:11</v>
      </c>
      <c r="AD323" s="52" t="str">
        <f t="shared" si="73"/>
        <v>24:35</v>
      </c>
      <c r="AE323" s="52" t="str">
        <f t="shared" si="74"/>
        <v>38:37</v>
      </c>
      <c r="AF323" s="14">
        <f t="shared" si="78"/>
        <v>45953.254861111112</v>
      </c>
      <c r="AG323" s="12">
        <f t="shared" si="83"/>
        <v>45953</v>
      </c>
      <c r="AH323" s="24">
        <f t="shared" si="84"/>
        <v>0.25486111111240461</v>
      </c>
      <c r="AI323" s="49">
        <f t="shared" si="77"/>
        <v>1.6090277777777777</v>
      </c>
      <c r="AK323" s="50" t="str">
        <f t="shared" si="76"/>
        <v>RUIM</v>
      </c>
    </row>
    <row r="324" spans="1:37" ht="19.95" customHeight="1" x14ac:dyDescent="0.4">
      <c r="A324" s="2">
        <v>1477</v>
      </c>
      <c r="B324" s="16">
        <v>45951.666666666664</v>
      </c>
      <c r="C324" s="22">
        <f t="shared" si="79"/>
        <v>45951</v>
      </c>
      <c r="D324" s="23">
        <f t="shared" si="80"/>
        <v>0.66666666666424135</v>
      </c>
      <c r="E324" s="14">
        <v>45952.566666666666</v>
      </c>
      <c r="F324" s="12">
        <f t="shared" si="81"/>
        <v>45952</v>
      </c>
      <c r="G324" s="24">
        <f t="shared" si="85"/>
        <v>0.56666666666569654</v>
      </c>
      <c r="H324" s="14"/>
      <c r="I324" s="14"/>
      <c r="J324" s="29">
        <v>18.66</v>
      </c>
      <c r="K324" s="30"/>
      <c r="M324" s="17">
        <v>20.91</v>
      </c>
      <c r="N324" s="7">
        <f t="shared" si="68"/>
        <v>25.091999999999999</v>
      </c>
      <c r="O324" s="5">
        <v>4</v>
      </c>
      <c r="P324" s="3"/>
      <c r="Q324" s="5">
        <v>22.98</v>
      </c>
      <c r="R324" s="7">
        <f t="shared" si="69"/>
        <v>27.576000000000001</v>
      </c>
      <c r="S324" s="5">
        <v>4</v>
      </c>
      <c r="U324" s="10">
        <v>70.28</v>
      </c>
      <c r="V324" s="11">
        <f t="shared" si="70"/>
        <v>84.335999999999999</v>
      </c>
      <c r="W324" s="6">
        <v>4</v>
      </c>
      <c r="Y324" s="10">
        <v>69.86</v>
      </c>
      <c r="Z324" s="11">
        <f t="shared" si="71"/>
        <v>83.831999999999994</v>
      </c>
      <c r="AA324" s="6">
        <v>4</v>
      </c>
      <c r="AB324" s="1">
        <v>1.2</v>
      </c>
      <c r="AC324" s="53" t="str">
        <f t="shared" si="72"/>
        <v>21:36</v>
      </c>
      <c r="AD324" s="52" t="str">
        <f t="shared" si="73"/>
        <v>00:00</v>
      </c>
      <c r="AE324" s="52" t="str">
        <f t="shared" si="74"/>
        <v>00:00</v>
      </c>
      <c r="AF324" s="14">
        <f t="shared" si="78"/>
        <v>45952.566666666666</v>
      </c>
      <c r="AG324" s="12">
        <f t="shared" si="83"/>
        <v>45952</v>
      </c>
      <c r="AH324" s="24">
        <f t="shared" si="84"/>
        <v>0.56666666666569654</v>
      </c>
      <c r="AI324" s="49">
        <f t="shared" si="77"/>
        <v>0.9</v>
      </c>
      <c r="AK324" s="50" t="str">
        <f t="shared" si="76"/>
        <v>RUIM</v>
      </c>
    </row>
    <row r="325" spans="1:37" ht="19.95" customHeight="1" x14ac:dyDescent="0.4">
      <c r="A325" s="2">
        <v>1478</v>
      </c>
      <c r="B325" s="16">
        <v>45952.625</v>
      </c>
      <c r="C325" s="22">
        <f t="shared" si="79"/>
        <v>45952</v>
      </c>
      <c r="D325" s="23">
        <f t="shared" si="80"/>
        <v>0.625</v>
      </c>
      <c r="E325" s="14">
        <v>45953.486805555556</v>
      </c>
      <c r="F325" s="12">
        <f t="shared" si="81"/>
        <v>45953</v>
      </c>
      <c r="G325" s="24">
        <f t="shared" si="85"/>
        <v>0.48680555555620231</v>
      </c>
      <c r="H325" s="14">
        <v>45953.640972222223</v>
      </c>
      <c r="I325" s="14"/>
      <c r="J325" s="29">
        <v>20.03</v>
      </c>
      <c r="K325" s="30"/>
      <c r="M325" s="17">
        <v>24.28</v>
      </c>
      <c r="N325" s="7">
        <f t="shared" si="68"/>
        <v>29.135999999999999</v>
      </c>
      <c r="O325" s="5">
        <v>4</v>
      </c>
      <c r="P325" s="3"/>
      <c r="Q325" s="5">
        <v>23.01</v>
      </c>
      <c r="R325" s="7">
        <f t="shared" si="69"/>
        <v>27.612000000000002</v>
      </c>
      <c r="S325" s="5">
        <v>4</v>
      </c>
      <c r="U325" s="10">
        <v>70.94</v>
      </c>
      <c r="V325" s="11">
        <f t="shared" si="70"/>
        <v>85.128</v>
      </c>
      <c r="W325" s="6">
        <v>4</v>
      </c>
      <c r="Y325" s="10">
        <v>70.540000000000006</v>
      </c>
      <c r="Z325" s="11">
        <f t="shared" si="71"/>
        <v>84.64800000000001</v>
      </c>
      <c r="AA325" s="6">
        <v>4</v>
      </c>
      <c r="AB325" s="1">
        <v>1.2</v>
      </c>
      <c r="AC325" s="53" t="str">
        <f t="shared" si="72"/>
        <v>20:41</v>
      </c>
      <c r="AD325" s="52" t="str">
        <f t="shared" si="73"/>
        <v>24:23</v>
      </c>
      <c r="AE325" s="52" t="str">
        <f t="shared" si="74"/>
        <v>00:00</v>
      </c>
      <c r="AF325" s="14">
        <f t="shared" si="78"/>
        <v>45953.640972222223</v>
      </c>
      <c r="AG325" s="12">
        <f t="shared" si="83"/>
        <v>45953</v>
      </c>
      <c r="AH325" s="24">
        <f t="shared" si="84"/>
        <v>0.64097222222335404</v>
      </c>
      <c r="AI325" s="49">
        <f t="shared" si="77"/>
        <v>1.0159722222222223</v>
      </c>
      <c r="AK325" s="50" t="str">
        <f t="shared" si="76"/>
        <v>RUIM</v>
      </c>
    </row>
    <row r="326" spans="1:37" ht="19.95" customHeight="1" x14ac:dyDescent="0.4">
      <c r="A326" s="2">
        <v>1479</v>
      </c>
      <c r="B326" s="16">
        <v>45952.645833333336</v>
      </c>
      <c r="C326" s="22">
        <f t="shared" si="79"/>
        <v>45952</v>
      </c>
      <c r="D326" s="23">
        <f t="shared" si="80"/>
        <v>0.64583333333575865</v>
      </c>
      <c r="E326" s="14">
        <v>45953.484722222223</v>
      </c>
      <c r="F326" s="12">
        <f t="shared" si="81"/>
        <v>45953</v>
      </c>
      <c r="G326" s="24">
        <f t="shared" si="85"/>
        <v>0.48472222222335404</v>
      </c>
      <c r="H326" s="14">
        <v>45953.637499999997</v>
      </c>
      <c r="I326" s="14"/>
      <c r="J326" s="29">
        <v>16.95</v>
      </c>
      <c r="K326" s="30"/>
      <c r="M326" s="17">
        <v>21.2</v>
      </c>
      <c r="N326" s="7">
        <f t="shared" si="68"/>
        <v>25.439999999999998</v>
      </c>
      <c r="O326" s="5">
        <v>4</v>
      </c>
      <c r="P326" s="3"/>
      <c r="Q326" s="5">
        <v>21.63</v>
      </c>
      <c r="R326" s="7">
        <f t="shared" si="69"/>
        <v>25.956</v>
      </c>
      <c r="S326" s="5">
        <v>4</v>
      </c>
      <c r="U326" s="10">
        <v>70.91</v>
      </c>
      <c r="V326" s="11">
        <f t="shared" si="70"/>
        <v>85.091999999999999</v>
      </c>
      <c r="W326" s="6">
        <v>4</v>
      </c>
      <c r="Y326" s="10">
        <v>70.58</v>
      </c>
      <c r="Z326" s="11">
        <f t="shared" si="71"/>
        <v>84.695999999999998</v>
      </c>
      <c r="AA326" s="6">
        <v>4</v>
      </c>
      <c r="AB326" s="1">
        <v>1.2</v>
      </c>
      <c r="AC326" s="53" t="str">
        <f t="shared" si="72"/>
        <v>20:08</v>
      </c>
      <c r="AD326" s="52" t="str">
        <f t="shared" si="73"/>
        <v>23:48</v>
      </c>
      <c r="AE326" s="52" t="str">
        <f t="shared" si="74"/>
        <v>00:00</v>
      </c>
      <c r="AF326" s="14">
        <f t="shared" si="78"/>
        <v>45953.637499999997</v>
      </c>
      <c r="AG326" s="12">
        <f t="shared" si="83"/>
        <v>45953</v>
      </c>
      <c r="AH326" s="24">
        <f t="shared" si="84"/>
        <v>0.63749999999708962</v>
      </c>
      <c r="AI326" s="49">
        <f t="shared" si="77"/>
        <v>0.9916666666666667</v>
      </c>
      <c r="AK326" s="50" t="str">
        <f t="shared" si="76"/>
        <v>RUIM</v>
      </c>
    </row>
    <row r="327" spans="1:37" ht="19.95" customHeight="1" x14ac:dyDescent="0.4">
      <c r="A327" s="2">
        <v>1480</v>
      </c>
      <c r="B327" s="16">
        <v>45952.666666666664</v>
      </c>
      <c r="C327" s="22">
        <f t="shared" si="79"/>
        <v>45952</v>
      </c>
      <c r="D327" s="23">
        <f t="shared" si="80"/>
        <v>0.66666666666424135</v>
      </c>
      <c r="E327" s="14">
        <v>45953.48333333333</v>
      </c>
      <c r="F327" s="12">
        <f t="shared" si="81"/>
        <v>45953</v>
      </c>
      <c r="G327" s="24">
        <f t="shared" si="85"/>
        <v>0.48333333332993789</v>
      </c>
      <c r="H327" s="14">
        <v>45953.634722222225</v>
      </c>
      <c r="I327" s="14"/>
      <c r="J327" s="29">
        <v>20.82</v>
      </c>
      <c r="K327" s="30"/>
      <c r="M327" s="17">
        <v>24.79</v>
      </c>
      <c r="N327" s="7">
        <f t="shared" si="68"/>
        <v>29.747999999999998</v>
      </c>
      <c r="O327" s="5">
        <v>3</v>
      </c>
      <c r="P327" s="3"/>
      <c r="Q327" s="5">
        <v>24.2</v>
      </c>
      <c r="R327" s="7">
        <f t="shared" si="69"/>
        <v>29.04</v>
      </c>
      <c r="S327" s="5">
        <v>3</v>
      </c>
      <c r="U327" s="10">
        <v>70.930000000000007</v>
      </c>
      <c r="V327" s="11">
        <f t="shared" si="70"/>
        <v>85.116</v>
      </c>
      <c r="W327" s="6">
        <v>4</v>
      </c>
      <c r="Y327" s="10">
        <v>70.650000000000006</v>
      </c>
      <c r="Z327" s="11">
        <f t="shared" si="71"/>
        <v>84.78</v>
      </c>
      <c r="AA327" s="6">
        <v>4</v>
      </c>
      <c r="AB327" s="1">
        <v>1.2</v>
      </c>
      <c r="AC327" s="53" t="str">
        <f t="shared" si="72"/>
        <v>19:36</v>
      </c>
      <c r="AD327" s="52" t="str">
        <f t="shared" si="73"/>
        <v>23:14</v>
      </c>
      <c r="AE327" s="52" t="str">
        <f t="shared" si="74"/>
        <v>00:00</v>
      </c>
      <c r="AF327" s="14">
        <f t="shared" si="78"/>
        <v>45953.634722222225</v>
      </c>
      <c r="AG327" s="12">
        <f t="shared" si="83"/>
        <v>45953</v>
      </c>
      <c r="AH327" s="24">
        <f t="shared" si="84"/>
        <v>0.63472222222480923</v>
      </c>
      <c r="AI327" s="49">
        <f t="shared" si="77"/>
        <v>0.96805555555555556</v>
      </c>
      <c r="AK327" s="50" t="str">
        <f t="shared" si="76"/>
        <v>RUIM</v>
      </c>
    </row>
    <row r="328" spans="1:37" ht="19.95" customHeight="1" x14ac:dyDescent="0.4">
      <c r="A328" s="2">
        <v>1481</v>
      </c>
      <c r="B328" s="16">
        <v>45952.690972222219</v>
      </c>
      <c r="C328" s="22">
        <f t="shared" si="79"/>
        <v>45952</v>
      </c>
      <c r="D328" s="23">
        <f t="shared" si="80"/>
        <v>0.69097222221898846</v>
      </c>
      <c r="E328" s="14">
        <v>45953.481249999997</v>
      </c>
      <c r="F328" s="12">
        <f t="shared" si="81"/>
        <v>45953</v>
      </c>
      <c r="G328" s="24">
        <f t="shared" si="85"/>
        <v>0.48124999999708962</v>
      </c>
      <c r="H328" s="14">
        <v>45953.631944444445</v>
      </c>
      <c r="I328" s="14"/>
      <c r="J328" s="29">
        <v>19.41</v>
      </c>
      <c r="K328" s="30"/>
      <c r="M328" s="17">
        <v>23.75</v>
      </c>
      <c r="N328" s="7">
        <f t="shared" ref="N328:N391" si="86">IF(M328="","",M328*AB328)</f>
        <v>28.5</v>
      </c>
      <c r="O328" s="5">
        <v>4</v>
      </c>
      <c r="P328" s="3"/>
      <c r="Q328" s="5">
        <v>25.13</v>
      </c>
      <c r="R328" s="7">
        <f t="shared" ref="R328:R391" si="87">IF(Q328="","",Q328*AB328)</f>
        <v>30.155999999999999</v>
      </c>
      <c r="S328" s="5">
        <v>4</v>
      </c>
      <c r="U328" s="10">
        <v>70.44</v>
      </c>
      <c r="V328" s="11">
        <f t="shared" ref="V328:V391" si="88">IF(U328="","",U328*AB328)</f>
        <v>84.527999999999992</v>
      </c>
      <c r="W328" s="6">
        <v>4</v>
      </c>
      <c r="Y328" s="10">
        <v>70.38</v>
      </c>
      <c r="Z328" s="11">
        <f t="shared" ref="Z328:Z391" si="89">IF(Y328="","",Y328*AB328)</f>
        <v>84.455999999999989</v>
      </c>
      <c r="AA328" s="6">
        <v>4</v>
      </c>
      <c r="AB328" s="1">
        <v>1.2</v>
      </c>
      <c r="AC328" s="53" t="str">
        <f t="shared" si="72"/>
        <v>18:58</v>
      </c>
      <c r="AD328" s="52" t="str">
        <f t="shared" si="73"/>
        <v>22:35</v>
      </c>
      <c r="AE328" s="52" t="str">
        <f t="shared" si="74"/>
        <v>00:00</v>
      </c>
      <c r="AF328" s="14">
        <f t="shared" si="78"/>
        <v>45953.631944444445</v>
      </c>
      <c r="AG328" s="12">
        <f t="shared" si="83"/>
        <v>45953</v>
      </c>
      <c r="AH328" s="24">
        <f t="shared" si="84"/>
        <v>0.63194444444525288</v>
      </c>
      <c r="AI328" s="49">
        <f t="shared" si="77"/>
        <v>0.94097222222222221</v>
      </c>
      <c r="AK328" s="50" t="str">
        <f t="shared" si="76"/>
        <v>RUIM</v>
      </c>
    </row>
    <row r="329" spans="1:37" ht="19.95" customHeight="1" x14ac:dyDescent="0.4">
      <c r="A329" s="2">
        <v>1482</v>
      </c>
      <c r="B329" s="16">
        <v>45952.71875</v>
      </c>
      <c r="C329" s="22">
        <f t="shared" si="79"/>
        <v>45952</v>
      </c>
      <c r="D329" s="23">
        <f t="shared" si="80"/>
        <v>0.71875</v>
      </c>
      <c r="E329" s="14">
        <v>45953.479166666664</v>
      </c>
      <c r="F329" s="12">
        <f t="shared" si="81"/>
        <v>45953</v>
      </c>
      <c r="G329" s="24">
        <f t="shared" si="85"/>
        <v>0.47916666666424135</v>
      </c>
      <c r="H329" s="14">
        <v>45953.627083333333</v>
      </c>
      <c r="I329" s="14">
        <v>45953.642361111109</v>
      </c>
      <c r="J329" s="29">
        <v>13.6</v>
      </c>
      <c r="K329" s="30">
        <v>19.41</v>
      </c>
      <c r="M329" s="17">
        <v>20.12</v>
      </c>
      <c r="N329" s="7">
        <f t="shared" si="86"/>
        <v>24.144000000000002</v>
      </c>
      <c r="O329" s="5">
        <v>4</v>
      </c>
      <c r="P329" s="3"/>
      <c r="Q329" s="5">
        <v>20.23</v>
      </c>
      <c r="R329" s="7">
        <f t="shared" si="87"/>
        <v>24.276</v>
      </c>
      <c r="S329" s="5">
        <v>4</v>
      </c>
      <c r="U329" s="10">
        <v>70.58</v>
      </c>
      <c r="V329" s="11">
        <f t="shared" si="88"/>
        <v>84.695999999999998</v>
      </c>
      <c r="W329" s="6">
        <v>4</v>
      </c>
      <c r="Y329" s="10">
        <v>70.94</v>
      </c>
      <c r="Z329" s="11">
        <f t="shared" si="89"/>
        <v>85.128</v>
      </c>
      <c r="AA329" s="6">
        <v>4</v>
      </c>
      <c r="AB329" s="1">
        <v>1.2</v>
      </c>
      <c r="AC329" s="53" t="str">
        <f t="shared" si="72"/>
        <v>18:15</v>
      </c>
      <c r="AD329" s="52" t="str">
        <f t="shared" si="73"/>
        <v>21:48</v>
      </c>
      <c r="AE329" s="52" t="str">
        <f t="shared" si="74"/>
        <v>22:10</v>
      </c>
      <c r="AF329" s="14">
        <f t="shared" si="78"/>
        <v>45953.642361111109</v>
      </c>
      <c r="AG329" s="12">
        <f t="shared" si="83"/>
        <v>45953</v>
      </c>
      <c r="AH329" s="24">
        <f t="shared" si="84"/>
        <v>0.64236111110949423</v>
      </c>
      <c r="AI329" s="49">
        <f t="shared" si="77"/>
        <v>0.92361111111111116</v>
      </c>
      <c r="AK329" s="50" t="str">
        <f t="shared" si="76"/>
        <v>RUIM</v>
      </c>
    </row>
    <row r="330" spans="1:37" ht="19.95" customHeight="1" x14ac:dyDescent="0.4">
      <c r="A330" s="2">
        <v>1483</v>
      </c>
      <c r="B330" s="16">
        <v>45953.583333333336</v>
      </c>
      <c r="C330" s="22">
        <f t="shared" si="79"/>
        <v>45953</v>
      </c>
      <c r="D330" s="23">
        <f t="shared" si="80"/>
        <v>0.58333333333575865</v>
      </c>
      <c r="E330" s="14">
        <v>45954.572916666664</v>
      </c>
      <c r="F330" s="12">
        <f t="shared" si="81"/>
        <v>45954</v>
      </c>
      <c r="G330" s="24">
        <f t="shared" si="85"/>
        <v>0.57291666666424135</v>
      </c>
      <c r="H330" s="14"/>
      <c r="I330" s="14"/>
      <c r="J330" s="29"/>
      <c r="K330" s="30"/>
      <c r="M330" s="17">
        <v>21.71</v>
      </c>
      <c r="N330" s="7">
        <f t="shared" si="86"/>
        <v>26.052</v>
      </c>
      <c r="O330" s="5">
        <v>4</v>
      </c>
      <c r="P330" s="3"/>
      <c r="Q330" s="5">
        <v>22.61</v>
      </c>
      <c r="R330" s="7">
        <f t="shared" si="87"/>
        <v>27.131999999999998</v>
      </c>
      <c r="S330" s="5">
        <v>4</v>
      </c>
      <c r="U330" s="10">
        <v>70.38</v>
      </c>
      <c r="V330" s="11">
        <f t="shared" si="88"/>
        <v>84.455999999999989</v>
      </c>
      <c r="W330" s="6">
        <v>4</v>
      </c>
      <c r="Y330" s="10">
        <v>70.25</v>
      </c>
      <c r="Z330" s="11">
        <f t="shared" si="89"/>
        <v>84.3</v>
      </c>
      <c r="AA330" s="6">
        <v>4</v>
      </c>
      <c r="AB330" s="1">
        <v>1.2</v>
      </c>
      <c r="AC330" s="53" t="str">
        <f t="shared" si="72"/>
        <v>23:45</v>
      </c>
      <c r="AD330" s="52" t="str">
        <f t="shared" si="73"/>
        <v>00:00</v>
      </c>
      <c r="AE330" s="52" t="str">
        <f t="shared" si="74"/>
        <v>00:00</v>
      </c>
      <c r="AF330" s="14">
        <f t="shared" si="78"/>
        <v>45954.572916666664</v>
      </c>
      <c r="AG330" s="12">
        <f t="shared" si="83"/>
        <v>45954</v>
      </c>
      <c r="AH330" s="24">
        <f t="shared" si="84"/>
        <v>0.57291666666424135</v>
      </c>
      <c r="AI330" s="49">
        <f t="shared" si="77"/>
        <v>0.98958333333333337</v>
      </c>
      <c r="AK330" s="50" t="str">
        <f t="shared" si="76"/>
        <v>RUIM</v>
      </c>
    </row>
    <row r="331" spans="1:37" ht="19.95" customHeight="1" x14ac:dyDescent="0.4">
      <c r="A331" s="2">
        <v>1484</v>
      </c>
      <c r="B331" s="16">
        <v>45953.618055555555</v>
      </c>
      <c r="C331" s="22">
        <f t="shared" si="79"/>
        <v>45953</v>
      </c>
      <c r="D331" s="23">
        <f t="shared" si="80"/>
        <v>0.61805555555474712</v>
      </c>
      <c r="E331" s="14">
        <v>45954.579861111109</v>
      </c>
      <c r="F331" s="12">
        <f t="shared" si="81"/>
        <v>45954</v>
      </c>
      <c r="G331" s="24">
        <f t="shared" si="85"/>
        <v>0.57986111110949423</v>
      </c>
      <c r="H331" s="14"/>
      <c r="I331" s="14"/>
      <c r="J331" s="29"/>
      <c r="K331" s="30"/>
      <c r="M331" s="17">
        <v>25.82</v>
      </c>
      <c r="N331" s="7">
        <f t="shared" si="86"/>
        <v>30.983999999999998</v>
      </c>
      <c r="O331" s="5">
        <v>4</v>
      </c>
      <c r="P331" s="3"/>
      <c r="Q331" s="5">
        <v>28.08</v>
      </c>
      <c r="R331" s="7">
        <f t="shared" si="87"/>
        <v>33.695999999999998</v>
      </c>
      <c r="S331" s="5">
        <v>4</v>
      </c>
      <c r="U331" s="10">
        <v>70.06</v>
      </c>
      <c r="V331" s="11">
        <f t="shared" si="88"/>
        <v>84.072000000000003</v>
      </c>
      <c r="W331" s="6">
        <v>4</v>
      </c>
      <c r="Y331" s="10">
        <v>70.09</v>
      </c>
      <c r="Z331" s="11">
        <f t="shared" si="89"/>
        <v>84.108000000000004</v>
      </c>
      <c r="AA331" s="6">
        <v>4</v>
      </c>
      <c r="AB331" s="1">
        <v>1.2</v>
      </c>
      <c r="AC331" s="53" t="str">
        <f t="shared" si="72"/>
        <v>23:05</v>
      </c>
      <c r="AD331" s="52" t="str">
        <f t="shared" si="73"/>
        <v>00:00</v>
      </c>
      <c r="AE331" s="52" t="str">
        <f t="shared" si="74"/>
        <v>00:00</v>
      </c>
      <c r="AF331" s="14">
        <f t="shared" si="78"/>
        <v>45954.579861111109</v>
      </c>
      <c r="AG331" s="12">
        <f t="shared" si="83"/>
        <v>45954</v>
      </c>
      <c r="AH331" s="24">
        <f t="shared" si="84"/>
        <v>0.57986111110949423</v>
      </c>
      <c r="AI331" s="49">
        <f t="shared" si="77"/>
        <v>0.96180555555555558</v>
      </c>
      <c r="AK331" s="50" t="str">
        <f t="shared" si="76"/>
        <v>RUIM</v>
      </c>
    </row>
    <row r="332" spans="1:37" ht="19.95" customHeight="1" x14ac:dyDescent="0.4">
      <c r="A332" s="2">
        <v>1485</v>
      </c>
      <c r="B332" s="16">
        <v>45953.666666666664</v>
      </c>
      <c r="C332" s="22">
        <f t="shared" si="79"/>
        <v>45953</v>
      </c>
      <c r="D332" s="23">
        <f t="shared" si="80"/>
        <v>0.66666666666424135</v>
      </c>
      <c r="E332" s="14">
        <v>45954.574305555558</v>
      </c>
      <c r="F332" s="12">
        <f t="shared" si="81"/>
        <v>45954</v>
      </c>
      <c r="G332" s="24">
        <f t="shared" si="85"/>
        <v>0.5743055555576575</v>
      </c>
      <c r="H332" s="14"/>
      <c r="I332" s="14"/>
      <c r="J332" s="29"/>
      <c r="K332" s="30"/>
      <c r="M332" s="17">
        <v>24.99</v>
      </c>
      <c r="N332" s="7">
        <f t="shared" si="86"/>
        <v>29.987999999999996</v>
      </c>
      <c r="O332" s="5">
        <v>4</v>
      </c>
      <c r="P332" s="3"/>
      <c r="Q332" s="5">
        <v>25.91</v>
      </c>
      <c r="R332" s="7">
        <f t="shared" si="87"/>
        <v>31.091999999999999</v>
      </c>
      <c r="S332" s="5">
        <v>4</v>
      </c>
      <c r="U332" s="10">
        <v>70.47</v>
      </c>
      <c r="V332" s="11">
        <f t="shared" si="88"/>
        <v>84.563999999999993</v>
      </c>
      <c r="W332" s="6">
        <v>4</v>
      </c>
      <c r="Y332" s="10">
        <v>70.66</v>
      </c>
      <c r="Z332" s="11">
        <f t="shared" si="89"/>
        <v>84.791999999999987</v>
      </c>
      <c r="AA332" s="6">
        <v>4</v>
      </c>
      <c r="AB332" s="1">
        <v>1.2</v>
      </c>
      <c r="AC332" s="53" t="str">
        <f t="shared" si="72"/>
        <v>21:47</v>
      </c>
      <c r="AD332" s="52" t="str">
        <f t="shared" si="73"/>
        <v>00:00</v>
      </c>
      <c r="AE332" s="52" t="str">
        <f t="shared" si="74"/>
        <v>00:00</v>
      </c>
      <c r="AF332" s="14">
        <f t="shared" si="78"/>
        <v>45954.574305555558</v>
      </c>
      <c r="AG332" s="12">
        <f t="shared" si="83"/>
        <v>45954</v>
      </c>
      <c r="AH332" s="24">
        <f t="shared" si="84"/>
        <v>0.5743055555576575</v>
      </c>
      <c r="AI332" s="49">
        <f t="shared" si="77"/>
        <v>0.90763888888888888</v>
      </c>
      <c r="AK332" s="50" t="str">
        <f t="shared" si="76"/>
        <v>RUIM</v>
      </c>
    </row>
    <row r="333" spans="1:37" ht="19.95" customHeight="1" x14ac:dyDescent="0.4">
      <c r="A333" s="2">
        <v>1486</v>
      </c>
      <c r="B333" s="16">
        <v>45954.618055555555</v>
      </c>
      <c r="C333" s="22">
        <f t="shared" si="79"/>
        <v>45954</v>
      </c>
      <c r="D333" s="23">
        <f t="shared" si="80"/>
        <v>0.61805555555474712</v>
      </c>
      <c r="E333" s="14">
        <v>45955.393750000003</v>
      </c>
      <c r="F333" s="12">
        <f t="shared" si="81"/>
        <v>45955</v>
      </c>
      <c r="G333" s="24">
        <f t="shared" si="85"/>
        <v>0.39375000000291038</v>
      </c>
      <c r="H333" s="14"/>
      <c r="I333" s="14"/>
      <c r="J333" s="29"/>
      <c r="K333" s="30"/>
      <c r="M333" s="32">
        <v>28.3</v>
      </c>
      <c r="N333" s="7">
        <f t="shared" si="86"/>
        <v>33.96</v>
      </c>
      <c r="O333" s="5">
        <v>4</v>
      </c>
      <c r="P333" s="3"/>
      <c r="Q333" s="5">
        <v>29.57</v>
      </c>
      <c r="R333" s="7">
        <f t="shared" si="87"/>
        <v>35.484000000000002</v>
      </c>
      <c r="S333" s="5">
        <v>4</v>
      </c>
      <c r="U333" s="10">
        <v>70.11</v>
      </c>
      <c r="V333" s="11">
        <f t="shared" si="88"/>
        <v>84.131999999999991</v>
      </c>
      <c r="W333" s="6">
        <v>4</v>
      </c>
      <c r="Y333" s="10">
        <v>69.540000000000006</v>
      </c>
      <c r="Z333" s="11">
        <f t="shared" si="89"/>
        <v>83.448000000000008</v>
      </c>
      <c r="AA333" s="6">
        <v>4</v>
      </c>
      <c r="AB333" s="1">
        <v>1.2</v>
      </c>
      <c r="AC333" s="53" t="str">
        <f t="shared" ref="AC333:AC396" si="90">IF(B333="","",TEXT(E333-B333,"[hh]:mm"))</f>
        <v>18:37</v>
      </c>
      <c r="AD333" s="52" t="str">
        <f t="shared" ref="AD333:AD396" si="91">IF(H333="","00:00",TEXT(H333-B333,"[hh]:mm"))</f>
        <v>00:00</v>
      </c>
      <c r="AE333" s="52" t="str">
        <f t="shared" ref="AE333:AE396" si="92">IF(I333="","00:00",TEXT(I333-B333,"[hh]:mm"))</f>
        <v>00:00</v>
      </c>
      <c r="AF333" s="14">
        <f t="shared" si="78"/>
        <v>45955.393750000003</v>
      </c>
      <c r="AG333" s="12">
        <f t="shared" si="83"/>
        <v>45955</v>
      </c>
      <c r="AH333" s="24">
        <f t="shared" si="84"/>
        <v>0.39375000000291038</v>
      </c>
      <c r="AI333" s="49">
        <f t="shared" ref="AI333:AI396" si="93">MAX(VALUE(AC333),VALUE(AD333),VALUE(AE333))</f>
        <v>0.77569444444444446</v>
      </c>
      <c r="AK333" s="50" t="str">
        <f t="shared" ref="AK333:AK396" si="94">IF(VALUE(AI333)&lt;=VALUE($AK$3),"BOM","RUIM")</f>
        <v>BOM</v>
      </c>
    </row>
    <row r="334" spans="1:37" ht="19.95" customHeight="1" x14ac:dyDescent="0.4">
      <c r="A334" s="2">
        <v>1487</v>
      </c>
      <c r="B334" s="16">
        <v>45955.552083333336</v>
      </c>
      <c r="C334" s="22">
        <f t="shared" si="79"/>
        <v>45955</v>
      </c>
      <c r="D334" s="23">
        <f t="shared" si="80"/>
        <v>0.55208333333575865</v>
      </c>
      <c r="E334" s="14">
        <v>45957.3125</v>
      </c>
      <c r="F334" s="12">
        <f t="shared" si="81"/>
        <v>45957</v>
      </c>
      <c r="G334" s="24">
        <f t="shared" si="85"/>
        <v>0.3125</v>
      </c>
      <c r="H334" s="14"/>
      <c r="I334" s="14"/>
      <c r="J334" s="29"/>
      <c r="K334" s="30"/>
      <c r="M334" s="17">
        <v>29.25</v>
      </c>
      <c r="N334" s="7">
        <f t="shared" si="86"/>
        <v>35.1</v>
      </c>
      <c r="O334" s="5">
        <v>4</v>
      </c>
      <c r="P334" s="3"/>
      <c r="Q334" s="5">
        <v>28.44</v>
      </c>
      <c r="R334" s="7">
        <f t="shared" si="87"/>
        <v>34.128</v>
      </c>
      <c r="S334" s="5">
        <v>4</v>
      </c>
      <c r="U334" s="10">
        <v>70.489999999999995</v>
      </c>
      <c r="V334" s="11">
        <f t="shared" si="88"/>
        <v>84.587999999999994</v>
      </c>
      <c r="W334" s="6">
        <v>4</v>
      </c>
      <c r="Y334" s="10">
        <v>70.22</v>
      </c>
      <c r="Z334" s="11">
        <f t="shared" si="89"/>
        <v>84.263999999999996</v>
      </c>
      <c r="AA334" s="6">
        <v>4</v>
      </c>
      <c r="AB334" s="1">
        <v>1.2</v>
      </c>
      <c r="AC334" s="53" t="str">
        <f t="shared" si="90"/>
        <v>42:15</v>
      </c>
      <c r="AD334" s="52" t="str">
        <f t="shared" si="91"/>
        <v>00:00</v>
      </c>
      <c r="AE334" s="52" t="str">
        <f t="shared" si="92"/>
        <v>00:00</v>
      </c>
      <c r="AF334" s="14">
        <f t="shared" si="78"/>
        <v>45957.3125</v>
      </c>
      <c r="AG334" s="12">
        <f t="shared" si="83"/>
        <v>45957</v>
      </c>
      <c r="AH334" s="24">
        <f t="shared" si="84"/>
        <v>0.3125</v>
      </c>
      <c r="AI334" s="49">
        <f t="shared" si="93"/>
        <v>1.7604166666666667</v>
      </c>
      <c r="AK334" s="50" t="str">
        <f t="shared" si="94"/>
        <v>RUIM</v>
      </c>
    </row>
    <row r="335" spans="1:37" ht="19.95" customHeight="1" x14ac:dyDescent="0.4">
      <c r="A335" s="2">
        <v>1488</v>
      </c>
      <c r="B335" s="16">
        <v>45955.572916666664</v>
      </c>
      <c r="C335" s="22">
        <f t="shared" si="79"/>
        <v>45955</v>
      </c>
      <c r="D335" s="23">
        <f t="shared" si="80"/>
        <v>0.57291666666424135</v>
      </c>
      <c r="E335" s="14">
        <v>45957.316666666666</v>
      </c>
      <c r="F335" s="12">
        <f t="shared" si="81"/>
        <v>45957</v>
      </c>
      <c r="G335" s="24">
        <f t="shared" si="85"/>
        <v>0.31666666666569654</v>
      </c>
      <c r="H335" s="14"/>
      <c r="I335" s="14"/>
      <c r="J335" s="29"/>
      <c r="K335" s="30"/>
      <c r="M335" s="17">
        <v>25.95</v>
      </c>
      <c r="N335" s="7">
        <f t="shared" si="86"/>
        <v>31.139999999999997</v>
      </c>
      <c r="O335" s="5">
        <v>4</v>
      </c>
      <c r="P335" s="3"/>
      <c r="Q335" s="5">
        <v>26.79</v>
      </c>
      <c r="R335" s="7">
        <f t="shared" si="87"/>
        <v>32.147999999999996</v>
      </c>
      <c r="S335" s="5">
        <v>4</v>
      </c>
      <c r="U335" s="10">
        <v>61.56</v>
      </c>
      <c r="V335" s="11">
        <f t="shared" si="88"/>
        <v>73.872</v>
      </c>
      <c r="W335" s="6">
        <v>4</v>
      </c>
      <c r="Y335" s="10">
        <v>61.99</v>
      </c>
      <c r="Z335" s="11">
        <f t="shared" si="89"/>
        <v>74.388000000000005</v>
      </c>
      <c r="AA335" s="6">
        <v>4</v>
      </c>
      <c r="AB335" s="1">
        <v>1.2</v>
      </c>
      <c r="AC335" s="53" t="str">
        <f t="shared" si="90"/>
        <v>41:51</v>
      </c>
      <c r="AD335" s="52" t="str">
        <f t="shared" si="91"/>
        <v>00:00</v>
      </c>
      <c r="AE335" s="52" t="str">
        <f t="shared" si="92"/>
        <v>00:00</v>
      </c>
      <c r="AF335" s="14">
        <f t="shared" si="78"/>
        <v>45957.316666666666</v>
      </c>
      <c r="AG335" s="12">
        <f t="shared" si="83"/>
        <v>45957</v>
      </c>
      <c r="AH335" s="24">
        <f t="shared" si="84"/>
        <v>0.31666666666569654</v>
      </c>
      <c r="AI335" s="49">
        <f t="shared" si="93"/>
        <v>1.7437499999999999</v>
      </c>
      <c r="AK335" s="50" t="str">
        <f t="shared" si="94"/>
        <v>RUIM</v>
      </c>
    </row>
    <row r="336" spans="1:37" ht="19.95" customHeight="1" x14ac:dyDescent="0.4">
      <c r="A336" s="2">
        <v>1489</v>
      </c>
      <c r="B336" s="16">
        <v>45955.60833333333</v>
      </c>
      <c r="C336" s="22">
        <f t="shared" si="79"/>
        <v>45955</v>
      </c>
      <c r="D336" s="23">
        <f t="shared" si="80"/>
        <v>0.60833333332993789</v>
      </c>
      <c r="E336" s="14">
        <v>45957.322916666664</v>
      </c>
      <c r="F336" s="12">
        <f t="shared" si="81"/>
        <v>45957</v>
      </c>
      <c r="G336" s="24">
        <f t="shared" si="85"/>
        <v>0.32291666666424135</v>
      </c>
      <c r="H336" s="14"/>
      <c r="I336" s="14"/>
      <c r="J336" s="29"/>
      <c r="K336" s="30"/>
      <c r="M336" s="17">
        <v>27.86</v>
      </c>
      <c r="N336" s="7">
        <f t="shared" si="86"/>
        <v>33.431999999999995</v>
      </c>
      <c r="O336" s="5">
        <v>4</v>
      </c>
      <c r="P336" s="3"/>
      <c r="Q336" s="5">
        <v>27.65</v>
      </c>
      <c r="R336" s="7">
        <f t="shared" si="87"/>
        <v>33.18</v>
      </c>
      <c r="S336" s="5">
        <v>4</v>
      </c>
      <c r="U336" s="10">
        <v>61.19</v>
      </c>
      <c r="V336" s="11">
        <f t="shared" si="88"/>
        <v>73.427999999999997</v>
      </c>
      <c r="W336" s="6">
        <v>4</v>
      </c>
      <c r="Y336" s="10">
        <v>61.02</v>
      </c>
      <c r="Z336" s="11">
        <f t="shared" si="89"/>
        <v>73.224000000000004</v>
      </c>
      <c r="AA336" s="6">
        <v>4</v>
      </c>
      <c r="AB336" s="1">
        <v>1.2</v>
      </c>
      <c r="AC336" s="53" t="str">
        <f t="shared" si="90"/>
        <v>41:09</v>
      </c>
      <c r="AD336" s="52" t="str">
        <f t="shared" si="91"/>
        <v>00:00</v>
      </c>
      <c r="AE336" s="52" t="str">
        <f t="shared" si="92"/>
        <v>00:00</v>
      </c>
      <c r="AF336" s="14">
        <f t="shared" si="78"/>
        <v>45957.322916666664</v>
      </c>
      <c r="AG336" s="12">
        <f t="shared" si="83"/>
        <v>45957</v>
      </c>
      <c r="AH336" s="24">
        <f t="shared" si="84"/>
        <v>0.32291666666424135</v>
      </c>
      <c r="AI336" s="49">
        <f t="shared" si="93"/>
        <v>1.7145833333333333</v>
      </c>
      <c r="AK336" s="50" t="str">
        <f t="shared" si="94"/>
        <v>RUIM</v>
      </c>
    </row>
    <row r="337" spans="1:37" ht="19.95" customHeight="1" x14ac:dyDescent="0.4">
      <c r="A337" s="2">
        <v>1490</v>
      </c>
      <c r="B337" s="16">
        <v>45955.635416666664</v>
      </c>
      <c r="C337" s="22">
        <f t="shared" si="79"/>
        <v>45955</v>
      </c>
      <c r="D337" s="23">
        <f t="shared" si="80"/>
        <v>0.63541666666424135</v>
      </c>
      <c r="E337" s="14">
        <v>45957.326388888891</v>
      </c>
      <c r="F337" s="12">
        <f t="shared" si="81"/>
        <v>45957</v>
      </c>
      <c r="G337" s="24">
        <f t="shared" si="85"/>
        <v>0.32638888889050577</v>
      </c>
      <c r="H337" s="14"/>
      <c r="I337" s="14"/>
      <c r="J337" s="29"/>
      <c r="K337" s="30"/>
      <c r="M337" s="17">
        <v>34.840000000000003</v>
      </c>
      <c r="N337" s="7">
        <f t="shared" si="86"/>
        <v>41.808</v>
      </c>
      <c r="O337" s="5">
        <v>4</v>
      </c>
      <c r="P337" s="3"/>
      <c r="Q337" s="5">
        <v>33.33</v>
      </c>
      <c r="R337" s="7">
        <f t="shared" si="87"/>
        <v>39.995999999999995</v>
      </c>
      <c r="S337" s="5">
        <v>4</v>
      </c>
      <c r="U337" s="10">
        <v>70.22</v>
      </c>
      <c r="V337" s="11">
        <f t="shared" si="88"/>
        <v>84.263999999999996</v>
      </c>
      <c r="W337" s="6">
        <v>4</v>
      </c>
      <c r="Y337" s="10">
        <v>70.12</v>
      </c>
      <c r="Z337" s="11">
        <f t="shared" si="89"/>
        <v>84.144000000000005</v>
      </c>
      <c r="AA337" s="6">
        <v>4</v>
      </c>
      <c r="AB337" s="1">
        <v>1.2</v>
      </c>
      <c r="AC337" s="53" t="str">
        <f t="shared" si="90"/>
        <v>40:35</v>
      </c>
      <c r="AD337" s="52" t="str">
        <f t="shared" si="91"/>
        <v>00:00</v>
      </c>
      <c r="AE337" s="52" t="str">
        <f t="shared" si="92"/>
        <v>00:00</v>
      </c>
      <c r="AF337" s="14">
        <f t="shared" si="78"/>
        <v>45957.326388888891</v>
      </c>
      <c r="AG337" s="12">
        <f t="shared" si="83"/>
        <v>45957</v>
      </c>
      <c r="AH337" s="24">
        <f t="shared" si="84"/>
        <v>0.32638888889050577</v>
      </c>
      <c r="AI337" s="49">
        <f t="shared" si="93"/>
        <v>1.6909722222222223</v>
      </c>
      <c r="AK337" s="50" t="str">
        <f t="shared" si="94"/>
        <v>RUIM</v>
      </c>
    </row>
    <row r="338" spans="1:37" ht="19.95" customHeight="1" x14ac:dyDescent="0.4">
      <c r="A338" s="2">
        <v>1491</v>
      </c>
      <c r="B338" s="16">
        <v>45955.659722222219</v>
      </c>
      <c r="C338" s="22">
        <f t="shared" si="79"/>
        <v>45955</v>
      </c>
      <c r="D338" s="23">
        <f t="shared" si="80"/>
        <v>0.65972222221898846</v>
      </c>
      <c r="E338" s="14">
        <v>45957.331250000003</v>
      </c>
      <c r="F338" s="12">
        <f t="shared" si="81"/>
        <v>45957</v>
      </c>
      <c r="G338" s="24">
        <f t="shared" si="85"/>
        <v>0.33125000000291038</v>
      </c>
      <c r="H338" s="14"/>
      <c r="I338" s="14"/>
      <c r="J338" s="29"/>
      <c r="K338" s="30"/>
      <c r="M338" s="17">
        <v>34.590000000000003</v>
      </c>
      <c r="N338" s="7">
        <f t="shared" si="86"/>
        <v>41.508000000000003</v>
      </c>
      <c r="O338" s="5">
        <v>4</v>
      </c>
      <c r="P338" s="3"/>
      <c r="Q338" s="5">
        <v>36</v>
      </c>
      <c r="R338" s="7">
        <f t="shared" si="87"/>
        <v>43.199999999999996</v>
      </c>
      <c r="S338" s="5">
        <v>4</v>
      </c>
      <c r="U338" s="10">
        <v>70.47</v>
      </c>
      <c r="V338" s="11">
        <f t="shared" si="88"/>
        <v>84.563999999999993</v>
      </c>
      <c r="W338" s="6">
        <v>4</v>
      </c>
      <c r="Y338" s="10">
        <v>70.41</v>
      </c>
      <c r="Z338" s="11">
        <f t="shared" si="89"/>
        <v>84.49199999999999</v>
      </c>
      <c r="AA338" s="6">
        <v>4</v>
      </c>
      <c r="AB338" s="1">
        <v>1.2</v>
      </c>
      <c r="AC338" s="53" t="str">
        <f t="shared" si="90"/>
        <v>40:07</v>
      </c>
      <c r="AD338" s="52" t="str">
        <f t="shared" si="91"/>
        <v>00:00</v>
      </c>
      <c r="AE338" s="52" t="str">
        <f t="shared" si="92"/>
        <v>00:00</v>
      </c>
      <c r="AF338" s="14">
        <f t="shared" si="78"/>
        <v>45957.331250000003</v>
      </c>
      <c r="AG338" s="12">
        <f t="shared" si="83"/>
        <v>45957</v>
      </c>
      <c r="AH338" s="24">
        <f t="shared" si="84"/>
        <v>0.33125000000291038</v>
      </c>
      <c r="AI338" s="49">
        <f t="shared" si="93"/>
        <v>1.6715277777777777</v>
      </c>
      <c r="AK338" s="50" t="str">
        <f t="shared" si="94"/>
        <v>RUIM</v>
      </c>
    </row>
    <row r="339" spans="1:37" ht="19.95" customHeight="1" x14ac:dyDescent="0.4">
      <c r="A339" s="2">
        <v>1492</v>
      </c>
      <c r="B339" s="16">
        <v>45957.552083333336</v>
      </c>
      <c r="C339" s="22">
        <f t="shared" si="79"/>
        <v>45957</v>
      </c>
      <c r="D339" s="23">
        <f t="shared" si="80"/>
        <v>0.55208333333575865</v>
      </c>
      <c r="E339" s="14">
        <v>45958.352083333331</v>
      </c>
      <c r="F339" s="12">
        <f t="shared" si="81"/>
        <v>45958</v>
      </c>
      <c r="G339" s="24">
        <f t="shared" si="85"/>
        <v>0.35208333333139308</v>
      </c>
      <c r="H339" s="14">
        <v>45958.442361111112</v>
      </c>
      <c r="I339" s="14"/>
      <c r="J339" s="29">
        <v>16.28</v>
      </c>
      <c r="K339" s="30"/>
      <c r="M339" s="17">
        <v>21.36</v>
      </c>
      <c r="N339" s="7">
        <f t="shared" si="86"/>
        <v>25.631999999999998</v>
      </c>
      <c r="O339" s="5">
        <v>4</v>
      </c>
      <c r="P339" s="3"/>
      <c r="Q339" s="5">
        <v>20.57</v>
      </c>
      <c r="R339" s="7">
        <f t="shared" si="87"/>
        <v>24.684000000000001</v>
      </c>
      <c r="S339" s="5">
        <v>4</v>
      </c>
      <c r="U339" s="10">
        <v>61.71</v>
      </c>
      <c r="V339" s="11">
        <f t="shared" si="88"/>
        <v>74.051999999999992</v>
      </c>
      <c r="W339" s="6">
        <v>4</v>
      </c>
      <c r="Y339" s="10">
        <v>61</v>
      </c>
      <c r="Z339" s="11">
        <f t="shared" si="89"/>
        <v>73.2</v>
      </c>
      <c r="AA339" s="6">
        <v>4</v>
      </c>
      <c r="AB339" s="1">
        <v>1.2</v>
      </c>
      <c r="AC339" s="53" t="str">
        <f t="shared" si="90"/>
        <v>19:12</v>
      </c>
      <c r="AD339" s="52" t="str">
        <f t="shared" si="91"/>
        <v>21:22</v>
      </c>
      <c r="AE339" s="52" t="str">
        <f t="shared" si="92"/>
        <v>00:00</v>
      </c>
      <c r="AF339" s="14">
        <f t="shared" si="78"/>
        <v>45958.442361111112</v>
      </c>
      <c r="AG339" s="12">
        <f t="shared" si="83"/>
        <v>45958</v>
      </c>
      <c r="AH339" s="24">
        <f t="shared" si="84"/>
        <v>0.44236111111240461</v>
      </c>
      <c r="AI339" s="49">
        <f t="shared" si="93"/>
        <v>0.89027777777777772</v>
      </c>
      <c r="AK339" s="50" t="str">
        <f t="shared" si="94"/>
        <v>RUIM</v>
      </c>
    </row>
    <row r="340" spans="1:37" ht="19.95" customHeight="1" x14ac:dyDescent="0.4">
      <c r="A340" s="2">
        <v>1493</v>
      </c>
      <c r="B340" s="16">
        <v>45957.583333333336</v>
      </c>
      <c r="C340" s="22">
        <f t="shared" si="79"/>
        <v>45957</v>
      </c>
      <c r="D340" s="23">
        <f t="shared" si="80"/>
        <v>0.58333333333575865</v>
      </c>
      <c r="E340" s="14">
        <v>45958.336805555555</v>
      </c>
      <c r="F340" s="12">
        <f t="shared" si="81"/>
        <v>45958</v>
      </c>
      <c r="G340" s="24">
        <f t="shared" si="85"/>
        <v>0.33680555555474712</v>
      </c>
      <c r="H340" s="14"/>
      <c r="I340" s="14"/>
      <c r="J340" s="29"/>
      <c r="K340" s="30"/>
      <c r="M340" s="17">
        <v>21.4</v>
      </c>
      <c r="N340" s="7">
        <f t="shared" si="86"/>
        <v>25.679999999999996</v>
      </c>
      <c r="O340" s="5">
        <v>4</v>
      </c>
      <c r="P340" s="3"/>
      <c r="Q340" s="5">
        <v>21.48</v>
      </c>
      <c r="R340" s="7">
        <f t="shared" si="87"/>
        <v>25.776</v>
      </c>
      <c r="S340" s="5">
        <v>4</v>
      </c>
      <c r="U340" s="10">
        <v>70.19</v>
      </c>
      <c r="V340" s="11">
        <f t="shared" si="88"/>
        <v>84.227999999999994</v>
      </c>
      <c r="W340" s="6">
        <v>4</v>
      </c>
      <c r="Y340" s="10">
        <v>70.959999999999994</v>
      </c>
      <c r="Z340" s="11">
        <f t="shared" si="89"/>
        <v>85.151999999999987</v>
      </c>
      <c r="AA340" s="6">
        <v>4</v>
      </c>
      <c r="AB340" s="1">
        <v>1.2</v>
      </c>
      <c r="AC340" s="53" t="str">
        <f t="shared" si="90"/>
        <v>18:05</v>
      </c>
      <c r="AD340" s="52" t="str">
        <f t="shared" si="91"/>
        <v>00:00</v>
      </c>
      <c r="AE340" s="52" t="str">
        <f t="shared" si="92"/>
        <v>00:00</v>
      </c>
      <c r="AF340" s="14">
        <f t="shared" si="78"/>
        <v>45958.336805555555</v>
      </c>
      <c r="AG340" s="12">
        <f t="shared" si="83"/>
        <v>45958</v>
      </c>
      <c r="AH340" s="24">
        <f t="shared" si="84"/>
        <v>0.33680555555474712</v>
      </c>
      <c r="AI340" s="49">
        <f t="shared" si="93"/>
        <v>0.75347222222222221</v>
      </c>
      <c r="AK340" s="50" t="str">
        <f t="shared" si="94"/>
        <v>BOM</v>
      </c>
    </row>
    <row r="341" spans="1:37" ht="19.95" customHeight="1" x14ac:dyDescent="0.4">
      <c r="A341" s="2">
        <v>1494</v>
      </c>
      <c r="B341" s="16">
        <v>45957.604166666664</v>
      </c>
      <c r="C341" s="22">
        <f t="shared" si="79"/>
        <v>45957</v>
      </c>
      <c r="D341" s="23">
        <f t="shared" si="80"/>
        <v>0.60416666666424135</v>
      </c>
      <c r="E341" s="14">
        <v>45958.340277777781</v>
      </c>
      <c r="F341" s="12">
        <f t="shared" si="81"/>
        <v>45958</v>
      </c>
      <c r="G341" s="24">
        <f t="shared" si="85"/>
        <v>0.34027777778101154</v>
      </c>
      <c r="H341" s="14"/>
      <c r="I341" s="14"/>
      <c r="J341" s="29"/>
      <c r="K341" s="30"/>
      <c r="M341" s="17">
        <v>20.170000000000002</v>
      </c>
      <c r="N341" s="7">
        <f t="shared" si="86"/>
        <v>24.204000000000001</v>
      </c>
      <c r="O341" s="5">
        <v>4</v>
      </c>
      <c r="P341" s="3"/>
      <c r="Q341" s="5">
        <v>22.35</v>
      </c>
      <c r="R341" s="7">
        <f t="shared" si="87"/>
        <v>26.82</v>
      </c>
      <c r="S341" s="5">
        <v>4</v>
      </c>
      <c r="U341" s="10">
        <v>70.290000000000006</v>
      </c>
      <c r="V341" s="11">
        <f t="shared" si="88"/>
        <v>84.347999999999999</v>
      </c>
      <c r="W341" s="6">
        <v>4</v>
      </c>
      <c r="Y341" s="10">
        <v>70.59</v>
      </c>
      <c r="Z341" s="11">
        <f t="shared" si="89"/>
        <v>84.707999999999998</v>
      </c>
      <c r="AA341" s="6">
        <v>4</v>
      </c>
      <c r="AB341" s="1">
        <v>1.2</v>
      </c>
      <c r="AC341" s="53" t="str">
        <f t="shared" si="90"/>
        <v>17:40</v>
      </c>
      <c r="AD341" s="52" t="str">
        <f t="shared" si="91"/>
        <v>00:00</v>
      </c>
      <c r="AE341" s="52" t="str">
        <f t="shared" si="92"/>
        <v>00:00</v>
      </c>
      <c r="AF341" s="14">
        <f t="shared" si="78"/>
        <v>45958.340277777781</v>
      </c>
      <c r="AG341" s="12">
        <f t="shared" si="83"/>
        <v>45958</v>
      </c>
      <c r="AH341" s="24">
        <f t="shared" si="84"/>
        <v>0.34027777778101154</v>
      </c>
      <c r="AI341" s="49">
        <f t="shared" si="93"/>
        <v>0.73611111111111116</v>
      </c>
      <c r="AK341" s="50" t="str">
        <f t="shared" si="94"/>
        <v>BOM</v>
      </c>
    </row>
    <row r="342" spans="1:37" ht="19.95" customHeight="1" x14ac:dyDescent="0.4">
      <c r="A342" s="2">
        <v>1495</v>
      </c>
      <c r="B342" s="16">
        <v>45957.635416666664</v>
      </c>
      <c r="C342" s="22">
        <f t="shared" si="79"/>
        <v>45957</v>
      </c>
      <c r="D342" s="23">
        <f t="shared" si="80"/>
        <v>0.63541666666424135</v>
      </c>
      <c r="E342" s="14">
        <v>45958.342361111114</v>
      </c>
      <c r="F342" s="12">
        <f t="shared" si="81"/>
        <v>45958</v>
      </c>
      <c r="G342" s="24">
        <f t="shared" si="85"/>
        <v>0.34236111111385981</v>
      </c>
      <c r="H342" s="14"/>
      <c r="I342" s="14"/>
      <c r="J342" s="29"/>
      <c r="K342" s="30"/>
      <c r="M342" s="17">
        <v>23.36</v>
      </c>
      <c r="N342" s="7">
        <f t="shared" si="86"/>
        <v>28.032</v>
      </c>
      <c r="O342" s="5">
        <v>4</v>
      </c>
      <c r="P342" s="3"/>
      <c r="Q342" s="5">
        <v>24.09</v>
      </c>
      <c r="R342" s="7">
        <f t="shared" si="87"/>
        <v>28.907999999999998</v>
      </c>
      <c r="S342" s="5">
        <v>4</v>
      </c>
      <c r="U342" s="10">
        <v>70.48</v>
      </c>
      <c r="V342" s="11">
        <f t="shared" si="88"/>
        <v>84.576000000000008</v>
      </c>
      <c r="W342" s="6">
        <v>4</v>
      </c>
      <c r="Y342" s="10">
        <v>70.47</v>
      </c>
      <c r="Z342" s="11">
        <f t="shared" si="89"/>
        <v>84.563999999999993</v>
      </c>
      <c r="AA342" s="6">
        <v>4</v>
      </c>
      <c r="AB342" s="1">
        <v>1.2</v>
      </c>
      <c r="AC342" s="53" t="str">
        <f t="shared" si="90"/>
        <v>16:58</v>
      </c>
      <c r="AD342" s="52" t="str">
        <f t="shared" si="91"/>
        <v>00:00</v>
      </c>
      <c r="AE342" s="52" t="str">
        <f t="shared" si="92"/>
        <v>00:00</v>
      </c>
      <c r="AF342" s="14">
        <f t="shared" ref="AF342:AF359" si="95">MAX(E342,H342,I342)</f>
        <v>45958.342361111114</v>
      </c>
      <c r="AG342" s="12">
        <f t="shared" si="83"/>
        <v>45958</v>
      </c>
      <c r="AH342" s="24">
        <f t="shared" si="84"/>
        <v>0.34236111111385981</v>
      </c>
      <c r="AI342" s="49">
        <f t="shared" si="93"/>
        <v>0.70694444444444449</v>
      </c>
      <c r="AK342" s="50" t="str">
        <f t="shared" si="94"/>
        <v>BOM</v>
      </c>
    </row>
    <row r="343" spans="1:37" ht="19.95" customHeight="1" x14ac:dyDescent="0.4">
      <c r="A343" s="2">
        <v>1496</v>
      </c>
      <c r="B343" s="16">
        <v>45957.740972222222</v>
      </c>
      <c r="C343" s="22">
        <f t="shared" ref="C343:C406" si="96">INT(B343)</f>
        <v>45957</v>
      </c>
      <c r="D343" s="23">
        <f t="shared" ref="D343:D359" si="97">B343-INT(B343)</f>
        <v>0.74097222222189885</v>
      </c>
      <c r="E343" s="14">
        <v>45958.365972222222</v>
      </c>
      <c r="F343" s="12">
        <f t="shared" ref="F343:F406" si="98">INT(E343)</f>
        <v>45958</v>
      </c>
      <c r="G343" s="24">
        <f t="shared" si="85"/>
        <v>0.36597222222189885</v>
      </c>
      <c r="H343" s="14"/>
      <c r="I343" s="14"/>
      <c r="J343" s="29"/>
      <c r="K343" s="30"/>
      <c r="M343" s="17">
        <v>20.47</v>
      </c>
      <c r="N343" s="7">
        <f t="shared" si="86"/>
        <v>24.563999999999997</v>
      </c>
      <c r="O343" s="5">
        <v>4</v>
      </c>
      <c r="P343" s="3"/>
      <c r="Q343" s="5">
        <v>20.95</v>
      </c>
      <c r="R343" s="7">
        <f t="shared" si="87"/>
        <v>25.139999999999997</v>
      </c>
      <c r="S343" s="5">
        <v>4</v>
      </c>
      <c r="U343" s="10">
        <v>70.2</v>
      </c>
      <c r="V343" s="11">
        <f t="shared" si="88"/>
        <v>84.24</v>
      </c>
      <c r="W343" s="6">
        <v>4</v>
      </c>
      <c r="Y343" s="10">
        <v>70.959999999999994</v>
      </c>
      <c r="Z343" s="11">
        <f t="shared" si="89"/>
        <v>85.151999999999987</v>
      </c>
      <c r="AA343" s="6">
        <v>4</v>
      </c>
      <c r="AB343" s="1">
        <v>1.2</v>
      </c>
      <c r="AC343" s="53" t="str">
        <f t="shared" si="90"/>
        <v>15:00</v>
      </c>
      <c r="AD343" s="52" t="str">
        <f t="shared" si="91"/>
        <v>00:00</v>
      </c>
      <c r="AE343" s="52" t="str">
        <f t="shared" si="92"/>
        <v>00:00</v>
      </c>
      <c r="AF343" s="14">
        <f t="shared" si="95"/>
        <v>45958.365972222222</v>
      </c>
      <c r="AG343" s="12">
        <f t="shared" ref="AG343:AG406" si="99">INT(AF343)</f>
        <v>45958</v>
      </c>
      <c r="AH343" s="24">
        <f t="shared" ref="AH343:AH359" si="100">AF343-INT(AF343)</f>
        <v>0.36597222222189885</v>
      </c>
      <c r="AI343" s="49">
        <f t="shared" si="93"/>
        <v>0.625</v>
      </c>
      <c r="AK343" s="50" t="str">
        <f t="shared" si="94"/>
        <v>BOM</v>
      </c>
    </row>
    <row r="344" spans="1:37" ht="19.95" customHeight="1" x14ac:dyDescent="0.4">
      <c r="A344" s="2">
        <v>1497</v>
      </c>
      <c r="B344" s="16">
        <v>45958.593055555553</v>
      </c>
      <c r="C344" s="22">
        <f t="shared" si="96"/>
        <v>45958</v>
      </c>
      <c r="D344" s="23">
        <f t="shared" si="97"/>
        <v>0.59305555555329192</v>
      </c>
      <c r="E344" s="14">
        <v>45959.490972222222</v>
      </c>
      <c r="F344" s="12">
        <f t="shared" si="98"/>
        <v>45959</v>
      </c>
      <c r="G344" s="24">
        <f t="shared" si="85"/>
        <v>0.49097222222189885</v>
      </c>
      <c r="H344" s="14"/>
      <c r="I344" s="14"/>
      <c r="J344" s="29"/>
      <c r="K344" s="30"/>
      <c r="M344" s="17">
        <v>26.51</v>
      </c>
      <c r="N344" s="7">
        <f t="shared" si="86"/>
        <v>31.812000000000001</v>
      </c>
      <c r="O344" s="5">
        <v>4</v>
      </c>
      <c r="P344" s="3"/>
      <c r="Q344" s="5">
        <v>27.14</v>
      </c>
      <c r="R344" s="7">
        <f t="shared" si="87"/>
        <v>32.567999999999998</v>
      </c>
      <c r="S344" s="5">
        <v>4</v>
      </c>
      <c r="U344" s="10">
        <v>70.67</v>
      </c>
      <c r="V344" s="11">
        <f t="shared" si="88"/>
        <v>84.804000000000002</v>
      </c>
      <c r="W344" s="6">
        <v>4</v>
      </c>
      <c r="Y344" s="10">
        <v>70.209999999999994</v>
      </c>
      <c r="Z344" s="11">
        <f t="shared" si="89"/>
        <v>84.251999999999995</v>
      </c>
      <c r="AA344" s="6">
        <v>4</v>
      </c>
      <c r="AB344" s="1">
        <v>1.2</v>
      </c>
      <c r="AC344" s="53" t="str">
        <f t="shared" si="90"/>
        <v>21:33</v>
      </c>
      <c r="AD344" s="52" t="str">
        <f t="shared" si="91"/>
        <v>00:00</v>
      </c>
      <c r="AE344" s="52" t="str">
        <f t="shared" si="92"/>
        <v>00:00</v>
      </c>
      <c r="AF344" s="14">
        <f t="shared" si="95"/>
        <v>45959.490972222222</v>
      </c>
      <c r="AG344" s="12">
        <f t="shared" si="99"/>
        <v>45959</v>
      </c>
      <c r="AH344" s="24">
        <f t="shared" si="100"/>
        <v>0.49097222222189885</v>
      </c>
      <c r="AI344" s="49">
        <f t="shared" si="93"/>
        <v>0.8979166666666667</v>
      </c>
      <c r="AK344" s="50" t="str">
        <f t="shared" si="94"/>
        <v>RUIM</v>
      </c>
    </row>
    <row r="345" spans="1:37" ht="19.95" customHeight="1" x14ac:dyDescent="0.4">
      <c r="A345" s="2">
        <v>1498</v>
      </c>
      <c r="B345" s="16">
        <v>45958.618055555555</v>
      </c>
      <c r="C345" s="22">
        <f t="shared" si="96"/>
        <v>45958</v>
      </c>
      <c r="D345" s="23">
        <f t="shared" si="97"/>
        <v>0.61805555555474712</v>
      </c>
      <c r="E345" s="14">
        <v>45959.488194444442</v>
      </c>
      <c r="F345" s="12">
        <f t="shared" si="98"/>
        <v>45959</v>
      </c>
      <c r="G345" s="24">
        <f t="shared" si="85"/>
        <v>0.4881944444423425</v>
      </c>
      <c r="H345" s="14"/>
      <c r="I345" s="14"/>
      <c r="J345" s="29"/>
      <c r="K345" s="30"/>
      <c r="M345" s="17">
        <v>25.16</v>
      </c>
      <c r="N345" s="7">
        <f t="shared" si="86"/>
        <v>30.192</v>
      </c>
      <c r="O345" s="5">
        <v>4</v>
      </c>
      <c r="P345" s="3"/>
      <c r="Q345" s="5">
        <v>23.6</v>
      </c>
      <c r="R345" s="7">
        <f t="shared" si="87"/>
        <v>28.32</v>
      </c>
      <c r="S345" s="5">
        <v>4</v>
      </c>
      <c r="U345" s="10">
        <v>69.64</v>
      </c>
      <c r="V345" s="11">
        <f t="shared" si="88"/>
        <v>83.567999999999998</v>
      </c>
      <c r="W345" s="6">
        <v>4</v>
      </c>
      <c r="Y345" s="10">
        <v>69.56</v>
      </c>
      <c r="Z345" s="11">
        <f t="shared" si="89"/>
        <v>83.471999999999994</v>
      </c>
      <c r="AA345" s="6">
        <v>4</v>
      </c>
      <c r="AB345" s="1">
        <v>1.2</v>
      </c>
      <c r="AC345" s="53" t="str">
        <f t="shared" si="90"/>
        <v>20:53</v>
      </c>
      <c r="AD345" s="52" t="str">
        <f t="shared" si="91"/>
        <v>00:00</v>
      </c>
      <c r="AE345" s="52" t="str">
        <f t="shared" si="92"/>
        <v>00:00</v>
      </c>
      <c r="AF345" s="14">
        <f t="shared" si="95"/>
        <v>45959.488194444442</v>
      </c>
      <c r="AG345" s="12">
        <f t="shared" si="99"/>
        <v>45959</v>
      </c>
      <c r="AH345" s="24">
        <f t="shared" si="100"/>
        <v>0.4881944444423425</v>
      </c>
      <c r="AI345" s="49">
        <f t="shared" si="93"/>
        <v>0.87013888888888891</v>
      </c>
      <c r="AK345" s="50" t="str">
        <f t="shared" si="94"/>
        <v>RUIM</v>
      </c>
    </row>
    <row r="346" spans="1:37" ht="19.95" customHeight="1" x14ac:dyDescent="0.4">
      <c r="A346" s="2">
        <v>1499</v>
      </c>
      <c r="B346" s="16">
        <v>45958.647222222222</v>
      </c>
      <c r="C346" s="22">
        <f t="shared" si="96"/>
        <v>45958</v>
      </c>
      <c r="D346" s="23">
        <f t="shared" si="97"/>
        <v>0.64722222222189885</v>
      </c>
      <c r="E346" s="14">
        <v>45959.48541666667</v>
      </c>
      <c r="F346" s="12">
        <f t="shared" si="98"/>
        <v>45959</v>
      </c>
      <c r="G346" s="24">
        <f t="shared" si="85"/>
        <v>0.48541666667006211</v>
      </c>
      <c r="H346" s="14"/>
      <c r="I346" s="14"/>
      <c r="J346" s="29"/>
      <c r="K346" s="30"/>
      <c r="M346" s="17">
        <v>21.92</v>
      </c>
      <c r="N346" s="7">
        <f t="shared" si="86"/>
        <v>26.304000000000002</v>
      </c>
      <c r="O346" s="5">
        <v>4</v>
      </c>
      <c r="P346" s="3"/>
      <c r="Q346" s="5">
        <v>22.23</v>
      </c>
      <c r="R346" s="7">
        <f t="shared" si="87"/>
        <v>26.675999999999998</v>
      </c>
      <c r="S346" s="5">
        <v>4</v>
      </c>
      <c r="U346" s="10">
        <v>70.72</v>
      </c>
      <c r="V346" s="11">
        <f t="shared" si="88"/>
        <v>84.86399999999999</v>
      </c>
      <c r="W346" s="6">
        <v>4</v>
      </c>
      <c r="Y346" s="10">
        <v>70.75</v>
      </c>
      <c r="Z346" s="11">
        <f t="shared" si="89"/>
        <v>84.899999999999991</v>
      </c>
      <c r="AA346" s="6">
        <v>4</v>
      </c>
      <c r="AB346" s="1">
        <v>1.2</v>
      </c>
      <c r="AC346" s="53" t="str">
        <f t="shared" si="90"/>
        <v>20:07</v>
      </c>
      <c r="AD346" s="52" t="str">
        <f t="shared" si="91"/>
        <v>00:00</v>
      </c>
      <c r="AE346" s="52" t="str">
        <f t="shared" si="92"/>
        <v>00:00</v>
      </c>
      <c r="AF346" s="14">
        <f t="shared" si="95"/>
        <v>45959.48541666667</v>
      </c>
      <c r="AG346" s="12">
        <f t="shared" si="99"/>
        <v>45959</v>
      </c>
      <c r="AH346" s="24">
        <f t="shared" si="100"/>
        <v>0.48541666667006211</v>
      </c>
      <c r="AI346" s="49">
        <f t="shared" si="93"/>
        <v>0.83819444444444446</v>
      </c>
      <c r="AK346" s="50" t="str">
        <f t="shared" si="94"/>
        <v>BOM</v>
      </c>
    </row>
    <row r="347" spans="1:37" ht="19.95" customHeight="1" x14ac:dyDescent="0.4">
      <c r="A347" s="2">
        <v>1500</v>
      </c>
      <c r="B347" s="16">
        <v>45958.666666666664</v>
      </c>
      <c r="C347" s="22">
        <f t="shared" si="96"/>
        <v>45958</v>
      </c>
      <c r="D347" s="23">
        <f t="shared" si="97"/>
        <v>0.66666666666424135</v>
      </c>
      <c r="E347" s="14">
        <v>45959.481944444444</v>
      </c>
      <c r="F347" s="12">
        <f t="shared" si="98"/>
        <v>45959</v>
      </c>
      <c r="G347" s="24">
        <f t="shared" si="85"/>
        <v>0.48194444444379769</v>
      </c>
      <c r="H347" s="14"/>
      <c r="I347" s="14"/>
      <c r="J347" s="29"/>
      <c r="K347" s="30"/>
      <c r="M347" s="17">
        <v>27.47</v>
      </c>
      <c r="N347" s="7">
        <f t="shared" si="86"/>
        <v>32.963999999999999</v>
      </c>
      <c r="O347" s="5">
        <v>4</v>
      </c>
      <c r="P347" s="3"/>
      <c r="Q347" s="5">
        <v>26.11</v>
      </c>
      <c r="R347" s="7">
        <f t="shared" si="87"/>
        <v>31.331999999999997</v>
      </c>
      <c r="S347" s="5">
        <v>4</v>
      </c>
      <c r="U347" s="10">
        <v>70.650000000000006</v>
      </c>
      <c r="V347" s="11">
        <f t="shared" si="88"/>
        <v>84.78</v>
      </c>
      <c r="W347" s="6">
        <v>4</v>
      </c>
      <c r="Y347" s="10">
        <v>70.62</v>
      </c>
      <c r="Z347" s="11">
        <f t="shared" si="89"/>
        <v>84.744</v>
      </c>
      <c r="AA347" s="6">
        <v>4</v>
      </c>
      <c r="AB347" s="1">
        <v>1.2</v>
      </c>
      <c r="AC347" s="53" t="str">
        <f t="shared" si="90"/>
        <v>19:34</v>
      </c>
      <c r="AD347" s="52" t="str">
        <f t="shared" si="91"/>
        <v>00:00</v>
      </c>
      <c r="AE347" s="52" t="str">
        <f t="shared" si="92"/>
        <v>00:00</v>
      </c>
      <c r="AF347" s="14">
        <f t="shared" si="95"/>
        <v>45959.481944444444</v>
      </c>
      <c r="AG347" s="12">
        <f t="shared" si="99"/>
        <v>45959</v>
      </c>
      <c r="AH347" s="24">
        <f t="shared" si="100"/>
        <v>0.48194444444379769</v>
      </c>
      <c r="AI347" s="49">
        <f t="shared" si="93"/>
        <v>0.81527777777777777</v>
      </c>
      <c r="AK347" s="50" t="str">
        <f t="shared" si="94"/>
        <v>BOM</v>
      </c>
    </row>
    <row r="348" spans="1:37" ht="19.95" customHeight="1" x14ac:dyDescent="0.4">
      <c r="A348" s="2">
        <v>1501</v>
      </c>
      <c r="B348" s="16">
        <v>45958.693055555559</v>
      </c>
      <c r="C348" s="22">
        <f t="shared" si="96"/>
        <v>45958</v>
      </c>
      <c r="D348" s="23">
        <f t="shared" si="97"/>
        <v>0.69305555555911269</v>
      </c>
      <c r="E348" s="14">
        <v>45959.481249999997</v>
      </c>
      <c r="F348" s="12">
        <f t="shared" si="98"/>
        <v>45959</v>
      </c>
      <c r="G348" s="24">
        <f t="shared" si="85"/>
        <v>0.48124999999708962</v>
      </c>
      <c r="H348" s="14"/>
      <c r="I348" s="14"/>
      <c r="J348" s="29"/>
      <c r="K348" s="30"/>
      <c r="M348" s="17">
        <v>27.28</v>
      </c>
      <c r="N348" s="7">
        <f t="shared" si="86"/>
        <v>32.735999999999997</v>
      </c>
      <c r="O348" s="5">
        <v>4</v>
      </c>
      <c r="P348" s="3"/>
      <c r="Q348" s="5">
        <v>26.99</v>
      </c>
      <c r="R348" s="7">
        <f t="shared" si="87"/>
        <v>32.387999999999998</v>
      </c>
      <c r="S348" s="5">
        <v>4</v>
      </c>
      <c r="U348" s="10">
        <v>70.23</v>
      </c>
      <c r="V348" s="11">
        <f t="shared" si="88"/>
        <v>84.275999999999996</v>
      </c>
      <c r="W348" s="6">
        <v>4</v>
      </c>
      <c r="Y348" s="10">
        <v>70.260000000000005</v>
      </c>
      <c r="Z348" s="11">
        <f t="shared" si="89"/>
        <v>84.311999999999998</v>
      </c>
      <c r="AA348" s="6">
        <v>4</v>
      </c>
      <c r="AB348" s="1">
        <v>1.2</v>
      </c>
      <c r="AC348" s="53" t="str">
        <f t="shared" si="90"/>
        <v>18:55</v>
      </c>
      <c r="AD348" s="52" t="str">
        <f t="shared" si="91"/>
        <v>00:00</v>
      </c>
      <c r="AE348" s="52" t="str">
        <f t="shared" si="92"/>
        <v>00:00</v>
      </c>
      <c r="AF348" s="14">
        <f t="shared" si="95"/>
        <v>45959.481249999997</v>
      </c>
      <c r="AG348" s="12">
        <f t="shared" si="99"/>
        <v>45959</v>
      </c>
      <c r="AH348" s="24">
        <f t="shared" si="100"/>
        <v>0.48124999999708962</v>
      </c>
      <c r="AI348" s="49">
        <f t="shared" si="93"/>
        <v>0.78819444444444442</v>
      </c>
      <c r="AK348" s="50" t="str">
        <f t="shared" si="94"/>
        <v>BOM</v>
      </c>
    </row>
    <row r="349" spans="1:37" ht="19.95" customHeight="1" x14ac:dyDescent="0.4">
      <c r="A349" s="2">
        <v>1502</v>
      </c>
      <c r="B349" s="16">
        <v>45959.677083333336</v>
      </c>
      <c r="C349" s="22">
        <f t="shared" si="96"/>
        <v>45959</v>
      </c>
      <c r="D349" s="23">
        <f t="shared" si="97"/>
        <v>0.67708333333575865</v>
      </c>
      <c r="E349" s="14">
        <v>45960.408333333333</v>
      </c>
      <c r="F349" s="12">
        <f t="shared" si="98"/>
        <v>45960</v>
      </c>
      <c r="G349" s="24">
        <f t="shared" si="85"/>
        <v>0.40833333333284827</v>
      </c>
      <c r="H349" s="14">
        <v>45960.468055555553</v>
      </c>
      <c r="I349" s="14"/>
      <c r="J349" s="29">
        <v>17.73</v>
      </c>
      <c r="K349" s="30"/>
      <c r="M349" s="17">
        <v>23.97</v>
      </c>
      <c r="N349" s="7">
        <f t="shared" si="86"/>
        <v>28.763999999999999</v>
      </c>
      <c r="O349" s="5">
        <v>4</v>
      </c>
      <c r="P349" s="3"/>
      <c r="Q349" s="5">
        <v>24.25</v>
      </c>
      <c r="R349" s="7">
        <f t="shared" si="87"/>
        <v>29.099999999999998</v>
      </c>
      <c r="S349" s="5">
        <v>4</v>
      </c>
      <c r="U349" s="10">
        <v>70.260000000000005</v>
      </c>
      <c r="V349" s="11">
        <f t="shared" si="88"/>
        <v>84.311999999999998</v>
      </c>
      <c r="W349" s="6">
        <v>4</v>
      </c>
      <c r="Y349" s="10">
        <v>70.95</v>
      </c>
      <c r="Z349" s="11">
        <f t="shared" si="89"/>
        <v>85.14</v>
      </c>
      <c r="AA349" s="6">
        <v>4</v>
      </c>
      <c r="AB349" s="1">
        <v>1.2</v>
      </c>
      <c r="AC349" s="53" t="str">
        <f t="shared" si="90"/>
        <v>17:33</v>
      </c>
      <c r="AD349" s="52" t="str">
        <f t="shared" si="91"/>
        <v>18:59</v>
      </c>
      <c r="AE349" s="52" t="str">
        <f t="shared" si="92"/>
        <v>00:00</v>
      </c>
      <c r="AF349" s="14">
        <f t="shared" si="95"/>
        <v>45960.468055555553</v>
      </c>
      <c r="AG349" s="12">
        <f t="shared" si="99"/>
        <v>45960</v>
      </c>
      <c r="AH349" s="24">
        <f t="shared" si="100"/>
        <v>0.46805555555329192</v>
      </c>
      <c r="AI349" s="49">
        <f t="shared" si="93"/>
        <v>0.79097222222222219</v>
      </c>
      <c r="AK349" s="50" t="str">
        <f t="shared" si="94"/>
        <v>BOM</v>
      </c>
    </row>
    <row r="350" spans="1:37" ht="19.95" customHeight="1" x14ac:dyDescent="0.4">
      <c r="A350" s="2">
        <v>1503</v>
      </c>
      <c r="B350" s="16">
        <v>45960.354166666664</v>
      </c>
      <c r="C350" s="22">
        <f t="shared" si="96"/>
        <v>45960</v>
      </c>
      <c r="D350" s="23">
        <f t="shared" si="97"/>
        <v>0.35416666666424135</v>
      </c>
      <c r="E350" s="14">
        <v>45961.341666666667</v>
      </c>
      <c r="F350" s="12">
        <f t="shared" si="98"/>
        <v>45961</v>
      </c>
      <c r="G350" s="24">
        <f t="shared" si="85"/>
        <v>0.34166666666715173</v>
      </c>
      <c r="H350" s="14"/>
      <c r="I350" s="14"/>
      <c r="J350" s="29"/>
      <c r="K350" s="30"/>
      <c r="M350" s="17">
        <v>26.62</v>
      </c>
      <c r="N350" s="7">
        <f t="shared" si="86"/>
        <v>31.943999999999999</v>
      </c>
      <c r="O350" s="5">
        <v>4</v>
      </c>
      <c r="P350" s="3"/>
      <c r="Q350" s="5">
        <v>24.5</v>
      </c>
      <c r="R350" s="7">
        <f t="shared" si="87"/>
        <v>29.4</v>
      </c>
      <c r="S350" s="5">
        <v>4</v>
      </c>
      <c r="U350" s="10">
        <v>70.28</v>
      </c>
      <c r="V350" s="11">
        <f t="shared" si="88"/>
        <v>84.335999999999999</v>
      </c>
      <c r="W350" s="6">
        <v>4</v>
      </c>
      <c r="Y350" s="10">
        <v>70.56</v>
      </c>
      <c r="Z350" s="11">
        <f t="shared" si="89"/>
        <v>84.671999999999997</v>
      </c>
      <c r="AA350" s="6">
        <v>4</v>
      </c>
      <c r="AB350" s="1">
        <v>1.2</v>
      </c>
      <c r="AC350" s="53" t="str">
        <f t="shared" si="90"/>
        <v>23:42</v>
      </c>
      <c r="AD350" s="52" t="str">
        <f t="shared" si="91"/>
        <v>00:00</v>
      </c>
      <c r="AE350" s="52" t="str">
        <f t="shared" si="92"/>
        <v>00:00</v>
      </c>
      <c r="AF350" s="14">
        <f t="shared" si="95"/>
        <v>45961.341666666667</v>
      </c>
      <c r="AG350" s="12">
        <f t="shared" si="99"/>
        <v>45961</v>
      </c>
      <c r="AH350" s="24">
        <f t="shared" si="100"/>
        <v>0.34166666666715173</v>
      </c>
      <c r="AI350" s="49">
        <f t="shared" si="93"/>
        <v>0.98750000000000004</v>
      </c>
      <c r="AJ350" s="1">
        <v>28</v>
      </c>
      <c r="AK350" s="50" t="str">
        <f t="shared" si="94"/>
        <v>RUIM</v>
      </c>
    </row>
    <row r="351" spans="1:37" ht="19.95" customHeight="1" x14ac:dyDescent="0.4">
      <c r="A351" s="2">
        <v>1504</v>
      </c>
      <c r="B351" s="16">
        <v>45960.375</v>
      </c>
      <c r="C351" s="22">
        <f t="shared" si="96"/>
        <v>45960</v>
      </c>
      <c r="D351" s="23">
        <f t="shared" si="97"/>
        <v>0.375</v>
      </c>
      <c r="E351" s="14">
        <v>45961.337500000001</v>
      </c>
      <c r="F351" s="12">
        <f t="shared" si="98"/>
        <v>45961</v>
      </c>
      <c r="G351" s="24">
        <f t="shared" si="85"/>
        <v>0.33750000000145519</v>
      </c>
      <c r="H351" s="14"/>
      <c r="I351" s="14"/>
      <c r="J351" s="29"/>
      <c r="K351" s="30"/>
      <c r="M351" s="17">
        <v>25.07</v>
      </c>
      <c r="N351" s="7">
        <f t="shared" si="86"/>
        <v>30.084</v>
      </c>
      <c r="O351" s="5">
        <v>4</v>
      </c>
      <c r="P351" s="3"/>
      <c r="Q351" s="5">
        <v>25.62</v>
      </c>
      <c r="R351" s="7">
        <f t="shared" si="87"/>
        <v>30.744</v>
      </c>
      <c r="S351" s="5">
        <v>4</v>
      </c>
      <c r="U351" s="10">
        <v>70.180000000000007</v>
      </c>
      <c r="V351" s="11">
        <f t="shared" si="88"/>
        <v>84.216000000000008</v>
      </c>
      <c r="W351" s="6">
        <v>4</v>
      </c>
      <c r="Y351" s="10">
        <v>70.650000000000006</v>
      </c>
      <c r="Z351" s="11">
        <f t="shared" si="89"/>
        <v>84.78</v>
      </c>
      <c r="AA351" s="6">
        <v>4</v>
      </c>
      <c r="AB351" s="1">
        <v>1.2</v>
      </c>
      <c r="AC351" s="53" t="str">
        <f t="shared" si="90"/>
        <v>23:06</v>
      </c>
      <c r="AD351" s="52" t="str">
        <f t="shared" si="91"/>
        <v>00:00</v>
      </c>
      <c r="AE351" s="52" t="str">
        <f t="shared" si="92"/>
        <v>00:00</v>
      </c>
      <c r="AF351" s="14">
        <f t="shared" si="95"/>
        <v>45961.337500000001</v>
      </c>
      <c r="AG351" s="12">
        <f t="shared" si="99"/>
        <v>45961</v>
      </c>
      <c r="AH351" s="24">
        <f t="shared" si="100"/>
        <v>0.33750000000145519</v>
      </c>
      <c r="AI351" s="49">
        <f t="shared" si="93"/>
        <v>0.96250000000000002</v>
      </c>
      <c r="AJ351" s="1">
        <v>28</v>
      </c>
      <c r="AK351" s="50" t="str">
        <f t="shared" si="94"/>
        <v>RUIM</v>
      </c>
    </row>
    <row r="352" spans="1:37" ht="19.95" customHeight="1" x14ac:dyDescent="0.4">
      <c r="A352" s="2">
        <v>1505</v>
      </c>
      <c r="B352" s="16">
        <v>45960.430555555555</v>
      </c>
      <c r="C352" s="22">
        <f t="shared" si="96"/>
        <v>45960</v>
      </c>
      <c r="D352" s="23">
        <f t="shared" si="97"/>
        <v>0.43055555555474712</v>
      </c>
      <c r="E352" s="14">
        <v>45961.336111111108</v>
      </c>
      <c r="F352" s="12">
        <f t="shared" si="98"/>
        <v>45961</v>
      </c>
      <c r="G352" s="24">
        <f t="shared" si="85"/>
        <v>0.33611111110803904</v>
      </c>
      <c r="H352" s="14">
        <v>45962.414583333331</v>
      </c>
      <c r="I352" s="14"/>
      <c r="J352" s="29">
        <v>12.81</v>
      </c>
      <c r="K352" s="30"/>
      <c r="M352" s="17">
        <v>25.24</v>
      </c>
      <c r="N352" s="7">
        <f t="shared" si="86"/>
        <v>30.287999999999997</v>
      </c>
      <c r="O352" s="5">
        <v>4</v>
      </c>
      <c r="P352" s="3"/>
      <c r="Q352" s="5">
        <v>24.56</v>
      </c>
      <c r="R352" s="7">
        <f t="shared" si="87"/>
        <v>29.471999999999998</v>
      </c>
      <c r="S352" s="5">
        <v>4</v>
      </c>
      <c r="U352" s="10">
        <v>70.28</v>
      </c>
      <c r="V352" s="11">
        <f t="shared" si="88"/>
        <v>84.335999999999999</v>
      </c>
      <c r="W352" s="6">
        <v>4</v>
      </c>
      <c r="Y352" s="10">
        <v>70.489999999999995</v>
      </c>
      <c r="Z352" s="11">
        <f t="shared" si="89"/>
        <v>84.587999999999994</v>
      </c>
      <c r="AA352" s="6">
        <v>4</v>
      </c>
      <c r="AB352" s="1">
        <v>1.2</v>
      </c>
      <c r="AC352" s="53" t="str">
        <f t="shared" si="90"/>
        <v>21:44</v>
      </c>
      <c r="AD352" s="52" t="str">
        <f t="shared" si="91"/>
        <v>47:37</v>
      </c>
      <c r="AE352" s="52" t="str">
        <f t="shared" si="92"/>
        <v>00:00</v>
      </c>
      <c r="AF352" s="14">
        <f t="shared" si="95"/>
        <v>45962.414583333331</v>
      </c>
      <c r="AG352" s="12">
        <f t="shared" si="99"/>
        <v>45962</v>
      </c>
      <c r="AH352" s="24">
        <f t="shared" si="100"/>
        <v>0.41458333333139308</v>
      </c>
      <c r="AI352" s="49">
        <f t="shared" si="93"/>
        <v>1.9840277777777777</v>
      </c>
      <c r="AJ352" s="1">
        <v>28</v>
      </c>
      <c r="AK352" s="50" t="str">
        <f t="shared" si="94"/>
        <v>RUIM</v>
      </c>
    </row>
    <row r="353" spans="1:37" ht="19.95" customHeight="1" x14ac:dyDescent="0.4">
      <c r="A353" s="2">
        <v>1506</v>
      </c>
      <c r="B353" s="16">
        <v>45960.458333333336</v>
      </c>
      <c r="C353" s="22">
        <f t="shared" si="96"/>
        <v>45960</v>
      </c>
      <c r="D353" s="23">
        <f t="shared" si="97"/>
        <v>0.45833333333575865</v>
      </c>
      <c r="E353" s="14">
        <v>45961.332638888889</v>
      </c>
      <c r="F353" s="12">
        <f t="shared" si="98"/>
        <v>45961</v>
      </c>
      <c r="G353" s="24">
        <f t="shared" si="85"/>
        <v>0.33263888888905058</v>
      </c>
      <c r="H353" s="14"/>
      <c r="I353" s="14"/>
      <c r="J353" s="29"/>
      <c r="K353" s="30"/>
      <c r="M353" s="17">
        <v>25.57</v>
      </c>
      <c r="N353" s="7">
        <f t="shared" si="86"/>
        <v>30.683999999999997</v>
      </c>
      <c r="O353" s="5">
        <v>4</v>
      </c>
      <c r="P353" s="3"/>
      <c r="Q353" s="5">
        <v>27.25</v>
      </c>
      <c r="R353" s="7">
        <f t="shared" si="87"/>
        <v>32.699999999999996</v>
      </c>
      <c r="S353" s="5">
        <v>4</v>
      </c>
      <c r="U353" s="10">
        <v>70.13</v>
      </c>
      <c r="V353" s="11">
        <f t="shared" si="88"/>
        <v>84.155999999999992</v>
      </c>
      <c r="W353" s="6">
        <v>4</v>
      </c>
      <c r="Y353" s="10">
        <v>70.650000000000006</v>
      </c>
      <c r="Z353" s="11">
        <f t="shared" si="89"/>
        <v>84.78</v>
      </c>
      <c r="AA353" s="6">
        <v>4</v>
      </c>
      <c r="AB353" s="1">
        <v>1.2</v>
      </c>
      <c r="AC353" s="53" t="str">
        <f t="shared" si="90"/>
        <v>20:59</v>
      </c>
      <c r="AD353" s="52" t="str">
        <f t="shared" si="91"/>
        <v>00:00</v>
      </c>
      <c r="AE353" s="52" t="str">
        <f t="shared" si="92"/>
        <v>00:00</v>
      </c>
      <c r="AF353" s="14">
        <f t="shared" si="95"/>
        <v>45961.332638888889</v>
      </c>
      <c r="AG353" s="12">
        <f t="shared" si="99"/>
        <v>45961</v>
      </c>
      <c r="AH353" s="24">
        <f t="shared" si="100"/>
        <v>0.33263888888905058</v>
      </c>
      <c r="AI353" s="49">
        <f t="shared" si="93"/>
        <v>0.87430555555555556</v>
      </c>
      <c r="AJ353" s="1">
        <v>28</v>
      </c>
      <c r="AK353" s="50" t="str">
        <f t="shared" si="94"/>
        <v>RUIM</v>
      </c>
    </row>
    <row r="354" spans="1:37" ht="19.95" customHeight="1" x14ac:dyDescent="0.4">
      <c r="A354" s="2">
        <v>1507</v>
      </c>
      <c r="B354" s="16">
        <v>45960.625</v>
      </c>
      <c r="C354" s="22">
        <f t="shared" si="96"/>
        <v>45960</v>
      </c>
      <c r="D354" s="23">
        <f t="shared" si="97"/>
        <v>0.625</v>
      </c>
      <c r="E354" s="14">
        <v>45961.394444444442</v>
      </c>
      <c r="F354" s="12">
        <f t="shared" si="98"/>
        <v>45961</v>
      </c>
      <c r="G354" s="24">
        <f t="shared" si="85"/>
        <v>0.3944444444423425</v>
      </c>
      <c r="H354" s="14">
        <v>45961.565972222219</v>
      </c>
      <c r="I354" s="14"/>
      <c r="J354" s="29">
        <v>17.86</v>
      </c>
      <c r="K354" s="30"/>
      <c r="M354" s="17">
        <v>27.45</v>
      </c>
      <c r="N354" s="7">
        <f t="shared" si="86"/>
        <v>32.94</v>
      </c>
      <c r="O354" s="5">
        <v>4</v>
      </c>
      <c r="P354" s="3"/>
      <c r="Q354" s="5">
        <v>25.68</v>
      </c>
      <c r="R354" s="7">
        <f t="shared" si="87"/>
        <v>30.815999999999999</v>
      </c>
      <c r="S354" s="5">
        <v>4</v>
      </c>
      <c r="U354" s="10">
        <v>70.08</v>
      </c>
      <c r="V354" s="11">
        <f t="shared" si="88"/>
        <v>84.095999999999989</v>
      </c>
      <c r="W354" s="6">
        <v>4</v>
      </c>
      <c r="Y354" s="10">
        <v>70.06</v>
      </c>
      <c r="Z354" s="11">
        <f t="shared" si="89"/>
        <v>84.072000000000003</v>
      </c>
      <c r="AA354" s="6">
        <v>4</v>
      </c>
      <c r="AB354" s="1">
        <v>1.2</v>
      </c>
      <c r="AC354" s="53" t="str">
        <f t="shared" si="90"/>
        <v>18:28</v>
      </c>
      <c r="AD354" s="52" t="str">
        <f t="shared" si="91"/>
        <v>22:35</v>
      </c>
      <c r="AE354" s="52" t="str">
        <f t="shared" si="92"/>
        <v>00:00</v>
      </c>
      <c r="AF354" s="14">
        <f t="shared" si="95"/>
        <v>45961.565972222219</v>
      </c>
      <c r="AG354" s="12">
        <f t="shared" si="99"/>
        <v>45961</v>
      </c>
      <c r="AH354" s="24">
        <f t="shared" si="100"/>
        <v>0.56597222221898846</v>
      </c>
      <c r="AI354" s="49">
        <f t="shared" si="93"/>
        <v>0.94097222222222221</v>
      </c>
      <c r="AJ354" s="1">
        <v>35</v>
      </c>
      <c r="AK354" s="50" t="str">
        <f t="shared" si="94"/>
        <v>RUIM</v>
      </c>
    </row>
    <row r="355" spans="1:37" ht="19.95" customHeight="1" x14ac:dyDescent="0.4">
      <c r="A355" s="2">
        <v>1508</v>
      </c>
      <c r="B355" s="16">
        <v>45960.646527777775</v>
      </c>
      <c r="C355" s="22">
        <f t="shared" si="96"/>
        <v>45960</v>
      </c>
      <c r="D355" s="23">
        <f t="shared" si="97"/>
        <v>0.64652777777519077</v>
      </c>
      <c r="E355" s="14">
        <v>45961.348611111112</v>
      </c>
      <c r="F355" s="12">
        <f t="shared" si="98"/>
        <v>45961</v>
      </c>
      <c r="G355" s="24">
        <f t="shared" si="85"/>
        <v>0.34861111111240461</v>
      </c>
      <c r="H355" s="14">
        <v>45961.563888888886</v>
      </c>
      <c r="I355" s="14"/>
      <c r="J355" s="29">
        <v>20.47</v>
      </c>
      <c r="K355" s="30"/>
      <c r="M355" s="17">
        <v>25.55</v>
      </c>
      <c r="N355" s="7">
        <f t="shared" si="86"/>
        <v>30.66</v>
      </c>
      <c r="O355" s="5">
        <v>4</v>
      </c>
      <c r="P355" s="3"/>
      <c r="Q355" s="5">
        <v>26.34</v>
      </c>
      <c r="R355" s="7">
        <f t="shared" si="87"/>
        <v>31.607999999999997</v>
      </c>
      <c r="S355" s="5">
        <v>4</v>
      </c>
      <c r="U355" s="10">
        <v>70.760000000000005</v>
      </c>
      <c r="V355" s="11">
        <f t="shared" si="88"/>
        <v>84.912000000000006</v>
      </c>
      <c r="W355" s="6">
        <v>4</v>
      </c>
      <c r="Y355" s="10">
        <v>70.239999999999995</v>
      </c>
      <c r="Z355" s="11">
        <f t="shared" si="89"/>
        <v>84.287999999999997</v>
      </c>
      <c r="AA355" s="6">
        <v>4</v>
      </c>
      <c r="AB355" s="1">
        <v>1.2</v>
      </c>
      <c r="AC355" s="53" t="str">
        <f t="shared" si="90"/>
        <v>16:51</v>
      </c>
      <c r="AD355" s="52" t="str">
        <f t="shared" si="91"/>
        <v>22:01</v>
      </c>
      <c r="AE355" s="52" t="str">
        <f t="shared" si="92"/>
        <v>00:00</v>
      </c>
      <c r="AF355" s="14">
        <f t="shared" si="95"/>
        <v>45961.563888888886</v>
      </c>
      <c r="AG355" s="12">
        <f t="shared" si="99"/>
        <v>45961</v>
      </c>
      <c r="AH355" s="24">
        <f t="shared" si="100"/>
        <v>0.56388888888614019</v>
      </c>
      <c r="AI355" s="49">
        <f t="shared" si="93"/>
        <v>0.91736111111111107</v>
      </c>
      <c r="AJ355" s="1">
        <v>35</v>
      </c>
      <c r="AK355" s="50" t="str">
        <f t="shared" si="94"/>
        <v>RUIM</v>
      </c>
    </row>
    <row r="356" spans="1:37" ht="19.95" customHeight="1" x14ac:dyDescent="0.4">
      <c r="A356" s="2">
        <v>1509</v>
      </c>
      <c r="B356" s="16">
        <v>45960.680555555555</v>
      </c>
      <c r="C356" s="22">
        <f t="shared" si="96"/>
        <v>45960</v>
      </c>
      <c r="D356" s="23">
        <f t="shared" si="97"/>
        <v>0.68055555555474712</v>
      </c>
      <c r="E356" s="14">
        <v>45961.347916666666</v>
      </c>
      <c r="F356" s="12">
        <f t="shared" si="98"/>
        <v>45961</v>
      </c>
      <c r="G356" s="24">
        <f t="shared" si="85"/>
        <v>0.34791666666569654</v>
      </c>
      <c r="H356" s="14">
        <v>45961.558333333334</v>
      </c>
      <c r="I356" s="14"/>
      <c r="J356" s="29">
        <v>14.44</v>
      </c>
      <c r="K356" s="30"/>
      <c r="M356" s="17">
        <v>21.23</v>
      </c>
      <c r="N356" s="7">
        <f t="shared" si="86"/>
        <v>25.475999999999999</v>
      </c>
      <c r="O356" s="5">
        <v>4</v>
      </c>
      <c r="P356" s="3"/>
      <c r="Q356" s="5">
        <v>20.09</v>
      </c>
      <c r="R356" s="7">
        <f t="shared" si="87"/>
        <v>24.108000000000001</v>
      </c>
      <c r="S356" s="5">
        <v>4</v>
      </c>
      <c r="U356" s="10">
        <v>70.25</v>
      </c>
      <c r="V356" s="11">
        <f t="shared" si="88"/>
        <v>84.3</v>
      </c>
      <c r="W356" s="6">
        <v>4</v>
      </c>
      <c r="Y356" s="10">
        <v>70.67</v>
      </c>
      <c r="Z356" s="11">
        <f t="shared" si="89"/>
        <v>84.804000000000002</v>
      </c>
      <c r="AA356" s="6">
        <v>4</v>
      </c>
      <c r="AB356" s="1">
        <v>1.2</v>
      </c>
      <c r="AC356" s="53" t="str">
        <f t="shared" si="90"/>
        <v>16:01</v>
      </c>
      <c r="AD356" s="52" t="str">
        <f t="shared" si="91"/>
        <v>21:04</v>
      </c>
      <c r="AE356" s="52" t="str">
        <f t="shared" si="92"/>
        <v>00:00</v>
      </c>
      <c r="AF356" s="14">
        <f t="shared" si="95"/>
        <v>45961.558333333334</v>
      </c>
      <c r="AG356" s="12">
        <f t="shared" si="99"/>
        <v>45961</v>
      </c>
      <c r="AH356" s="24">
        <f t="shared" si="100"/>
        <v>0.55833333333430346</v>
      </c>
      <c r="AI356" s="49">
        <f t="shared" si="93"/>
        <v>0.87777777777777777</v>
      </c>
      <c r="AJ356" s="1">
        <v>35</v>
      </c>
      <c r="AK356" s="50" t="str">
        <f t="shared" si="94"/>
        <v>RUIM</v>
      </c>
    </row>
    <row r="357" spans="1:37" ht="19.95" customHeight="1" x14ac:dyDescent="0.4">
      <c r="A357" s="2">
        <v>1510</v>
      </c>
      <c r="B357" s="16">
        <v>45960.697916666664</v>
      </c>
      <c r="C357" s="22">
        <f t="shared" si="96"/>
        <v>45960</v>
      </c>
      <c r="D357" s="23">
        <f t="shared" si="97"/>
        <v>0.69791666666424135</v>
      </c>
      <c r="E357" s="14">
        <v>45961.35</v>
      </c>
      <c r="F357" s="12">
        <f t="shared" si="98"/>
        <v>45961</v>
      </c>
      <c r="G357" s="24">
        <f t="shared" ref="G357:G359" si="101">E357-INT(E357)</f>
        <v>0.34999999999854481</v>
      </c>
      <c r="H357" s="14">
        <v>45961.561805555553</v>
      </c>
      <c r="I357" s="14"/>
      <c r="J357" s="29">
        <v>20.52</v>
      </c>
      <c r="K357" s="30"/>
      <c r="M357" s="17">
        <v>26.88</v>
      </c>
      <c r="N357" s="7">
        <f t="shared" si="86"/>
        <v>32.256</v>
      </c>
      <c r="O357" s="5">
        <v>4</v>
      </c>
      <c r="P357" s="3"/>
      <c r="Q357" s="5">
        <v>27.47</v>
      </c>
      <c r="R357" s="7">
        <f t="shared" si="87"/>
        <v>32.963999999999999</v>
      </c>
      <c r="S357" s="5">
        <v>4</v>
      </c>
      <c r="U357" s="10">
        <v>70.34</v>
      </c>
      <c r="V357" s="11">
        <f t="shared" si="88"/>
        <v>84.408000000000001</v>
      </c>
      <c r="W357" s="6">
        <v>4</v>
      </c>
      <c r="Y357" s="10">
        <v>70.28</v>
      </c>
      <c r="Z357" s="11">
        <f t="shared" si="89"/>
        <v>84.335999999999999</v>
      </c>
      <c r="AA357" s="6">
        <v>4</v>
      </c>
      <c r="AB357" s="1">
        <v>1.2</v>
      </c>
      <c r="AC357" s="53" t="str">
        <f t="shared" si="90"/>
        <v>15:39</v>
      </c>
      <c r="AD357" s="52" t="str">
        <f t="shared" si="91"/>
        <v>20:44</v>
      </c>
      <c r="AE357" s="52" t="str">
        <f t="shared" si="92"/>
        <v>00:00</v>
      </c>
      <c r="AF357" s="14">
        <f t="shared" si="95"/>
        <v>45961.561805555553</v>
      </c>
      <c r="AG357" s="12">
        <f t="shared" si="99"/>
        <v>45961</v>
      </c>
      <c r="AH357" s="24">
        <f t="shared" si="100"/>
        <v>0.56180555555329192</v>
      </c>
      <c r="AI357" s="49">
        <f t="shared" si="93"/>
        <v>0.86388888888888893</v>
      </c>
      <c r="AJ357" s="1">
        <v>35</v>
      </c>
      <c r="AK357" s="50" t="str">
        <f t="shared" si="94"/>
        <v>RUIM</v>
      </c>
    </row>
    <row r="358" spans="1:37" ht="19.95" customHeight="1" x14ac:dyDescent="0.4">
      <c r="A358" s="2">
        <v>1511</v>
      </c>
      <c r="B358" s="16">
        <v>45960.729166666664</v>
      </c>
      <c r="C358" s="22">
        <f t="shared" si="96"/>
        <v>45960</v>
      </c>
      <c r="D358" s="23">
        <f t="shared" si="97"/>
        <v>0.72916666666424135</v>
      </c>
      <c r="E358" s="14">
        <v>45961.347222222219</v>
      </c>
      <c r="F358" s="12">
        <f t="shared" si="98"/>
        <v>45961</v>
      </c>
      <c r="G358" s="24">
        <f t="shared" si="101"/>
        <v>0.34722222221898846</v>
      </c>
      <c r="H358" s="14">
        <v>45961.55972222222</v>
      </c>
      <c r="I358" s="14"/>
      <c r="J358" s="29">
        <v>19.739999999999998</v>
      </c>
      <c r="K358" s="30"/>
      <c r="M358" s="17">
        <v>26.24</v>
      </c>
      <c r="N358" s="7">
        <f t="shared" si="86"/>
        <v>31.487999999999996</v>
      </c>
      <c r="O358" s="5">
        <v>4</v>
      </c>
      <c r="P358" s="3"/>
      <c r="Q358" s="5">
        <v>27.73</v>
      </c>
      <c r="R358" s="7">
        <f t="shared" si="87"/>
        <v>33.275999999999996</v>
      </c>
      <c r="S358" s="5">
        <v>4</v>
      </c>
      <c r="U358" s="10">
        <v>70.12</v>
      </c>
      <c r="V358" s="11">
        <f t="shared" si="88"/>
        <v>84.144000000000005</v>
      </c>
      <c r="W358" s="6">
        <v>4</v>
      </c>
      <c r="Y358" s="10">
        <v>70.697999999999993</v>
      </c>
      <c r="Z358" s="11">
        <f t="shared" si="89"/>
        <v>84.837599999999995</v>
      </c>
      <c r="AA358" s="6">
        <v>4</v>
      </c>
      <c r="AB358" s="1">
        <v>1.2</v>
      </c>
      <c r="AC358" s="53" t="str">
        <f t="shared" si="90"/>
        <v>14:50</v>
      </c>
      <c r="AD358" s="52" t="str">
        <f t="shared" si="91"/>
        <v>19:56</v>
      </c>
      <c r="AE358" s="52" t="str">
        <f t="shared" si="92"/>
        <v>00:00</v>
      </c>
      <c r="AF358" s="14">
        <f t="shared" si="95"/>
        <v>45961.55972222222</v>
      </c>
      <c r="AG358" s="12">
        <f t="shared" si="99"/>
        <v>45961</v>
      </c>
      <c r="AH358" s="24">
        <f t="shared" si="100"/>
        <v>0.55972222222044365</v>
      </c>
      <c r="AI358" s="49">
        <f t="shared" si="93"/>
        <v>0.8305555555555556</v>
      </c>
      <c r="AJ358" s="1">
        <v>35</v>
      </c>
      <c r="AK358" s="50" t="str">
        <f t="shared" si="94"/>
        <v>BOM</v>
      </c>
    </row>
    <row r="359" spans="1:37" ht="19.95" customHeight="1" x14ac:dyDescent="0.4">
      <c r="A359" s="2">
        <v>1512</v>
      </c>
      <c r="B359" s="16">
        <v>45962.548611111109</v>
      </c>
      <c r="C359" s="22">
        <f t="shared" si="96"/>
        <v>45962</v>
      </c>
      <c r="D359" s="23">
        <f t="shared" si="97"/>
        <v>0.54861111110949423</v>
      </c>
      <c r="E359" s="14">
        <v>45964.342361111114</v>
      </c>
      <c r="F359" s="12">
        <f t="shared" si="98"/>
        <v>45964</v>
      </c>
      <c r="G359" s="24">
        <f t="shared" si="101"/>
        <v>0.34236111111385981</v>
      </c>
      <c r="H359" s="14"/>
      <c r="I359" s="14"/>
      <c r="J359" s="29"/>
      <c r="K359" s="30"/>
      <c r="M359" s="17">
        <v>31.22</v>
      </c>
      <c r="N359" s="7">
        <f t="shared" si="86"/>
        <v>37.463999999999999</v>
      </c>
      <c r="O359" s="5">
        <v>4</v>
      </c>
      <c r="P359" s="3"/>
      <c r="Q359" s="5">
        <v>33.42</v>
      </c>
      <c r="R359" s="7">
        <f t="shared" si="87"/>
        <v>40.103999999999999</v>
      </c>
      <c r="S359" s="5">
        <v>4</v>
      </c>
      <c r="U359" s="10">
        <v>70.5</v>
      </c>
      <c r="V359" s="11">
        <f t="shared" si="88"/>
        <v>84.6</v>
      </c>
      <c r="W359" s="6">
        <v>4</v>
      </c>
      <c r="Y359" s="10">
        <v>70.59</v>
      </c>
      <c r="Z359" s="11">
        <f t="shared" si="89"/>
        <v>84.707999999999998</v>
      </c>
      <c r="AA359" s="6">
        <v>4</v>
      </c>
      <c r="AB359" s="1">
        <v>1.2</v>
      </c>
      <c r="AC359" s="53" t="str">
        <f t="shared" si="90"/>
        <v>43:03</v>
      </c>
      <c r="AD359" s="52" t="str">
        <f t="shared" si="91"/>
        <v>00:00</v>
      </c>
      <c r="AE359" s="52" t="str">
        <f t="shared" si="92"/>
        <v>00:00</v>
      </c>
      <c r="AF359" s="14">
        <f t="shared" si="95"/>
        <v>45964.342361111114</v>
      </c>
      <c r="AG359" s="12">
        <f t="shared" si="99"/>
        <v>45964</v>
      </c>
      <c r="AH359" s="24">
        <f t="shared" si="100"/>
        <v>0.34236111111385981</v>
      </c>
      <c r="AI359" s="49">
        <f t="shared" si="93"/>
        <v>1.79375</v>
      </c>
      <c r="AJ359" s="1">
        <v>20</v>
      </c>
      <c r="AK359" s="50" t="str">
        <f t="shared" si="94"/>
        <v>RUIM</v>
      </c>
    </row>
    <row r="360" spans="1:37" x14ac:dyDescent="0.4">
      <c r="A360" s="2">
        <v>1513</v>
      </c>
      <c r="B360" s="16">
        <v>45962.576388888891</v>
      </c>
      <c r="C360" s="22">
        <f t="shared" si="96"/>
        <v>45962</v>
      </c>
      <c r="D360" s="23">
        <f t="shared" ref="D360:D423" si="102">B360-INT(B360)</f>
        <v>0.57638888889050577</v>
      </c>
      <c r="E360" s="14">
        <v>45964.345833333333</v>
      </c>
      <c r="F360" s="12">
        <f t="shared" si="98"/>
        <v>45964</v>
      </c>
      <c r="G360" s="24">
        <f t="shared" ref="G360:G423" si="103">E360-INT(E360)</f>
        <v>0.34583333333284827</v>
      </c>
      <c r="H360" s="14"/>
      <c r="I360" s="14"/>
      <c r="J360" s="29"/>
      <c r="K360" s="30"/>
      <c r="M360" s="17">
        <v>30.28</v>
      </c>
      <c r="N360" s="7">
        <f t="shared" si="86"/>
        <v>36.335999999999999</v>
      </c>
      <c r="O360" s="5">
        <v>4</v>
      </c>
      <c r="P360" s="3"/>
      <c r="Q360" s="5">
        <v>29.11</v>
      </c>
      <c r="R360" s="7">
        <f t="shared" si="87"/>
        <v>34.931999999999995</v>
      </c>
      <c r="S360" s="5">
        <v>4</v>
      </c>
      <c r="U360" s="10">
        <v>70.599999999999994</v>
      </c>
      <c r="V360" s="11">
        <f t="shared" si="88"/>
        <v>84.719999999999985</v>
      </c>
      <c r="W360" s="6">
        <v>4</v>
      </c>
      <c r="Y360" s="10">
        <v>70.650000000000006</v>
      </c>
      <c r="Z360" s="11">
        <f t="shared" si="89"/>
        <v>84.78</v>
      </c>
      <c r="AA360" s="6">
        <v>4</v>
      </c>
      <c r="AB360" s="1">
        <v>1.2</v>
      </c>
      <c r="AC360" s="53" t="str">
        <f t="shared" si="90"/>
        <v>42:28</v>
      </c>
      <c r="AD360" s="52" t="str">
        <f t="shared" si="91"/>
        <v>00:00</v>
      </c>
      <c r="AE360" s="52" t="str">
        <f t="shared" si="92"/>
        <v>00:00</v>
      </c>
      <c r="AF360" s="14">
        <f t="shared" ref="AF360:AF423" si="104">MAX(E360,H360,I360)</f>
        <v>45964.345833333333</v>
      </c>
      <c r="AG360" s="12">
        <f t="shared" si="99"/>
        <v>45964</v>
      </c>
      <c r="AH360" s="24">
        <f t="shared" ref="AH360:AH423" si="105">AF360-INT(AF360)</f>
        <v>0.34583333333284827</v>
      </c>
      <c r="AI360" s="49">
        <f t="shared" si="93"/>
        <v>1.7694444444444444</v>
      </c>
      <c r="AJ360" s="1">
        <v>20</v>
      </c>
      <c r="AK360" s="50" t="str">
        <f t="shared" si="94"/>
        <v>RUIM</v>
      </c>
    </row>
    <row r="361" spans="1:37" x14ac:dyDescent="0.4">
      <c r="A361" s="2">
        <v>1514</v>
      </c>
      <c r="B361" s="16">
        <v>45962.604166666664</v>
      </c>
      <c r="C361" s="22">
        <f t="shared" si="96"/>
        <v>45962</v>
      </c>
      <c r="D361" s="23">
        <f t="shared" si="102"/>
        <v>0.60416666666424135</v>
      </c>
      <c r="E361" s="14">
        <v>45964.347916666666</v>
      </c>
      <c r="F361" s="12">
        <f t="shared" si="98"/>
        <v>45964</v>
      </c>
      <c r="G361" s="24">
        <f t="shared" si="103"/>
        <v>0.34791666666569654</v>
      </c>
      <c r="H361" s="14"/>
      <c r="I361" s="14"/>
      <c r="J361" s="29"/>
      <c r="K361" s="30"/>
      <c r="M361" s="17">
        <v>30.43</v>
      </c>
      <c r="N361" s="7">
        <f t="shared" si="86"/>
        <v>36.515999999999998</v>
      </c>
      <c r="O361" s="5">
        <v>4</v>
      </c>
      <c r="P361" s="3"/>
      <c r="Q361" s="5">
        <v>28.97</v>
      </c>
      <c r="R361" s="7">
        <f t="shared" si="87"/>
        <v>34.763999999999996</v>
      </c>
      <c r="S361" s="5">
        <v>4</v>
      </c>
      <c r="U361" s="10">
        <v>70.989999999999995</v>
      </c>
      <c r="V361" s="11">
        <f t="shared" si="88"/>
        <v>85.187999999999988</v>
      </c>
      <c r="W361" s="6">
        <v>4</v>
      </c>
      <c r="Y361" s="10">
        <v>70.55</v>
      </c>
      <c r="Z361" s="11">
        <f t="shared" si="89"/>
        <v>84.66</v>
      </c>
      <c r="AA361" s="6">
        <v>4</v>
      </c>
      <c r="AB361" s="1">
        <v>1.2</v>
      </c>
      <c r="AC361" s="53" t="str">
        <f t="shared" si="90"/>
        <v>41:51</v>
      </c>
      <c r="AD361" s="52" t="str">
        <f t="shared" si="91"/>
        <v>00:00</v>
      </c>
      <c r="AE361" s="52" t="str">
        <f t="shared" si="92"/>
        <v>00:00</v>
      </c>
      <c r="AF361" s="14">
        <f t="shared" si="104"/>
        <v>45964.347916666666</v>
      </c>
      <c r="AG361" s="12">
        <f t="shared" si="99"/>
        <v>45964</v>
      </c>
      <c r="AH361" s="24">
        <f t="shared" si="105"/>
        <v>0.34791666666569654</v>
      </c>
      <c r="AI361" s="49">
        <f t="shared" si="93"/>
        <v>1.7437499999999999</v>
      </c>
      <c r="AJ361" s="1">
        <v>20</v>
      </c>
      <c r="AK361" s="50" t="str">
        <f t="shared" si="94"/>
        <v>RUIM</v>
      </c>
    </row>
    <row r="362" spans="1:37" x14ac:dyDescent="0.4">
      <c r="A362" s="2">
        <v>1515</v>
      </c>
      <c r="B362" s="16">
        <v>45962.62777777778</v>
      </c>
      <c r="C362" s="22">
        <f t="shared" si="96"/>
        <v>45962</v>
      </c>
      <c r="D362" s="23">
        <f t="shared" si="102"/>
        <v>0.62777777777955635</v>
      </c>
      <c r="E362" s="14">
        <v>45964.35</v>
      </c>
      <c r="F362" s="12">
        <f t="shared" si="98"/>
        <v>45964</v>
      </c>
      <c r="G362" s="24">
        <f t="shared" si="103"/>
        <v>0.34999999999854481</v>
      </c>
      <c r="H362" s="14"/>
      <c r="I362" s="14"/>
      <c r="J362" s="29"/>
      <c r="K362" s="30"/>
      <c r="M362" s="17">
        <v>30.89</v>
      </c>
      <c r="N362" s="7">
        <f t="shared" si="86"/>
        <v>37.067999999999998</v>
      </c>
      <c r="O362" s="5">
        <v>4</v>
      </c>
      <c r="P362" s="3"/>
      <c r="Q362" s="5">
        <v>31.25</v>
      </c>
      <c r="R362" s="7">
        <f t="shared" si="87"/>
        <v>37.5</v>
      </c>
      <c r="S362" s="5">
        <v>4</v>
      </c>
      <c r="U362" s="10">
        <v>70.069999999999993</v>
      </c>
      <c r="V362" s="11">
        <f t="shared" si="88"/>
        <v>84.083999999999989</v>
      </c>
      <c r="W362" s="6">
        <v>4</v>
      </c>
      <c r="Y362" s="10">
        <v>70.69</v>
      </c>
      <c r="Z362" s="11">
        <f t="shared" si="89"/>
        <v>84.827999999999989</v>
      </c>
      <c r="AA362" s="6">
        <v>4</v>
      </c>
      <c r="AB362" s="1">
        <v>1.2</v>
      </c>
      <c r="AC362" s="53" t="str">
        <f t="shared" si="90"/>
        <v>41:20</v>
      </c>
      <c r="AD362" s="52" t="str">
        <f t="shared" si="91"/>
        <v>00:00</v>
      </c>
      <c r="AE362" s="52" t="str">
        <f t="shared" si="92"/>
        <v>00:00</v>
      </c>
      <c r="AF362" s="14">
        <f t="shared" si="104"/>
        <v>45964.35</v>
      </c>
      <c r="AG362" s="12">
        <f t="shared" si="99"/>
        <v>45964</v>
      </c>
      <c r="AH362" s="24">
        <f t="shared" si="105"/>
        <v>0.34999999999854481</v>
      </c>
      <c r="AI362" s="49">
        <f t="shared" si="93"/>
        <v>1.7222222222222223</v>
      </c>
      <c r="AJ362" s="1">
        <v>20</v>
      </c>
      <c r="AK362" s="50" t="str">
        <f t="shared" si="94"/>
        <v>RUIM</v>
      </c>
    </row>
    <row r="363" spans="1:37" x14ac:dyDescent="0.4">
      <c r="A363" s="2">
        <v>1516</v>
      </c>
      <c r="B363" s="16">
        <v>45962.65625</v>
      </c>
      <c r="C363" s="22">
        <f t="shared" si="96"/>
        <v>45962</v>
      </c>
      <c r="D363" s="23">
        <f t="shared" si="102"/>
        <v>0.65625</v>
      </c>
      <c r="E363" s="14">
        <v>45964.353472222225</v>
      </c>
      <c r="F363" s="12">
        <f t="shared" si="98"/>
        <v>45964</v>
      </c>
      <c r="G363" s="24">
        <f t="shared" si="103"/>
        <v>0.35347222222480923</v>
      </c>
      <c r="H363" s="14"/>
      <c r="I363" s="14"/>
      <c r="J363" s="29"/>
      <c r="K363" s="30"/>
      <c r="M363" s="17">
        <v>31.29</v>
      </c>
      <c r="N363" s="7">
        <f t="shared" si="86"/>
        <v>37.547999999999995</v>
      </c>
      <c r="O363" s="5">
        <v>4</v>
      </c>
      <c r="P363" s="3"/>
      <c r="Q363" s="5">
        <v>31.96</v>
      </c>
      <c r="R363" s="7">
        <f t="shared" si="87"/>
        <v>38.351999999999997</v>
      </c>
      <c r="S363" s="5">
        <v>4</v>
      </c>
      <c r="U363" s="10">
        <v>70.48</v>
      </c>
      <c r="V363" s="11">
        <f t="shared" si="88"/>
        <v>84.576000000000008</v>
      </c>
      <c r="W363" s="6">
        <v>4</v>
      </c>
      <c r="Y363" s="10">
        <v>70.14</v>
      </c>
      <c r="Z363" s="11">
        <f t="shared" si="89"/>
        <v>84.167999999999992</v>
      </c>
      <c r="AA363" s="6">
        <v>4</v>
      </c>
      <c r="AB363" s="1">
        <v>1.2</v>
      </c>
      <c r="AC363" s="53" t="str">
        <f t="shared" si="90"/>
        <v>40:44</v>
      </c>
      <c r="AD363" s="52" t="str">
        <f t="shared" si="91"/>
        <v>00:00</v>
      </c>
      <c r="AE363" s="52" t="str">
        <f t="shared" si="92"/>
        <v>00:00</v>
      </c>
      <c r="AF363" s="14">
        <f t="shared" si="104"/>
        <v>45964.353472222225</v>
      </c>
      <c r="AG363" s="12">
        <f t="shared" si="99"/>
        <v>45964</v>
      </c>
      <c r="AH363" s="24">
        <f t="shared" si="105"/>
        <v>0.35347222222480923</v>
      </c>
      <c r="AI363" s="49">
        <f t="shared" si="93"/>
        <v>1.6972222222222222</v>
      </c>
      <c r="AJ363" s="1">
        <v>20</v>
      </c>
      <c r="AK363" s="50" t="str">
        <f t="shared" si="94"/>
        <v>RUIM</v>
      </c>
    </row>
    <row r="364" spans="1:37" x14ac:dyDescent="0.4">
      <c r="A364" s="2">
        <v>1517</v>
      </c>
      <c r="B364" s="16">
        <v>45964.615972222222</v>
      </c>
      <c r="C364" s="22">
        <f t="shared" si="96"/>
        <v>45964</v>
      </c>
      <c r="D364" s="23">
        <f t="shared" si="102"/>
        <v>0.61597222222189885</v>
      </c>
      <c r="E364" s="14">
        <v>45965.486111111109</v>
      </c>
      <c r="F364" s="12">
        <f t="shared" si="98"/>
        <v>45965</v>
      </c>
      <c r="G364" s="24">
        <f t="shared" si="103"/>
        <v>0.48611111110949423</v>
      </c>
      <c r="H364" s="14"/>
      <c r="I364" s="14"/>
      <c r="J364" s="29"/>
      <c r="K364" s="30"/>
      <c r="M364" s="17">
        <v>26.42</v>
      </c>
      <c r="N364" s="7">
        <f t="shared" si="86"/>
        <v>31.704000000000001</v>
      </c>
      <c r="O364" s="5">
        <v>4</v>
      </c>
      <c r="P364" s="3"/>
      <c r="Q364" s="5">
        <v>28.88</v>
      </c>
      <c r="R364" s="7">
        <f t="shared" si="87"/>
        <v>34.655999999999999</v>
      </c>
      <c r="S364" s="5">
        <v>4</v>
      </c>
      <c r="U364" s="10">
        <v>71</v>
      </c>
      <c r="V364" s="11">
        <f t="shared" si="88"/>
        <v>85.2</v>
      </c>
      <c r="W364" s="6">
        <v>4</v>
      </c>
      <c r="Y364" s="10">
        <v>70.28</v>
      </c>
      <c r="Z364" s="11">
        <f t="shared" si="89"/>
        <v>84.335999999999999</v>
      </c>
      <c r="AA364" s="6">
        <v>4</v>
      </c>
      <c r="AB364" s="1">
        <v>1.2</v>
      </c>
      <c r="AC364" s="53" t="str">
        <f t="shared" si="90"/>
        <v>20:53</v>
      </c>
      <c r="AD364" s="52" t="str">
        <f t="shared" si="91"/>
        <v>00:00</v>
      </c>
      <c r="AE364" s="52" t="str">
        <f t="shared" si="92"/>
        <v>00:00</v>
      </c>
      <c r="AF364" s="14">
        <f t="shared" si="104"/>
        <v>45965.486111111109</v>
      </c>
      <c r="AG364" s="12">
        <f t="shared" si="99"/>
        <v>45965</v>
      </c>
      <c r="AH364" s="24">
        <f t="shared" si="105"/>
        <v>0.48611111110949423</v>
      </c>
      <c r="AI364" s="49">
        <f t="shared" si="93"/>
        <v>0.87013888888888891</v>
      </c>
      <c r="AJ364" s="1">
        <v>28</v>
      </c>
      <c r="AK364" s="50" t="str">
        <f t="shared" si="94"/>
        <v>RUIM</v>
      </c>
    </row>
    <row r="365" spans="1:37" x14ac:dyDescent="0.4">
      <c r="A365" s="2">
        <v>1518</v>
      </c>
      <c r="B365" s="16">
        <v>45964.645833333336</v>
      </c>
      <c r="C365" s="22">
        <f t="shared" si="96"/>
        <v>45964</v>
      </c>
      <c r="D365" s="23">
        <f t="shared" si="102"/>
        <v>0.64583333333575865</v>
      </c>
      <c r="E365" s="14">
        <v>45965.481944444444</v>
      </c>
      <c r="F365" s="12">
        <f t="shared" si="98"/>
        <v>45965</v>
      </c>
      <c r="G365" s="24">
        <f t="shared" si="103"/>
        <v>0.48194444444379769</v>
      </c>
      <c r="H365" s="14"/>
      <c r="I365" s="14"/>
      <c r="J365" s="29"/>
      <c r="K365" s="30"/>
      <c r="M365" s="17">
        <v>27.74</v>
      </c>
      <c r="N365" s="7">
        <f t="shared" si="86"/>
        <v>33.287999999999997</v>
      </c>
      <c r="O365" s="5">
        <v>4</v>
      </c>
      <c r="P365" s="3"/>
      <c r="Q365" s="5">
        <v>29.03</v>
      </c>
      <c r="R365" s="7">
        <f t="shared" si="87"/>
        <v>34.835999999999999</v>
      </c>
      <c r="S365" s="5">
        <v>4</v>
      </c>
      <c r="U365" s="10">
        <v>71.7</v>
      </c>
      <c r="V365" s="11">
        <f t="shared" si="88"/>
        <v>86.04</v>
      </c>
      <c r="W365" s="6">
        <v>4</v>
      </c>
      <c r="Y365" s="10">
        <v>70.55</v>
      </c>
      <c r="Z365" s="11">
        <f t="shared" si="89"/>
        <v>84.66</v>
      </c>
      <c r="AA365" s="6">
        <v>4</v>
      </c>
      <c r="AB365" s="1">
        <v>1.2</v>
      </c>
      <c r="AC365" s="53" t="str">
        <f t="shared" si="90"/>
        <v>20:04</v>
      </c>
      <c r="AD365" s="52" t="str">
        <f t="shared" si="91"/>
        <v>00:00</v>
      </c>
      <c r="AE365" s="52" t="str">
        <f t="shared" si="92"/>
        <v>00:00</v>
      </c>
      <c r="AF365" s="14">
        <f t="shared" si="104"/>
        <v>45965.481944444444</v>
      </c>
      <c r="AG365" s="12">
        <f t="shared" si="99"/>
        <v>45965</v>
      </c>
      <c r="AH365" s="24">
        <f t="shared" si="105"/>
        <v>0.48194444444379769</v>
      </c>
      <c r="AI365" s="49">
        <f t="shared" si="93"/>
        <v>0.83611111111111114</v>
      </c>
      <c r="AJ365" s="1">
        <v>28</v>
      </c>
      <c r="AK365" s="50" t="str">
        <f t="shared" si="94"/>
        <v>BOM</v>
      </c>
    </row>
    <row r="366" spans="1:37" x14ac:dyDescent="0.4">
      <c r="A366" s="2">
        <v>1519</v>
      </c>
      <c r="B366" s="16">
        <v>45964.666666666664</v>
      </c>
      <c r="C366" s="22">
        <f t="shared" si="96"/>
        <v>45964</v>
      </c>
      <c r="D366" s="23">
        <f t="shared" si="102"/>
        <v>0.66666666666424135</v>
      </c>
      <c r="E366" s="14">
        <v>45965.478472222225</v>
      </c>
      <c r="F366" s="12">
        <f t="shared" si="98"/>
        <v>45965</v>
      </c>
      <c r="G366" s="24">
        <f t="shared" si="103"/>
        <v>0.47847222222480923</v>
      </c>
      <c r="H366" s="14"/>
      <c r="I366" s="14"/>
      <c r="J366" s="29"/>
      <c r="K366" s="30"/>
      <c r="M366" s="17">
        <v>31.3</v>
      </c>
      <c r="N366" s="7">
        <f t="shared" si="86"/>
        <v>37.56</v>
      </c>
      <c r="O366" s="5">
        <v>4</v>
      </c>
      <c r="P366" s="3"/>
      <c r="Q366" s="5">
        <v>29.95</v>
      </c>
      <c r="R366" s="7">
        <f t="shared" si="87"/>
        <v>35.94</v>
      </c>
      <c r="S366" s="5">
        <v>4</v>
      </c>
      <c r="U366" s="10">
        <v>70.930000000000007</v>
      </c>
      <c r="V366" s="11">
        <f t="shared" si="88"/>
        <v>85.116</v>
      </c>
      <c r="W366" s="6">
        <v>4</v>
      </c>
      <c r="Y366" s="10">
        <v>70.56</v>
      </c>
      <c r="Z366" s="11">
        <f t="shared" si="89"/>
        <v>84.671999999999997</v>
      </c>
      <c r="AA366" s="6">
        <v>4</v>
      </c>
      <c r="AB366" s="1">
        <v>1.2</v>
      </c>
      <c r="AC366" s="53" t="str">
        <f t="shared" si="90"/>
        <v>19:29</v>
      </c>
      <c r="AD366" s="52" t="str">
        <f t="shared" si="91"/>
        <v>00:00</v>
      </c>
      <c r="AE366" s="52" t="str">
        <f t="shared" si="92"/>
        <v>00:00</v>
      </c>
      <c r="AF366" s="14">
        <f t="shared" si="104"/>
        <v>45965.478472222225</v>
      </c>
      <c r="AG366" s="12">
        <f t="shared" si="99"/>
        <v>45965</v>
      </c>
      <c r="AH366" s="24">
        <f t="shared" si="105"/>
        <v>0.47847222222480923</v>
      </c>
      <c r="AI366" s="49">
        <f t="shared" si="93"/>
        <v>0.81180555555555556</v>
      </c>
      <c r="AJ366" s="1">
        <v>28</v>
      </c>
      <c r="AK366" s="50" t="str">
        <f t="shared" si="94"/>
        <v>BOM</v>
      </c>
    </row>
    <row r="367" spans="1:37" x14ac:dyDescent="0.4">
      <c r="A367" s="2">
        <v>1520</v>
      </c>
      <c r="B367" s="16">
        <v>45964.708333333336</v>
      </c>
      <c r="C367" s="22">
        <f t="shared" si="96"/>
        <v>45964</v>
      </c>
      <c r="D367" s="23">
        <f t="shared" si="102"/>
        <v>0.70833333333575865</v>
      </c>
      <c r="E367" s="14">
        <v>45965.472222222219</v>
      </c>
      <c r="F367" s="12">
        <f t="shared" si="98"/>
        <v>45965</v>
      </c>
      <c r="G367" s="24">
        <f t="shared" si="103"/>
        <v>0.47222222221898846</v>
      </c>
      <c r="H367" s="14"/>
      <c r="I367" s="14"/>
      <c r="J367" s="29"/>
      <c r="K367" s="30"/>
      <c r="M367" s="17">
        <v>34.299999999999997</v>
      </c>
      <c r="N367" s="7">
        <f t="shared" si="86"/>
        <v>41.16</v>
      </c>
      <c r="O367" s="5">
        <v>4</v>
      </c>
      <c r="P367" s="3"/>
      <c r="Q367" s="5">
        <v>33.71</v>
      </c>
      <c r="R367" s="7">
        <f t="shared" si="87"/>
        <v>40.451999999999998</v>
      </c>
      <c r="S367" s="5">
        <v>4</v>
      </c>
      <c r="U367" s="10">
        <v>70.45</v>
      </c>
      <c r="V367" s="11">
        <f t="shared" si="88"/>
        <v>84.54</v>
      </c>
      <c r="W367" s="6">
        <v>4</v>
      </c>
      <c r="Y367" s="10">
        <v>70</v>
      </c>
      <c r="Z367" s="11">
        <f t="shared" si="89"/>
        <v>84</v>
      </c>
      <c r="AA367" s="6">
        <v>4</v>
      </c>
      <c r="AB367" s="1">
        <v>1.2</v>
      </c>
      <c r="AC367" s="53" t="str">
        <f t="shared" si="90"/>
        <v>18:20</v>
      </c>
      <c r="AD367" s="52" t="str">
        <f t="shared" si="91"/>
        <v>00:00</v>
      </c>
      <c r="AE367" s="52" t="str">
        <f t="shared" si="92"/>
        <v>00:00</v>
      </c>
      <c r="AF367" s="14">
        <f t="shared" si="104"/>
        <v>45965.472222222219</v>
      </c>
      <c r="AG367" s="12">
        <f t="shared" si="99"/>
        <v>45965</v>
      </c>
      <c r="AH367" s="24">
        <f t="shared" si="105"/>
        <v>0.47222222221898846</v>
      </c>
      <c r="AI367" s="49">
        <f t="shared" si="93"/>
        <v>0.76388888888888884</v>
      </c>
      <c r="AJ367" s="1">
        <v>28</v>
      </c>
      <c r="AK367" s="50" t="str">
        <f t="shared" si="94"/>
        <v>BOM</v>
      </c>
    </row>
    <row r="368" spans="1:37" x14ac:dyDescent="0.4">
      <c r="A368" s="2">
        <v>1521</v>
      </c>
      <c r="B368" s="16">
        <v>45967.395833333336</v>
      </c>
      <c r="C368" s="22">
        <f t="shared" si="96"/>
        <v>45967</v>
      </c>
      <c r="D368" s="23">
        <f t="shared" si="102"/>
        <v>0.39583333333575865</v>
      </c>
      <c r="E368" s="14">
        <v>45968.361805555556</v>
      </c>
      <c r="F368" s="12">
        <f t="shared" si="98"/>
        <v>45968</v>
      </c>
      <c r="G368" s="24">
        <f t="shared" si="103"/>
        <v>0.36180555555620231</v>
      </c>
      <c r="H368" s="14"/>
      <c r="I368" s="14"/>
      <c r="J368" s="29"/>
      <c r="K368" s="30"/>
      <c r="M368" s="17">
        <v>24.99</v>
      </c>
      <c r="N368" s="7">
        <f t="shared" si="86"/>
        <v>29.987999999999996</v>
      </c>
      <c r="O368" s="5">
        <v>4</v>
      </c>
      <c r="P368" s="3"/>
      <c r="Q368" s="5">
        <v>23.99</v>
      </c>
      <c r="R368" s="7">
        <f t="shared" si="87"/>
        <v>28.787999999999997</v>
      </c>
      <c r="S368" s="5">
        <v>4</v>
      </c>
      <c r="U368" s="10">
        <v>70.66</v>
      </c>
      <c r="V368" s="11">
        <f t="shared" si="88"/>
        <v>84.791999999999987</v>
      </c>
      <c r="W368" s="6">
        <v>4</v>
      </c>
      <c r="Y368" s="10">
        <v>70.58</v>
      </c>
      <c r="Z368" s="11">
        <f t="shared" si="89"/>
        <v>84.695999999999998</v>
      </c>
      <c r="AA368" s="6">
        <v>4</v>
      </c>
      <c r="AB368" s="1">
        <v>1.2</v>
      </c>
      <c r="AC368" s="53" t="str">
        <f t="shared" si="90"/>
        <v>23:11</v>
      </c>
      <c r="AD368" s="52" t="str">
        <f t="shared" si="91"/>
        <v>00:00</v>
      </c>
      <c r="AE368" s="52" t="str">
        <f t="shared" si="92"/>
        <v>00:00</v>
      </c>
      <c r="AF368" s="14">
        <f t="shared" si="104"/>
        <v>45968.361805555556</v>
      </c>
      <c r="AG368" s="12">
        <f t="shared" si="99"/>
        <v>45968</v>
      </c>
      <c r="AH368" s="24">
        <f t="shared" si="105"/>
        <v>0.36180555555620231</v>
      </c>
      <c r="AI368" s="49">
        <f t="shared" si="93"/>
        <v>0.96597222222222223</v>
      </c>
      <c r="AJ368" s="1">
        <v>28</v>
      </c>
      <c r="AK368" s="50" t="str">
        <f t="shared" si="94"/>
        <v>RUIM</v>
      </c>
    </row>
    <row r="369" spans="1:37" x14ac:dyDescent="0.4">
      <c r="A369" s="2">
        <v>1522</v>
      </c>
      <c r="B369" s="16">
        <v>45967.417361111111</v>
      </c>
      <c r="C369" s="22">
        <f t="shared" si="96"/>
        <v>45967</v>
      </c>
      <c r="D369" s="23">
        <f t="shared" si="102"/>
        <v>0.41736111111094942</v>
      </c>
      <c r="E369" s="14">
        <v>45968.359027777777</v>
      </c>
      <c r="F369" s="12">
        <f t="shared" si="98"/>
        <v>45968</v>
      </c>
      <c r="G369" s="24">
        <f t="shared" si="103"/>
        <v>0.35902777777664596</v>
      </c>
      <c r="H369" s="14"/>
      <c r="I369" s="14"/>
      <c r="J369" s="29"/>
      <c r="K369" s="30"/>
      <c r="M369" s="17">
        <v>20.13</v>
      </c>
      <c r="N369" s="7">
        <f t="shared" si="86"/>
        <v>24.155999999999999</v>
      </c>
      <c r="O369" s="5">
        <v>4</v>
      </c>
      <c r="P369" s="3"/>
      <c r="Q369" s="5">
        <v>20.09</v>
      </c>
      <c r="R369" s="7">
        <f t="shared" si="87"/>
        <v>24.108000000000001</v>
      </c>
      <c r="S369" s="5">
        <v>4</v>
      </c>
      <c r="U369" s="10">
        <v>58.77</v>
      </c>
      <c r="V369" s="11">
        <f t="shared" si="88"/>
        <v>70.524000000000001</v>
      </c>
      <c r="W369" s="6">
        <v>4</v>
      </c>
      <c r="Y369" s="10">
        <v>57.99</v>
      </c>
      <c r="Z369" s="11">
        <f t="shared" si="89"/>
        <v>69.587999999999994</v>
      </c>
      <c r="AA369" s="6">
        <v>4</v>
      </c>
      <c r="AB369" s="1">
        <v>1.2</v>
      </c>
      <c r="AC369" s="53" t="str">
        <f t="shared" si="90"/>
        <v>22:36</v>
      </c>
      <c r="AD369" s="52" t="str">
        <f t="shared" si="91"/>
        <v>00:00</v>
      </c>
      <c r="AE369" s="52" t="str">
        <f t="shared" si="92"/>
        <v>00:00</v>
      </c>
      <c r="AF369" s="14">
        <f t="shared" si="104"/>
        <v>45968.359027777777</v>
      </c>
      <c r="AG369" s="12">
        <f t="shared" si="99"/>
        <v>45968</v>
      </c>
      <c r="AH369" s="24">
        <f t="shared" si="105"/>
        <v>0.35902777777664596</v>
      </c>
      <c r="AI369" s="49">
        <f t="shared" si="93"/>
        <v>0.94166666666666665</v>
      </c>
      <c r="AJ369" s="1">
        <v>28</v>
      </c>
      <c r="AK369" s="50" t="str">
        <f t="shared" si="94"/>
        <v>RUIM</v>
      </c>
    </row>
    <row r="370" spans="1:37" x14ac:dyDescent="0.4">
      <c r="A370" s="2">
        <v>1523</v>
      </c>
      <c r="B370" s="16">
        <v>45967.454861111109</v>
      </c>
      <c r="C370" s="22">
        <f t="shared" si="96"/>
        <v>45967</v>
      </c>
      <c r="D370" s="23">
        <f t="shared" si="102"/>
        <v>0.45486111110949423</v>
      </c>
      <c r="E370" s="14">
        <v>45968.356249999997</v>
      </c>
      <c r="F370" s="12">
        <f t="shared" si="98"/>
        <v>45968</v>
      </c>
      <c r="G370" s="24">
        <f t="shared" si="103"/>
        <v>0.35624999999708962</v>
      </c>
      <c r="H370" s="14"/>
      <c r="I370" s="14"/>
      <c r="J370" s="29"/>
      <c r="K370" s="30"/>
      <c r="M370" s="17">
        <v>21.78</v>
      </c>
      <c r="N370" s="7">
        <f t="shared" si="86"/>
        <v>26.135999999999999</v>
      </c>
      <c r="O370" s="5">
        <v>4</v>
      </c>
      <c r="P370" s="3"/>
      <c r="Q370" s="5">
        <v>20.51</v>
      </c>
      <c r="R370" s="7">
        <f t="shared" si="87"/>
        <v>24.612000000000002</v>
      </c>
      <c r="S370" s="5">
        <v>4</v>
      </c>
      <c r="U370" s="10">
        <v>70.11</v>
      </c>
      <c r="V370" s="11">
        <f t="shared" si="88"/>
        <v>84.131999999999991</v>
      </c>
      <c r="W370" s="6">
        <v>4</v>
      </c>
      <c r="Y370" s="10">
        <v>70.95</v>
      </c>
      <c r="Z370" s="11">
        <f t="shared" si="89"/>
        <v>85.14</v>
      </c>
      <c r="AA370" s="6">
        <v>4</v>
      </c>
      <c r="AB370" s="1">
        <v>1.2</v>
      </c>
      <c r="AC370" s="53" t="str">
        <f t="shared" si="90"/>
        <v>21:38</v>
      </c>
      <c r="AD370" s="52" t="str">
        <f t="shared" si="91"/>
        <v>00:00</v>
      </c>
      <c r="AE370" s="52" t="str">
        <f t="shared" si="92"/>
        <v>00:00</v>
      </c>
      <c r="AF370" s="14">
        <f t="shared" si="104"/>
        <v>45968.356249999997</v>
      </c>
      <c r="AG370" s="12">
        <f t="shared" si="99"/>
        <v>45968</v>
      </c>
      <c r="AH370" s="24">
        <f t="shared" si="105"/>
        <v>0.35624999999708962</v>
      </c>
      <c r="AI370" s="49">
        <f t="shared" si="93"/>
        <v>0.90138888888888891</v>
      </c>
      <c r="AJ370" s="1">
        <v>28</v>
      </c>
      <c r="AK370" s="50" t="str">
        <f t="shared" si="94"/>
        <v>RUIM</v>
      </c>
    </row>
    <row r="371" spans="1:37" x14ac:dyDescent="0.4">
      <c r="A371" s="2">
        <v>1524</v>
      </c>
      <c r="B371" s="16">
        <v>45967.479166666664</v>
      </c>
      <c r="C371" s="22">
        <f t="shared" si="96"/>
        <v>45967</v>
      </c>
      <c r="D371" s="23">
        <f t="shared" si="102"/>
        <v>0.47916666666424135</v>
      </c>
      <c r="E371" s="14">
        <v>45968.351388888892</v>
      </c>
      <c r="F371" s="12">
        <f t="shared" si="98"/>
        <v>45968</v>
      </c>
      <c r="G371" s="24">
        <f t="shared" si="103"/>
        <v>0.35138888889196096</v>
      </c>
      <c r="H371" s="14"/>
      <c r="I371" s="14"/>
      <c r="J371" s="29"/>
      <c r="K371" s="30"/>
      <c r="M371" s="17">
        <v>25.47</v>
      </c>
      <c r="N371" s="7">
        <f t="shared" si="86"/>
        <v>30.563999999999997</v>
      </c>
      <c r="O371" s="5">
        <v>4</v>
      </c>
      <c r="P371" s="3"/>
      <c r="Q371" s="5">
        <v>23.11</v>
      </c>
      <c r="R371" s="7">
        <f t="shared" si="87"/>
        <v>27.731999999999999</v>
      </c>
      <c r="S371" s="5">
        <v>4</v>
      </c>
      <c r="U371" s="10">
        <v>70.09</v>
      </c>
      <c r="V371" s="11">
        <f t="shared" si="88"/>
        <v>84.108000000000004</v>
      </c>
      <c r="W371" s="6">
        <v>4</v>
      </c>
      <c r="Y371" s="10">
        <v>70.260000000000005</v>
      </c>
      <c r="Z371" s="11">
        <f t="shared" si="89"/>
        <v>84.311999999999998</v>
      </c>
      <c r="AA371" s="6">
        <v>4</v>
      </c>
      <c r="AB371" s="1">
        <v>1.2</v>
      </c>
      <c r="AC371" s="53" t="str">
        <f t="shared" si="90"/>
        <v>20:56</v>
      </c>
      <c r="AD371" s="52" t="str">
        <f t="shared" si="91"/>
        <v>00:00</v>
      </c>
      <c r="AE371" s="52" t="str">
        <f t="shared" si="92"/>
        <v>00:00</v>
      </c>
      <c r="AF371" s="14">
        <f t="shared" si="104"/>
        <v>45968.351388888892</v>
      </c>
      <c r="AG371" s="12">
        <f t="shared" si="99"/>
        <v>45968</v>
      </c>
      <c r="AH371" s="24">
        <f t="shared" si="105"/>
        <v>0.35138888889196096</v>
      </c>
      <c r="AI371" s="49">
        <f t="shared" si="93"/>
        <v>0.87222222222222223</v>
      </c>
      <c r="AJ371" s="1">
        <v>28</v>
      </c>
      <c r="AK371" s="50" t="str">
        <f t="shared" si="94"/>
        <v>RUIM</v>
      </c>
    </row>
    <row r="372" spans="1:37" x14ac:dyDescent="0.4">
      <c r="A372" s="2">
        <v>1525</v>
      </c>
      <c r="B372" s="16">
        <v>45967.51666666667</v>
      </c>
      <c r="C372" s="22">
        <f t="shared" si="96"/>
        <v>45967</v>
      </c>
      <c r="D372" s="23">
        <f t="shared" si="102"/>
        <v>0.51666666667006211</v>
      </c>
      <c r="E372" s="14">
        <v>45968.35</v>
      </c>
      <c r="F372" s="12">
        <f t="shared" si="98"/>
        <v>45968</v>
      </c>
      <c r="G372" s="24">
        <f t="shared" si="103"/>
        <v>0.34999999999854481</v>
      </c>
      <c r="H372" s="14"/>
      <c r="I372" s="14"/>
      <c r="J372" s="29"/>
      <c r="K372" s="30"/>
      <c r="M372" s="17">
        <v>23.41</v>
      </c>
      <c r="N372" s="7">
        <f t="shared" si="86"/>
        <v>28.091999999999999</v>
      </c>
      <c r="O372" s="5">
        <v>4</v>
      </c>
      <c r="P372" s="3"/>
      <c r="Q372" s="5">
        <v>22.92</v>
      </c>
      <c r="R372" s="7">
        <f t="shared" si="87"/>
        <v>27.504000000000001</v>
      </c>
      <c r="S372" s="5">
        <v>4</v>
      </c>
      <c r="U372" s="10">
        <v>70.75</v>
      </c>
      <c r="V372" s="11">
        <f t="shared" si="88"/>
        <v>84.899999999999991</v>
      </c>
      <c r="W372" s="6">
        <v>4</v>
      </c>
      <c r="Y372" s="10">
        <v>70.319999999999993</v>
      </c>
      <c r="Z372" s="11">
        <f t="shared" si="89"/>
        <v>84.383999999999986</v>
      </c>
      <c r="AA372" s="6">
        <v>4</v>
      </c>
      <c r="AB372" s="1">
        <v>1.2</v>
      </c>
      <c r="AC372" s="53" t="str">
        <f t="shared" si="90"/>
        <v>20:00</v>
      </c>
      <c r="AD372" s="52" t="str">
        <f t="shared" si="91"/>
        <v>00:00</v>
      </c>
      <c r="AE372" s="52" t="str">
        <f t="shared" si="92"/>
        <v>00:00</v>
      </c>
      <c r="AF372" s="14">
        <f t="shared" si="104"/>
        <v>45968.35</v>
      </c>
      <c r="AG372" s="12">
        <f t="shared" si="99"/>
        <v>45968</v>
      </c>
      <c r="AH372" s="24">
        <f t="shared" si="105"/>
        <v>0.34999999999854481</v>
      </c>
      <c r="AI372" s="49">
        <f t="shared" si="93"/>
        <v>0.83333333333333337</v>
      </c>
      <c r="AJ372" s="1">
        <v>28</v>
      </c>
      <c r="AK372" s="50" t="str">
        <f t="shared" si="94"/>
        <v>BOM</v>
      </c>
    </row>
    <row r="373" spans="1:37" x14ac:dyDescent="0.4">
      <c r="A373" s="2">
        <v>1526</v>
      </c>
      <c r="B373" s="16">
        <v>45967.604166666664</v>
      </c>
      <c r="C373" s="22">
        <f t="shared" si="96"/>
        <v>45967</v>
      </c>
      <c r="D373" s="23">
        <f t="shared" si="102"/>
        <v>0.60416666666424135</v>
      </c>
      <c r="E373" s="14">
        <v>45969.315972222219</v>
      </c>
      <c r="F373" s="12">
        <f t="shared" si="98"/>
        <v>45969</v>
      </c>
      <c r="G373" s="24">
        <f t="shared" si="103"/>
        <v>0.31597222221898846</v>
      </c>
      <c r="H373" s="14"/>
      <c r="I373" s="14"/>
      <c r="J373" s="29"/>
      <c r="K373" s="30"/>
      <c r="M373" s="17">
        <v>34.1</v>
      </c>
      <c r="N373" s="7">
        <f t="shared" si="86"/>
        <v>40.92</v>
      </c>
      <c r="O373" s="5">
        <v>4</v>
      </c>
      <c r="P373" s="3"/>
      <c r="Q373" s="5">
        <v>34.56</v>
      </c>
      <c r="R373" s="7">
        <f t="shared" si="87"/>
        <v>41.472000000000001</v>
      </c>
      <c r="S373" s="5">
        <v>4</v>
      </c>
      <c r="U373" s="10">
        <v>70.14</v>
      </c>
      <c r="V373" s="11">
        <f t="shared" si="88"/>
        <v>84.167999999999992</v>
      </c>
      <c r="W373" s="6">
        <v>4</v>
      </c>
      <c r="Y373" s="10">
        <v>70.48</v>
      </c>
      <c r="Z373" s="11">
        <f t="shared" si="89"/>
        <v>84.576000000000008</v>
      </c>
      <c r="AA373" s="6">
        <v>4</v>
      </c>
      <c r="AB373" s="1">
        <v>1.2</v>
      </c>
      <c r="AC373" s="53" t="str">
        <f t="shared" si="90"/>
        <v>41:05</v>
      </c>
      <c r="AD373" s="52" t="str">
        <f t="shared" si="91"/>
        <v>00:00</v>
      </c>
      <c r="AE373" s="52" t="str">
        <f t="shared" si="92"/>
        <v>00:00</v>
      </c>
      <c r="AF373" s="14">
        <f t="shared" si="104"/>
        <v>45969.315972222219</v>
      </c>
      <c r="AG373" s="12">
        <f t="shared" si="99"/>
        <v>45969</v>
      </c>
      <c r="AH373" s="24">
        <f t="shared" si="105"/>
        <v>0.31597222221898846</v>
      </c>
      <c r="AI373" s="49">
        <f t="shared" si="93"/>
        <v>1.7118055555555556</v>
      </c>
      <c r="AJ373" s="1">
        <v>28</v>
      </c>
      <c r="AK373" s="50" t="str">
        <f t="shared" si="94"/>
        <v>RUIM</v>
      </c>
    </row>
    <row r="374" spans="1:37" x14ac:dyDescent="0.4">
      <c r="A374" s="2">
        <v>1527</v>
      </c>
      <c r="B374" s="16">
        <v>45967.625</v>
      </c>
      <c r="C374" s="22">
        <f t="shared" si="96"/>
        <v>45967</v>
      </c>
      <c r="D374" s="23">
        <f t="shared" si="102"/>
        <v>0.625</v>
      </c>
      <c r="E374" s="14">
        <v>45969.309027777781</v>
      </c>
      <c r="F374" s="12">
        <f t="shared" si="98"/>
        <v>45969</v>
      </c>
      <c r="G374" s="24">
        <f t="shared" si="103"/>
        <v>0.30902777778101154</v>
      </c>
      <c r="H374" s="14"/>
      <c r="I374" s="14"/>
      <c r="J374" s="29"/>
      <c r="K374" s="30"/>
      <c r="M374" s="17">
        <v>34.799999999999997</v>
      </c>
      <c r="N374" s="7">
        <f t="shared" si="86"/>
        <v>41.76</v>
      </c>
      <c r="O374" s="5">
        <v>4</v>
      </c>
      <c r="P374" s="3"/>
      <c r="Q374" s="5">
        <v>32.28</v>
      </c>
      <c r="R374" s="7">
        <f t="shared" si="87"/>
        <v>38.735999999999997</v>
      </c>
      <c r="S374" s="5">
        <v>4</v>
      </c>
      <c r="U374" s="10">
        <v>70.38</v>
      </c>
      <c r="V374" s="11">
        <f t="shared" si="88"/>
        <v>84.455999999999989</v>
      </c>
      <c r="W374" s="6">
        <v>4</v>
      </c>
      <c r="Y374" s="10">
        <v>70.349999999999994</v>
      </c>
      <c r="Z374" s="11">
        <f t="shared" si="89"/>
        <v>84.419999999999987</v>
      </c>
      <c r="AA374" s="6">
        <v>4</v>
      </c>
      <c r="AB374" s="1">
        <v>1.2</v>
      </c>
      <c r="AC374" s="53" t="str">
        <f t="shared" si="90"/>
        <v>40:25</v>
      </c>
      <c r="AD374" s="52" t="str">
        <f t="shared" si="91"/>
        <v>00:00</v>
      </c>
      <c r="AE374" s="52" t="str">
        <f t="shared" si="92"/>
        <v>00:00</v>
      </c>
      <c r="AF374" s="14">
        <f t="shared" si="104"/>
        <v>45969.309027777781</v>
      </c>
      <c r="AG374" s="12">
        <f t="shared" si="99"/>
        <v>45969</v>
      </c>
      <c r="AH374" s="24">
        <f t="shared" si="105"/>
        <v>0.30902777778101154</v>
      </c>
      <c r="AI374" s="49">
        <f t="shared" si="93"/>
        <v>1.6840277777777777</v>
      </c>
      <c r="AJ374" s="1">
        <v>28</v>
      </c>
      <c r="AK374" s="50" t="str">
        <f t="shared" si="94"/>
        <v>RUIM</v>
      </c>
    </row>
    <row r="375" spans="1:37" x14ac:dyDescent="0.4">
      <c r="A375" s="2">
        <v>1528</v>
      </c>
      <c r="B375" s="16">
        <v>45967.680555555555</v>
      </c>
      <c r="C375" s="22">
        <f t="shared" si="96"/>
        <v>45967</v>
      </c>
      <c r="D375" s="23">
        <f t="shared" si="102"/>
        <v>0.68055555555474712</v>
      </c>
      <c r="E375" s="14">
        <v>45969.305555555555</v>
      </c>
      <c r="F375" s="12">
        <f t="shared" si="98"/>
        <v>45969</v>
      </c>
      <c r="G375" s="24">
        <f t="shared" si="103"/>
        <v>0.30555555555474712</v>
      </c>
      <c r="H375" s="14"/>
      <c r="I375" s="14"/>
      <c r="J375" s="29"/>
      <c r="K375" s="30"/>
      <c r="M375" s="17">
        <v>27.57</v>
      </c>
      <c r="N375" s="7">
        <f t="shared" si="86"/>
        <v>33.083999999999996</v>
      </c>
      <c r="O375" s="5">
        <v>4</v>
      </c>
      <c r="P375" s="3"/>
      <c r="Q375" s="5">
        <v>28.51</v>
      </c>
      <c r="R375" s="7">
        <f t="shared" si="87"/>
        <v>34.212000000000003</v>
      </c>
      <c r="S375" s="5">
        <v>4</v>
      </c>
      <c r="U375" s="10">
        <v>61.98</v>
      </c>
      <c r="V375" s="11">
        <f t="shared" si="88"/>
        <v>74.375999999999991</v>
      </c>
      <c r="W375" s="6">
        <v>4</v>
      </c>
      <c r="Y375" s="10">
        <v>61.22</v>
      </c>
      <c r="Z375" s="11">
        <f t="shared" si="89"/>
        <v>73.463999999999999</v>
      </c>
      <c r="AA375" s="6">
        <v>4</v>
      </c>
      <c r="AB375" s="1">
        <v>1.2</v>
      </c>
      <c r="AC375" s="53" t="str">
        <f t="shared" si="90"/>
        <v>39:00</v>
      </c>
      <c r="AD375" s="52" t="str">
        <f t="shared" si="91"/>
        <v>00:00</v>
      </c>
      <c r="AE375" s="52" t="str">
        <f t="shared" si="92"/>
        <v>00:00</v>
      </c>
      <c r="AF375" s="14">
        <f t="shared" si="104"/>
        <v>45969.305555555555</v>
      </c>
      <c r="AG375" s="12">
        <f t="shared" si="99"/>
        <v>45969</v>
      </c>
      <c r="AH375" s="24">
        <f t="shared" si="105"/>
        <v>0.30555555555474712</v>
      </c>
      <c r="AI375" s="49">
        <f t="shared" si="93"/>
        <v>1.625</v>
      </c>
      <c r="AJ375" s="1">
        <v>28</v>
      </c>
      <c r="AK375" s="50" t="str">
        <f t="shared" si="94"/>
        <v>RUIM</v>
      </c>
    </row>
    <row r="376" spans="1:37" x14ac:dyDescent="0.4">
      <c r="A376" s="2">
        <v>1529</v>
      </c>
      <c r="B376" s="16">
        <v>45967.715277777781</v>
      </c>
      <c r="C376" s="22">
        <f t="shared" si="96"/>
        <v>45967</v>
      </c>
      <c r="D376" s="23">
        <f t="shared" si="102"/>
        <v>0.71527777778101154</v>
      </c>
      <c r="E376" s="14">
        <v>45969.316666666666</v>
      </c>
      <c r="F376" s="12">
        <f t="shared" si="98"/>
        <v>45969</v>
      </c>
      <c r="G376" s="24">
        <f t="shared" si="103"/>
        <v>0.31666666666569654</v>
      </c>
      <c r="H376" s="14"/>
      <c r="I376" s="14"/>
      <c r="J376" s="29"/>
      <c r="K376" s="30"/>
      <c r="M376" s="17">
        <v>28.75</v>
      </c>
      <c r="N376" s="7">
        <f t="shared" si="86"/>
        <v>34.5</v>
      </c>
      <c r="O376" s="5">
        <v>4</v>
      </c>
      <c r="P376" s="3"/>
      <c r="Q376" s="5">
        <v>29.9</v>
      </c>
      <c r="R376" s="7">
        <f t="shared" si="87"/>
        <v>35.879999999999995</v>
      </c>
      <c r="S376" s="5">
        <v>4</v>
      </c>
      <c r="U376" s="10">
        <v>70.25</v>
      </c>
      <c r="V376" s="11">
        <f t="shared" si="88"/>
        <v>84.3</v>
      </c>
      <c r="W376" s="6">
        <v>4</v>
      </c>
      <c r="Y376" s="10">
        <v>70.260000000000005</v>
      </c>
      <c r="Z376" s="11">
        <f t="shared" si="89"/>
        <v>84.311999999999998</v>
      </c>
      <c r="AA376" s="6">
        <v>4</v>
      </c>
      <c r="AB376" s="1">
        <v>1.2</v>
      </c>
      <c r="AC376" s="53" t="str">
        <f t="shared" si="90"/>
        <v>38:26</v>
      </c>
      <c r="AD376" s="52" t="str">
        <f t="shared" si="91"/>
        <v>00:00</v>
      </c>
      <c r="AE376" s="52" t="str">
        <f t="shared" si="92"/>
        <v>00:00</v>
      </c>
      <c r="AF376" s="14">
        <f t="shared" si="104"/>
        <v>45969.316666666666</v>
      </c>
      <c r="AG376" s="12">
        <f t="shared" si="99"/>
        <v>45969</v>
      </c>
      <c r="AH376" s="24">
        <f t="shared" si="105"/>
        <v>0.31666666666569654</v>
      </c>
      <c r="AI376" s="49">
        <f t="shared" si="93"/>
        <v>1.601388888888889</v>
      </c>
      <c r="AJ376" s="1">
        <v>28</v>
      </c>
      <c r="AK376" s="50" t="str">
        <f t="shared" si="94"/>
        <v>RUIM</v>
      </c>
    </row>
    <row r="377" spans="1:37" x14ac:dyDescent="0.4">
      <c r="A377" s="2">
        <v>1530</v>
      </c>
      <c r="B377" s="16">
        <v>45969.626388888886</v>
      </c>
      <c r="C377" s="22">
        <f t="shared" si="96"/>
        <v>45969</v>
      </c>
      <c r="D377" s="23">
        <f t="shared" si="102"/>
        <v>0.62638888888614019</v>
      </c>
      <c r="E377" s="14">
        <v>45971.350694444445</v>
      </c>
      <c r="F377" s="12">
        <f t="shared" si="98"/>
        <v>45971</v>
      </c>
      <c r="G377" s="24">
        <f t="shared" si="103"/>
        <v>0.35069444444525288</v>
      </c>
      <c r="H377" s="14"/>
      <c r="I377" s="14"/>
      <c r="J377" s="29"/>
      <c r="K377" s="30"/>
      <c r="M377" s="17">
        <v>33.200000000000003</v>
      </c>
      <c r="N377" s="7">
        <f t="shared" si="86"/>
        <v>39.840000000000003</v>
      </c>
      <c r="O377" s="5">
        <v>4</v>
      </c>
      <c r="P377" s="3"/>
      <c r="Q377" s="5">
        <v>33.31</v>
      </c>
      <c r="R377" s="7">
        <f t="shared" si="87"/>
        <v>39.972000000000001</v>
      </c>
      <c r="S377" s="5">
        <v>3</v>
      </c>
      <c r="U377" s="10">
        <v>70.900999999999996</v>
      </c>
      <c r="V377" s="11">
        <f t="shared" si="88"/>
        <v>85.081199999999995</v>
      </c>
      <c r="W377" s="6">
        <v>4</v>
      </c>
      <c r="Y377" s="10">
        <v>70.225999999999999</v>
      </c>
      <c r="Z377" s="11">
        <f t="shared" si="89"/>
        <v>84.271199999999993</v>
      </c>
      <c r="AA377" s="6">
        <v>4</v>
      </c>
      <c r="AB377" s="1">
        <v>1.2</v>
      </c>
      <c r="AC377" s="53" t="str">
        <f t="shared" si="90"/>
        <v>41:23</v>
      </c>
      <c r="AD377" s="52" t="str">
        <f t="shared" si="91"/>
        <v>00:00</v>
      </c>
      <c r="AE377" s="52" t="str">
        <f t="shared" si="92"/>
        <v>00:00</v>
      </c>
      <c r="AF377" s="14">
        <f t="shared" si="104"/>
        <v>45971.350694444445</v>
      </c>
      <c r="AG377" s="12">
        <f t="shared" si="99"/>
        <v>45971</v>
      </c>
      <c r="AH377" s="24">
        <f t="shared" si="105"/>
        <v>0.35069444444525288</v>
      </c>
      <c r="AI377" s="49">
        <f t="shared" si="93"/>
        <v>1.7243055555555555</v>
      </c>
      <c r="AJ377" s="1">
        <v>20</v>
      </c>
      <c r="AK377" s="50" t="str">
        <f t="shared" si="94"/>
        <v>RUIM</v>
      </c>
    </row>
    <row r="378" spans="1:37" x14ac:dyDescent="0.4">
      <c r="A378" s="2">
        <v>1531</v>
      </c>
      <c r="B378" s="16">
        <v>45969.635416666664</v>
      </c>
      <c r="C378" s="22">
        <f t="shared" si="96"/>
        <v>45969</v>
      </c>
      <c r="D378" s="23">
        <f t="shared" si="102"/>
        <v>0.63541666666424135</v>
      </c>
      <c r="E378" s="14">
        <v>45971.348611111112</v>
      </c>
      <c r="F378" s="12">
        <f t="shared" si="98"/>
        <v>45971</v>
      </c>
      <c r="G378" s="24">
        <f t="shared" si="103"/>
        <v>0.34861111111240461</v>
      </c>
      <c r="H378" s="14"/>
      <c r="I378" s="14"/>
      <c r="J378" s="29"/>
      <c r="K378" s="30"/>
      <c r="M378" s="17">
        <v>30.19</v>
      </c>
      <c r="N378" s="7">
        <f t="shared" si="86"/>
        <v>36.228000000000002</v>
      </c>
      <c r="O378" s="5">
        <v>4</v>
      </c>
      <c r="P378" s="3"/>
      <c r="Q378" s="5">
        <v>28.56</v>
      </c>
      <c r="R378" s="7">
        <f t="shared" si="87"/>
        <v>34.271999999999998</v>
      </c>
      <c r="S378" s="5">
        <v>4</v>
      </c>
      <c r="U378" s="10">
        <v>70.42</v>
      </c>
      <c r="V378" s="11">
        <f t="shared" si="88"/>
        <v>84.504000000000005</v>
      </c>
      <c r="W378" s="6">
        <v>4</v>
      </c>
      <c r="Y378" s="10">
        <v>70.650000000000006</v>
      </c>
      <c r="Z378" s="11">
        <f t="shared" si="89"/>
        <v>84.78</v>
      </c>
      <c r="AA378" s="6">
        <v>4</v>
      </c>
      <c r="AB378" s="1">
        <v>1.2</v>
      </c>
      <c r="AC378" s="53" t="str">
        <f t="shared" si="90"/>
        <v>41:07</v>
      </c>
      <c r="AD378" s="52" t="str">
        <f t="shared" si="91"/>
        <v>00:00</v>
      </c>
      <c r="AE378" s="52" t="str">
        <f t="shared" si="92"/>
        <v>00:00</v>
      </c>
      <c r="AF378" s="14">
        <f t="shared" si="104"/>
        <v>45971.348611111112</v>
      </c>
      <c r="AG378" s="12">
        <f t="shared" si="99"/>
        <v>45971</v>
      </c>
      <c r="AH378" s="24">
        <f t="shared" si="105"/>
        <v>0.34861111111240461</v>
      </c>
      <c r="AI378" s="49">
        <f t="shared" si="93"/>
        <v>1.7131944444444445</v>
      </c>
      <c r="AJ378" s="1">
        <v>20</v>
      </c>
      <c r="AK378" s="50" t="str">
        <f t="shared" si="94"/>
        <v>RUIM</v>
      </c>
    </row>
    <row r="379" spans="1:37" x14ac:dyDescent="0.4">
      <c r="A379" s="2">
        <v>1532</v>
      </c>
      <c r="B379" s="16">
        <v>45969.666666666664</v>
      </c>
      <c r="C379" s="22">
        <f t="shared" si="96"/>
        <v>45969</v>
      </c>
      <c r="D379" s="23">
        <f t="shared" si="102"/>
        <v>0.66666666666424135</v>
      </c>
      <c r="E379" s="14">
        <v>45971.347222222219</v>
      </c>
      <c r="F379" s="12">
        <f t="shared" si="98"/>
        <v>45971</v>
      </c>
      <c r="G379" s="24">
        <f t="shared" si="103"/>
        <v>0.34722222221898846</v>
      </c>
      <c r="H379" s="14"/>
      <c r="I379" s="14"/>
      <c r="J379" s="29"/>
      <c r="K379" s="30"/>
      <c r="M379" s="17">
        <v>36.47</v>
      </c>
      <c r="N379" s="7">
        <f t="shared" si="86"/>
        <v>43.763999999999996</v>
      </c>
      <c r="O379" s="5">
        <v>4</v>
      </c>
      <c r="P379" s="3"/>
      <c r="Q379" s="5">
        <v>35.159999999999997</v>
      </c>
      <c r="R379" s="7">
        <f t="shared" si="87"/>
        <v>42.191999999999993</v>
      </c>
      <c r="S379" s="5">
        <v>4</v>
      </c>
      <c r="U379" s="10">
        <v>70.22</v>
      </c>
      <c r="V379" s="11">
        <f t="shared" si="88"/>
        <v>84.263999999999996</v>
      </c>
      <c r="W379" s="6">
        <v>4</v>
      </c>
      <c r="Y379" s="10">
        <v>70.88</v>
      </c>
      <c r="Z379" s="11">
        <f t="shared" si="89"/>
        <v>85.055999999999997</v>
      </c>
      <c r="AA379" s="6">
        <v>4</v>
      </c>
      <c r="AB379" s="1">
        <v>1.2</v>
      </c>
      <c r="AC379" s="53" t="str">
        <f t="shared" si="90"/>
        <v>40:20</v>
      </c>
      <c r="AD379" s="52" t="str">
        <f t="shared" si="91"/>
        <v>00:00</v>
      </c>
      <c r="AE379" s="52" t="str">
        <f t="shared" si="92"/>
        <v>00:00</v>
      </c>
      <c r="AF379" s="14">
        <f t="shared" si="104"/>
        <v>45971.347222222219</v>
      </c>
      <c r="AG379" s="12">
        <f t="shared" si="99"/>
        <v>45971</v>
      </c>
      <c r="AH379" s="24">
        <f t="shared" si="105"/>
        <v>0.34722222221898846</v>
      </c>
      <c r="AI379" s="49">
        <f t="shared" si="93"/>
        <v>1.6805555555555556</v>
      </c>
      <c r="AJ379" s="1">
        <v>20</v>
      </c>
      <c r="AK379" s="50" t="str">
        <f t="shared" si="94"/>
        <v>RUIM</v>
      </c>
    </row>
    <row r="380" spans="1:37" x14ac:dyDescent="0.4">
      <c r="A380" s="2">
        <v>1533</v>
      </c>
      <c r="B380" s="16">
        <v>45969.701388888891</v>
      </c>
      <c r="C380" s="22">
        <f t="shared" si="96"/>
        <v>45969</v>
      </c>
      <c r="D380" s="23">
        <f t="shared" si="102"/>
        <v>0.70138888889050577</v>
      </c>
      <c r="E380" s="14">
        <v>45971.345833333333</v>
      </c>
      <c r="F380" s="12">
        <f t="shared" si="98"/>
        <v>45971</v>
      </c>
      <c r="G380" s="24">
        <f t="shared" si="103"/>
        <v>0.34583333333284827</v>
      </c>
      <c r="H380" s="14"/>
      <c r="I380" s="14"/>
      <c r="J380" s="29"/>
      <c r="K380" s="30"/>
      <c r="M380" s="17">
        <v>33.79</v>
      </c>
      <c r="N380" s="7">
        <f t="shared" si="86"/>
        <v>40.547999999999995</v>
      </c>
      <c r="O380" s="5">
        <v>4</v>
      </c>
      <c r="P380" s="3"/>
      <c r="Q380" s="5">
        <v>35.5</v>
      </c>
      <c r="R380" s="7">
        <f t="shared" si="87"/>
        <v>42.6</v>
      </c>
      <c r="S380" s="5">
        <v>4</v>
      </c>
      <c r="U380" s="10">
        <v>70.2</v>
      </c>
      <c r="V380" s="11">
        <f t="shared" si="88"/>
        <v>84.24</v>
      </c>
      <c r="W380" s="6">
        <v>4</v>
      </c>
      <c r="Y380" s="10">
        <v>70.260000000000005</v>
      </c>
      <c r="Z380" s="11">
        <f t="shared" si="89"/>
        <v>84.311999999999998</v>
      </c>
      <c r="AA380" s="6">
        <v>4</v>
      </c>
      <c r="AB380" s="1">
        <v>1.2</v>
      </c>
      <c r="AC380" s="53" t="str">
        <f t="shared" si="90"/>
        <v>39:28</v>
      </c>
      <c r="AD380" s="52" t="str">
        <f t="shared" si="91"/>
        <v>00:00</v>
      </c>
      <c r="AE380" s="52" t="str">
        <f t="shared" si="92"/>
        <v>00:00</v>
      </c>
      <c r="AF380" s="14">
        <f t="shared" si="104"/>
        <v>45971.345833333333</v>
      </c>
      <c r="AG380" s="12">
        <f t="shared" si="99"/>
        <v>45971</v>
      </c>
      <c r="AH380" s="24">
        <f t="shared" si="105"/>
        <v>0.34583333333284827</v>
      </c>
      <c r="AI380" s="49">
        <f t="shared" si="93"/>
        <v>1.6444444444444444</v>
      </c>
      <c r="AJ380" s="1">
        <v>20</v>
      </c>
      <c r="AK380" s="50" t="str">
        <f t="shared" si="94"/>
        <v>RUIM</v>
      </c>
    </row>
    <row r="381" spans="1:37" x14ac:dyDescent="0.4">
      <c r="A381" s="2">
        <v>1534</v>
      </c>
      <c r="B381" s="16">
        <v>45969.716666666667</v>
      </c>
      <c r="C381" s="22">
        <f t="shared" si="96"/>
        <v>45969</v>
      </c>
      <c r="D381" s="23">
        <f t="shared" si="102"/>
        <v>0.71666666666715173</v>
      </c>
      <c r="E381" s="14">
        <v>45971.343055555553</v>
      </c>
      <c r="F381" s="12">
        <f t="shared" si="98"/>
        <v>45971</v>
      </c>
      <c r="G381" s="24">
        <f t="shared" si="103"/>
        <v>0.34305555555329192</v>
      </c>
      <c r="H381" s="14"/>
      <c r="I381" s="14"/>
      <c r="J381" s="29"/>
      <c r="K381" s="30"/>
      <c r="M381" s="17">
        <v>31.41</v>
      </c>
      <c r="N381" s="7">
        <f t="shared" si="86"/>
        <v>37.692</v>
      </c>
      <c r="O381" s="5">
        <v>4</v>
      </c>
      <c r="P381" s="3"/>
      <c r="Q381" s="5">
        <v>33.090000000000003</v>
      </c>
      <c r="R381" s="7">
        <f t="shared" si="87"/>
        <v>39.708000000000006</v>
      </c>
      <c r="S381" s="5">
        <v>4</v>
      </c>
      <c r="U381" s="10">
        <v>70.22</v>
      </c>
      <c r="V381" s="11">
        <f t="shared" si="88"/>
        <v>84.263999999999996</v>
      </c>
      <c r="W381" s="6">
        <v>4</v>
      </c>
      <c r="Y381" s="10">
        <v>70.260000000000005</v>
      </c>
      <c r="Z381" s="11">
        <f t="shared" si="89"/>
        <v>84.311999999999998</v>
      </c>
      <c r="AA381" s="6">
        <v>4</v>
      </c>
      <c r="AB381" s="1">
        <v>1.2</v>
      </c>
      <c r="AC381" s="53" t="str">
        <f t="shared" si="90"/>
        <v>39:02</v>
      </c>
      <c r="AD381" s="52" t="str">
        <f t="shared" si="91"/>
        <v>00:00</v>
      </c>
      <c r="AE381" s="52" t="str">
        <f t="shared" si="92"/>
        <v>00:00</v>
      </c>
      <c r="AF381" s="14">
        <f t="shared" si="104"/>
        <v>45971.343055555553</v>
      </c>
      <c r="AG381" s="12">
        <f t="shared" si="99"/>
        <v>45971</v>
      </c>
      <c r="AH381" s="24">
        <f t="shared" si="105"/>
        <v>0.34305555555329192</v>
      </c>
      <c r="AI381" s="49">
        <f t="shared" si="93"/>
        <v>1.6263888888888889</v>
      </c>
      <c r="AJ381" s="1">
        <v>20</v>
      </c>
      <c r="AK381" s="50" t="str">
        <f t="shared" si="94"/>
        <v>RUIM</v>
      </c>
    </row>
    <row r="382" spans="1:37" x14ac:dyDescent="0.4">
      <c r="A382" s="2">
        <v>1535</v>
      </c>
      <c r="B382" s="16">
        <v>45971.638888888891</v>
      </c>
      <c r="C382" s="22">
        <f t="shared" si="96"/>
        <v>45971</v>
      </c>
      <c r="D382" s="23">
        <f t="shared" si="102"/>
        <v>0.63888888889050577</v>
      </c>
      <c r="E382" s="14">
        <v>45972.530555555553</v>
      </c>
      <c r="F382" s="12">
        <f t="shared" si="98"/>
        <v>45972</v>
      </c>
      <c r="G382" s="24">
        <f t="shared" si="103"/>
        <v>0.53055555555329192</v>
      </c>
      <c r="H382" s="14"/>
      <c r="I382" s="14"/>
      <c r="J382" s="29"/>
      <c r="K382" s="30"/>
      <c r="M382" s="32">
        <v>26.16</v>
      </c>
      <c r="N382" s="7">
        <f t="shared" si="86"/>
        <v>31.391999999999999</v>
      </c>
      <c r="O382" s="5">
        <v>4</v>
      </c>
      <c r="P382" s="3"/>
      <c r="Q382" s="5">
        <v>26.82</v>
      </c>
      <c r="R382" s="7">
        <f t="shared" si="87"/>
        <v>32.183999999999997</v>
      </c>
      <c r="S382" s="5">
        <v>4</v>
      </c>
      <c r="U382" s="10">
        <v>70.188999999999993</v>
      </c>
      <c r="V382" s="11">
        <f t="shared" si="88"/>
        <v>84.226799999999983</v>
      </c>
      <c r="W382" s="6">
        <v>4</v>
      </c>
      <c r="Y382" s="10">
        <v>70.64</v>
      </c>
      <c r="Z382" s="11">
        <f t="shared" si="89"/>
        <v>84.768000000000001</v>
      </c>
      <c r="AA382" s="6">
        <v>4</v>
      </c>
      <c r="AB382" s="1">
        <v>1.2</v>
      </c>
      <c r="AC382" s="53" t="str">
        <f t="shared" si="90"/>
        <v>21:24</v>
      </c>
      <c r="AD382" s="52" t="str">
        <f t="shared" si="91"/>
        <v>00:00</v>
      </c>
      <c r="AE382" s="52" t="str">
        <f t="shared" si="92"/>
        <v>00:00</v>
      </c>
      <c r="AF382" s="14">
        <f t="shared" si="104"/>
        <v>45972.530555555553</v>
      </c>
      <c r="AG382" s="12">
        <f t="shared" si="99"/>
        <v>45972</v>
      </c>
      <c r="AH382" s="24">
        <f t="shared" si="105"/>
        <v>0.53055555555329192</v>
      </c>
      <c r="AI382" s="49">
        <f t="shared" si="93"/>
        <v>0.89166666666666672</v>
      </c>
      <c r="AJ382" s="1">
        <v>28</v>
      </c>
      <c r="AK382" s="50" t="str">
        <f t="shared" si="94"/>
        <v>RUIM</v>
      </c>
    </row>
    <row r="383" spans="1:37" x14ac:dyDescent="0.4">
      <c r="A383" s="2">
        <v>1536</v>
      </c>
      <c r="B383" s="16">
        <v>45971.659722222219</v>
      </c>
      <c r="C383" s="22">
        <f t="shared" si="96"/>
        <v>45971</v>
      </c>
      <c r="D383" s="23">
        <f t="shared" si="102"/>
        <v>0.65972222221898846</v>
      </c>
      <c r="E383" s="14">
        <v>45972.527777777781</v>
      </c>
      <c r="F383" s="12">
        <f t="shared" si="98"/>
        <v>45972</v>
      </c>
      <c r="G383" s="24">
        <f t="shared" si="103"/>
        <v>0.52777777778101154</v>
      </c>
      <c r="H383" s="14"/>
      <c r="I383" s="14"/>
      <c r="J383" s="29"/>
      <c r="K383" s="30"/>
      <c r="M383" s="17">
        <v>20.149999999999999</v>
      </c>
      <c r="N383" s="7">
        <f t="shared" si="86"/>
        <v>24.179999999999996</v>
      </c>
      <c r="O383" s="5">
        <v>4</v>
      </c>
      <c r="P383" s="3"/>
      <c r="Q383" s="5">
        <v>20.100000000000001</v>
      </c>
      <c r="R383" s="7">
        <f t="shared" si="87"/>
        <v>24.12</v>
      </c>
      <c r="S383" s="5">
        <v>4</v>
      </c>
      <c r="U383" s="10">
        <v>70.7</v>
      </c>
      <c r="V383" s="11">
        <f t="shared" si="88"/>
        <v>84.84</v>
      </c>
      <c r="W383" s="6">
        <v>4</v>
      </c>
      <c r="Y383" s="10">
        <v>70.55</v>
      </c>
      <c r="Z383" s="11">
        <f t="shared" si="89"/>
        <v>84.66</v>
      </c>
      <c r="AA383" s="6">
        <v>4</v>
      </c>
      <c r="AB383" s="1">
        <v>1.2</v>
      </c>
      <c r="AC383" s="53" t="str">
        <f t="shared" si="90"/>
        <v>20:50</v>
      </c>
      <c r="AD383" s="52" t="str">
        <f t="shared" si="91"/>
        <v>00:00</v>
      </c>
      <c r="AE383" s="52" t="str">
        <f t="shared" si="92"/>
        <v>00:00</v>
      </c>
      <c r="AF383" s="14">
        <f t="shared" si="104"/>
        <v>45972.527777777781</v>
      </c>
      <c r="AG383" s="12">
        <f t="shared" si="99"/>
        <v>45972</v>
      </c>
      <c r="AH383" s="24">
        <f t="shared" si="105"/>
        <v>0.52777777778101154</v>
      </c>
      <c r="AI383" s="49">
        <f t="shared" si="93"/>
        <v>0.86805555555555558</v>
      </c>
      <c r="AJ383" s="1">
        <v>28</v>
      </c>
      <c r="AK383" s="50" t="str">
        <f t="shared" si="94"/>
        <v>RUIM</v>
      </c>
    </row>
    <row r="384" spans="1:37" x14ac:dyDescent="0.4">
      <c r="A384" s="2">
        <v>1537</v>
      </c>
      <c r="B384" s="16">
        <v>45971.6875</v>
      </c>
      <c r="C384" s="22">
        <f t="shared" si="96"/>
        <v>45971</v>
      </c>
      <c r="D384" s="23">
        <f t="shared" si="102"/>
        <v>0.6875</v>
      </c>
      <c r="E384" s="14">
        <v>45972.529166666667</v>
      </c>
      <c r="F384" s="12">
        <f t="shared" si="98"/>
        <v>45972</v>
      </c>
      <c r="G384" s="24">
        <f t="shared" si="103"/>
        <v>0.52916666666715173</v>
      </c>
      <c r="H384" s="14"/>
      <c r="I384" s="14"/>
      <c r="J384" s="29"/>
      <c r="K384" s="30"/>
      <c r="M384" s="17">
        <v>20.149999999999999</v>
      </c>
      <c r="N384" s="7">
        <f t="shared" si="86"/>
        <v>24.179999999999996</v>
      </c>
      <c r="O384" s="5">
        <v>4</v>
      </c>
      <c r="P384" s="3"/>
      <c r="Q384" s="5">
        <v>21.88</v>
      </c>
      <c r="R384" s="7">
        <f t="shared" si="87"/>
        <v>26.255999999999997</v>
      </c>
      <c r="S384" s="5">
        <v>4</v>
      </c>
      <c r="U384" s="10">
        <v>70.95</v>
      </c>
      <c r="V384" s="11">
        <f t="shared" si="88"/>
        <v>85.14</v>
      </c>
      <c r="W384" s="6">
        <v>4</v>
      </c>
      <c r="Y384" s="10">
        <v>70.290000000000006</v>
      </c>
      <c r="Z384" s="11">
        <f t="shared" si="89"/>
        <v>84.347999999999999</v>
      </c>
      <c r="AA384" s="6">
        <v>4</v>
      </c>
      <c r="AB384" s="1">
        <v>1.2</v>
      </c>
      <c r="AC384" s="53" t="str">
        <f t="shared" si="90"/>
        <v>20:12</v>
      </c>
      <c r="AD384" s="52" t="str">
        <f t="shared" si="91"/>
        <v>00:00</v>
      </c>
      <c r="AE384" s="52" t="str">
        <f t="shared" si="92"/>
        <v>00:00</v>
      </c>
      <c r="AF384" s="14">
        <f t="shared" si="104"/>
        <v>45972.529166666667</v>
      </c>
      <c r="AG384" s="12">
        <f t="shared" si="99"/>
        <v>45972</v>
      </c>
      <c r="AH384" s="24">
        <f t="shared" si="105"/>
        <v>0.52916666666715173</v>
      </c>
      <c r="AI384" s="49">
        <f t="shared" si="93"/>
        <v>0.84166666666666667</v>
      </c>
      <c r="AJ384" s="1">
        <v>28</v>
      </c>
      <c r="AK384" s="50" t="str">
        <f t="shared" si="94"/>
        <v>BOM</v>
      </c>
    </row>
    <row r="385" spans="1:37" x14ac:dyDescent="0.4">
      <c r="A385" s="2">
        <v>1538</v>
      </c>
      <c r="B385" s="16">
        <v>45971.715277777781</v>
      </c>
      <c r="C385" s="22">
        <f t="shared" si="96"/>
        <v>45971</v>
      </c>
      <c r="D385" s="23">
        <f t="shared" si="102"/>
        <v>0.71527777778101154</v>
      </c>
      <c r="E385" s="14">
        <v>45972.525694444441</v>
      </c>
      <c r="F385" s="12">
        <f t="shared" si="98"/>
        <v>45972</v>
      </c>
      <c r="G385" s="24">
        <f t="shared" si="103"/>
        <v>0.52569444444088731</v>
      </c>
      <c r="H385" s="14"/>
      <c r="I385" s="14"/>
      <c r="J385" s="29"/>
      <c r="K385" s="30"/>
      <c r="M385" s="17">
        <v>20.51</v>
      </c>
      <c r="N385" s="7">
        <f t="shared" si="86"/>
        <v>24.612000000000002</v>
      </c>
      <c r="O385" s="5">
        <v>4</v>
      </c>
      <c r="P385" s="3"/>
      <c r="Q385" s="5">
        <v>21.59</v>
      </c>
      <c r="R385" s="7">
        <f t="shared" si="87"/>
        <v>25.907999999999998</v>
      </c>
      <c r="S385" s="5">
        <v>4</v>
      </c>
      <c r="U385" s="10">
        <v>70.010000000000005</v>
      </c>
      <c r="V385" s="11">
        <f t="shared" si="88"/>
        <v>84.012</v>
      </c>
      <c r="W385" s="6">
        <v>4</v>
      </c>
      <c r="Y385" s="10">
        <v>70.94</v>
      </c>
      <c r="Z385" s="11">
        <f t="shared" si="89"/>
        <v>85.128</v>
      </c>
      <c r="AA385" s="6">
        <v>4</v>
      </c>
      <c r="AB385" s="1">
        <v>1.2</v>
      </c>
      <c r="AC385" s="53" t="str">
        <f t="shared" si="90"/>
        <v>19:27</v>
      </c>
      <c r="AD385" s="52" t="str">
        <f t="shared" si="91"/>
        <v>00:00</v>
      </c>
      <c r="AE385" s="52" t="str">
        <f t="shared" si="92"/>
        <v>00:00</v>
      </c>
      <c r="AF385" s="14">
        <f t="shared" si="104"/>
        <v>45972.525694444441</v>
      </c>
      <c r="AG385" s="12">
        <f t="shared" si="99"/>
        <v>45972</v>
      </c>
      <c r="AH385" s="24">
        <f t="shared" si="105"/>
        <v>0.52569444444088731</v>
      </c>
      <c r="AI385" s="49">
        <f t="shared" si="93"/>
        <v>0.81041666666666667</v>
      </c>
      <c r="AJ385" s="1">
        <v>28</v>
      </c>
      <c r="AK385" s="50" t="str">
        <f t="shared" si="94"/>
        <v>BOM</v>
      </c>
    </row>
    <row r="386" spans="1:37" x14ac:dyDescent="0.4">
      <c r="A386" s="2">
        <v>1539</v>
      </c>
      <c r="B386" s="16">
        <v>45972.604166666664</v>
      </c>
      <c r="C386" s="22">
        <f t="shared" si="96"/>
        <v>45972</v>
      </c>
      <c r="D386" s="23">
        <f t="shared" si="102"/>
        <v>0.60416666666424135</v>
      </c>
      <c r="E386" s="14">
        <v>45973.388194444444</v>
      </c>
      <c r="F386" s="12">
        <f t="shared" si="98"/>
        <v>45973</v>
      </c>
      <c r="G386" s="24">
        <f t="shared" si="103"/>
        <v>0.38819444444379769</v>
      </c>
      <c r="H386" s="14">
        <v>45973.553472222222</v>
      </c>
      <c r="I386" s="14"/>
      <c r="J386" s="29">
        <v>17.89</v>
      </c>
      <c r="K386" s="30"/>
      <c r="M386" s="17">
        <v>21.21</v>
      </c>
      <c r="N386" s="7">
        <f t="shared" si="86"/>
        <v>25.452000000000002</v>
      </c>
      <c r="O386" s="5">
        <v>4</v>
      </c>
      <c r="P386" s="3"/>
      <c r="Q386" s="5">
        <v>21.58</v>
      </c>
      <c r="R386" s="7">
        <f t="shared" si="87"/>
        <v>25.895999999999997</v>
      </c>
      <c r="S386" s="5">
        <v>4</v>
      </c>
      <c r="U386" s="10">
        <v>70.92</v>
      </c>
      <c r="V386" s="11">
        <f t="shared" si="88"/>
        <v>85.103999999999999</v>
      </c>
      <c r="W386" s="6">
        <v>4</v>
      </c>
      <c r="Y386" s="10">
        <v>70.77</v>
      </c>
      <c r="Z386" s="11">
        <f t="shared" si="89"/>
        <v>84.923999999999992</v>
      </c>
      <c r="AA386" s="6">
        <v>4</v>
      </c>
      <c r="AB386" s="1">
        <v>1.2</v>
      </c>
      <c r="AC386" s="53" t="str">
        <f t="shared" si="90"/>
        <v>18:49</v>
      </c>
      <c r="AD386" s="52" t="str">
        <f t="shared" si="91"/>
        <v>22:47</v>
      </c>
      <c r="AE386" s="52" t="str">
        <f t="shared" si="92"/>
        <v>00:00</v>
      </c>
      <c r="AF386" s="14">
        <f t="shared" si="104"/>
        <v>45973.553472222222</v>
      </c>
      <c r="AG386" s="12">
        <f t="shared" si="99"/>
        <v>45973</v>
      </c>
      <c r="AH386" s="24">
        <f t="shared" si="105"/>
        <v>0.55347222222189885</v>
      </c>
      <c r="AI386" s="49">
        <f t="shared" si="93"/>
        <v>0.94930555555555551</v>
      </c>
      <c r="AJ386" s="1">
        <v>28</v>
      </c>
      <c r="AK386" s="50" t="str">
        <f t="shared" si="94"/>
        <v>RUIM</v>
      </c>
    </row>
    <row r="387" spans="1:37" x14ac:dyDescent="0.4">
      <c r="A387" s="2">
        <v>1540</v>
      </c>
      <c r="B387" s="16">
        <v>45972.631944444445</v>
      </c>
      <c r="C387" s="22">
        <f t="shared" si="96"/>
        <v>45972</v>
      </c>
      <c r="D387" s="23">
        <f t="shared" si="102"/>
        <v>0.63194444444525288</v>
      </c>
      <c r="E387" s="14">
        <v>45973.385416666664</v>
      </c>
      <c r="F387" s="12">
        <f t="shared" si="98"/>
        <v>45973</v>
      </c>
      <c r="G387" s="24">
        <f t="shared" si="103"/>
        <v>0.38541666666424135</v>
      </c>
      <c r="H387" s="14">
        <v>45973.552083333336</v>
      </c>
      <c r="I387" s="14">
        <v>45973.626388888886</v>
      </c>
      <c r="J387" s="29">
        <v>17.59</v>
      </c>
      <c r="K387" s="30">
        <v>19.52</v>
      </c>
      <c r="M387" s="17">
        <v>21.17</v>
      </c>
      <c r="N387" s="7">
        <f t="shared" si="86"/>
        <v>25.404</v>
      </c>
      <c r="O387" s="5">
        <v>4</v>
      </c>
      <c r="P387" s="3"/>
      <c r="Q387" s="5">
        <v>20.95</v>
      </c>
      <c r="R387" s="7">
        <f t="shared" si="87"/>
        <v>25.139999999999997</v>
      </c>
      <c r="S387" s="5">
        <v>4</v>
      </c>
      <c r="U387" s="10">
        <v>59.97</v>
      </c>
      <c r="V387" s="11">
        <f t="shared" si="88"/>
        <v>71.963999999999999</v>
      </c>
      <c r="W387" s="6">
        <v>4</v>
      </c>
      <c r="Y387" s="10">
        <v>58.94</v>
      </c>
      <c r="Z387" s="11">
        <f t="shared" si="89"/>
        <v>70.727999999999994</v>
      </c>
      <c r="AA387" s="6">
        <v>4</v>
      </c>
      <c r="AB387" s="1">
        <v>1.2</v>
      </c>
      <c r="AC387" s="53" t="str">
        <f t="shared" si="90"/>
        <v>18:05</v>
      </c>
      <c r="AD387" s="52" t="str">
        <f t="shared" si="91"/>
        <v>22:05</v>
      </c>
      <c r="AE387" s="52" t="str">
        <f t="shared" si="92"/>
        <v>23:52</v>
      </c>
      <c r="AF387" s="14">
        <f t="shared" si="104"/>
        <v>45973.626388888886</v>
      </c>
      <c r="AG387" s="12">
        <f t="shared" si="99"/>
        <v>45973</v>
      </c>
      <c r="AH387" s="24">
        <f t="shared" si="105"/>
        <v>0.62638888888614019</v>
      </c>
      <c r="AI387" s="49">
        <f t="shared" si="93"/>
        <v>0.99444444444444446</v>
      </c>
      <c r="AJ387" s="1">
        <v>28</v>
      </c>
      <c r="AK387" s="50" t="str">
        <f t="shared" si="94"/>
        <v>RUIM</v>
      </c>
    </row>
    <row r="388" spans="1:37" x14ac:dyDescent="0.4">
      <c r="A388" s="2">
        <v>1541</v>
      </c>
      <c r="B388" s="16">
        <v>45972.673611111109</v>
      </c>
      <c r="C388" s="22">
        <f t="shared" si="96"/>
        <v>45972</v>
      </c>
      <c r="D388" s="23">
        <f t="shared" si="102"/>
        <v>0.67361111110949423</v>
      </c>
      <c r="E388" s="14">
        <v>45973.381249999999</v>
      </c>
      <c r="F388" s="12">
        <f t="shared" si="98"/>
        <v>45973</v>
      </c>
      <c r="G388" s="24">
        <f t="shared" si="103"/>
        <v>0.38124999999854481</v>
      </c>
      <c r="H388" s="14"/>
      <c r="I388" s="14"/>
      <c r="J388" s="29"/>
      <c r="K388" s="30"/>
      <c r="M388" s="17">
        <v>22.39</v>
      </c>
      <c r="N388" s="7">
        <f t="shared" si="86"/>
        <v>26.867999999999999</v>
      </c>
      <c r="O388" s="5">
        <v>4</v>
      </c>
      <c r="P388" s="3"/>
      <c r="Q388" s="5">
        <v>21.27</v>
      </c>
      <c r="R388" s="7">
        <f t="shared" si="87"/>
        <v>25.523999999999997</v>
      </c>
      <c r="S388" s="5">
        <v>4</v>
      </c>
      <c r="U388" s="10">
        <v>70.010000000000005</v>
      </c>
      <c r="V388" s="11">
        <f t="shared" si="88"/>
        <v>84.012</v>
      </c>
      <c r="W388" s="6">
        <v>4</v>
      </c>
      <c r="Y388" s="10">
        <v>70.650000000000006</v>
      </c>
      <c r="Z388" s="11">
        <f t="shared" si="89"/>
        <v>84.78</v>
      </c>
      <c r="AA388" s="6">
        <v>4</v>
      </c>
      <c r="AB388" s="1">
        <v>1.2</v>
      </c>
      <c r="AC388" s="53" t="str">
        <f t="shared" si="90"/>
        <v>16:59</v>
      </c>
      <c r="AD388" s="52" t="str">
        <f t="shared" si="91"/>
        <v>00:00</v>
      </c>
      <c r="AE388" s="52" t="str">
        <f t="shared" si="92"/>
        <v>00:00</v>
      </c>
      <c r="AF388" s="14">
        <f t="shared" si="104"/>
        <v>45973.381249999999</v>
      </c>
      <c r="AG388" s="12">
        <f t="shared" si="99"/>
        <v>45973</v>
      </c>
      <c r="AH388" s="24">
        <f t="shared" si="105"/>
        <v>0.38124999999854481</v>
      </c>
      <c r="AI388" s="49">
        <f t="shared" si="93"/>
        <v>0.70763888888888893</v>
      </c>
      <c r="AJ388" s="1">
        <v>30</v>
      </c>
      <c r="AK388" s="50" t="str">
        <f t="shared" si="94"/>
        <v>BOM</v>
      </c>
    </row>
    <row r="389" spans="1:37" x14ac:dyDescent="0.4">
      <c r="A389" s="2">
        <v>1542</v>
      </c>
      <c r="B389" s="16">
        <v>45972.693055555559</v>
      </c>
      <c r="C389" s="22">
        <f t="shared" si="96"/>
        <v>45972</v>
      </c>
      <c r="D389" s="23">
        <f t="shared" si="102"/>
        <v>0.69305555555911269</v>
      </c>
      <c r="E389" s="14">
        <v>45973.376388888886</v>
      </c>
      <c r="F389" s="12">
        <f t="shared" si="98"/>
        <v>45973</v>
      </c>
      <c r="G389" s="24">
        <f t="shared" si="103"/>
        <v>0.37638888888614019</v>
      </c>
      <c r="H389" s="14"/>
      <c r="I389" s="14"/>
      <c r="J389" s="29"/>
      <c r="K389" s="30"/>
      <c r="M389" s="17">
        <v>22.04</v>
      </c>
      <c r="N389" s="7">
        <f t="shared" si="86"/>
        <v>26.447999999999997</v>
      </c>
      <c r="O389" s="5">
        <v>4</v>
      </c>
      <c r="P389" s="3"/>
      <c r="Q389" s="5">
        <v>22.1</v>
      </c>
      <c r="R389" s="7">
        <f t="shared" si="87"/>
        <v>26.52</v>
      </c>
      <c r="S389" s="5">
        <v>4</v>
      </c>
      <c r="U389" s="10">
        <v>70.34</v>
      </c>
      <c r="V389" s="11">
        <f t="shared" si="88"/>
        <v>84.408000000000001</v>
      </c>
      <c r="W389" s="6">
        <v>4</v>
      </c>
      <c r="Y389" s="10">
        <v>70.45</v>
      </c>
      <c r="Z389" s="11">
        <f t="shared" si="89"/>
        <v>84.54</v>
      </c>
      <c r="AA389" s="6">
        <v>4</v>
      </c>
      <c r="AB389" s="1">
        <v>1.2</v>
      </c>
      <c r="AC389" s="53" t="str">
        <f t="shared" si="90"/>
        <v>16:24</v>
      </c>
      <c r="AD389" s="52" t="str">
        <f t="shared" si="91"/>
        <v>00:00</v>
      </c>
      <c r="AE389" s="52" t="str">
        <f t="shared" si="92"/>
        <v>00:00</v>
      </c>
      <c r="AF389" s="14">
        <f t="shared" si="104"/>
        <v>45973.376388888886</v>
      </c>
      <c r="AG389" s="12">
        <f t="shared" si="99"/>
        <v>45973</v>
      </c>
      <c r="AH389" s="24">
        <f t="shared" si="105"/>
        <v>0.37638888888614019</v>
      </c>
      <c r="AI389" s="49">
        <f t="shared" si="93"/>
        <v>0.68333333333333335</v>
      </c>
      <c r="AJ389" s="1">
        <v>30</v>
      </c>
      <c r="AK389" s="50" t="str">
        <f t="shared" si="94"/>
        <v>BOM</v>
      </c>
    </row>
    <row r="390" spans="1:37" x14ac:dyDescent="0.4">
      <c r="A390" s="2">
        <v>1543</v>
      </c>
      <c r="B390" s="16">
        <v>45972.708333333336</v>
      </c>
      <c r="C390" s="22">
        <f t="shared" si="96"/>
        <v>45972</v>
      </c>
      <c r="D390" s="23">
        <f t="shared" si="102"/>
        <v>0.70833333333575865</v>
      </c>
      <c r="E390" s="14">
        <v>45973.388888888891</v>
      </c>
      <c r="F390" s="12">
        <f t="shared" si="98"/>
        <v>45973</v>
      </c>
      <c r="G390" s="24">
        <f t="shared" si="103"/>
        <v>0.38888888889050577</v>
      </c>
      <c r="H390" s="14">
        <v>45973.551388888889</v>
      </c>
      <c r="I390" s="14"/>
      <c r="J390" s="29">
        <v>15.85</v>
      </c>
      <c r="K390" s="30"/>
      <c r="M390" s="17">
        <v>20.309999999999999</v>
      </c>
      <c r="N390" s="7">
        <f t="shared" si="86"/>
        <v>24.371999999999996</v>
      </c>
      <c r="O390" s="5">
        <v>4</v>
      </c>
      <c r="P390" s="3"/>
      <c r="Q390" s="5">
        <v>20.149999999999999</v>
      </c>
      <c r="R390" s="7">
        <f t="shared" si="87"/>
        <v>24.179999999999996</v>
      </c>
      <c r="S390" s="5">
        <v>4</v>
      </c>
      <c r="U390" s="10">
        <v>70.900000000000006</v>
      </c>
      <c r="V390" s="11">
        <f t="shared" si="88"/>
        <v>85.08</v>
      </c>
      <c r="W390" s="6">
        <v>4</v>
      </c>
      <c r="Y390" s="10">
        <v>70.680000000000007</v>
      </c>
      <c r="Z390" s="11">
        <f t="shared" si="89"/>
        <v>84.816000000000003</v>
      </c>
      <c r="AA390" s="6">
        <v>4</v>
      </c>
      <c r="AB390" s="1">
        <v>1.2</v>
      </c>
      <c r="AC390" s="53" t="str">
        <f t="shared" si="90"/>
        <v>16:20</v>
      </c>
      <c r="AD390" s="52" t="str">
        <f t="shared" si="91"/>
        <v>20:14</v>
      </c>
      <c r="AE390" s="52" t="str">
        <f t="shared" si="92"/>
        <v>00:00</v>
      </c>
      <c r="AF390" s="14">
        <f t="shared" si="104"/>
        <v>45973.551388888889</v>
      </c>
      <c r="AG390" s="12">
        <f t="shared" si="99"/>
        <v>45973</v>
      </c>
      <c r="AH390" s="24">
        <f t="shared" si="105"/>
        <v>0.55138888888905058</v>
      </c>
      <c r="AI390" s="49">
        <f t="shared" si="93"/>
        <v>0.84305555555555556</v>
      </c>
      <c r="AJ390" s="1">
        <v>30</v>
      </c>
      <c r="AK390" s="50" t="str">
        <f t="shared" si="94"/>
        <v>BOM</v>
      </c>
    </row>
    <row r="391" spans="1:37" x14ac:dyDescent="0.4">
      <c r="A391" s="2">
        <v>1544</v>
      </c>
      <c r="B391" s="16">
        <v>45973.604166666664</v>
      </c>
      <c r="C391" s="22">
        <f t="shared" si="96"/>
        <v>45973</v>
      </c>
      <c r="D391" s="23">
        <f t="shared" si="102"/>
        <v>0.60416666666424135</v>
      </c>
      <c r="E391" s="14">
        <v>45974.388888888891</v>
      </c>
      <c r="F391" s="12">
        <f t="shared" si="98"/>
        <v>45974</v>
      </c>
      <c r="G391" s="24">
        <f t="shared" si="103"/>
        <v>0.38888888889050577</v>
      </c>
      <c r="H391" s="14"/>
      <c r="I391" s="14"/>
      <c r="J391" s="29"/>
      <c r="K391" s="30"/>
      <c r="M391" s="17">
        <v>22.54</v>
      </c>
      <c r="N391" s="7">
        <f t="shared" si="86"/>
        <v>27.047999999999998</v>
      </c>
      <c r="O391" s="5">
        <v>4</v>
      </c>
      <c r="P391" s="3"/>
      <c r="Q391" s="5">
        <v>22.31</v>
      </c>
      <c r="R391" s="7">
        <f t="shared" si="87"/>
        <v>26.771999999999998</v>
      </c>
      <c r="S391" s="5">
        <v>4</v>
      </c>
      <c r="U391" s="10">
        <v>70.52</v>
      </c>
      <c r="V391" s="11">
        <f t="shared" si="88"/>
        <v>84.623999999999995</v>
      </c>
      <c r="W391" s="6">
        <v>4</v>
      </c>
      <c r="Y391" s="10">
        <v>70.540000000000006</v>
      </c>
      <c r="Z391" s="11">
        <f t="shared" si="89"/>
        <v>84.64800000000001</v>
      </c>
      <c r="AA391" s="6">
        <v>4</v>
      </c>
      <c r="AB391" s="1">
        <v>1.2</v>
      </c>
      <c r="AC391" s="53" t="str">
        <f t="shared" si="90"/>
        <v>18:50</v>
      </c>
      <c r="AD391" s="52" t="str">
        <f t="shared" si="91"/>
        <v>00:00</v>
      </c>
      <c r="AE391" s="52" t="str">
        <f t="shared" si="92"/>
        <v>00:00</v>
      </c>
      <c r="AF391" s="14">
        <f t="shared" si="104"/>
        <v>45974.388888888891</v>
      </c>
      <c r="AG391" s="12">
        <f t="shared" si="99"/>
        <v>45974</v>
      </c>
      <c r="AH391" s="24">
        <f t="shared" si="105"/>
        <v>0.38888888889050577</v>
      </c>
      <c r="AI391" s="49">
        <f t="shared" si="93"/>
        <v>0.78472222222222221</v>
      </c>
      <c r="AJ391" s="1">
        <v>28</v>
      </c>
      <c r="AK391" s="50" t="str">
        <f t="shared" si="94"/>
        <v>BOM</v>
      </c>
    </row>
    <row r="392" spans="1:37" x14ac:dyDescent="0.4">
      <c r="A392" s="2">
        <v>1545</v>
      </c>
      <c r="B392" s="16">
        <v>45973.625</v>
      </c>
      <c r="C392" s="22">
        <f t="shared" si="96"/>
        <v>45973</v>
      </c>
      <c r="D392" s="23">
        <f t="shared" si="102"/>
        <v>0.625</v>
      </c>
      <c r="E392" s="14">
        <v>45974.390277777777</v>
      </c>
      <c r="F392" s="12">
        <f t="shared" si="98"/>
        <v>45974</v>
      </c>
      <c r="G392" s="24">
        <f t="shared" si="103"/>
        <v>0.39027777777664596</v>
      </c>
      <c r="H392" s="14"/>
      <c r="I392" s="14"/>
      <c r="J392" s="29"/>
      <c r="K392" s="30"/>
      <c r="M392" s="17">
        <v>25.21</v>
      </c>
      <c r="N392" s="7">
        <f t="shared" ref="N392:N455" si="106">IF(M392="","",M392*AB392)</f>
        <v>30.251999999999999</v>
      </c>
      <c r="O392" s="5">
        <v>4</v>
      </c>
      <c r="P392" s="3"/>
      <c r="Q392" s="5">
        <v>25.86</v>
      </c>
      <c r="R392" s="7">
        <f t="shared" ref="R392:R455" si="107">IF(Q392="","",Q392*AB392)</f>
        <v>31.031999999999996</v>
      </c>
      <c r="S392" s="5">
        <v>4</v>
      </c>
      <c r="U392" s="10">
        <v>70.12</v>
      </c>
      <c r="V392" s="11">
        <f t="shared" ref="V392:V455" si="108">IF(U392="","",U392*AB392)</f>
        <v>84.144000000000005</v>
      </c>
      <c r="W392" s="6">
        <v>4</v>
      </c>
      <c r="Y392" s="10">
        <v>70.59</v>
      </c>
      <c r="Z392" s="11">
        <f t="shared" ref="Z392:Z455" si="109">IF(Y392="","",Y392*AB392)</f>
        <v>84.707999999999998</v>
      </c>
      <c r="AA392" s="6">
        <v>4</v>
      </c>
      <c r="AB392" s="1">
        <v>1.2</v>
      </c>
      <c r="AC392" s="53" t="str">
        <f t="shared" si="90"/>
        <v>18:22</v>
      </c>
      <c r="AD392" s="52" t="str">
        <f t="shared" si="91"/>
        <v>00:00</v>
      </c>
      <c r="AE392" s="52" t="str">
        <f t="shared" si="92"/>
        <v>00:00</v>
      </c>
      <c r="AF392" s="14">
        <f t="shared" si="104"/>
        <v>45974.390277777777</v>
      </c>
      <c r="AG392" s="12">
        <f t="shared" si="99"/>
        <v>45974</v>
      </c>
      <c r="AH392" s="24">
        <f t="shared" si="105"/>
        <v>0.39027777777664596</v>
      </c>
      <c r="AI392" s="49">
        <f t="shared" si="93"/>
        <v>0.76527777777777772</v>
      </c>
      <c r="AJ392" s="1">
        <v>28</v>
      </c>
      <c r="AK392" s="50" t="str">
        <f t="shared" si="94"/>
        <v>BOM</v>
      </c>
    </row>
    <row r="393" spans="1:37" x14ac:dyDescent="0.4">
      <c r="A393" s="2">
        <v>1546</v>
      </c>
      <c r="B393" s="16">
        <v>45973.65902777778</v>
      </c>
      <c r="C393" s="22">
        <f t="shared" si="96"/>
        <v>45973</v>
      </c>
      <c r="D393" s="23">
        <f t="shared" si="102"/>
        <v>0.65902777777955635</v>
      </c>
      <c r="E393" s="14">
        <v>45974.385416666664</v>
      </c>
      <c r="F393" s="12">
        <f t="shared" si="98"/>
        <v>45974</v>
      </c>
      <c r="G393" s="24">
        <f t="shared" si="103"/>
        <v>0.38541666666424135</v>
      </c>
      <c r="H393" s="14"/>
      <c r="I393" s="14"/>
      <c r="J393" s="29"/>
      <c r="K393" s="30"/>
      <c r="M393" s="17">
        <v>30.19</v>
      </c>
      <c r="N393" s="7">
        <f t="shared" si="106"/>
        <v>36.228000000000002</v>
      </c>
      <c r="O393" s="5">
        <v>4</v>
      </c>
      <c r="P393" s="3"/>
      <c r="Q393" s="5">
        <v>29.56</v>
      </c>
      <c r="R393" s="7">
        <f t="shared" si="107"/>
        <v>35.471999999999994</v>
      </c>
      <c r="S393" s="5">
        <v>4</v>
      </c>
      <c r="U393" s="10">
        <v>70.52</v>
      </c>
      <c r="V393" s="11">
        <f t="shared" si="108"/>
        <v>84.623999999999995</v>
      </c>
      <c r="W393" s="6">
        <v>4</v>
      </c>
      <c r="Y393" s="10">
        <v>70.540000000000006</v>
      </c>
      <c r="Z393" s="11">
        <f t="shared" si="109"/>
        <v>84.64800000000001</v>
      </c>
      <c r="AA393" s="6">
        <v>4</v>
      </c>
      <c r="AB393" s="1">
        <v>1.2</v>
      </c>
      <c r="AC393" s="53" t="str">
        <f t="shared" si="90"/>
        <v>17:26</v>
      </c>
      <c r="AD393" s="52" t="str">
        <f t="shared" si="91"/>
        <v>00:00</v>
      </c>
      <c r="AE393" s="52" t="str">
        <f t="shared" si="92"/>
        <v>00:00</v>
      </c>
      <c r="AF393" s="14">
        <f t="shared" si="104"/>
        <v>45974.385416666664</v>
      </c>
      <c r="AG393" s="12">
        <f t="shared" si="99"/>
        <v>45974</v>
      </c>
      <c r="AH393" s="24">
        <f t="shared" si="105"/>
        <v>0.38541666666424135</v>
      </c>
      <c r="AI393" s="49">
        <f t="shared" si="93"/>
        <v>0.72638888888888886</v>
      </c>
      <c r="AJ393" s="1">
        <v>28</v>
      </c>
      <c r="AK393" s="50" t="str">
        <f t="shared" si="94"/>
        <v>BOM</v>
      </c>
    </row>
    <row r="394" spans="1:37" x14ac:dyDescent="0.4">
      <c r="A394" s="2">
        <v>1547</v>
      </c>
      <c r="B394" s="16">
        <v>45973.6875</v>
      </c>
      <c r="C394" s="22">
        <f t="shared" si="96"/>
        <v>45973</v>
      </c>
      <c r="D394" s="23">
        <f t="shared" si="102"/>
        <v>0.6875</v>
      </c>
      <c r="E394" s="14">
        <v>45974.382638888892</v>
      </c>
      <c r="F394" s="12">
        <f t="shared" si="98"/>
        <v>45974</v>
      </c>
      <c r="G394" s="24">
        <f t="shared" si="103"/>
        <v>0.38263888889196096</v>
      </c>
      <c r="H394" s="14"/>
      <c r="I394" s="14"/>
      <c r="J394" s="29"/>
      <c r="K394" s="30"/>
      <c r="M394" s="17">
        <v>21.83</v>
      </c>
      <c r="N394" s="7">
        <f t="shared" si="106"/>
        <v>26.195999999999998</v>
      </c>
      <c r="O394" s="5">
        <v>4</v>
      </c>
      <c r="P394" s="3"/>
      <c r="Q394" s="5">
        <v>23.35</v>
      </c>
      <c r="R394" s="7">
        <f t="shared" si="107"/>
        <v>28.02</v>
      </c>
      <c r="S394" s="5">
        <v>4</v>
      </c>
      <c r="U394" s="10">
        <v>70.900000000000006</v>
      </c>
      <c r="V394" s="11">
        <f t="shared" si="108"/>
        <v>85.08</v>
      </c>
      <c r="W394" s="6">
        <v>4</v>
      </c>
      <c r="Y394" s="10">
        <v>70.56</v>
      </c>
      <c r="Z394" s="11">
        <f t="shared" si="109"/>
        <v>84.671999999999997</v>
      </c>
      <c r="AA394" s="6">
        <v>4</v>
      </c>
      <c r="AB394" s="1">
        <v>1.2</v>
      </c>
      <c r="AC394" s="53" t="str">
        <f t="shared" si="90"/>
        <v>16:41</v>
      </c>
      <c r="AD394" s="52" t="str">
        <f t="shared" si="91"/>
        <v>00:00</v>
      </c>
      <c r="AE394" s="52" t="str">
        <f t="shared" si="92"/>
        <v>00:00</v>
      </c>
      <c r="AF394" s="14">
        <f t="shared" si="104"/>
        <v>45974.382638888892</v>
      </c>
      <c r="AG394" s="12">
        <f t="shared" si="99"/>
        <v>45974</v>
      </c>
      <c r="AH394" s="24">
        <f t="shared" si="105"/>
        <v>0.38263888889196096</v>
      </c>
      <c r="AI394" s="49">
        <f t="shared" si="93"/>
        <v>0.69513888888888886</v>
      </c>
      <c r="AJ394" s="1">
        <v>28</v>
      </c>
      <c r="AK394" s="50" t="str">
        <f t="shared" si="94"/>
        <v>BOM</v>
      </c>
    </row>
    <row r="395" spans="1:37" x14ac:dyDescent="0.4">
      <c r="A395" s="2">
        <v>1548</v>
      </c>
      <c r="B395" s="16">
        <v>45974.631944444445</v>
      </c>
      <c r="C395" s="22">
        <f t="shared" si="96"/>
        <v>45974</v>
      </c>
      <c r="D395" s="23">
        <f t="shared" si="102"/>
        <v>0.63194444444525288</v>
      </c>
      <c r="E395" s="14">
        <v>45975.395138888889</v>
      </c>
      <c r="F395" s="12">
        <f t="shared" si="98"/>
        <v>45975</v>
      </c>
      <c r="G395" s="24">
        <f t="shared" si="103"/>
        <v>0.39513888888905058</v>
      </c>
      <c r="H395" s="14"/>
      <c r="I395" s="14"/>
      <c r="J395" s="29"/>
      <c r="K395" s="30"/>
      <c r="M395" s="17">
        <v>23.87</v>
      </c>
      <c r="N395" s="7">
        <f t="shared" si="106"/>
        <v>28.644000000000002</v>
      </c>
      <c r="O395" s="5">
        <v>4</v>
      </c>
      <c r="P395" s="3"/>
      <c r="Q395" s="5">
        <v>24.6</v>
      </c>
      <c r="R395" s="7">
        <f t="shared" si="107"/>
        <v>29.52</v>
      </c>
      <c r="S395" s="5">
        <v>4</v>
      </c>
      <c r="U395" s="10">
        <v>70.209999999999994</v>
      </c>
      <c r="V395" s="11">
        <f t="shared" si="108"/>
        <v>84.251999999999995</v>
      </c>
      <c r="W395" s="6">
        <v>4</v>
      </c>
      <c r="Y395" s="10">
        <v>70.25</v>
      </c>
      <c r="Z395" s="11">
        <f t="shared" si="109"/>
        <v>84.3</v>
      </c>
      <c r="AA395" s="6">
        <v>4</v>
      </c>
      <c r="AB395" s="1">
        <v>1.2</v>
      </c>
      <c r="AC395" s="53" t="str">
        <f t="shared" si="90"/>
        <v>18:19</v>
      </c>
      <c r="AD395" s="52" t="str">
        <f t="shared" si="91"/>
        <v>00:00</v>
      </c>
      <c r="AE395" s="52" t="str">
        <f t="shared" si="92"/>
        <v>00:00</v>
      </c>
      <c r="AF395" s="14">
        <f t="shared" si="104"/>
        <v>45975.395138888889</v>
      </c>
      <c r="AG395" s="12">
        <f t="shared" si="99"/>
        <v>45975</v>
      </c>
      <c r="AH395" s="24">
        <f t="shared" si="105"/>
        <v>0.39513888888905058</v>
      </c>
      <c r="AI395" s="49">
        <f t="shared" si="93"/>
        <v>0.7631944444444444</v>
      </c>
      <c r="AJ395" s="1">
        <v>28</v>
      </c>
      <c r="AK395" s="50" t="str">
        <f t="shared" si="94"/>
        <v>BOM</v>
      </c>
    </row>
    <row r="396" spans="1:37" x14ac:dyDescent="0.4">
      <c r="A396" s="2">
        <v>1549</v>
      </c>
      <c r="B396" s="16">
        <v>45974.645833333336</v>
      </c>
      <c r="C396" s="22">
        <f t="shared" si="96"/>
        <v>45974</v>
      </c>
      <c r="D396" s="23">
        <f t="shared" si="102"/>
        <v>0.64583333333575865</v>
      </c>
      <c r="E396" s="14">
        <v>45975.393055555556</v>
      </c>
      <c r="F396" s="12">
        <f t="shared" si="98"/>
        <v>45975</v>
      </c>
      <c r="G396" s="24">
        <f t="shared" si="103"/>
        <v>0.39305555555620231</v>
      </c>
      <c r="H396" s="14"/>
      <c r="I396" s="14"/>
      <c r="J396" s="29"/>
      <c r="K396" s="30"/>
      <c r="M396" s="17">
        <v>24.4</v>
      </c>
      <c r="N396" s="7">
        <f t="shared" si="106"/>
        <v>29.279999999999998</v>
      </c>
      <c r="O396" s="5">
        <v>4</v>
      </c>
      <c r="P396" s="3"/>
      <c r="Q396" s="5">
        <v>23.91</v>
      </c>
      <c r="R396" s="7">
        <f t="shared" si="107"/>
        <v>28.692</v>
      </c>
      <c r="S396" s="5">
        <v>4</v>
      </c>
      <c r="U396" s="10">
        <v>70.19</v>
      </c>
      <c r="V396" s="11">
        <f t="shared" si="108"/>
        <v>84.227999999999994</v>
      </c>
      <c r="W396" s="6">
        <v>4</v>
      </c>
      <c r="Y396" s="10">
        <v>70.63</v>
      </c>
      <c r="Z396" s="11">
        <f t="shared" si="109"/>
        <v>84.755999999999986</v>
      </c>
      <c r="AA396" s="6">
        <v>4</v>
      </c>
      <c r="AB396" s="1">
        <v>1.2</v>
      </c>
      <c r="AC396" s="53" t="str">
        <f t="shared" si="90"/>
        <v>17:56</v>
      </c>
      <c r="AD396" s="52" t="str">
        <f t="shared" si="91"/>
        <v>00:00</v>
      </c>
      <c r="AE396" s="52" t="str">
        <f t="shared" si="92"/>
        <v>00:00</v>
      </c>
      <c r="AF396" s="14">
        <f t="shared" si="104"/>
        <v>45975.393055555556</v>
      </c>
      <c r="AG396" s="12">
        <f t="shared" si="99"/>
        <v>45975</v>
      </c>
      <c r="AH396" s="24">
        <f t="shared" si="105"/>
        <v>0.39305555555620231</v>
      </c>
      <c r="AI396" s="49">
        <f t="shared" si="93"/>
        <v>0.74722222222222223</v>
      </c>
      <c r="AJ396" s="1">
        <v>28</v>
      </c>
      <c r="AK396" s="50" t="str">
        <f t="shared" si="94"/>
        <v>BOM</v>
      </c>
    </row>
    <row r="397" spans="1:37" x14ac:dyDescent="0.4">
      <c r="A397" s="2">
        <v>1550</v>
      </c>
      <c r="B397" s="16">
        <v>45974.680555555555</v>
      </c>
      <c r="C397" s="22">
        <f t="shared" si="96"/>
        <v>45974</v>
      </c>
      <c r="D397" s="23">
        <f t="shared" si="102"/>
        <v>0.68055555555474712</v>
      </c>
      <c r="E397" s="14">
        <v>45975.392361111109</v>
      </c>
      <c r="F397" s="12">
        <f t="shared" si="98"/>
        <v>45975</v>
      </c>
      <c r="G397" s="24">
        <f t="shared" si="103"/>
        <v>0.39236111110949423</v>
      </c>
      <c r="H397" s="14"/>
      <c r="I397" s="14"/>
      <c r="J397" s="29"/>
      <c r="K397" s="30"/>
      <c r="M397" s="17">
        <v>24.78</v>
      </c>
      <c r="N397" s="7">
        <f t="shared" si="106"/>
        <v>29.736000000000001</v>
      </c>
      <c r="O397" s="5">
        <v>4</v>
      </c>
      <c r="P397" s="3"/>
      <c r="Q397" s="5">
        <v>22.82</v>
      </c>
      <c r="R397" s="7">
        <f t="shared" si="107"/>
        <v>27.384</v>
      </c>
      <c r="S397" s="5">
        <v>4</v>
      </c>
      <c r="U397" s="10">
        <v>70.08</v>
      </c>
      <c r="V397" s="11">
        <f t="shared" si="108"/>
        <v>84.095999999999989</v>
      </c>
      <c r="W397" s="6">
        <v>4</v>
      </c>
      <c r="Y397" s="10">
        <v>70.239999999999995</v>
      </c>
      <c r="Z397" s="11">
        <f t="shared" si="109"/>
        <v>84.287999999999997</v>
      </c>
      <c r="AA397" s="6">
        <v>4</v>
      </c>
      <c r="AB397" s="1">
        <v>1.2</v>
      </c>
      <c r="AC397" s="53" t="str">
        <f t="shared" ref="AC397:AC460" si="110">IF(B397="","",TEXT(E397-B397,"[hh]:mm"))</f>
        <v>17:05</v>
      </c>
      <c r="AD397" s="52" t="str">
        <f t="shared" ref="AD397:AD460" si="111">IF(H397="","00:00",TEXT(H397-B397,"[hh]:mm"))</f>
        <v>00:00</v>
      </c>
      <c r="AE397" s="52" t="str">
        <f t="shared" ref="AE397:AE460" si="112">IF(I397="","00:00",TEXT(I397-B397,"[hh]:mm"))</f>
        <v>00:00</v>
      </c>
      <c r="AF397" s="14">
        <f t="shared" si="104"/>
        <v>45975.392361111109</v>
      </c>
      <c r="AG397" s="12">
        <f t="shared" si="99"/>
        <v>45975</v>
      </c>
      <c r="AH397" s="24">
        <f t="shared" si="105"/>
        <v>0.39236111110949423</v>
      </c>
      <c r="AI397" s="49">
        <f t="shared" ref="AI397:AI460" si="113">MAX(VALUE(AC397),VALUE(AD397),VALUE(AE397))</f>
        <v>0.71180555555555558</v>
      </c>
      <c r="AJ397" s="1">
        <v>28</v>
      </c>
      <c r="AK397" s="50" t="str">
        <f t="shared" ref="AK397:AK460" si="114">IF(VALUE(AI397)&lt;=VALUE($AK$3),"BOM","RUIM")</f>
        <v>BOM</v>
      </c>
    </row>
    <row r="398" spans="1:37" x14ac:dyDescent="0.4">
      <c r="A398" s="2">
        <v>1551</v>
      </c>
      <c r="B398" s="16">
        <v>45974.697916666664</v>
      </c>
      <c r="C398" s="22">
        <f t="shared" si="96"/>
        <v>45974</v>
      </c>
      <c r="D398" s="23">
        <f t="shared" si="102"/>
        <v>0.69791666666424135</v>
      </c>
      <c r="E398" s="14">
        <v>45975.385416666664</v>
      </c>
      <c r="F398" s="12">
        <f t="shared" si="98"/>
        <v>45975</v>
      </c>
      <c r="G398" s="24">
        <f t="shared" si="103"/>
        <v>0.38541666666424135</v>
      </c>
      <c r="H398" s="14">
        <v>45975.415972222225</v>
      </c>
      <c r="I398" s="14"/>
      <c r="J398" s="29">
        <v>20.16</v>
      </c>
      <c r="K398" s="30"/>
      <c r="M398" s="17">
        <v>23.03</v>
      </c>
      <c r="N398" s="7">
        <f t="shared" si="106"/>
        <v>27.635999999999999</v>
      </c>
      <c r="O398" s="5">
        <v>4</v>
      </c>
      <c r="P398" s="3"/>
      <c r="Q398" s="5">
        <v>22.59</v>
      </c>
      <c r="R398" s="7">
        <f t="shared" si="107"/>
        <v>27.108000000000001</v>
      </c>
      <c r="S398" s="5">
        <v>4</v>
      </c>
      <c r="U398" s="10">
        <v>70.48</v>
      </c>
      <c r="V398" s="11">
        <f t="shared" si="108"/>
        <v>84.576000000000008</v>
      </c>
      <c r="W398" s="6">
        <v>4</v>
      </c>
      <c r="Y398" s="10">
        <v>70.64</v>
      </c>
      <c r="Z398" s="11">
        <f t="shared" si="109"/>
        <v>84.768000000000001</v>
      </c>
      <c r="AA398" s="6">
        <v>4</v>
      </c>
      <c r="AB398" s="1">
        <v>1.2</v>
      </c>
      <c r="AC398" s="53" t="str">
        <f t="shared" si="110"/>
        <v>16:30</v>
      </c>
      <c r="AD398" s="52" t="str">
        <f t="shared" si="111"/>
        <v>17:14</v>
      </c>
      <c r="AE398" s="52" t="str">
        <f t="shared" si="112"/>
        <v>00:00</v>
      </c>
      <c r="AF398" s="14">
        <f t="shared" si="104"/>
        <v>45975.415972222225</v>
      </c>
      <c r="AG398" s="12">
        <f t="shared" si="99"/>
        <v>45975</v>
      </c>
      <c r="AH398" s="24">
        <f t="shared" si="105"/>
        <v>0.41597222222480923</v>
      </c>
      <c r="AI398" s="49">
        <f t="shared" si="113"/>
        <v>0.71805555555555556</v>
      </c>
      <c r="AJ398" s="1">
        <v>28</v>
      </c>
      <c r="AK398" s="50" t="str">
        <f t="shared" si="114"/>
        <v>BOM</v>
      </c>
    </row>
    <row r="399" spans="1:37" x14ac:dyDescent="0.4">
      <c r="A399" s="2">
        <v>1552</v>
      </c>
      <c r="B399" s="16">
        <v>45974.71875</v>
      </c>
      <c r="C399" s="22">
        <f t="shared" si="96"/>
        <v>45974</v>
      </c>
      <c r="D399" s="23">
        <f t="shared" si="102"/>
        <v>0.71875</v>
      </c>
      <c r="E399" s="14">
        <v>45975.381944444445</v>
      </c>
      <c r="F399" s="12">
        <f t="shared" si="98"/>
        <v>45975</v>
      </c>
      <c r="G399" s="24">
        <f t="shared" si="103"/>
        <v>0.38194444444525288</v>
      </c>
      <c r="H399" s="14">
        <v>45975.503472222219</v>
      </c>
      <c r="I399" s="14"/>
      <c r="J399" s="29">
        <v>19.57</v>
      </c>
      <c r="K399" s="30"/>
      <c r="M399" s="17">
        <v>20.239999999999998</v>
      </c>
      <c r="N399" s="7">
        <f t="shared" si="106"/>
        <v>24.287999999999997</v>
      </c>
      <c r="O399" s="5">
        <v>4</v>
      </c>
      <c r="P399" s="3"/>
      <c r="Q399" s="5">
        <v>20.309999999999999</v>
      </c>
      <c r="R399" s="7">
        <f t="shared" si="107"/>
        <v>24.371999999999996</v>
      </c>
      <c r="S399" s="5">
        <v>4</v>
      </c>
      <c r="U399" s="10">
        <v>70.28</v>
      </c>
      <c r="V399" s="11">
        <f t="shared" si="108"/>
        <v>84.335999999999999</v>
      </c>
      <c r="W399" s="6">
        <v>4</v>
      </c>
      <c r="Y399" s="10">
        <v>70.16</v>
      </c>
      <c r="Z399" s="11">
        <f t="shared" si="109"/>
        <v>84.191999999999993</v>
      </c>
      <c r="AA399" s="6">
        <v>4</v>
      </c>
      <c r="AB399" s="1">
        <v>1.2</v>
      </c>
      <c r="AC399" s="53" t="str">
        <f t="shared" si="110"/>
        <v>15:55</v>
      </c>
      <c r="AD399" s="52" t="str">
        <f t="shared" si="111"/>
        <v>18:50</v>
      </c>
      <c r="AE399" s="52" t="str">
        <f t="shared" si="112"/>
        <v>00:00</v>
      </c>
      <c r="AF399" s="14">
        <f t="shared" si="104"/>
        <v>45975.503472222219</v>
      </c>
      <c r="AG399" s="12">
        <f t="shared" si="99"/>
        <v>45975</v>
      </c>
      <c r="AH399" s="24">
        <f t="shared" si="105"/>
        <v>0.50347222221898846</v>
      </c>
      <c r="AI399" s="49">
        <f t="shared" si="113"/>
        <v>0.78472222222222221</v>
      </c>
      <c r="AJ399" s="1">
        <v>28</v>
      </c>
      <c r="AK399" s="50" t="str">
        <f t="shared" si="114"/>
        <v>BOM</v>
      </c>
    </row>
    <row r="400" spans="1:37" x14ac:dyDescent="0.4">
      <c r="A400" s="2">
        <v>1553</v>
      </c>
      <c r="B400" s="16">
        <v>45975.574305555558</v>
      </c>
      <c r="C400" s="22">
        <f t="shared" si="96"/>
        <v>45975</v>
      </c>
      <c r="D400" s="23">
        <f t="shared" si="102"/>
        <v>0.5743055555576575</v>
      </c>
      <c r="E400" s="14">
        <v>45976.408333333333</v>
      </c>
      <c r="F400" s="12">
        <f t="shared" si="98"/>
        <v>45976</v>
      </c>
      <c r="G400" s="24">
        <f t="shared" si="103"/>
        <v>0.40833333333284827</v>
      </c>
      <c r="H400" s="14"/>
      <c r="I400" s="14"/>
      <c r="J400" s="29"/>
      <c r="K400" s="30"/>
      <c r="M400" s="17">
        <v>29.55</v>
      </c>
      <c r="N400" s="7">
        <f t="shared" si="106"/>
        <v>35.46</v>
      </c>
      <c r="O400" s="5">
        <v>4</v>
      </c>
      <c r="P400" s="3"/>
      <c r="Q400" s="5">
        <v>30.56</v>
      </c>
      <c r="R400" s="7">
        <f t="shared" si="107"/>
        <v>36.671999999999997</v>
      </c>
      <c r="S400" s="5">
        <v>4</v>
      </c>
      <c r="U400" s="10">
        <v>70.42</v>
      </c>
      <c r="V400" s="11">
        <f t="shared" si="108"/>
        <v>84.504000000000005</v>
      </c>
      <c r="W400" s="6">
        <v>4</v>
      </c>
      <c r="Y400" s="10">
        <v>70.11</v>
      </c>
      <c r="Z400" s="11">
        <f t="shared" si="109"/>
        <v>84.131999999999991</v>
      </c>
      <c r="AA400" s="6">
        <v>4</v>
      </c>
      <c r="AB400" s="1">
        <v>1.2</v>
      </c>
      <c r="AC400" s="53" t="str">
        <f t="shared" si="110"/>
        <v>20:01</v>
      </c>
      <c r="AD400" s="52" t="str">
        <f t="shared" si="111"/>
        <v>00:00</v>
      </c>
      <c r="AE400" s="52" t="str">
        <f t="shared" si="112"/>
        <v>00:00</v>
      </c>
      <c r="AF400" s="14">
        <f t="shared" si="104"/>
        <v>45976.408333333333</v>
      </c>
      <c r="AG400" s="12">
        <f t="shared" si="99"/>
        <v>45976</v>
      </c>
      <c r="AH400" s="24">
        <f t="shared" si="105"/>
        <v>0.40833333333284827</v>
      </c>
      <c r="AI400" s="49">
        <f t="shared" si="113"/>
        <v>0.83402777777777781</v>
      </c>
      <c r="AJ400" s="1">
        <v>28</v>
      </c>
      <c r="AK400" s="50" t="str">
        <f t="shared" si="114"/>
        <v>BOM</v>
      </c>
    </row>
    <row r="401" spans="1:37" x14ac:dyDescent="0.4">
      <c r="A401" s="2">
        <v>1554</v>
      </c>
      <c r="B401" s="16">
        <v>45975.604166666664</v>
      </c>
      <c r="C401" s="22">
        <f t="shared" si="96"/>
        <v>45975</v>
      </c>
      <c r="D401" s="23">
        <f t="shared" si="102"/>
        <v>0.60416666666424135</v>
      </c>
      <c r="E401" s="14">
        <v>45976.409722222219</v>
      </c>
      <c r="F401" s="12">
        <f t="shared" si="98"/>
        <v>45976</v>
      </c>
      <c r="G401" s="24">
        <f t="shared" si="103"/>
        <v>0.40972222221898846</v>
      </c>
      <c r="H401" s="14"/>
      <c r="I401" s="14"/>
      <c r="J401" s="29"/>
      <c r="K401" s="30"/>
      <c r="M401" s="17">
        <v>28.66</v>
      </c>
      <c r="N401" s="7">
        <f t="shared" si="106"/>
        <v>34.391999999999996</v>
      </c>
      <c r="O401" s="5">
        <v>4</v>
      </c>
      <c r="P401" s="3"/>
      <c r="Q401" s="5">
        <v>27.12</v>
      </c>
      <c r="R401" s="7">
        <f t="shared" si="107"/>
        <v>32.543999999999997</v>
      </c>
      <c r="S401" s="5">
        <v>4</v>
      </c>
      <c r="U401" s="10">
        <v>70.7</v>
      </c>
      <c r="V401" s="11">
        <f t="shared" si="108"/>
        <v>84.84</v>
      </c>
      <c r="W401" s="6">
        <v>4</v>
      </c>
      <c r="Y401" s="10">
        <v>70.540000000000006</v>
      </c>
      <c r="Z401" s="11">
        <f t="shared" si="109"/>
        <v>84.64800000000001</v>
      </c>
      <c r="AA401" s="6">
        <v>4</v>
      </c>
      <c r="AB401" s="1">
        <v>1.2</v>
      </c>
      <c r="AC401" s="53" t="str">
        <f t="shared" si="110"/>
        <v>19:20</v>
      </c>
      <c r="AD401" s="52" t="str">
        <f t="shared" si="111"/>
        <v>00:00</v>
      </c>
      <c r="AE401" s="52" t="str">
        <f t="shared" si="112"/>
        <v>00:00</v>
      </c>
      <c r="AF401" s="14">
        <f t="shared" si="104"/>
        <v>45976.409722222219</v>
      </c>
      <c r="AG401" s="12">
        <f t="shared" si="99"/>
        <v>45976</v>
      </c>
      <c r="AH401" s="24">
        <f t="shared" si="105"/>
        <v>0.40972222221898846</v>
      </c>
      <c r="AI401" s="49">
        <f t="shared" si="113"/>
        <v>0.80555555555555558</v>
      </c>
      <c r="AJ401" s="1">
        <v>28</v>
      </c>
      <c r="AK401" s="50" t="str">
        <f t="shared" si="114"/>
        <v>BOM</v>
      </c>
    </row>
    <row r="402" spans="1:37" x14ac:dyDescent="0.4">
      <c r="A402" s="2">
        <v>1555</v>
      </c>
      <c r="B402" s="16">
        <v>45975.645833333336</v>
      </c>
      <c r="C402" s="22">
        <f t="shared" si="96"/>
        <v>45975</v>
      </c>
      <c r="D402" s="23">
        <f t="shared" si="102"/>
        <v>0.64583333333575865</v>
      </c>
      <c r="E402" s="14">
        <v>45976.411805555559</v>
      </c>
      <c r="F402" s="12">
        <f t="shared" si="98"/>
        <v>45976</v>
      </c>
      <c r="G402" s="24">
        <f t="shared" si="103"/>
        <v>0.41180555555911269</v>
      </c>
      <c r="H402" s="14"/>
      <c r="I402" s="14"/>
      <c r="J402" s="29"/>
      <c r="K402" s="30"/>
      <c r="M402" s="17">
        <v>27.23</v>
      </c>
      <c r="N402" s="7">
        <f t="shared" si="106"/>
        <v>32.676000000000002</v>
      </c>
      <c r="O402" s="5">
        <v>4</v>
      </c>
      <c r="P402" s="3"/>
      <c r="Q402" s="5">
        <v>25.65</v>
      </c>
      <c r="R402" s="7">
        <f t="shared" si="107"/>
        <v>30.779999999999998</v>
      </c>
      <c r="S402" s="5">
        <v>4</v>
      </c>
      <c r="U402" s="10">
        <v>70.489999999999995</v>
      </c>
      <c r="V402" s="11">
        <f t="shared" si="108"/>
        <v>84.587999999999994</v>
      </c>
      <c r="W402" s="6">
        <v>4</v>
      </c>
      <c r="Y402" s="10">
        <v>70.290000000000006</v>
      </c>
      <c r="Z402" s="11">
        <f t="shared" si="109"/>
        <v>84.347999999999999</v>
      </c>
      <c r="AA402" s="6">
        <v>4</v>
      </c>
      <c r="AB402" s="1">
        <v>1.2</v>
      </c>
      <c r="AC402" s="53" t="str">
        <f t="shared" si="110"/>
        <v>18:23</v>
      </c>
      <c r="AD402" s="52" t="str">
        <f t="shared" si="111"/>
        <v>00:00</v>
      </c>
      <c r="AE402" s="52" t="str">
        <f t="shared" si="112"/>
        <v>00:00</v>
      </c>
      <c r="AF402" s="14">
        <f t="shared" si="104"/>
        <v>45976.411805555559</v>
      </c>
      <c r="AG402" s="12">
        <f t="shared" si="99"/>
        <v>45976</v>
      </c>
      <c r="AH402" s="24">
        <f t="shared" si="105"/>
        <v>0.41180555555911269</v>
      </c>
      <c r="AI402" s="49">
        <f t="shared" si="113"/>
        <v>0.76597222222222228</v>
      </c>
      <c r="AJ402" s="1">
        <v>28</v>
      </c>
      <c r="AK402" s="50" t="str">
        <f t="shared" si="114"/>
        <v>BOM</v>
      </c>
    </row>
    <row r="403" spans="1:37" x14ac:dyDescent="0.4">
      <c r="A403" s="2">
        <v>1556</v>
      </c>
      <c r="B403" s="16">
        <v>45976.5625</v>
      </c>
      <c r="C403" s="22">
        <f t="shared" si="96"/>
        <v>45976</v>
      </c>
      <c r="D403" s="23">
        <f t="shared" si="102"/>
        <v>0.5625</v>
      </c>
      <c r="E403" s="14">
        <v>45978.333333333336</v>
      </c>
      <c r="F403" s="12">
        <f t="shared" si="98"/>
        <v>45978</v>
      </c>
      <c r="G403" s="24">
        <f t="shared" si="103"/>
        <v>0.33333333333575865</v>
      </c>
      <c r="H403" s="14"/>
      <c r="I403" s="14"/>
      <c r="J403" s="29"/>
      <c r="K403" s="30"/>
      <c r="M403" s="17">
        <v>36.81</v>
      </c>
      <c r="N403" s="7">
        <f t="shared" si="106"/>
        <v>44.172000000000004</v>
      </c>
      <c r="O403" s="5">
        <v>4</v>
      </c>
      <c r="P403" s="3"/>
      <c r="Q403" s="5">
        <v>35.729999999999997</v>
      </c>
      <c r="R403" s="7">
        <f t="shared" si="107"/>
        <v>42.875999999999998</v>
      </c>
      <c r="S403" s="5">
        <v>4</v>
      </c>
      <c r="U403" s="10">
        <v>70.319999999999993</v>
      </c>
      <c r="V403" s="11">
        <f t="shared" si="108"/>
        <v>84.383999999999986</v>
      </c>
      <c r="W403" s="6">
        <v>4</v>
      </c>
      <c r="Y403" s="10">
        <v>70.38</v>
      </c>
      <c r="Z403" s="11">
        <f t="shared" si="109"/>
        <v>84.455999999999989</v>
      </c>
      <c r="AA403" s="6">
        <v>4</v>
      </c>
      <c r="AB403" s="1">
        <v>1.2</v>
      </c>
      <c r="AC403" s="53" t="str">
        <f t="shared" si="110"/>
        <v>42:30</v>
      </c>
      <c r="AD403" s="52" t="str">
        <f t="shared" si="111"/>
        <v>00:00</v>
      </c>
      <c r="AE403" s="52" t="str">
        <f t="shared" si="112"/>
        <v>00:00</v>
      </c>
      <c r="AF403" s="14">
        <f t="shared" si="104"/>
        <v>45978.333333333336</v>
      </c>
      <c r="AG403" s="12">
        <f t="shared" si="99"/>
        <v>45978</v>
      </c>
      <c r="AH403" s="24">
        <f t="shared" si="105"/>
        <v>0.33333333333575865</v>
      </c>
      <c r="AI403" s="49">
        <f t="shared" si="113"/>
        <v>1.7708333333333333</v>
      </c>
      <c r="AJ403" s="1">
        <v>28</v>
      </c>
      <c r="AK403" s="50" t="str">
        <f t="shared" si="114"/>
        <v>RUIM</v>
      </c>
    </row>
    <row r="404" spans="1:37" x14ac:dyDescent="0.4">
      <c r="A404" s="2">
        <v>1557</v>
      </c>
      <c r="B404" s="16">
        <v>45976.584027777775</v>
      </c>
      <c r="C404" s="22">
        <f t="shared" si="96"/>
        <v>45976</v>
      </c>
      <c r="D404" s="23">
        <f t="shared" si="102"/>
        <v>0.58402777777519077</v>
      </c>
      <c r="E404" s="14">
        <v>45978.336805555555</v>
      </c>
      <c r="F404" s="12">
        <f t="shared" si="98"/>
        <v>45978</v>
      </c>
      <c r="G404" s="24">
        <f t="shared" si="103"/>
        <v>0.33680555555474712</v>
      </c>
      <c r="H404" s="14"/>
      <c r="I404" s="14"/>
      <c r="J404" s="29"/>
      <c r="K404" s="30"/>
      <c r="M404" s="17">
        <v>39.700000000000003</v>
      </c>
      <c r="N404" s="7">
        <f t="shared" si="106"/>
        <v>47.64</v>
      </c>
      <c r="O404" s="5">
        <v>4</v>
      </c>
      <c r="P404" s="3"/>
      <c r="Q404" s="5">
        <v>39.4</v>
      </c>
      <c r="R404" s="7">
        <f t="shared" si="107"/>
        <v>47.279999999999994</v>
      </c>
      <c r="S404" s="5">
        <v>4</v>
      </c>
      <c r="U404" s="10">
        <v>70.86</v>
      </c>
      <c r="V404" s="11">
        <f t="shared" si="108"/>
        <v>85.031999999999996</v>
      </c>
      <c r="W404" s="6">
        <v>4</v>
      </c>
      <c r="Y404" s="10">
        <v>70.11</v>
      </c>
      <c r="Z404" s="11">
        <f t="shared" si="109"/>
        <v>84.131999999999991</v>
      </c>
      <c r="AA404" s="6">
        <v>4</v>
      </c>
      <c r="AB404" s="1">
        <v>1.2</v>
      </c>
      <c r="AC404" s="53" t="str">
        <f t="shared" si="110"/>
        <v>42:04</v>
      </c>
      <c r="AD404" s="52" t="str">
        <f t="shared" si="111"/>
        <v>00:00</v>
      </c>
      <c r="AE404" s="52" t="str">
        <f t="shared" si="112"/>
        <v>00:00</v>
      </c>
      <c r="AF404" s="14">
        <f t="shared" si="104"/>
        <v>45978.336805555555</v>
      </c>
      <c r="AG404" s="12">
        <f t="shared" si="99"/>
        <v>45978</v>
      </c>
      <c r="AH404" s="24">
        <f t="shared" si="105"/>
        <v>0.33680555555474712</v>
      </c>
      <c r="AI404" s="49">
        <f t="shared" si="113"/>
        <v>1.7527777777777778</v>
      </c>
      <c r="AJ404" s="1">
        <v>28</v>
      </c>
      <c r="AK404" s="50" t="str">
        <f t="shared" si="114"/>
        <v>RUIM</v>
      </c>
    </row>
    <row r="405" spans="1:37" x14ac:dyDescent="0.4">
      <c r="A405" s="2">
        <v>1558</v>
      </c>
      <c r="B405" s="16">
        <v>45978.552083333336</v>
      </c>
      <c r="C405" s="22">
        <f t="shared" si="96"/>
        <v>45978</v>
      </c>
      <c r="D405" s="23">
        <f t="shared" si="102"/>
        <v>0.55208333333575865</v>
      </c>
      <c r="E405" s="14">
        <v>45979.364583333336</v>
      </c>
      <c r="F405" s="12">
        <f t="shared" si="98"/>
        <v>45979</v>
      </c>
      <c r="G405" s="24">
        <f t="shared" si="103"/>
        <v>0.36458333333575865</v>
      </c>
      <c r="H405" s="14"/>
      <c r="I405" s="14"/>
      <c r="J405" s="29"/>
      <c r="K405" s="30"/>
      <c r="M405" s="17">
        <v>21.46</v>
      </c>
      <c r="N405" s="7">
        <f t="shared" si="106"/>
        <v>25.751999999999999</v>
      </c>
      <c r="O405" s="5">
        <v>4</v>
      </c>
      <c r="P405" s="3"/>
      <c r="Q405" s="5">
        <v>23.26</v>
      </c>
      <c r="R405" s="7">
        <f t="shared" si="107"/>
        <v>27.912000000000003</v>
      </c>
      <c r="S405" s="5">
        <v>4</v>
      </c>
      <c r="U405" s="10">
        <v>70.69</v>
      </c>
      <c r="V405" s="11">
        <f t="shared" si="108"/>
        <v>84.827999999999989</v>
      </c>
      <c r="W405" s="6">
        <v>4</v>
      </c>
      <c r="Y405" s="10">
        <v>70.23</v>
      </c>
      <c r="Z405" s="11">
        <f t="shared" si="109"/>
        <v>84.275999999999996</v>
      </c>
      <c r="AA405" s="6">
        <v>4</v>
      </c>
      <c r="AB405" s="1">
        <v>1.2</v>
      </c>
      <c r="AC405" s="53" t="str">
        <f t="shared" si="110"/>
        <v>19:30</v>
      </c>
      <c r="AD405" s="52" t="str">
        <f t="shared" si="111"/>
        <v>00:00</v>
      </c>
      <c r="AE405" s="52" t="str">
        <f t="shared" si="112"/>
        <v>00:00</v>
      </c>
      <c r="AF405" s="14">
        <f t="shared" si="104"/>
        <v>45979.364583333336</v>
      </c>
      <c r="AG405" s="12">
        <f t="shared" si="99"/>
        <v>45979</v>
      </c>
      <c r="AH405" s="24">
        <f t="shared" si="105"/>
        <v>0.36458333333575865</v>
      </c>
      <c r="AI405" s="49">
        <f t="shared" si="113"/>
        <v>0.8125</v>
      </c>
      <c r="AJ405" s="1">
        <v>28</v>
      </c>
      <c r="AK405" s="50" t="str">
        <f t="shared" si="114"/>
        <v>BOM</v>
      </c>
    </row>
    <row r="406" spans="1:37" x14ac:dyDescent="0.4">
      <c r="A406" s="2">
        <v>1559</v>
      </c>
      <c r="B406" s="16">
        <v>45978.565972222219</v>
      </c>
      <c r="C406" s="22">
        <f t="shared" si="96"/>
        <v>45978</v>
      </c>
      <c r="D406" s="23">
        <f t="shared" si="102"/>
        <v>0.56597222221898846</v>
      </c>
      <c r="E406" s="14">
        <v>45979.368055555555</v>
      </c>
      <c r="F406" s="12">
        <f t="shared" si="98"/>
        <v>45979</v>
      </c>
      <c r="G406" s="24">
        <f t="shared" si="103"/>
        <v>0.36805555555474712</v>
      </c>
      <c r="H406" s="14">
        <v>45979.430555555555</v>
      </c>
      <c r="I406" s="14">
        <v>45979.502083333333</v>
      </c>
      <c r="J406" s="29">
        <v>17.34</v>
      </c>
      <c r="K406" s="30">
        <v>19.41</v>
      </c>
      <c r="M406" s="17">
        <v>21.22</v>
      </c>
      <c r="N406" s="7">
        <f t="shared" si="106"/>
        <v>25.463999999999999</v>
      </c>
      <c r="O406" s="5">
        <v>4</v>
      </c>
      <c r="P406" s="3"/>
      <c r="Q406" s="5">
        <v>21.12</v>
      </c>
      <c r="R406" s="7">
        <f t="shared" si="107"/>
        <v>25.344000000000001</v>
      </c>
      <c r="S406" s="5">
        <v>4</v>
      </c>
      <c r="U406" s="10">
        <v>50.06</v>
      </c>
      <c r="V406" s="11">
        <f t="shared" si="108"/>
        <v>60.072000000000003</v>
      </c>
      <c r="W406" s="6">
        <v>4</v>
      </c>
      <c r="Y406" s="10">
        <v>50.66</v>
      </c>
      <c r="Z406" s="11">
        <f t="shared" si="109"/>
        <v>60.791999999999994</v>
      </c>
      <c r="AA406" s="6">
        <v>4</v>
      </c>
      <c r="AB406" s="1">
        <v>1.2</v>
      </c>
      <c r="AC406" s="53" t="str">
        <f t="shared" si="110"/>
        <v>19:15</v>
      </c>
      <c r="AD406" s="52" t="str">
        <f t="shared" si="111"/>
        <v>20:45</v>
      </c>
      <c r="AE406" s="52" t="str">
        <f t="shared" si="112"/>
        <v>22:28</v>
      </c>
      <c r="AF406" s="14">
        <f t="shared" si="104"/>
        <v>45979.502083333333</v>
      </c>
      <c r="AG406" s="12">
        <f t="shared" si="99"/>
        <v>45979</v>
      </c>
      <c r="AH406" s="24">
        <f t="shared" si="105"/>
        <v>0.50208333333284827</v>
      </c>
      <c r="AI406" s="49">
        <f t="shared" si="113"/>
        <v>0.93611111111111112</v>
      </c>
      <c r="AJ406" s="1">
        <v>28</v>
      </c>
      <c r="AK406" s="50" t="str">
        <f t="shared" si="114"/>
        <v>RUIM</v>
      </c>
    </row>
    <row r="407" spans="1:37" x14ac:dyDescent="0.4">
      <c r="A407" s="2">
        <v>1560</v>
      </c>
      <c r="B407" s="16">
        <v>45978.604166666664</v>
      </c>
      <c r="C407" s="22">
        <f t="shared" ref="C407:C470" si="115">INT(B407)</f>
        <v>45978</v>
      </c>
      <c r="D407" s="23">
        <f t="shared" si="102"/>
        <v>0.60416666666424135</v>
      </c>
      <c r="E407" s="14">
        <v>45979.368055555555</v>
      </c>
      <c r="F407" s="12">
        <f t="shared" ref="F407:F470" si="116">INT(E407)</f>
        <v>45979</v>
      </c>
      <c r="G407" s="24">
        <f t="shared" si="103"/>
        <v>0.36805555555474712</v>
      </c>
      <c r="H407" s="14">
        <v>45979.423611111109</v>
      </c>
      <c r="I407" s="14"/>
      <c r="J407" s="29">
        <v>19.34</v>
      </c>
      <c r="K407" s="30"/>
      <c r="M407" s="17">
        <v>20.34</v>
      </c>
      <c r="N407" s="7">
        <f t="shared" si="106"/>
        <v>24.407999999999998</v>
      </c>
      <c r="O407" s="5">
        <v>4</v>
      </c>
      <c r="P407" s="3"/>
      <c r="Q407" s="5">
        <v>20.149999999999999</v>
      </c>
      <c r="R407" s="7">
        <f t="shared" si="107"/>
        <v>24.179999999999996</v>
      </c>
      <c r="S407" s="5">
        <v>4</v>
      </c>
      <c r="U407" s="10">
        <v>46.23</v>
      </c>
      <c r="V407" s="11">
        <f t="shared" si="108"/>
        <v>55.475999999999992</v>
      </c>
      <c r="W407" s="6">
        <v>4</v>
      </c>
      <c r="Y407" s="10">
        <v>45.64</v>
      </c>
      <c r="Z407" s="11">
        <f t="shared" si="109"/>
        <v>54.768000000000001</v>
      </c>
      <c r="AA407" s="6">
        <v>4</v>
      </c>
      <c r="AB407" s="1">
        <v>1.2</v>
      </c>
      <c r="AC407" s="53" t="str">
        <f t="shared" si="110"/>
        <v>18:20</v>
      </c>
      <c r="AD407" s="52" t="str">
        <f t="shared" si="111"/>
        <v>19:40</v>
      </c>
      <c r="AE407" s="52" t="str">
        <f t="shared" si="112"/>
        <v>00:00</v>
      </c>
      <c r="AF407" s="14">
        <f t="shared" si="104"/>
        <v>45979.423611111109</v>
      </c>
      <c r="AG407" s="12">
        <f t="shared" ref="AG407:AG470" si="117">INT(AF407)</f>
        <v>45979</v>
      </c>
      <c r="AH407" s="24">
        <f t="shared" si="105"/>
        <v>0.42361111110949423</v>
      </c>
      <c r="AI407" s="49">
        <f t="shared" si="113"/>
        <v>0.81944444444444442</v>
      </c>
      <c r="AJ407" s="1">
        <v>28</v>
      </c>
      <c r="AK407" s="50" t="str">
        <f t="shared" si="114"/>
        <v>BOM</v>
      </c>
    </row>
    <row r="408" spans="1:37" x14ac:dyDescent="0.4">
      <c r="A408" s="2">
        <v>1561</v>
      </c>
      <c r="B408" s="16">
        <v>45978.625</v>
      </c>
      <c r="C408" s="22">
        <f t="shared" si="115"/>
        <v>45978</v>
      </c>
      <c r="D408" s="23">
        <f t="shared" si="102"/>
        <v>0.625</v>
      </c>
      <c r="E408" s="14">
        <v>45979.371527777781</v>
      </c>
      <c r="F408" s="12">
        <f t="shared" si="116"/>
        <v>45979</v>
      </c>
      <c r="G408" s="24">
        <f t="shared" si="103"/>
        <v>0.37152777778101154</v>
      </c>
      <c r="H408" s="14">
        <v>45979.417361111111</v>
      </c>
      <c r="I408" s="14"/>
      <c r="J408" s="29">
        <v>19.559999999999999</v>
      </c>
      <c r="K408" s="30"/>
      <c r="M408" s="17">
        <v>22.24</v>
      </c>
      <c r="N408" s="7">
        <f t="shared" si="106"/>
        <v>26.687999999999999</v>
      </c>
      <c r="O408" s="5">
        <v>4</v>
      </c>
      <c r="P408" s="3"/>
      <c r="Q408" s="5">
        <v>22.04</v>
      </c>
      <c r="R408" s="7">
        <f t="shared" si="107"/>
        <v>26.447999999999997</v>
      </c>
      <c r="S408" s="5">
        <v>4</v>
      </c>
      <c r="U408" s="10">
        <v>54.9</v>
      </c>
      <c r="V408" s="11">
        <f t="shared" si="108"/>
        <v>65.88</v>
      </c>
      <c r="W408" s="6">
        <v>4</v>
      </c>
      <c r="Y408" s="10">
        <v>54.99</v>
      </c>
      <c r="Z408" s="11">
        <f t="shared" si="109"/>
        <v>65.988</v>
      </c>
      <c r="AA408" s="6">
        <v>4</v>
      </c>
      <c r="AB408" s="1">
        <v>1.2</v>
      </c>
      <c r="AC408" s="53" t="str">
        <f t="shared" si="110"/>
        <v>17:55</v>
      </c>
      <c r="AD408" s="52" t="str">
        <f t="shared" si="111"/>
        <v>19:01</v>
      </c>
      <c r="AE408" s="52" t="str">
        <f t="shared" si="112"/>
        <v>00:00</v>
      </c>
      <c r="AF408" s="14">
        <f t="shared" si="104"/>
        <v>45979.417361111111</v>
      </c>
      <c r="AG408" s="12">
        <f t="shared" si="117"/>
        <v>45979</v>
      </c>
      <c r="AH408" s="24">
        <f t="shared" si="105"/>
        <v>0.41736111111094942</v>
      </c>
      <c r="AI408" s="49">
        <f t="shared" si="113"/>
        <v>0.79236111111111107</v>
      </c>
      <c r="AJ408" s="1">
        <v>28</v>
      </c>
      <c r="AK408" s="50" t="str">
        <f t="shared" si="114"/>
        <v>BOM</v>
      </c>
    </row>
    <row r="409" spans="1:37" x14ac:dyDescent="0.4">
      <c r="A409" s="2">
        <v>1562</v>
      </c>
      <c r="B409" s="16">
        <v>45978.645833333336</v>
      </c>
      <c r="C409" s="22">
        <f t="shared" si="115"/>
        <v>45978</v>
      </c>
      <c r="D409" s="23">
        <f t="shared" si="102"/>
        <v>0.64583333333575865</v>
      </c>
      <c r="E409" s="14">
        <v>45979.375694444447</v>
      </c>
      <c r="F409" s="12">
        <f t="shared" si="116"/>
        <v>45979</v>
      </c>
      <c r="G409" s="24">
        <f t="shared" si="103"/>
        <v>0.37569444444670808</v>
      </c>
      <c r="H409" s="14"/>
      <c r="I409" s="14"/>
      <c r="J409" s="29"/>
      <c r="K409" s="30"/>
      <c r="M409" s="17">
        <v>21.26</v>
      </c>
      <c r="N409" s="7">
        <f t="shared" si="106"/>
        <v>25.512</v>
      </c>
      <c r="O409" s="5">
        <v>4</v>
      </c>
      <c r="P409" s="3"/>
      <c r="Q409" s="5">
        <v>20.37</v>
      </c>
      <c r="R409" s="7">
        <f t="shared" si="107"/>
        <v>24.443999999999999</v>
      </c>
      <c r="S409" s="5">
        <v>4</v>
      </c>
      <c r="U409" s="10">
        <v>58.37</v>
      </c>
      <c r="V409" s="11">
        <f t="shared" si="108"/>
        <v>70.043999999999997</v>
      </c>
      <c r="W409" s="6">
        <v>4</v>
      </c>
      <c r="Y409" s="10">
        <v>58.63</v>
      </c>
      <c r="Z409" s="11">
        <f t="shared" si="109"/>
        <v>70.355999999999995</v>
      </c>
      <c r="AA409" s="6">
        <v>4</v>
      </c>
      <c r="AB409" s="1">
        <v>1.2</v>
      </c>
      <c r="AC409" s="53" t="str">
        <f t="shared" si="110"/>
        <v>17:31</v>
      </c>
      <c r="AD409" s="52" t="str">
        <f t="shared" si="111"/>
        <v>00:00</v>
      </c>
      <c r="AE409" s="52" t="str">
        <f t="shared" si="112"/>
        <v>00:00</v>
      </c>
      <c r="AF409" s="14">
        <f t="shared" si="104"/>
        <v>45979.375694444447</v>
      </c>
      <c r="AG409" s="12">
        <f t="shared" si="117"/>
        <v>45979</v>
      </c>
      <c r="AH409" s="24">
        <f t="shared" si="105"/>
        <v>0.37569444444670808</v>
      </c>
      <c r="AI409" s="49">
        <f t="shared" si="113"/>
        <v>0.72986111111111107</v>
      </c>
      <c r="AJ409" s="1">
        <v>28</v>
      </c>
      <c r="AK409" s="50" t="str">
        <f t="shared" si="114"/>
        <v>BOM</v>
      </c>
    </row>
    <row r="410" spans="1:37" x14ac:dyDescent="0.4">
      <c r="A410" s="2">
        <v>1563</v>
      </c>
      <c r="B410" s="16">
        <v>45979.395833333336</v>
      </c>
      <c r="C410" s="22">
        <f t="shared" si="115"/>
        <v>45979</v>
      </c>
      <c r="D410" s="23">
        <f t="shared" si="102"/>
        <v>0.39583333333575865</v>
      </c>
      <c r="E410" s="14">
        <v>45980.337500000001</v>
      </c>
      <c r="F410" s="12">
        <f t="shared" si="116"/>
        <v>45980</v>
      </c>
      <c r="G410" s="24">
        <f t="shared" si="103"/>
        <v>0.33750000000145519</v>
      </c>
      <c r="H410" s="14"/>
      <c r="I410" s="14"/>
      <c r="J410" s="29"/>
      <c r="K410" s="30"/>
      <c r="M410" s="17">
        <v>20.37</v>
      </c>
      <c r="N410" s="7">
        <f t="shared" si="106"/>
        <v>24.443999999999999</v>
      </c>
      <c r="O410" s="5">
        <v>4</v>
      </c>
      <c r="P410" s="3"/>
      <c r="Q410" s="5">
        <v>20.16</v>
      </c>
      <c r="R410" s="7">
        <f t="shared" si="107"/>
        <v>24.192</v>
      </c>
      <c r="S410" s="5">
        <v>4</v>
      </c>
      <c r="U410" s="10">
        <v>45.17</v>
      </c>
      <c r="V410" s="11">
        <f t="shared" si="108"/>
        <v>54.204000000000001</v>
      </c>
      <c r="W410" s="6">
        <v>4</v>
      </c>
      <c r="Y410" s="10">
        <v>45.25</v>
      </c>
      <c r="Z410" s="11">
        <f t="shared" si="109"/>
        <v>54.3</v>
      </c>
      <c r="AA410" s="6">
        <v>4</v>
      </c>
      <c r="AB410" s="1">
        <v>1.2</v>
      </c>
      <c r="AC410" s="53" t="str">
        <f t="shared" si="110"/>
        <v>22:36</v>
      </c>
      <c r="AD410" s="52" t="str">
        <f t="shared" si="111"/>
        <v>00:00</v>
      </c>
      <c r="AE410" s="52" t="str">
        <f t="shared" si="112"/>
        <v>00:00</v>
      </c>
      <c r="AF410" s="14">
        <f t="shared" si="104"/>
        <v>45980.337500000001</v>
      </c>
      <c r="AG410" s="12">
        <f t="shared" si="117"/>
        <v>45980</v>
      </c>
      <c r="AH410" s="24">
        <f t="shared" si="105"/>
        <v>0.33750000000145519</v>
      </c>
      <c r="AI410" s="49">
        <f t="shared" si="113"/>
        <v>0.94166666666666665</v>
      </c>
      <c r="AJ410" s="1">
        <v>28</v>
      </c>
      <c r="AK410" s="50" t="str">
        <f t="shared" si="114"/>
        <v>RUIM</v>
      </c>
    </row>
    <row r="411" spans="1:37" x14ac:dyDescent="0.4">
      <c r="A411" s="2">
        <v>1564</v>
      </c>
      <c r="B411" s="16">
        <v>45979.42083333333</v>
      </c>
      <c r="C411" s="22">
        <f t="shared" si="115"/>
        <v>45979</v>
      </c>
      <c r="D411" s="23">
        <f t="shared" si="102"/>
        <v>0.42083333332993789</v>
      </c>
      <c r="E411" s="14">
        <v>45980.340277777781</v>
      </c>
      <c r="F411" s="12">
        <f t="shared" si="116"/>
        <v>45980</v>
      </c>
      <c r="G411" s="24">
        <f t="shared" si="103"/>
        <v>0.34027777778101154</v>
      </c>
      <c r="H411" s="14"/>
      <c r="I411" s="14"/>
      <c r="J411" s="29"/>
      <c r="K411" s="30"/>
      <c r="M411" s="17">
        <v>20.58</v>
      </c>
      <c r="N411" s="7">
        <f t="shared" si="106"/>
        <v>24.695999999999998</v>
      </c>
      <c r="O411" s="5">
        <v>4</v>
      </c>
      <c r="P411" s="3"/>
      <c r="Q411" s="5">
        <v>20.260000000000002</v>
      </c>
      <c r="R411" s="7">
        <f t="shared" si="107"/>
        <v>24.312000000000001</v>
      </c>
      <c r="S411" s="5">
        <v>4</v>
      </c>
      <c r="U411" s="10">
        <v>45.7</v>
      </c>
      <c r="V411" s="11">
        <f t="shared" si="108"/>
        <v>54.84</v>
      </c>
      <c r="W411" s="6">
        <v>4</v>
      </c>
      <c r="Y411" s="10">
        <v>45.88</v>
      </c>
      <c r="Z411" s="11">
        <f t="shared" si="109"/>
        <v>55.056000000000004</v>
      </c>
      <c r="AA411" s="6">
        <v>4</v>
      </c>
      <c r="AB411" s="1">
        <v>1.2</v>
      </c>
      <c r="AC411" s="53" t="str">
        <f t="shared" si="110"/>
        <v>22:04</v>
      </c>
      <c r="AD411" s="52" t="str">
        <f t="shared" si="111"/>
        <v>00:00</v>
      </c>
      <c r="AE411" s="52" t="str">
        <f t="shared" si="112"/>
        <v>00:00</v>
      </c>
      <c r="AF411" s="14">
        <f t="shared" si="104"/>
        <v>45980.340277777781</v>
      </c>
      <c r="AG411" s="12">
        <f t="shared" si="117"/>
        <v>45980</v>
      </c>
      <c r="AH411" s="24">
        <f t="shared" si="105"/>
        <v>0.34027777778101154</v>
      </c>
      <c r="AI411" s="49">
        <f t="shared" si="113"/>
        <v>0.9194444444444444</v>
      </c>
      <c r="AJ411" s="1">
        <v>28</v>
      </c>
      <c r="AK411" s="50" t="str">
        <f t="shared" si="114"/>
        <v>RUIM</v>
      </c>
    </row>
    <row r="412" spans="1:37" x14ac:dyDescent="0.4">
      <c r="A412" s="2">
        <v>1565</v>
      </c>
      <c r="B412" s="16">
        <v>45979.454861111109</v>
      </c>
      <c r="C412" s="22">
        <f t="shared" si="115"/>
        <v>45979</v>
      </c>
      <c r="D412" s="23">
        <f t="shared" si="102"/>
        <v>0.45486111110949423</v>
      </c>
      <c r="E412" s="14">
        <v>45980.34375</v>
      </c>
      <c r="F412" s="12">
        <f t="shared" si="116"/>
        <v>45980</v>
      </c>
      <c r="G412" s="24">
        <f t="shared" si="103"/>
        <v>0.34375</v>
      </c>
      <c r="H412" s="14"/>
      <c r="I412" s="14"/>
      <c r="J412" s="29"/>
      <c r="K412" s="30"/>
      <c r="M412" s="17">
        <v>20.7</v>
      </c>
      <c r="N412" s="7">
        <f t="shared" si="106"/>
        <v>24.84</v>
      </c>
      <c r="O412" s="5">
        <v>4</v>
      </c>
      <c r="P412" s="3"/>
      <c r="Q412" s="5">
        <v>20.21</v>
      </c>
      <c r="R412" s="7">
        <f t="shared" si="107"/>
        <v>24.251999999999999</v>
      </c>
      <c r="S412" s="5">
        <v>4</v>
      </c>
      <c r="U412" s="10">
        <v>48.43</v>
      </c>
      <c r="V412" s="11">
        <f t="shared" si="108"/>
        <v>58.116</v>
      </c>
      <c r="W412" s="6">
        <v>4</v>
      </c>
      <c r="Y412" s="10">
        <v>48.65</v>
      </c>
      <c r="Z412" s="11">
        <f t="shared" si="109"/>
        <v>58.379999999999995</v>
      </c>
      <c r="AA412" s="6">
        <v>4</v>
      </c>
      <c r="AB412" s="1">
        <v>1.2</v>
      </c>
      <c r="AC412" s="53" t="str">
        <f t="shared" si="110"/>
        <v>21:20</v>
      </c>
      <c r="AD412" s="52" t="str">
        <f t="shared" si="111"/>
        <v>00:00</v>
      </c>
      <c r="AE412" s="52" t="str">
        <f t="shared" si="112"/>
        <v>00:00</v>
      </c>
      <c r="AF412" s="14">
        <f t="shared" si="104"/>
        <v>45980.34375</v>
      </c>
      <c r="AG412" s="12">
        <f t="shared" si="117"/>
        <v>45980</v>
      </c>
      <c r="AH412" s="24">
        <f t="shared" si="105"/>
        <v>0.34375</v>
      </c>
      <c r="AI412" s="49">
        <f t="shared" si="113"/>
        <v>0.88888888888888884</v>
      </c>
      <c r="AJ412" s="1">
        <v>28</v>
      </c>
      <c r="AK412" s="50" t="str">
        <f t="shared" si="114"/>
        <v>RUIM</v>
      </c>
    </row>
    <row r="413" spans="1:37" x14ac:dyDescent="0.4">
      <c r="A413" s="2">
        <v>1566</v>
      </c>
      <c r="B413" s="16">
        <v>45980.5625</v>
      </c>
      <c r="C413" s="22">
        <f t="shared" si="115"/>
        <v>45980</v>
      </c>
      <c r="D413" s="23">
        <f t="shared" si="102"/>
        <v>0.5625</v>
      </c>
      <c r="E413" s="14">
        <v>45981.340277777781</v>
      </c>
      <c r="F413" s="12">
        <f t="shared" si="116"/>
        <v>45981</v>
      </c>
      <c r="G413" s="24">
        <f t="shared" si="103"/>
        <v>0.34027777778101154</v>
      </c>
      <c r="H413" s="14">
        <v>45981.545138888891</v>
      </c>
      <c r="I413" s="14"/>
      <c r="J413" s="29">
        <v>19.07</v>
      </c>
      <c r="K413" s="30">
        <v>18.78</v>
      </c>
      <c r="M413" s="17">
        <v>20.47</v>
      </c>
      <c r="N413" s="7">
        <f t="shared" si="106"/>
        <v>24.563999999999997</v>
      </c>
      <c r="O413" s="5">
        <v>4</v>
      </c>
      <c r="P413" s="3"/>
      <c r="Q413" s="5">
        <v>20.02</v>
      </c>
      <c r="R413" s="7">
        <f t="shared" si="107"/>
        <v>24.023999999999997</v>
      </c>
      <c r="S413" s="5">
        <v>4</v>
      </c>
      <c r="U413" s="10">
        <v>50.96</v>
      </c>
      <c r="V413" s="11">
        <f t="shared" si="108"/>
        <v>61.152000000000001</v>
      </c>
      <c r="W413" s="6">
        <v>4</v>
      </c>
      <c r="Y413" s="10">
        <v>50.12</v>
      </c>
      <c r="Z413" s="11">
        <f t="shared" si="109"/>
        <v>60.143999999999991</v>
      </c>
      <c r="AA413" s="6">
        <v>4</v>
      </c>
      <c r="AB413" s="1">
        <v>1.2</v>
      </c>
      <c r="AC413" s="53" t="str">
        <f t="shared" si="110"/>
        <v>18:40</v>
      </c>
      <c r="AD413" s="52" t="str">
        <f t="shared" si="111"/>
        <v>23:35</v>
      </c>
      <c r="AE413" s="52" t="str">
        <f t="shared" si="112"/>
        <v>00:00</v>
      </c>
      <c r="AF413" s="14">
        <f t="shared" si="104"/>
        <v>45981.545138888891</v>
      </c>
      <c r="AG413" s="12">
        <f t="shared" si="117"/>
        <v>45981</v>
      </c>
      <c r="AH413" s="24">
        <f t="shared" si="105"/>
        <v>0.54513888889050577</v>
      </c>
      <c r="AI413" s="49">
        <f t="shared" si="113"/>
        <v>0.98263888888888884</v>
      </c>
      <c r="AJ413" s="1">
        <v>28</v>
      </c>
      <c r="AK413" s="50" t="str">
        <f t="shared" si="114"/>
        <v>RUIM</v>
      </c>
    </row>
    <row r="414" spans="1:37" x14ac:dyDescent="0.4">
      <c r="A414" s="2">
        <v>1567</v>
      </c>
      <c r="B414" s="16">
        <v>45980.583333333336</v>
      </c>
      <c r="C414" s="22">
        <f t="shared" si="115"/>
        <v>45980</v>
      </c>
      <c r="D414" s="23">
        <f t="shared" si="102"/>
        <v>0.58333333333575865</v>
      </c>
      <c r="E414" s="14">
        <v>45981.34375</v>
      </c>
      <c r="F414" s="12">
        <f t="shared" si="116"/>
        <v>45981</v>
      </c>
      <c r="G414" s="24">
        <f t="shared" si="103"/>
        <v>0.34375</v>
      </c>
      <c r="H414" s="14">
        <v>45981.552083333336</v>
      </c>
      <c r="I414" s="14"/>
      <c r="J414" s="29">
        <v>19.53</v>
      </c>
      <c r="K414" s="30"/>
      <c r="M414" s="17">
        <v>20.309999999999999</v>
      </c>
      <c r="N414" s="7">
        <f t="shared" si="106"/>
        <v>24.371999999999996</v>
      </c>
      <c r="O414" s="5">
        <v>4</v>
      </c>
      <c r="P414" s="3"/>
      <c r="Q414" s="5">
        <v>20.149999999999999</v>
      </c>
      <c r="R414" s="7">
        <f t="shared" si="107"/>
        <v>24.179999999999996</v>
      </c>
      <c r="S414" s="5">
        <v>4</v>
      </c>
      <c r="U414" s="10">
        <v>51.22</v>
      </c>
      <c r="V414" s="11">
        <f t="shared" si="108"/>
        <v>61.463999999999999</v>
      </c>
      <c r="W414" s="6">
        <v>4</v>
      </c>
      <c r="Y414" s="10">
        <v>51.47</v>
      </c>
      <c r="Z414" s="11">
        <f t="shared" si="109"/>
        <v>61.763999999999996</v>
      </c>
      <c r="AA414" s="6">
        <v>4</v>
      </c>
      <c r="AB414" s="1">
        <v>1.2</v>
      </c>
      <c r="AC414" s="53" t="str">
        <f t="shared" si="110"/>
        <v>18:15</v>
      </c>
      <c r="AD414" s="52" t="str">
        <f t="shared" si="111"/>
        <v>23:15</v>
      </c>
      <c r="AE414" s="52" t="str">
        <f t="shared" si="112"/>
        <v>00:00</v>
      </c>
      <c r="AF414" s="14">
        <f t="shared" si="104"/>
        <v>45981.552083333336</v>
      </c>
      <c r="AG414" s="12">
        <f t="shared" si="117"/>
        <v>45981</v>
      </c>
      <c r="AH414" s="24">
        <f t="shared" si="105"/>
        <v>0.55208333333575865</v>
      </c>
      <c r="AI414" s="49">
        <f t="shared" si="113"/>
        <v>0.96875</v>
      </c>
      <c r="AJ414" s="1">
        <v>28</v>
      </c>
      <c r="AK414" s="50" t="str">
        <f t="shared" si="114"/>
        <v>RUIM</v>
      </c>
    </row>
    <row r="415" spans="1:37" x14ac:dyDescent="0.4">
      <c r="A415" s="2">
        <v>1568</v>
      </c>
      <c r="B415" s="16">
        <v>45980.604166666664</v>
      </c>
      <c r="C415" s="22">
        <f t="shared" si="115"/>
        <v>45980</v>
      </c>
      <c r="D415" s="23">
        <f t="shared" si="102"/>
        <v>0.60416666666424135</v>
      </c>
      <c r="E415" s="14">
        <v>45981.347222222219</v>
      </c>
      <c r="F415" s="12">
        <f t="shared" si="116"/>
        <v>45981</v>
      </c>
      <c r="G415" s="24">
        <f t="shared" si="103"/>
        <v>0.34722222221898846</v>
      </c>
      <c r="H415" s="14"/>
      <c r="I415" s="14"/>
      <c r="J415" s="29"/>
      <c r="K415" s="30"/>
      <c r="M415" s="17">
        <v>22.13</v>
      </c>
      <c r="N415" s="7">
        <f t="shared" si="106"/>
        <v>26.555999999999997</v>
      </c>
      <c r="O415" s="5">
        <v>4</v>
      </c>
      <c r="P415" s="3"/>
      <c r="Q415" s="5">
        <v>21.58</v>
      </c>
      <c r="R415" s="7">
        <f t="shared" si="107"/>
        <v>25.895999999999997</v>
      </c>
      <c r="S415" s="5">
        <v>4</v>
      </c>
      <c r="U415" s="10">
        <v>70.319999999999993</v>
      </c>
      <c r="V415" s="11">
        <f t="shared" si="108"/>
        <v>84.383999999999986</v>
      </c>
      <c r="W415" s="6">
        <v>4</v>
      </c>
      <c r="Y415" s="10">
        <v>70.269000000000005</v>
      </c>
      <c r="Z415" s="11">
        <f t="shared" si="109"/>
        <v>84.322800000000001</v>
      </c>
      <c r="AA415" s="6">
        <v>4</v>
      </c>
      <c r="AB415" s="1">
        <v>1.2</v>
      </c>
      <c r="AC415" s="53" t="str">
        <f t="shared" si="110"/>
        <v>17:50</v>
      </c>
      <c r="AD415" s="52" t="str">
        <f t="shared" si="111"/>
        <v>00:00</v>
      </c>
      <c r="AE415" s="52" t="str">
        <f t="shared" si="112"/>
        <v>00:00</v>
      </c>
      <c r="AF415" s="14">
        <f t="shared" si="104"/>
        <v>45981.347222222219</v>
      </c>
      <c r="AG415" s="12">
        <f t="shared" si="117"/>
        <v>45981</v>
      </c>
      <c r="AH415" s="24">
        <f t="shared" si="105"/>
        <v>0.34722222221898846</v>
      </c>
      <c r="AI415" s="49">
        <f t="shared" si="113"/>
        <v>0.74305555555555558</v>
      </c>
      <c r="AJ415" s="1">
        <v>28</v>
      </c>
      <c r="AK415" s="50" t="str">
        <f t="shared" si="114"/>
        <v>BOM</v>
      </c>
    </row>
    <row r="416" spans="1:37" x14ac:dyDescent="0.4">
      <c r="A416" s="2">
        <v>1569</v>
      </c>
      <c r="B416" s="16">
        <v>45980.625</v>
      </c>
      <c r="C416" s="22">
        <f t="shared" si="115"/>
        <v>45980</v>
      </c>
      <c r="D416" s="23">
        <f t="shared" si="102"/>
        <v>0.625</v>
      </c>
      <c r="E416" s="14">
        <v>45981.350694444445</v>
      </c>
      <c r="F416" s="12">
        <f t="shared" si="116"/>
        <v>45981</v>
      </c>
      <c r="G416" s="24">
        <f t="shared" si="103"/>
        <v>0.35069444444525288</v>
      </c>
      <c r="H416" s="14"/>
      <c r="I416" s="14"/>
      <c r="J416" s="29"/>
      <c r="K416" s="30"/>
      <c r="M416" s="17">
        <v>22.12</v>
      </c>
      <c r="N416" s="7">
        <f t="shared" si="106"/>
        <v>26.544</v>
      </c>
      <c r="O416" s="5">
        <v>4</v>
      </c>
      <c r="P416" s="3"/>
      <c r="Q416" s="5">
        <v>22.89</v>
      </c>
      <c r="R416" s="7">
        <f t="shared" si="107"/>
        <v>27.468</v>
      </c>
      <c r="S416" s="5">
        <v>4</v>
      </c>
      <c r="U416" s="10">
        <v>70.95</v>
      </c>
      <c r="V416" s="11">
        <f t="shared" si="108"/>
        <v>85.14</v>
      </c>
      <c r="W416" s="6">
        <v>4</v>
      </c>
      <c r="Y416" s="10">
        <v>70.650000000000006</v>
      </c>
      <c r="Z416" s="11">
        <f t="shared" si="109"/>
        <v>84.78</v>
      </c>
      <c r="AA416" s="6">
        <v>4</v>
      </c>
      <c r="AB416" s="1">
        <v>1.2</v>
      </c>
      <c r="AC416" s="53" t="str">
        <f t="shared" si="110"/>
        <v>17:25</v>
      </c>
      <c r="AD416" s="52" t="str">
        <f t="shared" si="111"/>
        <v>00:00</v>
      </c>
      <c r="AE416" s="52" t="str">
        <f t="shared" si="112"/>
        <v>00:00</v>
      </c>
      <c r="AF416" s="14">
        <f t="shared" si="104"/>
        <v>45981.350694444445</v>
      </c>
      <c r="AG416" s="12">
        <f t="shared" si="117"/>
        <v>45981</v>
      </c>
      <c r="AH416" s="24">
        <f t="shared" si="105"/>
        <v>0.35069444444525288</v>
      </c>
      <c r="AI416" s="49">
        <f t="shared" si="113"/>
        <v>0.72569444444444442</v>
      </c>
      <c r="AJ416" s="1">
        <v>28</v>
      </c>
      <c r="AK416" s="50" t="str">
        <f t="shared" si="114"/>
        <v>BOM</v>
      </c>
    </row>
    <row r="417" spans="1:37" x14ac:dyDescent="0.4">
      <c r="A417" s="2">
        <v>1570</v>
      </c>
      <c r="B417" s="16">
        <v>45980.645833333336</v>
      </c>
      <c r="C417" s="22">
        <f t="shared" si="115"/>
        <v>45980</v>
      </c>
      <c r="D417" s="23">
        <f t="shared" si="102"/>
        <v>0.64583333333575865</v>
      </c>
      <c r="E417" s="14">
        <v>45981.354166666664</v>
      </c>
      <c r="F417" s="12">
        <f t="shared" si="116"/>
        <v>45981</v>
      </c>
      <c r="G417" s="24">
        <f t="shared" si="103"/>
        <v>0.35416666666424135</v>
      </c>
      <c r="H417" s="14"/>
      <c r="I417" s="14"/>
      <c r="J417" s="29"/>
      <c r="K417" s="30"/>
      <c r="M417" s="17">
        <v>24.44</v>
      </c>
      <c r="N417" s="7">
        <f t="shared" si="106"/>
        <v>29.327999999999999</v>
      </c>
      <c r="O417" s="5">
        <v>4</v>
      </c>
      <c r="P417" s="3"/>
      <c r="Q417" s="5">
        <v>24.52</v>
      </c>
      <c r="R417" s="7">
        <f t="shared" si="107"/>
        <v>29.423999999999999</v>
      </c>
      <c r="S417" s="5">
        <v>4</v>
      </c>
      <c r="U417" s="10">
        <v>70.73</v>
      </c>
      <c r="V417" s="11">
        <f t="shared" si="108"/>
        <v>84.876000000000005</v>
      </c>
      <c r="W417" s="6">
        <v>4</v>
      </c>
      <c r="Y417" s="10">
        <v>70.75</v>
      </c>
      <c r="Z417" s="11">
        <f t="shared" si="109"/>
        <v>84.899999999999991</v>
      </c>
      <c r="AA417" s="6">
        <v>4</v>
      </c>
      <c r="AB417" s="1">
        <v>1.2</v>
      </c>
      <c r="AC417" s="53" t="str">
        <f t="shared" si="110"/>
        <v>17:00</v>
      </c>
      <c r="AD417" s="52" t="str">
        <f t="shared" si="111"/>
        <v>00:00</v>
      </c>
      <c r="AE417" s="52" t="str">
        <f t="shared" si="112"/>
        <v>00:00</v>
      </c>
      <c r="AF417" s="14">
        <f t="shared" si="104"/>
        <v>45981.354166666664</v>
      </c>
      <c r="AG417" s="12">
        <f t="shared" si="117"/>
        <v>45981</v>
      </c>
      <c r="AH417" s="24">
        <f t="shared" si="105"/>
        <v>0.35416666666424135</v>
      </c>
      <c r="AI417" s="49">
        <f t="shared" si="113"/>
        <v>0.70833333333333337</v>
      </c>
      <c r="AJ417" s="1">
        <v>28</v>
      </c>
      <c r="AK417" s="50" t="str">
        <f t="shared" si="114"/>
        <v>BOM</v>
      </c>
    </row>
    <row r="418" spans="1:37" x14ac:dyDescent="0.4">
      <c r="A418" s="2">
        <v>1571</v>
      </c>
      <c r="B418" s="16">
        <v>45981.583333333336</v>
      </c>
      <c r="C418" s="22">
        <f t="shared" si="115"/>
        <v>45981</v>
      </c>
      <c r="D418" s="23">
        <f t="shared" si="102"/>
        <v>0.58333333333575865</v>
      </c>
      <c r="E418" s="14">
        <v>45982.34652777778</v>
      </c>
      <c r="F418" s="12">
        <f t="shared" si="116"/>
        <v>45982</v>
      </c>
      <c r="G418" s="24">
        <f t="shared" si="103"/>
        <v>0.34652777777955635</v>
      </c>
      <c r="H418" s="14"/>
      <c r="I418" s="14"/>
      <c r="J418" s="29"/>
      <c r="K418" s="30"/>
      <c r="M418" s="17">
        <v>23.41</v>
      </c>
      <c r="N418" s="7">
        <f t="shared" si="106"/>
        <v>28.091999999999999</v>
      </c>
      <c r="O418" s="5">
        <v>4</v>
      </c>
      <c r="P418" s="3"/>
      <c r="Q418" s="5">
        <v>22.33</v>
      </c>
      <c r="R418" s="7">
        <f t="shared" si="107"/>
        <v>26.795999999999996</v>
      </c>
      <c r="S418" s="5">
        <v>4</v>
      </c>
      <c r="U418" s="10"/>
      <c r="V418" s="11" t="str">
        <f t="shared" si="108"/>
        <v/>
      </c>
      <c r="W418" s="6"/>
      <c r="Y418" s="10"/>
      <c r="Z418" s="11" t="str">
        <f t="shared" si="109"/>
        <v/>
      </c>
      <c r="AA418" s="6"/>
      <c r="AB418" s="1">
        <v>1.2</v>
      </c>
      <c r="AC418" s="53" t="str">
        <f t="shared" si="110"/>
        <v>18:19</v>
      </c>
      <c r="AD418" s="52" t="str">
        <f t="shared" si="111"/>
        <v>00:00</v>
      </c>
      <c r="AE418" s="52" t="str">
        <f t="shared" si="112"/>
        <v>00:00</v>
      </c>
      <c r="AF418" s="14">
        <f t="shared" si="104"/>
        <v>45982.34652777778</v>
      </c>
      <c r="AG418" s="12">
        <f t="shared" si="117"/>
        <v>45982</v>
      </c>
      <c r="AH418" s="24">
        <f t="shared" si="105"/>
        <v>0.34652777777955635</v>
      </c>
      <c r="AI418" s="49">
        <f t="shared" si="113"/>
        <v>0.7631944444444444</v>
      </c>
      <c r="AJ418" s="1">
        <v>28</v>
      </c>
      <c r="AK418" s="50" t="str">
        <f t="shared" si="114"/>
        <v>BOM</v>
      </c>
    </row>
    <row r="419" spans="1:37" x14ac:dyDescent="0.4">
      <c r="A419" s="2">
        <v>1572</v>
      </c>
      <c r="B419" s="16">
        <v>45981.604166666664</v>
      </c>
      <c r="C419" s="22">
        <f t="shared" si="115"/>
        <v>45981</v>
      </c>
      <c r="D419" s="23">
        <f t="shared" si="102"/>
        <v>0.60416666666424135</v>
      </c>
      <c r="E419" s="14">
        <v>45982.351388888892</v>
      </c>
      <c r="F419" s="12">
        <f t="shared" si="116"/>
        <v>45982</v>
      </c>
      <c r="G419" s="24">
        <f t="shared" si="103"/>
        <v>0.35138888889196096</v>
      </c>
      <c r="H419" s="14"/>
      <c r="I419" s="14"/>
      <c r="J419" s="29"/>
      <c r="K419" s="30"/>
      <c r="M419" s="17">
        <v>20.91</v>
      </c>
      <c r="N419" s="7">
        <f t="shared" si="106"/>
        <v>25.091999999999999</v>
      </c>
      <c r="O419" s="5">
        <v>4</v>
      </c>
      <c r="P419" s="3"/>
      <c r="Q419" s="5">
        <v>20.86</v>
      </c>
      <c r="R419" s="7">
        <f t="shared" si="107"/>
        <v>25.032</v>
      </c>
      <c r="S419" s="5">
        <v>4</v>
      </c>
      <c r="U419" s="10"/>
      <c r="V419" s="11" t="str">
        <f t="shared" si="108"/>
        <v/>
      </c>
      <c r="W419" s="6"/>
      <c r="Y419" s="10"/>
      <c r="Z419" s="11" t="str">
        <f t="shared" si="109"/>
        <v/>
      </c>
      <c r="AA419" s="6"/>
      <c r="AB419" s="1">
        <v>1.2</v>
      </c>
      <c r="AC419" s="53" t="str">
        <f t="shared" si="110"/>
        <v>17:56</v>
      </c>
      <c r="AD419" s="52" t="str">
        <f t="shared" si="111"/>
        <v>00:00</v>
      </c>
      <c r="AE419" s="52" t="str">
        <f t="shared" si="112"/>
        <v>00:00</v>
      </c>
      <c r="AF419" s="14">
        <f t="shared" si="104"/>
        <v>45982.351388888892</v>
      </c>
      <c r="AG419" s="12">
        <f t="shared" si="117"/>
        <v>45982</v>
      </c>
      <c r="AH419" s="24">
        <f t="shared" si="105"/>
        <v>0.35138888889196096</v>
      </c>
      <c r="AI419" s="49">
        <f t="shared" si="113"/>
        <v>0.74722222222222223</v>
      </c>
      <c r="AJ419" s="1">
        <v>28</v>
      </c>
      <c r="AK419" s="50" t="str">
        <f t="shared" si="114"/>
        <v>BOM</v>
      </c>
    </row>
    <row r="420" spans="1:37" x14ac:dyDescent="0.4">
      <c r="A420" s="2">
        <v>1573</v>
      </c>
      <c r="B420" s="16">
        <v>45981.625</v>
      </c>
      <c r="C420" s="22">
        <f t="shared" si="115"/>
        <v>45981</v>
      </c>
      <c r="D420" s="23">
        <f t="shared" si="102"/>
        <v>0.625</v>
      </c>
      <c r="E420" s="14">
        <v>45982.352083333331</v>
      </c>
      <c r="F420" s="12">
        <f t="shared" si="116"/>
        <v>45982</v>
      </c>
      <c r="G420" s="24">
        <f t="shared" si="103"/>
        <v>0.35208333333139308</v>
      </c>
      <c r="H420" s="14"/>
      <c r="I420" s="14"/>
      <c r="J420" s="29"/>
      <c r="K420" s="30"/>
      <c r="M420" s="17">
        <v>20.86</v>
      </c>
      <c r="N420" s="7">
        <f t="shared" si="106"/>
        <v>25.032</v>
      </c>
      <c r="O420" s="5">
        <v>4</v>
      </c>
      <c r="P420" s="3"/>
      <c r="Q420" s="5">
        <v>23.37</v>
      </c>
      <c r="R420" s="7">
        <f t="shared" si="107"/>
        <v>28.044</v>
      </c>
      <c r="S420" s="5">
        <v>4</v>
      </c>
      <c r="U420" s="10"/>
      <c r="V420" s="11" t="str">
        <f t="shared" si="108"/>
        <v/>
      </c>
      <c r="W420" s="6"/>
      <c r="Y420" s="10"/>
      <c r="Z420" s="11" t="str">
        <f t="shared" si="109"/>
        <v/>
      </c>
      <c r="AA420" s="6"/>
      <c r="AB420" s="1">
        <v>1.2</v>
      </c>
      <c r="AC420" s="53" t="str">
        <f t="shared" si="110"/>
        <v>17:27</v>
      </c>
      <c r="AD420" s="52" t="str">
        <f t="shared" si="111"/>
        <v>00:00</v>
      </c>
      <c r="AE420" s="52" t="str">
        <f t="shared" si="112"/>
        <v>00:00</v>
      </c>
      <c r="AF420" s="14">
        <f t="shared" si="104"/>
        <v>45982.352083333331</v>
      </c>
      <c r="AG420" s="12">
        <f t="shared" si="117"/>
        <v>45982</v>
      </c>
      <c r="AH420" s="24">
        <f t="shared" si="105"/>
        <v>0.35208333333139308</v>
      </c>
      <c r="AI420" s="49">
        <f t="shared" si="113"/>
        <v>0.7270833333333333</v>
      </c>
      <c r="AJ420" s="1">
        <v>28</v>
      </c>
      <c r="AK420" s="50" t="str">
        <f t="shared" si="114"/>
        <v>BOM</v>
      </c>
    </row>
    <row r="421" spans="1:37" x14ac:dyDescent="0.4">
      <c r="A421" s="2">
        <v>1574</v>
      </c>
      <c r="B421" s="16">
        <v>45981.666666666664</v>
      </c>
      <c r="C421" s="22">
        <f t="shared" si="115"/>
        <v>45981</v>
      </c>
      <c r="D421" s="23">
        <f t="shared" si="102"/>
        <v>0.66666666666424135</v>
      </c>
      <c r="E421" s="14">
        <v>45982.338194444441</v>
      </c>
      <c r="F421" s="12">
        <f t="shared" si="116"/>
        <v>45982</v>
      </c>
      <c r="G421" s="24">
        <f t="shared" si="103"/>
        <v>0.33819444444088731</v>
      </c>
      <c r="H421" s="14"/>
      <c r="I421" s="14"/>
      <c r="J421" s="29"/>
      <c r="K421" s="30"/>
      <c r="M421" s="17">
        <v>22.96</v>
      </c>
      <c r="N421" s="7">
        <f t="shared" si="106"/>
        <v>27.552</v>
      </c>
      <c r="O421" s="5">
        <v>4</v>
      </c>
      <c r="P421" s="3"/>
      <c r="Q421" s="5">
        <v>29.12</v>
      </c>
      <c r="R421" s="7">
        <f t="shared" si="107"/>
        <v>34.944000000000003</v>
      </c>
      <c r="S421" s="5">
        <v>4</v>
      </c>
      <c r="U421" s="10"/>
      <c r="V421" s="11" t="str">
        <f t="shared" si="108"/>
        <v/>
      </c>
      <c r="W421" s="6"/>
      <c r="Y421" s="10"/>
      <c r="Z421" s="11" t="str">
        <f t="shared" si="109"/>
        <v/>
      </c>
      <c r="AA421" s="6"/>
      <c r="AB421" s="1">
        <v>1.2</v>
      </c>
      <c r="AC421" s="53" t="str">
        <f t="shared" si="110"/>
        <v>16:07</v>
      </c>
      <c r="AD421" s="52" t="str">
        <f t="shared" si="111"/>
        <v>00:00</v>
      </c>
      <c r="AE421" s="52" t="str">
        <f t="shared" si="112"/>
        <v>00:00</v>
      </c>
      <c r="AF421" s="14">
        <f t="shared" si="104"/>
        <v>45982.338194444441</v>
      </c>
      <c r="AG421" s="12">
        <f t="shared" si="117"/>
        <v>45982</v>
      </c>
      <c r="AH421" s="24">
        <f t="shared" si="105"/>
        <v>0.33819444444088731</v>
      </c>
      <c r="AI421" s="49">
        <f t="shared" si="113"/>
        <v>0.67152777777777772</v>
      </c>
      <c r="AJ421" s="1">
        <v>35</v>
      </c>
      <c r="AK421" s="50" t="str">
        <f t="shared" si="114"/>
        <v>BOM</v>
      </c>
    </row>
    <row r="422" spans="1:37" x14ac:dyDescent="0.4">
      <c r="A422" s="2">
        <v>1575</v>
      </c>
      <c r="B422" s="16">
        <v>45981.680555555555</v>
      </c>
      <c r="C422" s="22">
        <f t="shared" si="115"/>
        <v>45981</v>
      </c>
      <c r="D422" s="23">
        <f t="shared" si="102"/>
        <v>0.68055555555474712</v>
      </c>
      <c r="E422" s="14">
        <v>45982.338888888888</v>
      </c>
      <c r="F422" s="12">
        <f t="shared" si="116"/>
        <v>45982</v>
      </c>
      <c r="G422" s="24">
        <f t="shared" si="103"/>
        <v>0.33888888888759539</v>
      </c>
      <c r="H422" s="14"/>
      <c r="I422" s="14"/>
      <c r="J422" s="29"/>
      <c r="K422" s="30"/>
      <c r="M422" s="17">
        <v>22.52</v>
      </c>
      <c r="N422" s="7">
        <f t="shared" si="106"/>
        <v>27.023999999999997</v>
      </c>
      <c r="O422" s="5">
        <v>4</v>
      </c>
      <c r="P422" s="3"/>
      <c r="Q422" s="5">
        <v>29.1</v>
      </c>
      <c r="R422" s="7">
        <f t="shared" si="107"/>
        <v>34.92</v>
      </c>
      <c r="S422" s="5">
        <v>4</v>
      </c>
      <c r="U422" s="10"/>
      <c r="V422" s="11" t="str">
        <f t="shared" si="108"/>
        <v/>
      </c>
      <c r="W422" s="6"/>
      <c r="Y422" s="10"/>
      <c r="Z422" s="11" t="str">
        <f t="shared" si="109"/>
        <v/>
      </c>
      <c r="AA422" s="6"/>
      <c r="AB422" s="1">
        <v>1.2</v>
      </c>
      <c r="AC422" s="53" t="str">
        <f t="shared" si="110"/>
        <v>15:48</v>
      </c>
      <c r="AD422" s="52" t="str">
        <f t="shared" si="111"/>
        <v>00:00</v>
      </c>
      <c r="AE422" s="52" t="str">
        <f t="shared" si="112"/>
        <v>00:00</v>
      </c>
      <c r="AF422" s="14">
        <f t="shared" si="104"/>
        <v>45982.338888888888</v>
      </c>
      <c r="AG422" s="12">
        <f t="shared" si="117"/>
        <v>45982</v>
      </c>
      <c r="AH422" s="24">
        <f t="shared" si="105"/>
        <v>0.33888888888759539</v>
      </c>
      <c r="AI422" s="49">
        <f t="shared" si="113"/>
        <v>0.65833333333333333</v>
      </c>
      <c r="AJ422" s="1">
        <v>35</v>
      </c>
      <c r="AK422" s="50" t="str">
        <f t="shared" si="114"/>
        <v>BOM</v>
      </c>
    </row>
    <row r="423" spans="1:37" x14ac:dyDescent="0.4">
      <c r="A423" s="2">
        <v>1576</v>
      </c>
      <c r="B423" s="16">
        <v>45982.606944444444</v>
      </c>
      <c r="C423" s="22">
        <f t="shared" si="115"/>
        <v>45982</v>
      </c>
      <c r="D423" s="23">
        <f t="shared" si="102"/>
        <v>0.60694444444379769</v>
      </c>
      <c r="E423" s="14">
        <v>45983.370138888888</v>
      </c>
      <c r="F423" s="12">
        <f t="shared" si="116"/>
        <v>45983</v>
      </c>
      <c r="G423" s="24">
        <f t="shared" si="103"/>
        <v>0.37013888888759539</v>
      </c>
      <c r="H423" s="14"/>
      <c r="I423" s="14"/>
      <c r="J423" s="29"/>
      <c r="K423" s="30"/>
      <c r="M423" s="17">
        <v>22.86</v>
      </c>
      <c r="N423" s="7">
        <f t="shared" si="106"/>
        <v>27.431999999999999</v>
      </c>
      <c r="O423" s="5">
        <v>4</v>
      </c>
      <c r="P423" s="3"/>
      <c r="Q423" s="5">
        <v>23.08</v>
      </c>
      <c r="R423" s="7">
        <f t="shared" si="107"/>
        <v>27.695999999999998</v>
      </c>
      <c r="S423" s="5">
        <v>4</v>
      </c>
      <c r="U423" s="10"/>
      <c r="V423" s="11" t="str">
        <f t="shared" si="108"/>
        <v/>
      </c>
      <c r="W423" s="6"/>
      <c r="Y423" s="10"/>
      <c r="Z423" s="11" t="str">
        <f t="shared" si="109"/>
        <v/>
      </c>
      <c r="AA423" s="6"/>
      <c r="AB423" s="1">
        <v>1.2</v>
      </c>
      <c r="AC423" s="53" t="str">
        <f t="shared" si="110"/>
        <v>18:19</v>
      </c>
      <c r="AD423" s="52" t="str">
        <f t="shared" si="111"/>
        <v>00:00</v>
      </c>
      <c r="AE423" s="52" t="str">
        <f t="shared" si="112"/>
        <v>00:00</v>
      </c>
      <c r="AF423" s="14">
        <f t="shared" si="104"/>
        <v>45983.370138888888</v>
      </c>
      <c r="AG423" s="12">
        <f t="shared" si="117"/>
        <v>45983</v>
      </c>
      <c r="AH423" s="24">
        <f t="shared" si="105"/>
        <v>0.37013888888759539</v>
      </c>
      <c r="AI423" s="49">
        <f t="shared" si="113"/>
        <v>0.7631944444444444</v>
      </c>
      <c r="AJ423" s="1">
        <v>28</v>
      </c>
      <c r="AK423" s="50" t="str">
        <f t="shared" si="114"/>
        <v>BOM</v>
      </c>
    </row>
    <row r="424" spans="1:37" x14ac:dyDescent="0.4">
      <c r="A424" s="2">
        <v>1577</v>
      </c>
      <c r="B424" s="16">
        <v>45982.628472222219</v>
      </c>
      <c r="C424" s="22">
        <f t="shared" si="115"/>
        <v>45982</v>
      </c>
      <c r="D424" s="23">
        <f t="shared" ref="D424:D487" si="118">B424-INT(B424)</f>
        <v>0.62847222221898846</v>
      </c>
      <c r="E424" s="14">
        <v>45983.366666666669</v>
      </c>
      <c r="F424" s="12">
        <f t="shared" si="116"/>
        <v>45983</v>
      </c>
      <c r="G424" s="24">
        <f t="shared" ref="G424:G487" si="119">E424-INT(E424)</f>
        <v>0.36666666666860692</v>
      </c>
      <c r="H424" s="14"/>
      <c r="I424" s="14"/>
      <c r="J424" s="29"/>
      <c r="K424" s="30"/>
      <c r="M424" s="17">
        <v>20.85</v>
      </c>
      <c r="N424" s="7">
        <f t="shared" si="106"/>
        <v>25.02</v>
      </c>
      <c r="O424" s="5">
        <v>4</v>
      </c>
      <c r="P424" s="3"/>
      <c r="Q424" s="5">
        <v>20.43</v>
      </c>
      <c r="R424" s="7">
        <f t="shared" si="107"/>
        <v>24.515999999999998</v>
      </c>
      <c r="S424" s="5">
        <v>4</v>
      </c>
      <c r="U424" s="10"/>
      <c r="V424" s="11" t="str">
        <f t="shared" si="108"/>
        <v/>
      </c>
      <c r="W424" s="6"/>
      <c r="Y424" s="10"/>
      <c r="Z424" s="11" t="str">
        <f t="shared" si="109"/>
        <v/>
      </c>
      <c r="AA424" s="6"/>
      <c r="AB424" s="1">
        <v>1.2</v>
      </c>
      <c r="AC424" s="53" t="str">
        <f t="shared" si="110"/>
        <v>17:43</v>
      </c>
      <c r="AD424" s="52" t="str">
        <f t="shared" si="111"/>
        <v>00:00</v>
      </c>
      <c r="AE424" s="52" t="str">
        <f t="shared" si="112"/>
        <v>00:00</v>
      </c>
      <c r="AF424" s="14">
        <f t="shared" ref="AF424:AF487" si="120">MAX(E424,H424,I424)</f>
        <v>45983.366666666669</v>
      </c>
      <c r="AG424" s="12">
        <f t="shared" si="117"/>
        <v>45983</v>
      </c>
      <c r="AH424" s="24">
        <f t="shared" ref="AH424:AH487" si="121">AF424-INT(AF424)</f>
        <v>0.36666666666860692</v>
      </c>
      <c r="AI424" s="49">
        <f t="shared" si="113"/>
        <v>0.73819444444444449</v>
      </c>
      <c r="AJ424" s="1">
        <v>28</v>
      </c>
      <c r="AK424" s="50" t="str">
        <f t="shared" si="114"/>
        <v>BOM</v>
      </c>
    </row>
    <row r="425" spans="1:37" x14ac:dyDescent="0.4">
      <c r="A425" s="2">
        <v>1578</v>
      </c>
      <c r="B425" s="16">
        <v>45982.645833333336</v>
      </c>
      <c r="C425" s="22">
        <f t="shared" si="115"/>
        <v>45982</v>
      </c>
      <c r="D425" s="23">
        <f t="shared" si="118"/>
        <v>0.64583333333575865</v>
      </c>
      <c r="E425" s="14">
        <v>45983.363888888889</v>
      </c>
      <c r="F425" s="12">
        <f t="shared" si="116"/>
        <v>45983</v>
      </c>
      <c r="G425" s="24">
        <f t="shared" si="119"/>
        <v>0.36388888888905058</v>
      </c>
      <c r="H425" s="14"/>
      <c r="I425" s="14"/>
      <c r="J425" s="29"/>
      <c r="K425" s="30"/>
      <c r="M425" s="17">
        <v>20.74</v>
      </c>
      <c r="N425" s="7">
        <f t="shared" si="106"/>
        <v>24.887999999999998</v>
      </c>
      <c r="O425" s="5">
        <v>4</v>
      </c>
      <c r="P425" s="3"/>
      <c r="Q425" s="5">
        <v>20.88</v>
      </c>
      <c r="R425" s="7">
        <f t="shared" si="107"/>
        <v>25.055999999999997</v>
      </c>
      <c r="S425" s="5">
        <v>4</v>
      </c>
      <c r="U425" s="10"/>
      <c r="V425" s="11" t="str">
        <f t="shared" si="108"/>
        <v/>
      </c>
      <c r="W425" s="6"/>
      <c r="Y425" s="10"/>
      <c r="Z425" s="11" t="str">
        <f t="shared" si="109"/>
        <v/>
      </c>
      <c r="AA425" s="6"/>
      <c r="AB425" s="1">
        <v>1.2</v>
      </c>
      <c r="AC425" s="53" t="str">
        <f t="shared" si="110"/>
        <v>17:14</v>
      </c>
      <c r="AD425" s="52" t="str">
        <f t="shared" si="111"/>
        <v>00:00</v>
      </c>
      <c r="AE425" s="52" t="str">
        <f t="shared" si="112"/>
        <v>00:00</v>
      </c>
      <c r="AF425" s="14">
        <f t="shared" si="120"/>
        <v>45983.363888888889</v>
      </c>
      <c r="AG425" s="12">
        <f t="shared" si="117"/>
        <v>45983</v>
      </c>
      <c r="AH425" s="24">
        <f t="shared" si="121"/>
        <v>0.36388888888905058</v>
      </c>
      <c r="AI425" s="49">
        <f t="shared" si="113"/>
        <v>0.71805555555555556</v>
      </c>
      <c r="AJ425" s="1">
        <v>28</v>
      </c>
      <c r="AK425" s="50" t="str">
        <f t="shared" si="114"/>
        <v>BOM</v>
      </c>
    </row>
    <row r="426" spans="1:37" x14ac:dyDescent="0.4">
      <c r="A426" s="2">
        <v>1579</v>
      </c>
      <c r="B426" s="16">
        <v>45982.666666666664</v>
      </c>
      <c r="C426" s="22">
        <f t="shared" si="115"/>
        <v>45982</v>
      </c>
      <c r="D426" s="23">
        <f t="shared" si="118"/>
        <v>0.66666666666424135</v>
      </c>
      <c r="E426" s="14">
        <v>45983.361111111109</v>
      </c>
      <c r="F426" s="12">
        <f t="shared" si="116"/>
        <v>45983</v>
      </c>
      <c r="G426" s="24">
        <f t="shared" si="119"/>
        <v>0.36111111110949423</v>
      </c>
      <c r="H426" s="14"/>
      <c r="I426" s="14"/>
      <c r="J426" s="29"/>
      <c r="K426" s="30"/>
      <c r="M426" s="17">
        <v>23.49</v>
      </c>
      <c r="N426" s="7">
        <f t="shared" si="106"/>
        <v>28.187999999999999</v>
      </c>
      <c r="O426" s="5">
        <v>4</v>
      </c>
      <c r="P426" s="3"/>
      <c r="Q426" s="5">
        <v>22.524999999999999</v>
      </c>
      <c r="R426" s="7">
        <f t="shared" si="107"/>
        <v>27.029999999999998</v>
      </c>
      <c r="S426" s="5">
        <v>4</v>
      </c>
      <c r="U426" s="10"/>
      <c r="V426" s="11" t="str">
        <f t="shared" si="108"/>
        <v/>
      </c>
      <c r="W426" s="6"/>
      <c r="Y426" s="10"/>
      <c r="Z426" s="11" t="str">
        <f t="shared" si="109"/>
        <v/>
      </c>
      <c r="AA426" s="6"/>
      <c r="AB426" s="1">
        <v>1.2</v>
      </c>
      <c r="AC426" s="53" t="str">
        <f t="shared" si="110"/>
        <v>16:40</v>
      </c>
      <c r="AD426" s="52" t="str">
        <f t="shared" si="111"/>
        <v>00:00</v>
      </c>
      <c r="AE426" s="52" t="str">
        <f t="shared" si="112"/>
        <v>00:00</v>
      </c>
      <c r="AF426" s="14">
        <f t="shared" si="120"/>
        <v>45983.361111111109</v>
      </c>
      <c r="AG426" s="12">
        <f t="shared" si="117"/>
        <v>45983</v>
      </c>
      <c r="AH426" s="24">
        <f t="shared" si="121"/>
        <v>0.36111111110949423</v>
      </c>
      <c r="AI426" s="49">
        <f t="shared" si="113"/>
        <v>0.69444444444444442</v>
      </c>
      <c r="AJ426" s="1">
        <v>28</v>
      </c>
      <c r="AK426" s="50" t="str">
        <f t="shared" si="114"/>
        <v>BOM</v>
      </c>
    </row>
    <row r="427" spans="1:37" x14ac:dyDescent="0.4">
      <c r="A427" s="2">
        <v>1580</v>
      </c>
      <c r="B427" s="16">
        <v>45982.6875</v>
      </c>
      <c r="C427" s="22">
        <f t="shared" si="115"/>
        <v>45982</v>
      </c>
      <c r="D427" s="23">
        <f t="shared" si="118"/>
        <v>0.6875</v>
      </c>
      <c r="E427" s="14">
        <v>45983.357638888891</v>
      </c>
      <c r="F427" s="12">
        <f t="shared" si="116"/>
        <v>45983</v>
      </c>
      <c r="G427" s="24">
        <f t="shared" si="119"/>
        <v>0.35763888889050577</v>
      </c>
      <c r="H427" s="14"/>
      <c r="I427" s="14"/>
      <c r="J427" s="29"/>
      <c r="K427" s="30"/>
      <c r="M427" s="17">
        <v>20.52</v>
      </c>
      <c r="N427" s="7">
        <f t="shared" si="106"/>
        <v>24.623999999999999</v>
      </c>
      <c r="O427" s="5">
        <v>4</v>
      </c>
      <c r="P427" s="3"/>
      <c r="Q427" s="5">
        <v>20.32</v>
      </c>
      <c r="R427" s="7">
        <f t="shared" si="107"/>
        <v>24.384</v>
      </c>
      <c r="S427" s="5">
        <v>4</v>
      </c>
      <c r="U427" s="10"/>
      <c r="V427" s="11" t="str">
        <f t="shared" si="108"/>
        <v/>
      </c>
      <c r="W427" s="6"/>
      <c r="Y427" s="10"/>
      <c r="Z427" s="11" t="str">
        <f t="shared" si="109"/>
        <v/>
      </c>
      <c r="AA427" s="6"/>
      <c r="AB427" s="1">
        <v>1.2</v>
      </c>
      <c r="AC427" s="53" t="str">
        <f t="shared" si="110"/>
        <v>16:05</v>
      </c>
      <c r="AD427" s="52" t="str">
        <f t="shared" si="111"/>
        <v>00:00</v>
      </c>
      <c r="AE427" s="52" t="str">
        <f t="shared" si="112"/>
        <v>00:00</v>
      </c>
      <c r="AF427" s="14">
        <f t="shared" si="120"/>
        <v>45983.357638888891</v>
      </c>
      <c r="AG427" s="12">
        <f t="shared" si="117"/>
        <v>45983</v>
      </c>
      <c r="AH427" s="24">
        <f t="shared" si="121"/>
        <v>0.35763888889050577</v>
      </c>
      <c r="AI427" s="49">
        <f t="shared" si="113"/>
        <v>0.67013888888888884</v>
      </c>
      <c r="AJ427" s="1">
        <v>28</v>
      </c>
      <c r="AK427" s="50" t="str">
        <f t="shared" si="114"/>
        <v>BOM</v>
      </c>
    </row>
    <row r="428" spans="1:37" x14ac:dyDescent="0.4">
      <c r="A428" s="2">
        <v>1581</v>
      </c>
      <c r="B428" s="16">
        <v>45983.576388888891</v>
      </c>
      <c r="C428" s="22">
        <f t="shared" si="115"/>
        <v>45983</v>
      </c>
      <c r="D428" s="23">
        <f t="shared" si="118"/>
        <v>0.57638888889050577</v>
      </c>
      <c r="E428" s="14">
        <v>45985.400694444441</v>
      </c>
      <c r="F428" s="12">
        <f t="shared" si="116"/>
        <v>45985</v>
      </c>
      <c r="G428" s="24">
        <f t="shared" si="119"/>
        <v>0.40069444444088731</v>
      </c>
      <c r="H428" s="14"/>
      <c r="I428" s="14"/>
      <c r="J428" s="29"/>
      <c r="K428" s="30"/>
      <c r="M428" s="17">
        <v>31.21</v>
      </c>
      <c r="N428" s="7">
        <f t="shared" si="106"/>
        <v>37.451999999999998</v>
      </c>
      <c r="O428" s="5">
        <v>4</v>
      </c>
      <c r="P428" s="3"/>
      <c r="Q428" s="5">
        <v>32.65</v>
      </c>
      <c r="R428" s="7">
        <f t="shared" si="107"/>
        <v>39.18</v>
      </c>
      <c r="S428" s="5">
        <v>4</v>
      </c>
      <c r="U428" s="10"/>
      <c r="V428" s="11" t="str">
        <f t="shared" si="108"/>
        <v/>
      </c>
      <c r="W428" s="6"/>
      <c r="Y428" s="10"/>
      <c r="Z428" s="11" t="str">
        <f t="shared" si="109"/>
        <v/>
      </c>
      <c r="AA428" s="6"/>
      <c r="AB428" s="1">
        <v>1.2</v>
      </c>
      <c r="AC428" s="53" t="str">
        <f t="shared" si="110"/>
        <v>43:47</v>
      </c>
      <c r="AD428" s="52" t="str">
        <f t="shared" si="111"/>
        <v>00:00</v>
      </c>
      <c r="AE428" s="52" t="str">
        <f t="shared" si="112"/>
        <v>00:00</v>
      </c>
      <c r="AF428" s="14">
        <f t="shared" si="120"/>
        <v>45985.400694444441</v>
      </c>
      <c r="AG428" s="12">
        <f t="shared" si="117"/>
        <v>45985</v>
      </c>
      <c r="AH428" s="24">
        <f t="shared" si="121"/>
        <v>0.40069444444088731</v>
      </c>
      <c r="AI428" s="49">
        <f t="shared" si="113"/>
        <v>1.8243055555555556</v>
      </c>
      <c r="AJ428" s="1">
        <v>28</v>
      </c>
      <c r="AK428" s="50" t="str">
        <f t="shared" si="114"/>
        <v>RUIM</v>
      </c>
    </row>
    <row r="429" spans="1:37" x14ac:dyDescent="0.4">
      <c r="A429" s="2">
        <v>1582</v>
      </c>
      <c r="B429" s="16">
        <v>45983.607638888891</v>
      </c>
      <c r="C429" s="22">
        <f t="shared" si="115"/>
        <v>45983</v>
      </c>
      <c r="D429" s="23">
        <f t="shared" si="118"/>
        <v>0.60763888889050577</v>
      </c>
      <c r="E429" s="14">
        <v>45985.397916666669</v>
      </c>
      <c r="F429" s="12">
        <f t="shared" si="116"/>
        <v>45985</v>
      </c>
      <c r="G429" s="24">
        <f t="shared" si="119"/>
        <v>0.39791666666860692</v>
      </c>
      <c r="H429" s="14"/>
      <c r="I429" s="14"/>
      <c r="J429" s="29"/>
      <c r="K429" s="30"/>
      <c r="M429" s="17">
        <v>31.15</v>
      </c>
      <c r="N429" s="7">
        <f t="shared" si="106"/>
        <v>37.379999999999995</v>
      </c>
      <c r="O429" s="5">
        <v>4</v>
      </c>
      <c r="P429" s="3"/>
      <c r="Q429" s="5">
        <v>29.2</v>
      </c>
      <c r="R429" s="7">
        <f t="shared" si="107"/>
        <v>35.04</v>
      </c>
      <c r="S429" s="5">
        <v>4</v>
      </c>
      <c r="U429" s="10"/>
      <c r="V429" s="11" t="str">
        <f t="shared" si="108"/>
        <v/>
      </c>
      <c r="W429" s="6"/>
      <c r="Y429" s="10"/>
      <c r="Z429" s="11" t="str">
        <f t="shared" si="109"/>
        <v/>
      </c>
      <c r="AA429" s="6"/>
      <c r="AB429" s="1">
        <v>1.2</v>
      </c>
      <c r="AC429" s="53" t="str">
        <f t="shared" si="110"/>
        <v>42:58</v>
      </c>
      <c r="AD429" s="52" t="str">
        <f t="shared" si="111"/>
        <v>00:00</v>
      </c>
      <c r="AE429" s="52" t="str">
        <f t="shared" si="112"/>
        <v>00:00</v>
      </c>
      <c r="AF429" s="14">
        <f t="shared" si="120"/>
        <v>45985.397916666669</v>
      </c>
      <c r="AG429" s="12">
        <f t="shared" si="117"/>
        <v>45985</v>
      </c>
      <c r="AH429" s="24">
        <f t="shared" si="121"/>
        <v>0.39791666666860692</v>
      </c>
      <c r="AI429" s="49">
        <f t="shared" si="113"/>
        <v>1.7902777777777779</v>
      </c>
      <c r="AJ429" s="1">
        <v>28</v>
      </c>
      <c r="AK429" s="50" t="str">
        <f t="shared" si="114"/>
        <v>RUIM</v>
      </c>
    </row>
    <row r="430" spans="1:37" x14ac:dyDescent="0.4">
      <c r="A430" s="2">
        <v>1583</v>
      </c>
      <c r="B430" s="16">
        <v>45983.645833333336</v>
      </c>
      <c r="C430" s="22">
        <f t="shared" si="115"/>
        <v>45983</v>
      </c>
      <c r="D430" s="23">
        <f t="shared" si="118"/>
        <v>0.64583333333575865</v>
      </c>
      <c r="E430" s="14">
        <v>45985.393750000003</v>
      </c>
      <c r="F430" s="12">
        <f t="shared" si="116"/>
        <v>45985</v>
      </c>
      <c r="G430" s="24">
        <f t="shared" si="119"/>
        <v>0.39375000000291038</v>
      </c>
      <c r="H430" s="14"/>
      <c r="I430" s="14"/>
      <c r="J430" s="29"/>
      <c r="K430" s="30"/>
      <c r="M430" s="17">
        <v>31.25</v>
      </c>
      <c r="N430" s="7">
        <f t="shared" si="106"/>
        <v>37.5</v>
      </c>
      <c r="O430" s="5">
        <v>4</v>
      </c>
      <c r="P430" s="3"/>
      <c r="Q430" s="5">
        <v>32.299999999999997</v>
      </c>
      <c r="R430" s="7">
        <f t="shared" si="107"/>
        <v>38.76</v>
      </c>
      <c r="S430" s="5">
        <v>4</v>
      </c>
      <c r="U430" s="10"/>
      <c r="V430" s="11" t="str">
        <f t="shared" si="108"/>
        <v/>
      </c>
      <c r="W430" s="6"/>
      <c r="Y430" s="10"/>
      <c r="Z430" s="11" t="str">
        <f t="shared" si="109"/>
        <v/>
      </c>
      <c r="AA430" s="6"/>
      <c r="AB430" s="1">
        <v>1.2</v>
      </c>
      <c r="AC430" s="53" t="str">
        <f t="shared" si="110"/>
        <v>41:57</v>
      </c>
      <c r="AD430" s="52" t="str">
        <f t="shared" si="111"/>
        <v>00:00</v>
      </c>
      <c r="AE430" s="52" t="str">
        <f t="shared" si="112"/>
        <v>00:00</v>
      </c>
      <c r="AF430" s="14">
        <f t="shared" si="120"/>
        <v>45985.393750000003</v>
      </c>
      <c r="AG430" s="12">
        <f t="shared" si="117"/>
        <v>45985</v>
      </c>
      <c r="AH430" s="24">
        <f t="shared" si="121"/>
        <v>0.39375000000291038</v>
      </c>
      <c r="AI430" s="49">
        <f t="shared" si="113"/>
        <v>1.7479166666666666</v>
      </c>
      <c r="AJ430" s="1">
        <v>28</v>
      </c>
      <c r="AK430" s="50" t="str">
        <f t="shared" si="114"/>
        <v>RUIM</v>
      </c>
    </row>
    <row r="431" spans="1:37" x14ac:dyDescent="0.4">
      <c r="A431" s="2">
        <v>1584</v>
      </c>
      <c r="B431" s="16">
        <v>45985</v>
      </c>
      <c r="C431" s="22">
        <f t="shared" si="115"/>
        <v>45985</v>
      </c>
      <c r="D431" s="23">
        <f t="shared" si="118"/>
        <v>0</v>
      </c>
      <c r="E431" s="14">
        <v>45986.40625</v>
      </c>
      <c r="F431" s="12">
        <f t="shared" si="116"/>
        <v>45986</v>
      </c>
      <c r="G431" s="24">
        <f t="shared" si="119"/>
        <v>0.40625</v>
      </c>
      <c r="H431" s="14"/>
      <c r="I431" s="14"/>
      <c r="J431" s="29"/>
      <c r="K431" s="30"/>
      <c r="M431" s="17">
        <v>26.13</v>
      </c>
      <c r="N431" s="7">
        <f t="shared" si="106"/>
        <v>31.355999999999998</v>
      </c>
      <c r="O431" s="5">
        <v>4</v>
      </c>
      <c r="P431" s="3"/>
      <c r="Q431" s="5">
        <v>27.35</v>
      </c>
      <c r="R431" s="7">
        <f t="shared" si="107"/>
        <v>32.82</v>
      </c>
      <c r="S431" s="5">
        <v>4</v>
      </c>
      <c r="U431" s="10"/>
      <c r="V431" s="11" t="str">
        <f t="shared" si="108"/>
        <v/>
      </c>
      <c r="W431" s="6"/>
      <c r="Y431" s="10"/>
      <c r="Z431" s="11" t="str">
        <f t="shared" si="109"/>
        <v/>
      </c>
      <c r="AA431" s="6"/>
      <c r="AB431" s="1">
        <v>1.2</v>
      </c>
      <c r="AC431" s="53" t="str">
        <f t="shared" si="110"/>
        <v>33:45</v>
      </c>
      <c r="AD431" s="52" t="str">
        <f t="shared" si="111"/>
        <v>00:00</v>
      </c>
      <c r="AE431" s="52" t="str">
        <f t="shared" si="112"/>
        <v>00:00</v>
      </c>
      <c r="AF431" s="14">
        <f t="shared" si="120"/>
        <v>45986.40625</v>
      </c>
      <c r="AG431" s="12">
        <f t="shared" si="117"/>
        <v>45986</v>
      </c>
      <c r="AH431" s="24">
        <f t="shared" si="121"/>
        <v>0.40625</v>
      </c>
      <c r="AI431" s="49">
        <f t="shared" si="113"/>
        <v>1.40625</v>
      </c>
      <c r="AJ431" s="1">
        <v>28</v>
      </c>
      <c r="AK431" s="50" t="str">
        <f t="shared" si="114"/>
        <v>RUIM</v>
      </c>
    </row>
    <row r="432" spans="1:37" x14ac:dyDescent="0.4">
      <c r="A432" s="2">
        <v>1585</v>
      </c>
      <c r="B432" s="16">
        <v>45985.625</v>
      </c>
      <c r="C432" s="22">
        <f t="shared" si="115"/>
        <v>45985</v>
      </c>
      <c r="D432" s="23">
        <f t="shared" si="118"/>
        <v>0.625</v>
      </c>
      <c r="E432" s="14">
        <v>45986.407638888886</v>
      </c>
      <c r="F432" s="12">
        <f t="shared" si="116"/>
        <v>45986</v>
      </c>
      <c r="G432" s="24">
        <f t="shared" si="119"/>
        <v>0.40763888888614019</v>
      </c>
      <c r="H432" s="14"/>
      <c r="I432" s="14"/>
      <c r="J432" s="29"/>
      <c r="K432" s="30"/>
      <c r="M432" s="17">
        <v>26.79</v>
      </c>
      <c r="N432" s="7">
        <f t="shared" si="106"/>
        <v>32.147999999999996</v>
      </c>
      <c r="O432" s="5">
        <v>4</v>
      </c>
      <c r="P432" s="3"/>
      <c r="Q432" s="5">
        <v>26.84</v>
      </c>
      <c r="R432" s="7">
        <f t="shared" si="107"/>
        <v>32.207999999999998</v>
      </c>
      <c r="S432" s="5">
        <v>4</v>
      </c>
      <c r="U432" s="10"/>
      <c r="V432" s="11" t="str">
        <f t="shared" si="108"/>
        <v/>
      </c>
      <c r="W432" s="6"/>
      <c r="Y432" s="10"/>
      <c r="Z432" s="11" t="str">
        <f t="shared" si="109"/>
        <v/>
      </c>
      <c r="AA432" s="6"/>
      <c r="AB432" s="1">
        <v>1.2</v>
      </c>
      <c r="AC432" s="53" t="str">
        <f t="shared" si="110"/>
        <v>18:47</v>
      </c>
      <c r="AD432" s="52" t="str">
        <f t="shared" si="111"/>
        <v>00:00</v>
      </c>
      <c r="AE432" s="52" t="str">
        <f t="shared" si="112"/>
        <v>00:00</v>
      </c>
      <c r="AF432" s="14">
        <f t="shared" si="120"/>
        <v>45986.407638888886</v>
      </c>
      <c r="AG432" s="12">
        <f t="shared" si="117"/>
        <v>45986</v>
      </c>
      <c r="AH432" s="24">
        <f t="shared" si="121"/>
        <v>0.40763888888614019</v>
      </c>
      <c r="AI432" s="49">
        <f t="shared" si="113"/>
        <v>0.78263888888888888</v>
      </c>
      <c r="AJ432" s="1">
        <v>28</v>
      </c>
      <c r="AK432" s="50" t="str">
        <f t="shared" si="114"/>
        <v>BOM</v>
      </c>
    </row>
    <row r="433" spans="1:37" x14ac:dyDescent="0.4">
      <c r="A433" s="2">
        <v>1586</v>
      </c>
      <c r="B433" s="16">
        <v>45985.649305555555</v>
      </c>
      <c r="C433" s="22">
        <f t="shared" si="115"/>
        <v>45985</v>
      </c>
      <c r="D433" s="23">
        <f t="shared" si="118"/>
        <v>0.64930555555474712</v>
      </c>
      <c r="E433" s="14">
        <v>45986.409722222219</v>
      </c>
      <c r="F433" s="12">
        <f t="shared" si="116"/>
        <v>45986</v>
      </c>
      <c r="G433" s="24">
        <f t="shared" si="119"/>
        <v>0.40972222221898846</v>
      </c>
      <c r="H433" s="14"/>
      <c r="I433" s="14"/>
      <c r="J433" s="29"/>
      <c r="K433" s="30"/>
      <c r="M433" s="17">
        <v>29.38</v>
      </c>
      <c r="N433" s="7">
        <f t="shared" si="106"/>
        <v>35.256</v>
      </c>
      <c r="O433" s="5">
        <v>4</v>
      </c>
      <c r="P433" s="3"/>
      <c r="Q433" s="5">
        <v>28.74</v>
      </c>
      <c r="R433" s="7">
        <f t="shared" si="107"/>
        <v>34.488</v>
      </c>
      <c r="S433" s="5">
        <v>4</v>
      </c>
      <c r="U433" s="10"/>
      <c r="V433" s="11" t="str">
        <f t="shared" si="108"/>
        <v/>
      </c>
      <c r="W433" s="6"/>
      <c r="Y433" s="10"/>
      <c r="Z433" s="11" t="str">
        <f t="shared" si="109"/>
        <v/>
      </c>
      <c r="AA433" s="6"/>
      <c r="AB433" s="1">
        <v>1.2</v>
      </c>
      <c r="AC433" s="53" t="str">
        <f t="shared" si="110"/>
        <v>18:15</v>
      </c>
      <c r="AD433" s="52" t="str">
        <f t="shared" si="111"/>
        <v>00:00</v>
      </c>
      <c r="AE433" s="52" t="str">
        <f t="shared" si="112"/>
        <v>00:00</v>
      </c>
      <c r="AF433" s="14">
        <f t="shared" si="120"/>
        <v>45986.409722222219</v>
      </c>
      <c r="AG433" s="12">
        <f t="shared" si="117"/>
        <v>45986</v>
      </c>
      <c r="AH433" s="24">
        <f t="shared" si="121"/>
        <v>0.40972222221898846</v>
      </c>
      <c r="AI433" s="49">
        <f t="shared" si="113"/>
        <v>0.76041666666666663</v>
      </c>
      <c r="AJ433" s="1">
        <v>28</v>
      </c>
      <c r="AK433" s="50" t="str">
        <f t="shared" si="114"/>
        <v>BOM</v>
      </c>
    </row>
    <row r="434" spans="1:37" x14ac:dyDescent="0.4">
      <c r="A434" s="2">
        <v>1587</v>
      </c>
      <c r="B434" s="16">
        <v>45985.666666666664</v>
      </c>
      <c r="C434" s="22">
        <f t="shared" si="115"/>
        <v>45985</v>
      </c>
      <c r="D434" s="23">
        <f t="shared" si="118"/>
        <v>0.66666666666424135</v>
      </c>
      <c r="E434" s="14">
        <v>45986.411111111112</v>
      </c>
      <c r="F434" s="12">
        <f t="shared" si="116"/>
        <v>45986</v>
      </c>
      <c r="G434" s="24">
        <f t="shared" si="119"/>
        <v>0.41111111111240461</v>
      </c>
      <c r="H434" s="14"/>
      <c r="I434" s="14"/>
      <c r="J434" s="29"/>
      <c r="K434" s="30"/>
      <c r="M434" s="17">
        <v>26.88</v>
      </c>
      <c r="N434" s="7">
        <f t="shared" si="106"/>
        <v>32.256</v>
      </c>
      <c r="O434" s="5">
        <v>4</v>
      </c>
      <c r="P434" s="3"/>
      <c r="Q434" s="5">
        <v>27.7</v>
      </c>
      <c r="R434" s="7">
        <f t="shared" si="107"/>
        <v>33.239999999999995</v>
      </c>
      <c r="S434" s="5">
        <v>4</v>
      </c>
      <c r="U434" s="10"/>
      <c r="V434" s="11" t="str">
        <f t="shared" si="108"/>
        <v/>
      </c>
      <c r="W434" s="6"/>
      <c r="Y434" s="10"/>
      <c r="Z434" s="11" t="str">
        <f t="shared" si="109"/>
        <v/>
      </c>
      <c r="AA434" s="6"/>
      <c r="AB434" s="1">
        <v>1.2</v>
      </c>
      <c r="AC434" s="53" t="str">
        <f t="shared" si="110"/>
        <v>17:52</v>
      </c>
      <c r="AD434" s="52" t="str">
        <f t="shared" si="111"/>
        <v>00:00</v>
      </c>
      <c r="AE434" s="52" t="str">
        <f t="shared" si="112"/>
        <v>00:00</v>
      </c>
      <c r="AF434" s="14">
        <f t="shared" si="120"/>
        <v>45986.411111111112</v>
      </c>
      <c r="AG434" s="12">
        <f t="shared" si="117"/>
        <v>45986</v>
      </c>
      <c r="AH434" s="24">
        <f t="shared" si="121"/>
        <v>0.41111111111240461</v>
      </c>
      <c r="AI434" s="49">
        <f t="shared" si="113"/>
        <v>0.74444444444444446</v>
      </c>
      <c r="AJ434" s="1">
        <v>28</v>
      </c>
      <c r="AK434" s="50" t="str">
        <f t="shared" si="114"/>
        <v>BOM</v>
      </c>
    </row>
    <row r="435" spans="1:37" x14ac:dyDescent="0.4">
      <c r="A435" s="2">
        <v>1588</v>
      </c>
      <c r="B435" s="16">
        <v>45985.701388888891</v>
      </c>
      <c r="C435" s="22">
        <f t="shared" si="115"/>
        <v>45985</v>
      </c>
      <c r="D435" s="23">
        <f t="shared" si="118"/>
        <v>0.70138888889050577</v>
      </c>
      <c r="E435" s="14">
        <v>45986.413194444445</v>
      </c>
      <c r="F435" s="12">
        <f t="shared" si="116"/>
        <v>45986</v>
      </c>
      <c r="G435" s="24">
        <f t="shared" si="119"/>
        <v>0.41319444444525288</v>
      </c>
      <c r="H435" s="14"/>
      <c r="I435" s="14"/>
      <c r="J435" s="29"/>
      <c r="K435" s="30"/>
      <c r="M435" s="17">
        <v>24.68</v>
      </c>
      <c r="N435" s="7">
        <f t="shared" si="106"/>
        <v>29.616</v>
      </c>
      <c r="O435" s="5">
        <v>4</v>
      </c>
      <c r="P435" s="3"/>
      <c r="Q435" s="5">
        <v>25.51</v>
      </c>
      <c r="R435" s="7">
        <f t="shared" si="107"/>
        <v>30.612000000000002</v>
      </c>
      <c r="S435" s="5">
        <v>4</v>
      </c>
      <c r="U435" s="10"/>
      <c r="V435" s="11" t="str">
        <f t="shared" si="108"/>
        <v/>
      </c>
      <c r="W435" s="6"/>
      <c r="Y435" s="10"/>
      <c r="Z435" s="11" t="str">
        <f t="shared" si="109"/>
        <v/>
      </c>
      <c r="AA435" s="6"/>
      <c r="AB435" s="1">
        <v>1.2</v>
      </c>
      <c r="AC435" s="53" t="str">
        <f t="shared" si="110"/>
        <v>17:05</v>
      </c>
      <c r="AD435" s="52" t="str">
        <f t="shared" si="111"/>
        <v>00:00</v>
      </c>
      <c r="AE435" s="52" t="str">
        <f t="shared" si="112"/>
        <v>00:00</v>
      </c>
      <c r="AF435" s="14">
        <f t="shared" si="120"/>
        <v>45986.413194444445</v>
      </c>
      <c r="AG435" s="12">
        <f t="shared" si="117"/>
        <v>45986</v>
      </c>
      <c r="AH435" s="24">
        <f t="shared" si="121"/>
        <v>0.41319444444525288</v>
      </c>
      <c r="AI435" s="49">
        <f t="shared" si="113"/>
        <v>0.71180555555555558</v>
      </c>
      <c r="AJ435" s="1">
        <v>28</v>
      </c>
      <c r="AK435" s="50" t="str">
        <f t="shared" si="114"/>
        <v>BOM</v>
      </c>
    </row>
    <row r="436" spans="1:37" x14ac:dyDescent="0.4">
      <c r="A436" s="2">
        <v>1589</v>
      </c>
      <c r="B436" s="16">
        <v>45986.576388888891</v>
      </c>
      <c r="C436" s="22">
        <f t="shared" si="115"/>
        <v>45986</v>
      </c>
      <c r="D436" s="23">
        <f t="shared" si="118"/>
        <v>0.57638888889050577</v>
      </c>
      <c r="E436" s="14">
        <v>45987.363194444442</v>
      </c>
      <c r="F436" s="12">
        <f t="shared" si="116"/>
        <v>45987</v>
      </c>
      <c r="G436" s="24">
        <f t="shared" si="119"/>
        <v>0.3631944444423425</v>
      </c>
      <c r="H436" s="14">
        <v>45987.501388888886</v>
      </c>
      <c r="I436" s="14"/>
      <c r="J436" s="29">
        <v>15.34</v>
      </c>
      <c r="K436" s="30"/>
      <c r="M436" s="17">
        <v>23.68</v>
      </c>
      <c r="N436" s="7">
        <f t="shared" si="106"/>
        <v>28.416</v>
      </c>
      <c r="O436" s="5">
        <v>4</v>
      </c>
      <c r="P436" s="3"/>
      <c r="Q436" s="5">
        <v>22.6</v>
      </c>
      <c r="R436" s="7">
        <f t="shared" si="107"/>
        <v>27.12</v>
      </c>
      <c r="S436" s="5">
        <v>4</v>
      </c>
      <c r="U436" s="10"/>
      <c r="V436" s="11" t="str">
        <f t="shared" si="108"/>
        <v/>
      </c>
      <c r="W436" s="6"/>
      <c r="Y436" s="10"/>
      <c r="Z436" s="11" t="str">
        <f t="shared" si="109"/>
        <v/>
      </c>
      <c r="AA436" s="6"/>
      <c r="AB436" s="1">
        <v>1.2</v>
      </c>
      <c r="AC436" s="53" t="str">
        <f t="shared" si="110"/>
        <v>18:53</v>
      </c>
      <c r="AD436" s="52" t="str">
        <f t="shared" si="111"/>
        <v>22:12</v>
      </c>
      <c r="AE436" s="52" t="str">
        <f t="shared" si="112"/>
        <v>00:00</v>
      </c>
      <c r="AF436" s="14">
        <f t="shared" si="120"/>
        <v>45987.501388888886</v>
      </c>
      <c r="AG436" s="12">
        <f t="shared" si="117"/>
        <v>45987</v>
      </c>
      <c r="AH436" s="24">
        <f t="shared" si="121"/>
        <v>0.50138888888614019</v>
      </c>
      <c r="AI436" s="49">
        <f t="shared" si="113"/>
        <v>0.92500000000000004</v>
      </c>
      <c r="AJ436" s="1">
        <v>28</v>
      </c>
      <c r="AK436" s="50" t="str">
        <f t="shared" si="114"/>
        <v>RUIM</v>
      </c>
    </row>
    <row r="437" spans="1:37" x14ac:dyDescent="0.4">
      <c r="A437" s="2">
        <v>1590</v>
      </c>
      <c r="B437" s="16">
        <v>45986.612500000003</v>
      </c>
      <c r="C437" s="22">
        <f t="shared" si="115"/>
        <v>45986</v>
      </c>
      <c r="D437" s="23">
        <f t="shared" si="118"/>
        <v>0.61250000000291038</v>
      </c>
      <c r="E437" s="14">
        <v>45987.368055555555</v>
      </c>
      <c r="F437" s="12">
        <f t="shared" si="116"/>
        <v>45987</v>
      </c>
      <c r="G437" s="24">
        <f t="shared" si="119"/>
        <v>0.36805555555474712</v>
      </c>
      <c r="H437" s="14"/>
      <c r="I437" s="14"/>
      <c r="J437" s="29"/>
      <c r="K437" s="30"/>
      <c r="M437" s="17">
        <v>26.23</v>
      </c>
      <c r="N437" s="7">
        <f t="shared" si="106"/>
        <v>31.475999999999999</v>
      </c>
      <c r="O437" s="5">
        <v>4</v>
      </c>
      <c r="P437" s="3"/>
      <c r="Q437" s="5">
        <v>26.5</v>
      </c>
      <c r="R437" s="7">
        <f t="shared" si="107"/>
        <v>31.799999999999997</v>
      </c>
      <c r="S437" s="5">
        <v>4</v>
      </c>
      <c r="U437" s="10"/>
      <c r="V437" s="11" t="str">
        <f t="shared" si="108"/>
        <v/>
      </c>
      <c r="W437" s="6"/>
      <c r="Y437" s="10"/>
      <c r="Z437" s="11" t="str">
        <f t="shared" si="109"/>
        <v/>
      </c>
      <c r="AA437" s="6"/>
      <c r="AB437" s="1">
        <v>1.2</v>
      </c>
      <c r="AC437" s="53" t="str">
        <f t="shared" si="110"/>
        <v>18:08</v>
      </c>
      <c r="AD437" s="52" t="str">
        <f t="shared" si="111"/>
        <v>00:00</v>
      </c>
      <c r="AE437" s="52" t="str">
        <f t="shared" si="112"/>
        <v>00:00</v>
      </c>
      <c r="AF437" s="14">
        <f t="shared" si="120"/>
        <v>45987.368055555555</v>
      </c>
      <c r="AG437" s="12">
        <f t="shared" si="117"/>
        <v>45987</v>
      </c>
      <c r="AH437" s="24">
        <f t="shared" si="121"/>
        <v>0.36805555555474712</v>
      </c>
      <c r="AI437" s="49">
        <f t="shared" si="113"/>
        <v>0.75555555555555554</v>
      </c>
      <c r="AJ437" s="1">
        <v>28</v>
      </c>
      <c r="AK437" s="50" t="str">
        <f t="shared" si="114"/>
        <v>BOM</v>
      </c>
    </row>
    <row r="438" spans="1:37" x14ac:dyDescent="0.4">
      <c r="A438" s="2">
        <v>1591</v>
      </c>
      <c r="B438" s="16">
        <v>45986.645833333336</v>
      </c>
      <c r="C438" s="22">
        <f t="shared" si="115"/>
        <v>45986</v>
      </c>
      <c r="D438" s="23">
        <f t="shared" si="118"/>
        <v>0.64583333333575865</v>
      </c>
      <c r="E438" s="14">
        <v>45987.370138888888</v>
      </c>
      <c r="F438" s="12">
        <f t="shared" si="116"/>
        <v>45987</v>
      </c>
      <c r="G438" s="24">
        <f t="shared" si="119"/>
        <v>0.37013888888759539</v>
      </c>
      <c r="H438" s="14"/>
      <c r="I438" s="14"/>
      <c r="J438" s="29"/>
      <c r="K438" s="30"/>
      <c r="M438" s="17">
        <v>21.52</v>
      </c>
      <c r="N438" s="7">
        <f t="shared" si="106"/>
        <v>25.823999999999998</v>
      </c>
      <c r="O438" s="5">
        <v>4</v>
      </c>
      <c r="P438" s="3"/>
      <c r="Q438" s="5">
        <v>22.48</v>
      </c>
      <c r="R438" s="7">
        <f t="shared" si="107"/>
        <v>26.975999999999999</v>
      </c>
      <c r="S438" s="5">
        <v>4</v>
      </c>
      <c r="U438" s="10"/>
      <c r="V438" s="11" t="str">
        <f t="shared" si="108"/>
        <v/>
      </c>
      <c r="W438" s="6"/>
      <c r="Y438" s="10"/>
      <c r="Z438" s="11" t="str">
        <f t="shared" si="109"/>
        <v/>
      </c>
      <c r="AA438" s="6"/>
      <c r="AB438" s="1">
        <v>1.2</v>
      </c>
      <c r="AC438" s="53" t="str">
        <f t="shared" si="110"/>
        <v>17:23</v>
      </c>
      <c r="AD438" s="52" t="str">
        <f t="shared" si="111"/>
        <v>00:00</v>
      </c>
      <c r="AE438" s="52" t="str">
        <f t="shared" si="112"/>
        <v>00:00</v>
      </c>
      <c r="AF438" s="14">
        <f t="shared" si="120"/>
        <v>45987.370138888888</v>
      </c>
      <c r="AG438" s="12">
        <f t="shared" si="117"/>
        <v>45987</v>
      </c>
      <c r="AH438" s="24">
        <f t="shared" si="121"/>
        <v>0.37013888888759539</v>
      </c>
      <c r="AI438" s="49">
        <f t="shared" si="113"/>
        <v>0.72430555555555554</v>
      </c>
      <c r="AJ438" s="1">
        <v>28</v>
      </c>
      <c r="AK438" s="50" t="str">
        <f t="shared" si="114"/>
        <v>BOM</v>
      </c>
    </row>
    <row r="439" spans="1:37" x14ac:dyDescent="0.4">
      <c r="A439" s="2">
        <v>1592</v>
      </c>
      <c r="B439" s="16">
        <v>45986.677083333336</v>
      </c>
      <c r="C439" s="22">
        <f t="shared" si="115"/>
        <v>45986</v>
      </c>
      <c r="D439" s="23">
        <f t="shared" si="118"/>
        <v>0.67708333333575865</v>
      </c>
      <c r="E439" s="14">
        <v>45987.370833333334</v>
      </c>
      <c r="F439" s="12">
        <f t="shared" si="116"/>
        <v>45987</v>
      </c>
      <c r="G439" s="24">
        <f t="shared" si="119"/>
        <v>0.37083333333430346</v>
      </c>
      <c r="H439" s="14"/>
      <c r="I439" s="14"/>
      <c r="J439" s="29"/>
      <c r="K439" s="30"/>
      <c r="M439" s="17">
        <v>23</v>
      </c>
      <c r="N439" s="7">
        <f t="shared" si="106"/>
        <v>27.599999999999998</v>
      </c>
      <c r="O439" s="5">
        <v>4</v>
      </c>
      <c r="P439" s="3"/>
      <c r="Q439" s="5">
        <v>24.17</v>
      </c>
      <c r="R439" s="7">
        <f t="shared" si="107"/>
        <v>29.004000000000001</v>
      </c>
      <c r="S439" s="5">
        <v>4</v>
      </c>
      <c r="U439" s="10"/>
      <c r="V439" s="11" t="str">
        <f t="shared" si="108"/>
        <v/>
      </c>
      <c r="W439" s="6"/>
      <c r="Y439" s="10"/>
      <c r="Z439" s="11" t="str">
        <f t="shared" si="109"/>
        <v/>
      </c>
      <c r="AA439" s="6"/>
      <c r="AB439" s="1">
        <v>1.2</v>
      </c>
      <c r="AC439" s="53" t="str">
        <f t="shared" si="110"/>
        <v>16:39</v>
      </c>
      <c r="AD439" s="52" t="str">
        <f t="shared" si="111"/>
        <v>00:00</v>
      </c>
      <c r="AE439" s="52" t="str">
        <f t="shared" si="112"/>
        <v>00:00</v>
      </c>
      <c r="AF439" s="14">
        <f t="shared" si="120"/>
        <v>45987.370833333334</v>
      </c>
      <c r="AG439" s="12">
        <f t="shared" si="117"/>
        <v>45987</v>
      </c>
      <c r="AH439" s="24">
        <f t="shared" si="121"/>
        <v>0.37083333333430346</v>
      </c>
      <c r="AI439" s="49">
        <f t="shared" si="113"/>
        <v>0.69374999999999998</v>
      </c>
      <c r="AJ439" s="1">
        <v>28</v>
      </c>
      <c r="AK439" s="50" t="str">
        <f t="shared" si="114"/>
        <v>BOM</v>
      </c>
    </row>
    <row r="440" spans="1:37" x14ac:dyDescent="0.4">
      <c r="A440" s="2">
        <v>1593</v>
      </c>
      <c r="B440" s="16">
        <v>45986.708333333336</v>
      </c>
      <c r="C440" s="22">
        <f t="shared" si="115"/>
        <v>45986</v>
      </c>
      <c r="D440" s="23">
        <f t="shared" si="118"/>
        <v>0.70833333333575865</v>
      </c>
      <c r="E440" s="14">
        <v>45987.374305555553</v>
      </c>
      <c r="F440" s="12">
        <f t="shared" si="116"/>
        <v>45987</v>
      </c>
      <c r="G440" s="24">
        <f t="shared" si="119"/>
        <v>0.37430555555329192</v>
      </c>
      <c r="H440" s="14"/>
      <c r="I440" s="14"/>
      <c r="J440" s="29"/>
      <c r="K440" s="30"/>
      <c r="M440" s="17">
        <v>23.85</v>
      </c>
      <c r="N440" s="7">
        <f t="shared" si="106"/>
        <v>28.62</v>
      </c>
      <c r="O440" s="5">
        <v>4</v>
      </c>
      <c r="P440" s="3"/>
      <c r="Q440" s="5">
        <v>24.45</v>
      </c>
      <c r="R440" s="7">
        <f t="shared" si="107"/>
        <v>29.339999999999996</v>
      </c>
      <c r="S440" s="5">
        <v>4</v>
      </c>
      <c r="U440" s="10"/>
      <c r="V440" s="11" t="str">
        <f t="shared" si="108"/>
        <v/>
      </c>
      <c r="W440" s="6"/>
      <c r="Y440" s="10"/>
      <c r="Z440" s="11" t="str">
        <f t="shared" si="109"/>
        <v/>
      </c>
      <c r="AA440" s="6"/>
      <c r="AB440" s="1">
        <v>1.2</v>
      </c>
      <c r="AC440" s="53" t="str">
        <f t="shared" si="110"/>
        <v>15:59</v>
      </c>
      <c r="AD440" s="52" t="str">
        <f t="shared" si="111"/>
        <v>00:00</v>
      </c>
      <c r="AE440" s="52" t="str">
        <f t="shared" si="112"/>
        <v>00:00</v>
      </c>
      <c r="AF440" s="14">
        <f t="shared" si="120"/>
        <v>45987.374305555553</v>
      </c>
      <c r="AG440" s="12">
        <f t="shared" si="117"/>
        <v>45987</v>
      </c>
      <c r="AH440" s="24">
        <f t="shared" si="121"/>
        <v>0.37430555555329192</v>
      </c>
      <c r="AI440" s="49">
        <f t="shared" si="113"/>
        <v>0.66597222222222219</v>
      </c>
      <c r="AJ440" s="1">
        <v>28</v>
      </c>
      <c r="AK440" s="50" t="str">
        <f t="shared" si="114"/>
        <v>BOM</v>
      </c>
    </row>
    <row r="441" spans="1:37" x14ac:dyDescent="0.4">
      <c r="A441" s="2">
        <v>1594</v>
      </c>
      <c r="B441" s="16">
        <v>45986.729166666664</v>
      </c>
      <c r="C441" s="22">
        <f t="shared" si="115"/>
        <v>45986</v>
      </c>
      <c r="D441" s="23">
        <f t="shared" si="118"/>
        <v>0.72916666666424135</v>
      </c>
      <c r="E441" s="14">
        <v>45987.37777777778</v>
      </c>
      <c r="F441" s="12">
        <f t="shared" si="116"/>
        <v>45987</v>
      </c>
      <c r="G441" s="24">
        <f t="shared" si="119"/>
        <v>0.37777777777955635</v>
      </c>
      <c r="H441" s="14"/>
      <c r="I441" s="14"/>
      <c r="J441" s="29"/>
      <c r="K441" s="30"/>
      <c r="M441" s="17">
        <v>24.19</v>
      </c>
      <c r="N441" s="7">
        <f t="shared" si="106"/>
        <v>29.027999999999999</v>
      </c>
      <c r="O441" s="5">
        <v>4</v>
      </c>
      <c r="P441" s="3"/>
      <c r="Q441" s="5">
        <v>24.81</v>
      </c>
      <c r="R441" s="7">
        <f t="shared" si="107"/>
        <v>29.771999999999998</v>
      </c>
      <c r="S441" s="5">
        <v>4</v>
      </c>
      <c r="U441" s="10"/>
      <c r="V441" s="11" t="str">
        <f t="shared" si="108"/>
        <v/>
      </c>
      <c r="W441" s="6"/>
      <c r="Y441" s="10"/>
      <c r="Z441" s="11" t="str">
        <f t="shared" si="109"/>
        <v/>
      </c>
      <c r="AA441" s="6"/>
      <c r="AB441" s="1">
        <v>1.2</v>
      </c>
      <c r="AC441" s="53" t="str">
        <f t="shared" si="110"/>
        <v>15:34</v>
      </c>
      <c r="AD441" s="52" t="str">
        <f t="shared" si="111"/>
        <v>00:00</v>
      </c>
      <c r="AE441" s="52" t="str">
        <f t="shared" si="112"/>
        <v>00:00</v>
      </c>
      <c r="AF441" s="14">
        <f t="shared" si="120"/>
        <v>45987.37777777778</v>
      </c>
      <c r="AG441" s="12">
        <f t="shared" si="117"/>
        <v>45987</v>
      </c>
      <c r="AH441" s="24">
        <f t="shared" si="121"/>
        <v>0.37777777777955635</v>
      </c>
      <c r="AI441" s="49">
        <f t="shared" si="113"/>
        <v>0.64861111111111114</v>
      </c>
      <c r="AJ441" s="1">
        <v>28</v>
      </c>
      <c r="AK441" s="50" t="str">
        <f t="shared" si="114"/>
        <v>BOM</v>
      </c>
    </row>
    <row r="442" spans="1:37" x14ac:dyDescent="0.4">
      <c r="A442" s="2">
        <v>1595</v>
      </c>
      <c r="B442" s="16">
        <v>45988.416666666664</v>
      </c>
      <c r="C442" s="22">
        <f t="shared" si="115"/>
        <v>45988</v>
      </c>
      <c r="D442" s="23">
        <f t="shared" si="118"/>
        <v>0.41666666666424135</v>
      </c>
      <c r="E442" s="14">
        <v>45989.366666666669</v>
      </c>
      <c r="F442" s="12">
        <f t="shared" si="116"/>
        <v>45989</v>
      </c>
      <c r="G442" s="24">
        <f t="shared" si="119"/>
        <v>0.36666666666860692</v>
      </c>
      <c r="H442" s="14"/>
      <c r="I442" s="14"/>
      <c r="J442" s="29"/>
      <c r="K442" s="30"/>
      <c r="M442" s="17">
        <v>21.51</v>
      </c>
      <c r="N442" s="7">
        <f t="shared" si="106"/>
        <v>25.812000000000001</v>
      </c>
      <c r="O442" s="5">
        <v>4</v>
      </c>
      <c r="P442" s="3"/>
      <c r="Q442" s="5">
        <v>22.2</v>
      </c>
      <c r="R442" s="7">
        <f t="shared" si="107"/>
        <v>26.639999999999997</v>
      </c>
      <c r="S442" s="5">
        <v>4</v>
      </c>
      <c r="U442" s="10"/>
      <c r="V442" s="11" t="str">
        <f t="shared" si="108"/>
        <v/>
      </c>
      <c r="W442" s="6"/>
      <c r="Y442" s="10"/>
      <c r="Z442" s="11" t="str">
        <f t="shared" si="109"/>
        <v/>
      </c>
      <c r="AA442" s="6"/>
      <c r="AB442" s="1">
        <v>1.2</v>
      </c>
      <c r="AC442" s="53" t="str">
        <f t="shared" si="110"/>
        <v>22:48</v>
      </c>
      <c r="AD442" s="52" t="str">
        <f t="shared" si="111"/>
        <v>00:00</v>
      </c>
      <c r="AE442" s="52" t="str">
        <f t="shared" si="112"/>
        <v>00:00</v>
      </c>
      <c r="AF442" s="14">
        <f t="shared" si="120"/>
        <v>45989.366666666669</v>
      </c>
      <c r="AG442" s="12">
        <f t="shared" si="117"/>
        <v>45989</v>
      </c>
      <c r="AH442" s="24">
        <f t="shared" si="121"/>
        <v>0.36666666666860692</v>
      </c>
      <c r="AI442" s="49">
        <f t="shared" si="113"/>
        <v>0.95</v>
      </c>
      <c r="AJ442" s="1">
        <v>28</v>
      </c>
      <c r="AK442" s="50" t="str">
        <f t="shared" si="114"/>
        <v>RUIM</v>
      </c>
    </row>
    <row r="443" spans="1:37" x14ac:dyDescent="0.4">
      <c r="A443" s="2">
        <v>1596</v>
      </c>
      <c r="B443" s="16">
        <v>45988.438194444447</v>
      </c>
      <c r="C443" s="22">
        <f t="shared" si="115"/>
        <v>45988</v>
      </c>
      <c r="D443" s="23">
        <f t="shared" si="118"/>
        <v>0.43819444444670808</v>
      </c>
      <c r="E443" s="14">
        <v>45989.365972222222</v>
      </c>
      <c r="F443" s="12">
        <f t="shared" si="116"/>
        <v>45989</v>
      </c>
      <c r="G443" s="24">
        <f t="shared" si="119"/>
        <v>0.36597222222189885</v>
      </c>
      <c r="H443" s="14"/>
      <c r="I443" s="14"/>
      <c r="J443" s="29"/>
      <c r="K443" s="30"/>
      <c r="M443" s="17">
        <v>27.93</v>
      </c>
      <c r="N443" s="7">
        <f t="shared" si="106"/>
        <v>33.515999999999998</v>
      </c>
      <c r="O443" s="5">
        <v>4</v>
      </c>
      <c r="P443" s="3"/>
      <c r="Q443" s="5">
        <v>26.72</v>
      </c>
      <c r="R443" s="7">
        <f t="shared" si="107"/>
        <v>32.064</v>
      </c>
      <c r="S443" s="5">
        <v>4</v>
      </c>
      <c r="U443" s="10"/>
      <c r="V443" s="11" t="str">
        <f t="shared" si="108"/>
        <v/>
      </c>
      <c r="W443" s="6"/>
      <c r="Y443" s="10"/>
      <c r="Z443" s="11" t="str">
        <f t="shared" si="109"/>
        <v/>
      </c>
      <c r="AA443" s="6"/>
      <c r="AB443" s="1">
        <v>1.2</v>
      </c>
      <c r="AC443" s="53" t="str">
        <f t="shared" si="110"/>
        <v>22:16</v>
      </c>
      <c r="AD443" s="52" t="str">
        <f t="shared" si="111"/>
        <v>00:00</v>
      </c>
      <c r="AE443" s="52" t="str">
        <f t="shared" si="112"/>
        <v>00:00</v>
      </c>
      <c r="AF443" s="14">
        <f t="shared" si="120"/>
        <v>45989.365972222222</v>
      </c>
      <c r="AG443" s="12">
        <f t="shared" si="117"/>
        <v>45989</v>
      </c>
      <c r="AH443" s="24">
        <f t="shared" si="121"/>
        <v>0.36597222222189885</v>
      </c>
      <c r="AI443" s="49">
        <f t="shared" si="113"/>
        <v>0.92777777777777781</v>
      </c>
      <c r="AJ443" s="1">
        <v>28</v>
      </c>
      <c r="AK443" s="50" t="str">
        <f t="shared" si="114"/>
        <v>RUIM</v>
      </c>
    </row>
    <row r="444" spans="1:37" x14ac:dyDescent="0.4">
      <c r="A444" s="2">
        <v>1597</v>
      </c>
      <c r="B444" s="16">
        <v>45988.458333333336</v>
      </c>
      <c r="C444" s="22">
        <f t="shared" si="115"/>
        <v>45988</v>
      </c>
      <c r="D444" s="23">
        <f t="shared" si="118"/>
        <v>0.45833333333575865</v>
      </c>
      <c r="E444" s="14">
        <v>45989.363194444442</v>
      </c>
      <c r="F444" s="12">
        <f t="shared" si="116"/>
        <v>45989</v>
      </c>
      <c r="G444" s="24">
        <f t="shared" si="119"/>
        <v>0.3631944444423425</v>
      </c>
      <c r="H444" s="14"/>
      <c r="I444" s="14"/>
      <c r="J444" s="29"/>
      <c r="K444" s="30"/>
      <c r="M444" s="17">
        <v>27.22</v>
      </c>
      <c r="N444" s="7">
        <f t="shared" si="106"/>
        <v>32.663999999999994</v>
      </c>
      <c r="O444" s="5">
        <v>4</v>
      </c>
      <c r="P444" s="3"/>
      <c r="Q444" s="5">
        <v>27.42</v>
      </c>
      <c r="R444" s="7">
        <f t="shared" si="107"/>
        <v>32.904000000000003</v>
      </c>
      <c r="S444" s="5">
        <v>4</v>
      </c>
      <c r="U444" s="10"/>
      <c r="V444" s="11" t="str">
        <f t="shared" si="108"/>
        <v/>
      </c>
      <c r="W444" s="6"/>
      <c r="Y444" s="10"/>
      <c r="Z444" s="11" t="str">
        <f t="shared" si="109"/>
        <v/>
      </c>
      <c r="AA444" s="6"/>
      <c r="AB444" s="1">
        <v>1.2</v>
      </c>
      <c r="AC444" s="53" t="str">
        <f t="shared" si="110"/>
        <v>21:43</v>
      </c>
      <c r="AD444" s="52" t="str">
        <f t="shared" si="111"/>
        <v>00:00</v>
      </c>
      <c r="AE444" s="52" t="str">
        <f t="shared" si="112"/>
        <v>00:00</v>
      </c>
      <c r="AF444" s="14">
        <f t="shared" si="120"/>
        <v>45989.363194444442</v>
      </c>
      <c r="AG444" s="12">
        <f t="shared" si="117"/>
        <v>45989</v>
      </c>
      <c r="AH444" s="24">
        <f t="shared" si="121"/>
        <v>0.3631944444423425</v>
      </c>
      <c r="AI444" s="49">
        <f t="shared" si="113"/>
        <v>0.90486111111111112</v>
      </c>
      <c r="AJ444" s="1">
        <v>28</v>
      </c>
      <c r="AK444" s="50" t="str">
        <f t="shared" si="114"/>
        <v>RUIM</v>
      </c>
    </row>
    <row r="445" spans="1:37" x14ac:dyDescent="0.4">
      <c r="A445" s="2">
        <v>1598</v>
      </c>
      <c r="B445" s="16">
        <v>45988.484722222223</v>
      </c>
      <c r="C445" s="22">
        <f t="shared" si="115"/>
        <v>45988</v>
      </c>
      <c r="D445" s="23">
        <f t="shared" si="118"/>
        <v>0.48472222222335404</v>
      </c>
      <c r="E445" s="14">
        <v>45989.361805555556</v>
      </c>
      <c r="F445" s="12">
        <f t="shared" si="116"/>
        <v>45989</v>
      </c>
      <c r="G445" s="24">
        <f t="shared" si="119"/>
        <v>0.36180555555620231</v>
      </c>
      <c r="H445" s="14"/>
      <c r="I445" s="14"/>
      <c r="J445" s="29"/>
      <c r="K445" s="30"/>
      <c r="M445" s="17">
        <v>28.94</v>
      </c>
      <c r="N445" s="7">
        <f t="shared" si="106"/>
        <v>34.728000000000002</v>
      </c>
      <c r="O445" s="5">
        <v>4</v>
      </c>
      <c r="P445" s="3"/>
      <c r="Q445" s="5">
        <v>26.92</v>
      </c>
      <c r="R445" s="7">
        <f t="shared" si="107"/>
        <v>32.304000000000002</v>
      </c>
      <c r="S445" s="5">
        <v>4</v>
      </c>
      <c r="U445" s="10"/>
      <c r="V445" s="11" t="str">
        <f t="shared" si="108"/>
        <v/>
      </c>
      <c r="W445" s="6"/>
      <c r="Y445" s="10"/>
      <c r="Z445" s="11" t="str">
        <f t="shared" si="109"/>
        <v/>
      </c>
      <c r="AA445" s="6"/>
      <c r="AB445" s="1">
        <v>1.2</v>
      </c>
      <c r="AC445" s="53" t="str">
        <f t="shared" si="110"/>
        <v>21:03</v>
      </c>
      <c r="AD445" s="52" t="str">
        <f t="shared" si="111"/>
        <v>00:00</v>
      </c>
      <c r="AE445" s="52" t="str">
        <f t="shared" si="112"/>
        <v>00:00</v>
      </c>
      <c r="AF445" s="14">
        <f t="shared" si="120"/>
        <v>45989.361805555556</v>
      </c>
      <c r="AG445" s="12">
        <f t="shared" si="117"/>
        <v>45989</v>
      </c>
      <c r="AH445" s="24">
        <f t="shared" si="121"/>
        <v>0.36180555555620231</v>
      </c>
      <c r="AI445" s="49">
        <f t="shared" si="113"/>
        <v>0.87708333333333333</v>
      </c>
      <c r="AJ445" s="1">
        <v>28</v>
      </c>
      <c r="AK445" s="50" t="str">
        <f t="shared" si="114"/>
        <v>RUIM</v>
      </c>
    </row>
    <row r="446" spans="1:37" x14ac:dyDescent="0.4">
      <c r="A446" s="2">
        <v>1599</v>
      </c>
      <c r="B446" s="16">
        <v>45988.503472222219</v>
      </c>
      <c r="C446" s="22">
        <f t="shared" si="115"/>
        <v>45988</v>
      </c>
      <c r="D446" s="23">
        <f t="shared" si="118"/>
        <v>0.50347222221898846</v>
      </c>
      <c r="E446" s="14">
        <v>45989.359722222223</v>
      </c>
      <c r="F446" s="12">
        <f t="shared" si="116"/>
        <v>45989</v>
      </c>
      <c r="G446" s="24">
        <f t="shared" si="119"/>
        <v>0.35972222222335404</v>
      </c>
      <c r="H446" s="14"/>
      <c r="I446" s="14"/>
      <c r="J446" s="29"/>
      <c r="K446" s="30"/>
      <c r="M446" s="17">
        <v>24.34</v>
      </c>
      <c r="N446" s="7">
        <f t="shared" si="106"/>
        <v>29.207999999999998</v>
      </c>
      <c r="O446" s="5">
        <v>4</v>
      </c>
      <c r="P446" s="3"/>
      <c r="Q446" s="5">
        <v>25.51</v>
      </c>
      <c r="R446" s="7">
        <f t="shared" si="107"/>
        <v>30.612000000000002</v>
      </c>
      <c r="S446" s="5">
        <v>4</v>
      </c>
      <c r="U446" s="10"/>
      <c r="V446" s="11" t="str">
        <f t="shared" si="108"/>
        <v/>
      </c>
      <c r="W446" s="6"/>
      <c r="Y446" s="10"/>
      <c r="Z446" s="11" t="str">
        <f t="shared" si="109"/>
        <v/>
      </c>
      <c r="AA446" s="6"/>
      <c r="AB446" s="1">
        <v>1.2</v>
      </c>
      <c r="AC446" s="53" t="str">
        <f t="shared" si="110"/>
        <v>20:33</v>
      </c>
      <c r="AD446" s="52" t="str">
        <f t="shared" si="111"/>
        <v>00:00</v>
      </c>
      <c r="AE446" s="52" t="str">
        <f t="shared" si="112"/>
        <v>00:00</v>
      </c>
      <c r="AF446" s="14">
        <f t="shared" si="120"/>
        <v>45989.359722222223</v>
      </c>
      <c r="AG446" s="12">
        <f t="shared" si="117"/>
        <v>45989</v>
      </c>
      <c r="AH446" s="24">
        <f t="shared" si="121"/>
        <v>0.35972222222335404</v>
      </c>
      <c r="AI446" s="49">
        <f t="shared" si="113"/>
        <v>0.85624999999999996</v>
      </c>
      <c r="AJ446" s="1">
        <v>28</v>
      </c>
      <c r="AK446" s="50" t="str">
        <f t="shared" si="114"/>
        <v>RUIM</v>
      </c>
    </row>
    <row r="447" spans="1:37" x14ac:dyDescent="0.4">
      <c r="A447" s="2">
        <v>1600</v>
      </c>
      <c r="B447" s="16">
        <v>45990.375</v>
      </c>
      <c r="C447" s="22">
        <f t="shared" si="115"/>
        <v>45990</v>
      </c>
      <c r="D447" s="23">
        <f t="shared" si="118"/>
        <v>0.375</v>
      </c>
      <c r="E447" s="14">
        <v>45992.331250000003</v>
      </c>
      <c r="F447" s="12">
        <f t="shared" si="116"/>
        <v>45992</v>
      </c>
      <c r="G447" s="24">
        <f t="shared" si="119"/>
        <v>0.33125000000291038</v>
      </c>
      <c r="H447" s="14"/>
      <c r="I447" s="14"/>
      <c r="J447" s="29"/>
      <c r="K447" s="30"/>
      <c r="M447" s="17">
        <v>42.29</v>
      </c>
      <c r="N447" s="7">
        <f t="shared" si="106"/>
        <v>50.747999999999998</v>
      </c>
      <c r="O447" s="5">
        <v>4</v>
      </c>
      <c r="P447" s="3"/>
      <c r="Q447" s="5">
        <v>43.48</v>
      </c>
      <c r="R447" s="7">
        <f t="shared" si="107"/>
        <v>52.175999999999995</v>
      </c>
      <c r="S447" s="5">
        <v>4</v>
      </c>
      <c r="U447" s="10"/>
      <c r="V447" s="11" t="str">
        <f t="shared" si="108"/>
        <v/>
      </c>
      <c r="W447" s="6"/>
      <c r="Y447" s="10"/>
      <c r="Z447" s="11" t="str">
        <f t="shared" si="109"/>
        <v/>
      </c>
      <c r="AA447" s="6"/>
      <c r="AB447" s="1">
        <v>1.2</v>
      </c>
      <c r="AC447" s="53" t="str">
        <f t="shared" si="110"/>
        <v>46:57</v>
      </c>
      <c r="AD447" s="52" t="str">
        <f t="shared" si="111"/>
        <v>00:00</v>
      </c>
      <c r="AE447" s="52" t="str">
        <f t="shared" si="112"/>
        <v>00:00</v>
      </c>
      <c r="AF447" s="14">
        <f t="shared" si="120"/>
        <v>45992.331250000003</v>
      </c>
      <c r="AG447" s="12">
        <f t="shared" si="117"/>
        <v>45992</v>
      </c>
      <c r="AH447" s="24">
        <f t="shared" si="121"/>
        <v>0.33125000000291038</v>
      </c>
      <c r="AI447" s="49">
        <f t="shared" si="113"/>
        <v>1.95625</v>
      </c>
      <c r="AJ447" s="1">
        <v>28</v>
      </c>
      <c r="AK447" s="50" t="str">
        <f t="shared" si="114"/>
        <v>RUIM</v>
      </c>
    </row>
    <row r="448" spans="1:37" x14ac:dyDescent="0.4">
      <c r="A448" s="2">
        <v>1601</v>
      </c>
      <c r="B448" s="16">
        <v>45990.4375</v>
      </c>
      <c r="C448" s="22">
        <f t="shared" si="115"/>
        <v>45990</v>
      </c>
      <c r="D448" s="23">
        <f t="shared" si="118"/>
        <v>0.4375</v>
      </c>
      <c r="E448" s="14">
        <v>45992.332638888889</v>
      </c>
      <c r="F448" s="12">
        <f t="shared" si="116"/>
        <v>45992</v>
      </c>
      <c r="G448" s="24">
        <f t="shared" si="119"/>
        <v>0.33263888888905058</v>
      </c>
      <c r="H448" s="14"/>
      <c r="I448" s="14"/>
      <c r="J448" s="29"/>
      <c r="K448" s="30"/>
      <c r="M448" s="17">
        <v>45.5</v>
      </c>
      <c r="N448" s="7">
        <f t="shared" si="106"/>
        <v>54.6</v>
      </c>
      <c r="O448" s="5">
        <v>4</v>
      </c>
      <c r="P448" s="3"/>
      <c r="Q448" s="5">
        <v>44.31</v>
      </c>
      <c r="R448" s="7">
        <f t="shared" si="107"/>
        <v>53.172000000000004</v>
      </c>
      <c r="S448" s="5">
        <v>4</v>
      </c>
      <c r="U448" s="10"/>
      <c r="V448" s="11" t="str">
        <f t="shared" si="108"/>
        <v/>
      </c>
      <c r="W448" s="6"/>
      <c r="Y448" s="10"/>
      <c r="Z448" s="11" t="str">
        <f t="shared" si="109"/>
        <v/>
      </c>
      <c r="AA448" s="6"/>
      <c r="AB448" s="1">
        <v>1.2</v>
      </c>
      <c r="AC448" s="53" t="str">
        <f t="shared" si="110"/>
        <v>45:29</v>
      </c>
      <c r="AD448" s="52" t="str">
        <f t="shared" si="111"/>
        <v>00:00</v>
      </c>
      <c r="AE448" s="52" t="str">
        <f t="shared" si="112"/>
        <v>00:00</v>
      </c>
      <c r="AF448" s="14">
        <f t="shared" si="120"/>
        <v>45992.332638888889</v>
      </c>
      <c r="AG448" s="12">
        <f t="shared" si="117"/>
        <v>45992</v>
      </c>
      <c r="AH448" s="24">
        <f t="shared" si="121"/>
        <v>0.33263888888905058</v>
      </c>
      <c r="AI448" s="49">
        <f t="shared" si="113"/>
        <v>1.8951388888888889</v>
      </c>
      <c r="AJ448" s="1">
        <v>28</v>
      </c>
      <c r="AK448" s="50" t="str">
        <f t="shared" si="114"/>
        <v>RUIM</v>
      </c>
    </row>
    <row r="449" spans="1:37" x14ac:dyDescent="0.4">
      <c r="A449" s="2">
        <v>1602</v>
      </c>
      <c r="B449" s="16">
        <v>45990.472222222219</v>
      </c>
      <c r="C449" s="22">
        <f t="shared" si="115"/>
        <v>45990</v>
      </c>
      <c r="D449" s="23">
        <f t="shared" si="118"/>
        <v>0.47222222221898846</v>
      </c>
      <c r="E449" s="14">
        <v>45992.336805555555</v>
      </c>
      <c r="F449" s="12">
        <f t="shared" si="116"/>
        <v>45992</v>
      </c>
      <c r="G449" s="24">
        <f t="shared" si="119"/>
        <v>0.33680555555474712</v>
      </c>
      <c r="H449" s="14"/>
      <c r="I449" s="14"/>
      <c r="J449" s="29"/>
      <c r="K449" s="30"/>
      <c r="M449" s="17">
        <v>44.14</v>
      </c>
      <c r="N449" s="7">
        <f t="shared" si="106"/>
        <v>52.967999999999996</v>
      </c>
      <c r="O449" s="5">
        <v>4</v>
      </c>
      <c r="P449" s="3"/>
      <c r="Q449" s="5">
        <v>44.2</v>
      </c>
      <c r="R449" s="7">
        <f t="shared" si="107"/>
        <v>53.04</v>
      </c>
      <c r="S449" s="5">
        <v>4</v>
      </c>
      <c r="U449" s="10"/>
      <c r="V449" s="11" t="str">
        <f t="shared" si="108"/>
        <v/>
      </c>
      <c r="W449" s="6"/>
      <c r="Y449" s="10"/>
      <c r="Z449" s="11" t="str">
        <f t="shared" si="109"/>
        <v/>
      </c>
      <c r="AA449" s="6"/>
      <c r="AB449" s="1">
        <v>1.2</v>
      </c>
      <c r="AC449" s="53" t="str">
        <f t="shared" si="110"/>
        <v>44:45</v>
      </c>
      <c r="AD449" s="52" t="str">
        <f t="shared" si="111"/>
        <v>00:00</v>
      </c>
      <c r="AE449" s="52" t="str">
        <f t="shared" si="112"/>
        <v>00:00</v>
      </c>
      <c r="AF449" s="14">
        <f t="shared" si="120"/>
        <v>45992.336805555555</v>
      </c>
      <c r="AG449" s="12">
        <f t="shared" si="117"/>
        <v>45992</v>
      </c>
      <c r="AH449" s="24">
        <f t="shared" si="121"/>
        <v>0.33680555555474712</v>
      </c>
      <c r="AI449" s="49">
        <f t="shared" si="113"/>
        <v>1.8645833333333333</v>
      </c>
      <c r="AJ449" s="1">
        <v>28</v>
      </c>
      <c r="AK449" s="50" t="str">
        <f t="shared" si="114"/>
        <v>RUIM</v>
      </c>
    </row>
    <row r="450" spans="1:37" x14ac:dyDescent="0.4">
      <c r="A450" s="2">
        <v>1603</v>
      </c>
      <c r="B450" s="16">
        <v>45990.493055555555</v>
      </c>
      <c r="C450" s="22">
        <f t="shared" si="115"/>
        <v>45990</v>
      </c>
      <c r="D450" s="23">
        <f t="shared" si="118"/>
        <v>0.49305555555474712</v>
      </c>
      <c r="E450" s="14">
        <v>45992.340277777781</v>
      </c>
      <c r="F450" s="12">
        <f t="shared" si="116"/>
        <v>45992</v>
      </c>
      <c r="G450" s="24">
        <f t="shared" si="119"/>
        <v>0.34027777778101154</v>
      </c>
      <c r="H450" s="14"/>
      <c r="I450" s="14"/>
      <c r="J450" s="29"/>
      <c r="K450" s="30"/>
      <c r="M450" s="17">
        <v>49.33</v>
      </c>
      <c r="N450" s="7">
        <f t="shared" si="106"/>
        <v>59.195999999999998</v>
      </c>
      <c r="O450" s="5">
        <v>4</v>
      </c>
      <c r="P450" s="3"/>
      <c r="Q450" s="5">
        <v>48.35</v>
      </c>
      <c r="R450" s="7">
        <f t="shared" si="107"/>
        <v>58.019999999999996</v>
      </c>
      <c r="S450" s="5">
        <v>4</v>
      </c>
      <c r="U450" s="10"/>
      <c r="V450" s="11" t="str">
        <f t="shared" si="108"/>
        <v/>
      </c>
      <c r="W450" s="6"/>
      <c r="Y450" s="10"/>
      <c r="Z450" s="11" t="str">
        <f t="shared" si="109"/>
        <v/>
      </c>
      <c r="AA450" s="6"/>
      <c r="AB450" s="1">
        <v>1.2</v>
      </c>
      <c r="AC450" s="53" t="str">
        <f t="shared" si="110"/>
        <v>44:20</v>
      </c>
      <c r="AD450" s="52" t="str">
        <f t="shared" si="111"/>
        <v>00:00</v>
      </c>
      <c r="AE450" s="52" t="str">
        <f t="shared" si="112"/>
        <v>00:00</v>
      </c>
      <c r="AF450" s="14">
        <f t="shared" si="120"/>
        <v>45992.340277777781</v>
      </c>
      <c r="AG450" s="12">
        <f t="shared" si="117"/>
        <v>45992</v>
      </c>
      <c r="AH450" s="24">
        <f t="shared" si="121"/>
        <v>0.34027777778101154</v>
      </c>
      <c r="AI450" s="49">
        <f t="shared" si="113"/>
        <v>1.8472222222222223</v>
      </c>
      <c r="AJ450" s="1">
        <v>28</v>
      </c>
      <c r="AK450" s="50" t="str">
        <f t="shared" si="114"/>
        <v>RUIM</v>
      </c>
    </row>
    <row r="451" spans="1:37" x14ac:dyDescent="0.4">
      <c r="A451" s="2">
        <v>1604</v>
      </c>
      <c r="B451" s="16">
        <v>45990.604166666664</v>
      </c>
      <c r="C451" s="22">
        <f t="shared" si="115"/>
        <v>45990</v>
      </c>
      <c r="D451" s="23">
        <f t="shared" si="118"/>
        <v>0.60416666666424135</v>
      </c>
      <c r="E451" s="14">
        <v>45992.341666666667</v>
      </c>
      <c r="F451" s="12">
        <f t="shared" si="116"/>
        <v>45992</v>
      </c>
      <c r="G451" s="24">
        <f t="shared" si="119"/>
        <v>0.34166666666715173</v>
      </c>
      <c r="H451" s="14"/>
      <c r="I451" s="14"/>
      <c r="J451" s="29"/>
      <c r="K451" s="30"/>
      <c r="M451" s="17">
        <v>34.03</v>
      </c>
      <c r="N451" s="7">
        <f t="shared" si="106"/>
        <v>40.835999999999999</v>
      </c>
      <c r="O451" s="5">
        <v>4</v>
      </c>
      <c r="P451" s="3"/>
      <c r="Q451" s="5">
        <v>33.950000000000003</v>
      </c>
      <c r="R451" s="7">
        <f t="shared" si="107"/>
        <v>40.74</v>
      </c>
      <c r="S451" s="5">
        <v>4</v>
      </c>
      <c r="U451" s="10"/>
      <c r="V451" s="11" t="str">
        <f t="shared" si="108"/>
        <v/>
      </c>
      <c r="W451" s="6"/>
      <c r="Y451" s="10"/>
      <c r="Z451" s="11" t="str">
        <f t="shared" si="109"/>
        <v/>
      </c>
      <c r="AA451" s="6"/>
      <c r="AB451" s="1">
        <v>1.2</v>
      </c>
      <c r="AC451" s="53" t="str">
        <f t="shared" si="110"/>
        <v>41:42</v>
      </c>
      <c r="AD451" s="52" t="str">
        <f t="shared" si="111"/>
        <v>00:00</v>
      </c>
      <c r="AE451" s="52" t="str">
        <f t="shared" si="112"/>
        <v>00:00</v>
      </c>
      <c r="AF451" s="14">
        <f t="shared" si="120"/>
        <v>45992.341666666667</v>
      </c>
      <c r="AG451" s="12">
        <f t="shared" si="117"/>
        <v>45992</v>
      </c>
      <c r="AH451" s="24">
        <f t="shared" si="121"/>
        <v>0.34166666666715173</v>
      </c>
      <c r="AI451" s="49">
        <f t="shared" si="113"/>
        <v>1.7375</v>
      </c>
      <c r="AJ451" s="1">
        <v>28</v>
      </c>
      <c r="AK451" s="50" t="str">
        <f t="shared" si="114"/>
        <v>RUIM</v>
      </c>
    </row>
    <row r="452" spans="1:37" x14ac:dyDescent="0.4">
      <c r="A452" s="2">
        <v>1605</v>
      </c>
      <c r="B452" s="16">
        <v>45990.645833333336</v>
      </c>
      <c r="C452" s="22">
        <f t="shared" si="115"/>
        <v>45990</v>
      </c>
      <c r="D452" s="23">
        <f t="shared" si="118"/>
        <v>0.64583333333575865</v>
      </c>
      <c r="E452" s="14">
        <v>45992.343055555553</v>
      </c>
      <c r="F452" s="12">
        <f t="shared" si="116"/>
        <v>45992</v>
      </c>
      <c r="G452" s="24">
        <f t="shared" si="119"/>
        <v>0.34305555555329192</v>
      </c>
      <c r="H452" s="14"/>
      <c r="I452" s="14"/>
      <c r="J452" s="29"/>
      <c r="K452" s="30"/>
      <c r="M452" s="17">
        <v>30.25</v>
      </c>
      <c r="N452" s="7">
        <f t="shared" si="106"/>
        <v>36.299999999999997</v>
      </c>
      <c r="O452" s="5">
        <v>4</v>
      </c>
      <c r="P452" s="3"/>
      <c r="Q452" s="5">
        <v>30.54</v>
      </c>
      <c r="R452" s="7">
        <f t="shared" si="107"/>
        <v>36.647999999999996</v>
      </c>
      <c r="S452" s="5">
        <v>4</v>
      </c>
      <c r="U452" s="10"/>
      <c r="V452" s="11" t="str">
        <f t="shared" si="108"/>
        <v/>
      </c>
      <c r="W452" s="6"/>
      <c r="Y452" s="10"/>
      <c r="Z452" s="11" t="str">
        <f t="shared" si="109"/>
        <v/>
      </c>
      <c r="AA452" s="6"/>
      <c r="AB452" s="1">
        <v>1.2</v>
      </c>
      <c r="AC452" s="53" t="str">
        <f t="shared" si="110"/>
        <v>40:44</v>
      </c>
      <c r="AD452" s="52" t="str">
        <f t="shared" si="111"/>
        <v>00:00</v>
      </c>
      <c r="AE452" s="52" t="str">
        <f t="shared" si="112"/>
        <v>00:00</v>
      </c>
      <c r="AF452" s="14">
        <f t="shared" si="120"/>
        <v>45992.343055555553</v>
      </c>
      <c r="AG452" s="12">
        <f t="shared" si="117"/>
        <v>45992</v>
      </c>
      <c r="AH452" s="24">
        <f t="shared" si="121"/>
        <v>0.34305555555329192</v>
      </c>
      <c r="AI452" s="49">
        <f t="shared" si="113"/>
        <v>1.6972222222222222</v>
      </c>
      <c r="AJ452" s="1">
        <v>28</v>
      </c>
      <c r="AK452" s="50" t="str">
        <f t="shared" si="114"/>
        <v>RUIM</v>
      </c>
    </row>
    <row r="453" spans="1:37" x14ac:dyDescent="0.4">
      <c r="A453" s="2">
        <v>1606</v>
      </c>
      <c r="B453" s="16">
        <v>45990.6875</v>
      </c>
      <c r="C453" s="22">
        <f t="shared" si="115"/>
        <v>45990</v>
      </c>
      <c r="D453" s="23">
        <f t="shared" si="118"/>
        <v>0.6875</v>
      </c>
      <c r="E453" s="14">
        <v>45992.350694444445</v>
      </c>
      <c r="F453" s="12">
        <f t="shared" si="116"/>
        <v>45992</v>
      </c>
      <c r="G453" s="24">
        <f t="shared" si="119"/>
        <v>0.35069444444525288</v>
      </c>
      <c r="H453" s="14"/>
      <c r="I453" s="14"/>
      <c r="J453" s="29"/>
      <c r="K453" s="30"/>
      <c r="M453" s="17">
        <v>31.5</v>
      </c>
      <c r="N453" s="7">
        <f t="shared" si="106"/>
        <v>37.799999999999997</v>
      </c>
      <c r="O453" s="5">
        <v>4</v>
      </c>
      <c r="P453" s="3"/>
      <c r="Q453" s="5">
        <v>30.81</v>
      </c>
      <c r="R453" s="7">
        <f t="shared" si="107"/>
        <v>36.971999999999994</v>
      </c>
      <c r="S453" s="5">
        <v>4</v>
      </c>
      <c r="U453" s="10"/>
      <c r="V453" s="11" t="str">
        <f t="shared" si="108"/>
        <v/>
      </c>
      <c r="W453" s="6"/>
      <c r="Y453" s="10"/>
      <c r="Z453" s="11" t="str">
        <f t="shared" si="109"/>
        <v/>
      </c>
      <c r="AA453" s="6"/>
      <c r="AB453" s="1">
        <v>1.2</v>
      </c>
      <c r="AC453" s="53" t="str">
        <f t="shared" si="110"/>
        <v>39:55</v>
      </c>
      <c r="AD453" s="52" t="str">
        <f t="shared" si="111"/>
        <v>00:00</v>
      </c>
      <c r="AE453" s="52" t="str">
        <f t="shared" si="112"/>
        <v>00:00</v>
      </c>
      <c r="AF453" s="14">
        <f t="shared" si="120"/>
        <v>45992.350694444445</v>
      </c>
      <c r="AG453" s="12">
        <f t="shared" si="117"/>
        <v>45992</v>
      </c>
      <c r="AH453" s="24">
        <f t="shared" si="121"/>
        <v>0.35069444444525288</v>
      </c>
      <c r="AI453" s="49">
        <f t="shared" si="113"/>
        <v>1.6631944444444444</v>
      </c>
      <c r="AJ453" s="1">
        <v>28</v>
      </c>
      <c r="AK453" s="50" t="str">
        <f t="shared" si="114"/>
        <v>RUIM</v>
      </c>
    </row>
    <row r="454" spans="1:37" x14ac:dyDescent="0.4">
      <c r="A454" s="2">
        <v>1607</v>
      </c>
      <c r="B454" s="16">
        <v>45990.729166666664</v>
      </c>
      <c r="C454" s="22">
        <f t="shared" si="115"/>
        <v>45990</v>
      </c>
      <c r="D454" s="23">
        <f t="shared" si="118"/>
        <v>0.72916666666424135</v>
      </c>
      <c r="E454" s="14">
        <v>45992.34652777778</v>
      </c>
      <c r="F454" s="12">
        <f t="shared" si="116"/>
        <v>45992</v>
      </c>
      <c r="G454" s="24">
        <f t="shared" si="119"/>
        <v>0.34652777777955635</v>
      </c>
      <c r="H454" s="14"/>
      <c r="I454" s="14"/>
      <c r="J454" s="29"/>
      <c r="K454" s="30"/>
      <c r="M454" s="17">
        <v>35.700000000000003</v>
      </c>
      <c r="N454" s="7">
        <f t="shared" si="106"/>
        <v>42.84</v>
      </c>
      <c r="O454" s="5">
        <v>4</v>
      </c>
      <c r="P454" s="3"/>
      <c r="Q454" s="5">
        <v>34.01</v>
      </c>
      <c r="R454" s="7">
        <f t="shared" si="107"/>
        <v>40.811999999999998</v>
      </c>
      <c r="S454" s="5">
        <v>4</v>
      </c>
      <c r="U454" s="10"/>
      <c r="V454" s="11" t="str">
        <f t="shared" si="108"/>
        <v/>
      </c>
      <c r="W454" s="6"/>
      <c r="Y454" s="10"/>
      <c r="Z454" s="11" t="str">
        <f t="shared" si="109"/>
        <v/>
      </c>
      <c r="AA454" s="6"/>
      <c r="AB454" s="1">
        <v>1.2</v>
      </c>
      <c r="AC454" s="53" t="str">
        <f t="shared" si="110"/>
        <v>38:49</v>
      </c>
      <c r="AD454" s="52" t="str">
        <f t="shared" si="111"/>
        <v>00:00</v>
      </c>
      <c r="AE454" s="52" t="str">
        <f t="shared" si="112"/>
        <v>00:00</v>
      </c>
      <c r="AF454" s="14">
        <f t="shared" si="120"/>
        <v>45992.34652777778</v>
      </c>
      <c r="AG454" s="12">
        <f t="shared" si="117"/>
        <v>45992</v>
      </c>
      <c r="AH454" s="24">
        <f t="shared" si="121"/>
        <v>0.34652777777955635</v>
      </c>
      <c r="AI454" s="49">
        <f t="shared" si="113"/>
        <v>1.617361111111111</v>
      </c>
      <c r="AJ454" s="1">
        <v>28</v>
      </c>
      <c r="AK454" s="50" t="str">
        <f t="shared" si="114"/>
        <v>RUIM</v>
      </c>
    </row>
    <row r="455" spans="1:37" x14ac:dyDescent="0.4">
      <c r="A455" s="2">
        <v>1608</v>
      </c>
      <c r="B455" s="16">
        <v>45990.763888888891</v>
      </c>
      <c r="C455" s="22">
        <f t="shared" si="115"/>
        <v>45990</v>
      </c>
      <c r="D455" s="23">
        <f t="shared" si="118"/>
        <v>0.76388888889050577</v>
      </c>
      <c r="E455" s="14">
        <v>45992.34375</v>
      </c>
      <c r="F455" s="12">
        <f t="shared" si="116"/>
        <v>45992</v>
      </c>
      <c r="G455" s="24">
        <f t="shared" si="119"/>
        <v>0.34375</v>
      </c>
      <c r="H455" s="14"/>
      <c r="I455" s="14"/>
      <c r="J455" s="29"/>
      <c r="K455" s="30"/>
      <c r="M455" s="17">
        <v>36.4</v>
      </c>
      <c r="N455" s="7">
        <f t="shared" si="106"/>
        <v>43.68</v>
      </c>
      <c r="O455" s="5">
        <v>4</v>
      </c>
      <c r="P455" s="3"/>
      <c r="Q455" s="5">
        <v>35.770000000000003</v>
      </c>
      <c r="R455" s="7">
        <f t="shared" si="107"/>
        <v>42.923999999999999</v>
      </c>
      <c r="S455" s="5">
        <v>4</v>
      </c>
      <c r="U455" s="10"/>
      <c r="V455" s="11" t="str">
        <f t="shared" si="108"/>
        <v/>
      </c>
      <c r="W455" s="6"/>
      <c r="Y455" s="10"/>
      <c r="Z455" s="11" t="str">
        <f t="shared" si="109"/>
        <v/>
      </c>
      <c r="AA455" s="6"/>
      <c r="AB455" s="1">
        <v>1.2</v>
      </c>
      <c r="AC455" s="53" t="str">
        <f t="shared" si="110"/>
        <v>37:55</v>
      </c>
      <c r="AD455" s="52" t="str">
        <f t="shared" si="111"/>
        <v>00:00</v>
      </c>
      <c r="AE455" s="52" t="str">
        <f t="shared" si="112"/>
        <v>00:00</v>
      </c>
      <c r="AF455" s="14">
        <f t="shared" si="120"/>
        <v>45992.34375</v>
      </c>
      <c r="AG455" s="12">
        <f t="shared" si="117"/>
        <v>45992</v>
      </c>
      <c r="AH455" s="24">
        <f t="shared" si="121"/>
        <v>0.34375</v>
      </c>
      <c r="AI455" s="49">
        <f t="shared" si="113"/>
        <v>1.5798611111111112</v>
      </c>
      <c r="AJ455" s="1">
        <v>28</v>
      </c>
      <c r="AK455" s="50" t="str">
        <f t="shared" si="114"/>
        <v>RUIM</v>
      </c>
    </row>
    <row r="456" spans="1:37" x14ac:dyDescent="0.4">
      <c r="A456" s="2">
        <v>1609</v>
      </c>
      <c r="B456" s="16">
        <v>45993.604166666664</v>
      </c>
      <c r="C456" s="22">
        <f t="shared" si="115"/>
        <v>45993</v>
      </c>
      <c r="D456" s="23">
        <f t="shared" si="118"/>
        <v>0.60416666666424135</v>
      </c>
      <c r="E456" s="14">
        <v>45994.451388888891</v>
      </c>
      <c r="F456" s="12">
        <f t="shared" si="116"/>
        <v>45994</v>
      </c>
      <c r="G456" s="24">
        <f t="shared" si="119"/>
        <v>0.45138888889050577</v>
      </c>
      <c r="H456" s="14"/>
      <c r="I456" s="14"/>
      <c r="J456" s="29"/>
      <c r="K456" s="30"/>
      <c r="M456" s="17">
        <v>28.61</v>
      </c>
      <c r="N456" s="7">
        <f t="shared" ref="N456:N519" si="122">IF(M456="","",M456*AB456)</f>
        <v>34.332000000000001</v>
      </c>
      <c r="O456" s="5">
        <v>4</v>
      </c>
      <c r="P456" s="3"/>
      <c r="Q456" s="5">
        <v>26.99</v>
      </c>
      <c r="R456" s="7">
        <f t="shared" ref="R456:R519" si="123">IF(Q456="","",Q456*AB456)</f>
        <v>32.387999999999998</v>
      </c>
      <c r="S456" s="5">
        <v>4</v>
      </c>
      <c r="U456" s="10"/>
      <c r="V456" s="11" t="str">
        <f t="shared" ref="V456:V519" si="124">IF(U456="","",U456*AB456)</f>
        <v/>
      </c>
      <c r="W456" s="6"/>
      <c r="Y456" s="10"/>
      <c r="Z456" s="11" t="str">
        <f t="shared" ref="Z456:Z519" si="125">IF(Y456="","",Y456*AB456)</f>
        <v/>
      </c>
      <c r="AA456" s="6"/>
      <c r="AB456" s="1">
        <v>1.2</v>
      </c>
      <c r="AC456" s="53" t="str">
        <f t="shared" si="110"/>
        <v>20:20</v>
      </c>
      <c r="AD456" s="52" t="str">
        <f t="shared" si="111"/>
        <v>00:00</v>
      </c>
      <c r="AE456" s="52" t="str">
        <f t="shared" si="112"/>
        <v>00:00</v>
      </c>
      <c r="AF456" s="14">
        <f t="shared" si="120"/>
        <v>45994.451388888891</v>
      </c>
      <c r="AG456" s="12">
        <f t="shared" si="117"/>
        <v>45994</v>
      </c>
      <c r="AH456" s="24">
        <f t="shared" si="121"/>
        <v>0.45138888889050577</v>
      </c>
      <c r="AI456" s="49">
        <f t="shared" si="113"/>
        <v>0.84722222222222221</v>
      </c>
      <c r="AJ456" s="1">
        <v>28</v>
      </c>
      <c r="AK456" s="50" t="str">
        <f t="shared" si="114"/>
        <v>BOM</v>
      </c>
    </row>
    <row r="457" spans="1:37" x14ac:dyDescent="0.4">
      <c r="A457" s="2">
        <v>1610</v>
      </c>
      <c r="B457" s="16">
        <v>45993.631944444445</v>
      </c>
      <c r="C457" s="22">
        <f t="shared" si="115"/>
        <v>45993</v>
      </c>
      <c r="D457" s="23">
        <f t="shared" si="118"/>
        <v>0.63194444444525288</v>
      </c>
      <c r="E457" s="14">
        <v>45994.454861111109</v>
      </c>
      <c r="F457" s="12">
        <f t="shared" si="116"/>
        <v>45994</v>
      </c>
      <c r="G457" s="24">
        <f t="shared" si="119"/>
        <v>0.45486111110949423</v>
      </c>
      <c r="H457" s="14"/>
      <c r="I457" s="14"/>
      <c r="J457" s="29"/>
      <c r="K457" s="30"/>
      <c r="M457" s="17">
        <v>28.88</v>
      </c>
      <c r="N457" s="7">
        <f t="shared" si="122"/>
        <v>34.655999999999999</v>
      </c>
      <c r="O457" s="5">
        <v>4</v>
      </c>
      <c r="P457" s="3"/>
      <c r="Q457" s="5">
        <v>29.4</v>
      </c>
      <c r="R457" s="7">
        <f t="shared" si="123"/>
        <v>35.279999999999994</v>
      </c>
      <c r="S457" s="5">
        <v>4</v>
      </c>
      <c r="U457" s="10"/>
      <c r="V457" s="11" t="str">
        <f t="shared" si="124"/>
        <v/>
      </c>
      <c r="W457" s="6"/>
      <c r="Y457" s="10"/>
      <c r="Z457" s="11" t="str">
        <f t="shared" si="125"/>
        <v/>
      </c>
      <c r="AA457" s="6"/>
      <c r="AB457" s="1">
        <v>1.2</v>
      </c>
      <c r="AC457" s="53" t="str">
        <f t="shared" si="110"/>
        <v>19:45</v>
      </c>
      <c r="AD457" s="52" t="str">
        <f t="shared" si="111"/>
        <v>00:00</v>
      </c>
      <c r="AE457" s="52" t="str">
        <f t="shared" si="112"/>
        <v>00:00</v>
      </c>
      <c r="AF457" s="14">
        <f t="shared" si="120"/>
        <v>45994.454861111109</v>
      </c>
      <c r="AG457" s="12">
        <f t="shared" si="117"/>
        <v>45994</v>
      </c>
      <c r="AH457" s="24">
        <f t="shared" si="121"/>
        <v>0.45486111110949423</v>
      </c>
      <c r="AI457" s="49">
        <f t="shared" si="113"/>
        <v>0.82291666666666663</v>
      </c>
      <c r="AJ457" s="1">
        <v>28</v>
      </c>
      <c r="AK457" s="50" t="str">
        <f t="shared" si="114"/>
        <v>BOM</v>
      </c>
    </row>
    <row r="458" spans="1:37" x14ac:dyDescent="0.4">
      <c r="A458" s="2">
        <v>1611</v>
      </c>
      <c r="B458" s="16">
        <v>45993.6875</v>
      </c>
      <c r="C458" s="22">
        <f t="shared" si="115"/>
        <v>45993</v>
      </c>
      <c r="D458" s="23">
        <f t="shared" si="118"/>
        <v>0.6875</v>
      </c>
      <c r="E458" s="14">
        <v>45994.447916666664</v>
      </c>
      <c r="F458" s="12">
        <f t="shared" si="116"/>
        <v>45994</v>
      </c>
      <c r="G458" s="24">
        <f t="shared" si="119"/>
        <v>0.44791666666424135</v>
      </c>
      <c r="H458" s="14"/>
      <c r="I458" s="14"/>
      <c r="J458" s="29"/>
      <c r="K458" s="30"/>
      <c r="M458" s="17">
        <v>32.270000000000003</v>
      </c>
      <c r="N458" s="7">
        <f t="shared" si="122"/>
        <v>38.724000000000004</v>
      </c>
      <c r="O458" s="5">
        <v>4</v>
      </c>
      <c r="P458" s="3"/>
      <c r="Q458" s="5">
        <v>31.66</v>
      </c>
      <c r="R458" s="7">
        <f t="shared" si="123"/>
        <v>37.991999999999997</v>
      </c>
      <c r="S458" s="5">
        <v>4</v>
      </c>
      <c r="U458" s="10"/>
      <c r="V458" s="11" t="str">
        <f t="shared" si="124"/>
        <v/>
      </c>
      <c r="W458" s="6"/>
      <c r="Y458" s="10"/>
      <c r="Z458" s="11" t="str">
        <f t="shared" si="125"/>
        <v/>
      </c>
      <c r="AA458" s="6"/>
      <c r="AB458" s="1">
        <v>1.2</v>
      </c>
      <c r="AC458" s="53" t="str">
        <f t="shared" si="110"/>
        <v>18:15</v>
      </c>
      <c r="AD458" s="52" t="str">
        <f t="shared" si="111"/>
        <v>00:00</v>
      </c>
      <c r="AE458" s="52" t="str">
        <f t="shared" si="112"/>
        <v>00:00</v>
      </c>
      <c r="AF458" s="14">
        <f t="shared" si="120"/>
        <v>45994.447916666664</v>
      </c>
      <c r="AG458" s="12">
        <f t="shared" si="117"/>
        <v>45994</v>
      </c>
      <c r="AH458" s="24">
        <f t="shared" si="121"/>
        <v>0.44791666666424135</v>
      </c>
      <c r="AI458" s="49">
        <f t="shared" si="113"/>
        <v>0.76041666666666663</v>
      </c>
      <c r="AJ458" s="1">
        <v>28</v>
      </c>
      <c r="AK458" s="50" t="str">
        <f t="shared" si="114"/>
        <v>BOM</v>
      </c>
    </row>
    <row r="459" spans="1:37" x14ac:dyDescent="0.4">
      <c r="A459" s="2">
        <v>1612</v>
      </c>
      <c r="B459" s="16">
        <v>45993.722222222219</v>
      </c>
      <c r="C459" s="22">
        <f t="shared" si="115"/>
        <v>45993</v>
      </c>
      <c r="D459" s="23">
        <f t="shared" si="118"/>
        <v>0.72222222221898846</v>
      </c>
      <c r="E459" s="14">
        <v>45994.452777777777</v>
      </c>
      <c r="F459" s="12">
        <f t="shared" si="116"/>
        <v>45994</v>
      </c>
      <c r="G459" s="24">
        <f t="shared" si="119"/>
        <v>0.45277777777664596</v>
      </c>
      <c r="H459" s="14"/>
      <c r="I459" s="14"/>
      <c r="J459" s="29"/>
      <c r="K459" s="30"/>
      <c r="M459" s="17">
        <v>30.45</v>
      </c>
      <c r="N459" s="7">
        <f t="shared" si="122"/>
        <v>36.54</v>
      </c>
      <c r="O459" s="5">
        <v>4</v>
      </c>
      <c r="P459" s="3"/>
      <c r="Q459" s="5">
        <v>29.83</v>
      </c>
      <c r="R459" s="7">
        <f t="shared" si="123"/>
        <v>35.795999999999999</v>
      </c>
      <c r="S459" s="5">
        <v>4</v>
      </c>
      <c r="U459" s="10"/>
      <c r="V459" s="11" t="str">
        <f t="shared" si="124"/>
        <v/>
      </c>
      <c r="W459" s="6"/>
      <c r="Y459" s="10"/>
      <c r="Z459" s="11" t="str">
        <f t="shared" si="125"/>
        <v/>
      </c>
      <c r="AA459" s="6"/>
      <c r="AB459" s="1">
        <v>1.2</v>
      </c>
      <c r="AC459" s="53" t="str">
        <f t="shared" si="110"/>
        <v>17:32</v>
      </c>
      <c r="AD459" s="52" t="str">
        <f t="shared" si="111"/>
        <v>00:00</v>
      </c>
      <c r="AE459" s="52" t="str">
        <f t="shared" si="112"/>
        <v>00:00</v>
      </c>
      <c r="AF459" s="14">
        <f t="shared" si="120"/>
        <v>45994.452777777777</v>
      </c>
      <c r="AG459" s="12">
        <f t="shared" si="117"/>
        <v>45994</v>
      </c>
      <c r="AH459" s="24">
        <f t="shared" si="121"/>
        <v>0.45277777777664596</v>
      </c>
      <c r="AI459" s="49">
        <f t="shared" si="113"/>
        <v>0.73055555555555551</v>
      </c>
      <c r="AJ459" s="1">
        <v>28</v>
      </c>
      <c r="AK459" s="50" t="str">
        <f t="shared" si="114"/>
        <v>BOM</v>
      </c>
    </row>
    <row r="460" spans="1:37" x14ac:dyDescent="0.4">
      <c r="A460" s="2">
        <v>1613</v>
      </c>
      <c r="B460" s="16">
        <v>45994.711805555555</v>
      </c>
      <c r="C460" s="22">
        <f t="shared" si="115"/>
        <v>45994</v>
      </c>
      <c r="D460" s="23">
        <f t="shared" si="118"/>
        <v>0.71180555555474712</v>
      </c>
      <c r="E460" s="14">
        <v>45995.330555555556</v>
      </c>
      <c r="F460" s="12">
        <f t="shared" si="116"/>
        <v>45995</v>
      </c>
      <c r="G460" s="24">
        <f t="shared" si="119"/>
        <v>0.33055555555620231</v>
      </c>
      <c r="H460" s="14"/>
      <c r="I460" s="14"/>
      <c r="J460" s="29"/>
      <c r="K460" s="30"/>
      <c r="M460" s="17">
        <v>25.93</v>
      </c>
      <c r="N460" s="7">
        <f t="shared" si="122"/>
        <v>31.116</v>
      </c>
      <c r="O460" s="5">
        <v>4</v>
      </c>
      <c r="P460" s="3"/>
      <c r="Q460" s="5">
        <v>25.98</v>
      </c>
      <c r="R460" s="7">
        <f t="shared" si="123"/>
        <v>31.175999999999998</v>
      </c>
      <c r="S460" s="5">
        <v>4</v>
      </c>
      <c r="U460" s="10"/>
      <c r="V460" s="11" t="str">
        <f t="shared" si="124"/>
        <v/>
      </c>
      <c r="W460" s="6"/>
      <c r="Y460" s="10"/>
      <c r="Z460" s="11" t="str">
        <f t="shared" si="125"/>
        <v/>
      </c>
      <c r="AA460" s="6"/>
      <c r="AB460" s="1">
        <v>1.2</v>
      </c>
      <c r="AC460" s="53" t="str">
        <f t="shared" si="110"/>
        <v>14:51</v>
      </c>
      <c r="AD460" s="52" t="str">
        <f t="shared" si="111"/>
        <v>00:00</v>
      </c>
      <c r="AE460" s="52" t="str">
        <f t="shared" si="112"/>
        <v>00:00</v>
      </c>
      <c r="AF460" s="14">
        <f t="shared" si="120"/>
        <v>45995.330555555556</v>
      </c>
      <c r="AG460" s="12">
        <f t="shared" si="117"/>
        <v>45995</v>
      </c>
      <c r="AH460" s="24">
        <f t="shared" si="121"/>
        <v>0.33055555555620231</v>
      </c>
      <c r="AI460" s="49">
        <f t="shared" si="113"/>
        <v>0.61875000000000002</v>
      </c>
      <c r="AJ460" s="1">
        <v>28</v>
      </c>
      <c r="AK460" s="50" t="str">
        <f t="shared" si="114"/>
        <v>BOM</v>
      </c>
    </row>
    <row r="461" spans="1:37" x14ac:dyDescent="0.4">
      <c r="A461" s="2">
        <v>1614</v>
      </c>
      <c r="B461" s="16">
        <v>45994.729166666664</v>
      </c>
      <c r="C461" s="22">
        <f t="shared" si="115"/>
        <v>45994</v>
      </c>
      <c r="D461" s="23">
        <f t="shared" si="118"/>
        <v>0.72916666666424135</v>
      </c>
      <c r="E461" s="14">
        <v>45995.331944444442</v>
      </c>
      <c r="F461" s="12">
        <f t="shared" si="116"/>
        <v>45995</v>
      </c>
      <c r="G461" s="24">
        <f t="shared" si="119"/>
        <v>0.3319444444423425</v>
      </c>
      <c r="H461" s="14"/>
      <c r="I461" s="14"/>
      <c r="J461" s="29"/>
      <c r="K461" s="30"/>
      <c r="M461" s="17">
        <v>21.05</v>
      </c>
      <c r="N461" s="7">
        <f t="shared" si="122"/>
        <v>25.26</v>
      </c>
      <c r="O461" s="5">
        <v>4</v>
      </c>
      <c r="P461" s="3"/>
      <c r="Q461" s="5">
        <v>21.65</v>
      </c>
      <c r="R461" s="7">
        <f t="shared" si="123"/>
        <v>25.979999999999997</v>
      </c>
      <c r="S461" s="5">
        <v>4</v>
      </c>
      <c r="U461" s="10"/>
      <c r="V461" s="11" t="str">
        <f t="shared" si="124"/>
        <v/>
      </c>
      <c r="W461" s="6"/>
      <c r="Y461" s="10"/>
      <c r="Z461" s="11" t="str">
        <f t="shared" si="125"/>
        <v/>
      </c>
      <c r="AA461" s="6"/>
      <c r="AB461" s="1">
        <v>1.2</v>
      </c>
      <c r="AC461" s="53" t="str">
        <f t="shared" ref="AC461:AC524" si="126">IF(B461="","",TEXT(E461-B461,"[hh]:mm"))</f>
        <v>14:28</v>
      </c>
      <c r="AD461" s="52" t="str">
        <f t="shared" ref="AD461:AD524" si="127">IF(H461="","00:00",TEXT(H461-B461,"[hh]:mm"))</f>
        <v>00:00</v>
      </c>
      <c r="AE461" s="52" t="str">
        <f t="shared" ref="AE461:AE524" si="128">IF(I461="","00:00",TEXT(I461-B461,"[hh]:mm"))</f>
        <v>00:00</v>
      </c>
      <c r="AF461" s="14">
        <f t="shared" si="120"/>
        <v>45995.331944444442</v>
      </c>
      <c r="AG461" s="12">
        <f t="shared" si="117"/>
        <v>45995</v>
      </c>
      <c r="AH461" s="24">
        <f t="shared" si="121"/>
        <v>0.3319444444423425</v>
      </c>
      <c r="AI461" s="49">
        <f t="shared" ref="AI461:AI524" si="129">MAX(VALUE(AC461),VALUE(AD461),VALUE(AE461))</f>
        <v>0.60277777777777775</v>
      </c>
      <c r="AJ461" s="1">
        <v>28</v>
      </c>
      <c r="AK461" s="50" t="str">
        <f t="shared" ref="AK461:AK469" si="130">IF(VALUE(AI461)&lt;=VALUE($AK$3),"BOM","RUIM")</f>
        <v>BOM</v>
      </c>
    </row>
    <row r="462" spans="1:37" x14ac:dyDescent="0.4">
      <c r="A462" s="2">
        <v>1615</v>
      </c>
      <c r="B462" s="16">
        <v>45995.666666666664</v>
      </c>
      <c r="C462" s="22">
        <f t="shared" si="115"/>
        <v>45995</v>
      </c>
      <c r="D462" s="23">
        <f t="shared" si="118"/>
        <v>0.66666666666424135</v>
      </c>
      <c r="E462" s="14">
        <v>45996.402083333334</v>
      </c>
      <c r="F462" s="12">
        <f t="shared" si="116"/>
        <v>45996</v>
      </c>
      <c r="G462" s="24">
        <f t="shared" si="119"/>
        <v>0.40208333333430346</v>
      </c>
      <c r="H462" s="14"/>
      <c r="I462" s="14"/>
      <c r="J462" s="29"/>
      <c r="K462" s="30"/>
      <c r="M462" s="32">
        <v>22.06</v>
      </c>
      <c r="N462" s="7">
        <f t="shared" si="122"/>
        <v>26.471999999999998</v>
      </c>
      <c r="O462" s="5">
        <v>4</v>
      </c>
      <c r="P462" s="3"/>
      <c r="Q462" s="5">
        <v>22.76</v>
      </c>
      <c r="R462" s="7">
        <f t="shared" si="123"/>
        <v>27.312000000000001</v>
      </c>
      <c r="S462" s="5">
        <v>4</v>
      </c>
      <c r="U462" s="10"/>
      <c r="V462" s="11" t="str">
        <f t="shared" si="124"/>
        <v/>
      </c>
      <c r="W462" s="6"/>
      <c r="Y462" s="10"/>
      <c r="Z462" s="11" t="str">
        <f t="shared" si="125"/>
        <v/>
      </c>
      <c r="AA462" s="6"/>
      <c r="AB462" s="1">
        <v>1.2</v>
      </c>
      <c r="AC462" s="53" t="str">
        <f t="shared" si="126"/>
        <v>17:39</v>
      </c>
      <c r="AD462" s="52" t="str">
        <f t="shared" si="127"/>
        <v>00:00</v>
      </c>
      <c r="AE462" s="52" t="str">
        <f t="shared" si="128"/>
        <v>00:00</v>
      </c>
      <c r="AF462" s="14">
        <f t="shared" si="120"/>
        <v>45996.402083333334</v>
      </c>
      <c r="AG462" s="12">
        <f t="shared" si="117"/>
        <v>45996</v>
      </c>
      <c r="AH462" s="24">
        <f t="shared" si="121"/>
        <v>0.40208333333430346</v>
      </c>
      <c r="AI462" s="49">
        <f t="shared" si="129"/>
        <v>0.73541666666666672</v>
      </c>
      <c r="AJ462" s="1">
        <v>28</v>
      </c>
      <c r="AK462" s="50" t="str">
        <f t="shared" si="130"/>
        <v>BOM</v>
      </c>
    </row>
    <row r="463" spans="1:37" x14ac:dyDescent="0.4">
      <c r="A463" s="2">
        <v>1616</v>
      </c>
      <c r="B463" s="16">
        <v>45995.6875</v>
      </c>
      <c r="C463" s="22">
        <f t="shared" si="115"/>
        <v>45995</v>
      </c>
      <c r="D463" s="23">
        <f t="shared" si="118"/>
        <v>0.6875</v>
      </c>
      <c r="E463" s="14">
        <v>45996.406944444447</v>
      </c>
      <c r="F463" s="12">
        <f t="shared" si="116"/>
        <v>45996</v>
      </c>
      <c r="G463" s="24">
        <f t="shared" si="119"/>
        <v>0.40694444444670808</v>
      </c>
      <c r="H463" s="14"/>
      <c r="I463" s="14"/>
      <c r="J463" s="29"/>
      <c r="K463" s="30"/>
      <c r="M463" s="17">
        <v>21.26</v>
      </c>
      <c r="N463" s="7">
        <f t="shared" si="122"/>
        <v>25.512</v>
      </c>
      <c r="O463" s="5">
        <v>4</v>
      </c>
      <c r="P463" s="3"/>
      <c r="Q463" s="5">
        <v>22.59</v>
      </c>
      <c r="R463" s="7">
        <f t="shared" si="123"/>
        <v>27.108000000000001</v>
      </c>
      <c r="S463" s="5">
        <v>4</v>
      </c>
      <c r="U463" s="10"/>
      <c r="V463" s="11" t="str">
        <f t="shared" si="124"/>
        <v/>
      </c>
      <c r="W463" s="6"/>
      <c r="Y463" s="10"/>
      <c r="Z463" s="11" t="str">
        <f t="shared" si="125"/>
        <v/>
      </c>
      <c r="AA463" s="6"/>
      <c r="AB463" s="1">
        <v>1.2</v>
      </c>
      <c r="AC463" s="53" t="str">
        <f t="shared" si="126"/>
        <v>17:16</v>
      </c>
      <c r="AD463" s="52" t="str">
        <f t="shared" si="127"/>
        <v>00:00</v>
      </c>
      <c r="AE463" s="52" t="str">
        <f t="shared" si="128"/>
        <v>00:00</v>
      </c>
      <c r="AF463" s="14">
        <f t="shared" si="120"/>
        <v>45996.406944444447</v>
      </c>
      <c r="AG463" s="12">
        <f t="shared" si="117"/>
        <v>45996</v>
      </c>
      <c r="AH463" s="24">
        <f t="shared" si="121"/>
        <v>0.40694444444670808</v>
      </c>
      <c r="AI463" s="49">
        <f t="shared" si="129"/>
        <v>0.71944444444444444</v>
      </c>
      <c r="AJ463" s="1">
        <v>28</v>
      </c>
      <c r="AK463" s="50" t="str">
        <f t="shared" si="130"/>
        <v>BOM</v>
      </c>
    </row>
    <row r="464" spans="1:37" x14ac:dyDescent="0.4">
      <c r="A464" s="2">
        <v>1617</v>
      </c>
      <c r="B464" s="16">
        <v>45995.708333333336</v>
      </c>
      <c r="C464" s="22">
        <f t="shared" si="115"/>
        <v>45995</v>
      </c>
      <c r="D464" s="23">
        <f t="shared" si="118"/>
        <v>0.70833333333575865</v>
      </c>
      <c r="E464" s="14">
        <v>45996.40902777778</v>
      </c>
      <c r="F464" s="12">
        <f t="shared" si="116"/>
        <v>45996</v>
      </c>
      <c r="G464" s="24">
        <f t="shared" si="119"/>
        <v>0.40902777777955635</v>
      </c>
      <c r="H464" s="14"/>
      <c r="I464" s="14"/>
      <c r="J464" s="29"/>
      <c r="K464" s="30"/>
      <c r="M464" s="17">
        <v>26.86</v>
      </c>
      <c r="N464" s="7">
        <f t="shared" si="122"/>
        <v>32.231999999999999</v>
      </c>
      <c r="O464" s="5">
        <v>4</v>
      </c>
      <c r="P464" s="3"/>
      <c r="Q464" s="5">
        <v>27.51</v>
      </c>
      <c r="R464" s="7">
        <f t="shared" si="123"/>
        <v>33.012</v>
      </c>
      <c r="S464" s="5">
        <v>4</v>
      </c>
      <c r="U464" s="10"/>
      <c r="V464" s="11" t="str">
        <f t="shared" si="124"/>
        <v/>
      </c>
      <c r="W464" s="6"/>
      <c r="Y464" s="10"/>
      <c r="Z464" s="11" t="str">
        <f t="shared" si="125"/>
        <v/>
      </c>
      <c r="AA464" s="6"/>
      <c r="AB464" s="1">
        <v>1.2</v>
      </c>
      <c r="AC464" s="53" t="str">
        <f t="shared" si="126"/>
        <v>16:49</v>
      </c>
      <c r="AD464" s="52" t="str">
        <f t="shared" si="127"/>
        <v>00:00</v>
      </c>
      <c r="AE464" s="52" t="str">
        <f t="shared" si="128"/>
        <v>00:00</v>
      </c>
      <c r="AF464" s="14">
        <f t="shared" si="120"/>
        <v>45996.40902777778</v>
      </c>
      <c r="AG464" s="12">
        <f t="shared" si="117"/>
        <v>45996</v>
      </c>
      <c r="AH464" s="24">
        <f t="shared" si="121"/>
        <v>0.40902777777955635</v>
      </c>
      <c r="AI464" s="49">
        <f t="shared" si="129"/>
        <v>0.7006944444444444</v>
      </c>
      <c r="AJ464" s="1">
        <v>28</v>
      </c>
      <c r="AK464" s="50" t="str">
        <f t="shared" si="130"/>
        <v>BOM</v>
      </c>
    </row>
    <row r="465" spans="1:37" x14ac:dyDescent="0.4">
      <c r="A465" s="2">
        <v>1618</v>
      </c>
      <c r="B465" s="16">
        <v>45995.729166666664</v>
      </c>
      <c r="C465" s="22">
        <f t="shared" si="115"/>
        <v>45995</v>
      </c>
      <c r="D465" s="23">
        <f t="shared" si="118"/>
        <v>0.72916666666424135</v>
      </c>
      <c r="E465" s="14">
        <v>45996.413194444445</v>
      </c>
      <c r="F465" s="12">
        <f t="shared" si="116"/>
        <v>45996</v>
      </c>
      <c r="G465" s="24">
        <f t="shared" si="119"/>
        <v>0.41319444444525288</v>
      </c>
      <c r="H465" s="14"/>
      <c r="I465" s="14"/>
      <c r="J465" s="29"/>
      <c r="K465" s="30"/>
      <c r="M465" s="17">
        <v>25.09</v>
      </c>
      <c r="N465" s="7">
        <f t="shared" si="122"/>
        <v>30.107999999999997</v>
      </c>
      <c r="O465" s="5">
        <v>4</v>
      </c>
      <c r="P465" s="3"/>
      <c r="Q465" s="5">
        <v>24.85</v>
      </c>
      <c r="R465" s="7">
        <f t="shared" si="123"/>
        <v>29.82</v>
      </c>
      <c r="S465" s="5">
        <v>4</v>
      </c>
      <c r="U465" s="10"/>
      <c r="V465" s="11" t="str">
        <f t="shared" si="124"/>
        <v/>
      </c>
      <c r="W465" s="6"/>
      <c r="Y465" s="10"/>
      <c r="Z465" s="11" t="str">
        <f t="shared" si="125"/>
        <v/>
      </c>
      <c r="AA465" s="6"/>
      <c r="AB465" s="1">
        <v>1.2</v>
      </c>
      <c r="AC465" s="53" t="str">
        <f t="shared" si="126"/>
        <v>16:25</v>
      </c>
      <c r="AD465" s="52" t="str">
        <f t="shared" si="127"/>
        <v>00:00</v>
      </c>
      <c r="AE465" s="52" t="str">
        <f t="shared" si="128"/>
        <v>00:00</v>
      </c>
      <c r="AF465" s="14">
        <f t="shared" si="120"/>
        <v>45996.413194444445</v>
      </c>
      <c r="AG465" s="12">
        <f t="shared" si="117"/>
        <v>45996</v>
      </c>
      <c r="AH465" s="24">
        <f t="shared" si="121"/>
        <v>0.41319444444525288</v>
      </c>
      <c r="AI465" s="49">
        <f t="shared" si="129"/>
        <v>0.68402777777777779</v>
      </c>
      <c r="AJ465" s="1">
        <v>28</v>
      </c>
      <c r="AK465" s="50" t="str">
        <f t="shared" si="130"/>
        <v>BOM</v>
      </c>
    </row>
    <row r="466" spans="1:37" x14ac:dyDescent="0.4">
      <c r="A466" s="2">
        <v>1619</v>
      </c>
      <c r="B466" s="16">
        <v>45995.763888888891</v>
      </c>
      <c r="C466" s="22">
        <f t="shared" si="115"/>
        <v>45995</v>
      </c>
      <c r="D466" s="23">
        <f t="shared" si="118"/>
        <v>0.76388888889050577</v>
      </c>
      <c r="E466" s="14">
        <v>45996.40625</v>
      </c>
      <c r="F466" s="12">
        <f t="shared" si="116"/>
        <v>45996</v>
      </c>
      <c r="G466" s="24">
        <f t="shared" si="119"/>
        <v>0.40625</v>
      </c>
      <c r="H466" s="14"/>
      <c r="I466" s="14"/>
      <c r="J466" s="29"/>
      <c r="K466" s="30"/>
      <c r="M466" s="17">
        <v>27.45</v>
      </c>
      <c r="N466" s="7">
        <f t="shared" si="122"/>
        <v>32.94</v>
      </c>
      <c r="O466" s="5">
        <v>4</v>
      </c>
      <c r="P466" s="3"/>
      <c r="Q466" s="5">
        <v>25.92</v>
      </c>
      <c r="R466" s="7">
        <f t="shared" si="123"/>
        <v>31.103999999999999</v>
      </c>
      <c r="S466" s="5">
        <v>4</v>
      </c>
      <c r="U466" s="10"/>
      <c r="V466" s="11" t="str">
        <f t="shared" si="124"/>
        <v/>
      </c>
      <c r="W466" s="6"/>
      <c r="Y466" s="10"/>
      <c r="Z466" s="11" t="str">
        <f t="shared" si="125"/>
        <v/>
      </c>
      <c r="AA466" s="6"/>
      <c r="AB466" s="1">
        <v>1.2</v>
      </c>
      <c r="AC466" s="53" t="str">
        <f t="shared" si="126"/>
        <v>15:25</v>
      </c>
      <c r="AD466" s="52" t="str">
        <f t="shared" si="127"/>
        <v>00:00</v>
      </c>
      <c r="AE466" s="52" t="str">
        <f t="shared" si="128"/>
        <v>00:00</v>
      </c>
      <c r="AF466" s="14">
        <f t="shared" si="120"/>
        <v>45996.40625</v>
      </c>
      <c r="AG466" s="12">
        <f t="shared" si="117"/>
        <v>45996</v>
      </c>
      <c r="AH466" s="24">
        <f t="shared" si="121"/>
        <v>0.40625</v>
      </c>
      <c r="AI466" s="49">
        <f t="shared" si="129"/>
        <v>0.64236111111111116</v>
      </c>
      <c r="AJ466" s="1">
        <v>28</v>
      </c>
      <c r="AK466" s="50" t="str">
        <f t="shared" si="130"/>
        <v>BOM</v>
      </c>
    </row>
    <row r="467" spans="1:37" x14ac:dyDescent="0.4">
      <c r="A467" s="2">
        <v>1620</v>
      </c>
      <c r="B467" s="16">
        <v>45996.416666666664</v>
      </c>
      <c r="C467" s="22">
        <f t="shared" si="115"/>
        <v>45996</v>
      </c>
      <c r="D467" s="23">
        <f t="shared" si="118"/>
        <v>0.41666666666424135</v>
      </c>
      <c r="E467" s="14">
        <v>45997.299305555556</v>
      </c>
      <c r="F467" s="12">
        <f t="shared" si="116"/>
        <v>45997</v>
      </c>
      <c r="G467" s="24">
        <f t="shared" si="119"/>
        <v>0.29930555555620231</v>
      </c>
      <c r="H467" s="14"/>
      <c r="I467" s="14"/>
      <c r="J467" s="29"/>
      <c r="K467" s="30"/>
      <c r="M467" s="17">
        <v>32.729999999999997</v>
      </c>
      <c r="N467" s="7">
        <f t="shared" si="122"/>
        <v>39.275999999999996</v>
      </c>
      <c r="O467" s="5">
        <v>4</v>
      </c>
      <c r="P467" s="3"/>
      <c r="Q467" s="5">
        <v>32.33</v>
      </c>
      <c r="R467" s="7">
        <f t="shared" si="123"/>
        <v>38.795999999999999</v>
      </c>
      <c r="S467" s="5">
        <v>4</v>
      </c>
      <c r="U467" s="10"/>
      <c r="V467" s="11" t="str">
        <f t="shared" si="124"/>
        <v/>
      </c>
      <c r="W467" s="6"/>
      <c r="Y467" s="10"/>
      <c r="Z467" s="11" t="str">
        <f t="shared" si="125"/>
        <v/>
      </c>
      <c r="AA467" s="6"/>
      <c r="AB467" s="1">
        <v>1.2</v>
      </c>
      <c r="AC467" s="53" t="str">
        <f t="shared" si="126"/>
        <v>21:11</v>
      </c>
      <c r="AD467" s="52" t="str">
        <f t="shared" si="127"/>
        <v>00:00</v>
      </c>
      <c r="AE467" s="52" t="str">
        <f t="shared" si="128"/>
        <v>00:00</v>
      </c>
      <c r="AF467" s="14">
        <f t="shared" si="120"/>
        <v>45997.299305555556</v>
      </c>
      <c r="AG467" s="12">
        <f t="shared" si="117"/>
        <v>45997</v>
      </c>
      <c r="AH467" s="24">
        <f t="shared" si="121"/>
        <v>0.29930555555620231</v>
      </c>
      <c r="AI467" s="49">
        <f t="shared" si="129"/>
        <v>0.88263888888888886</v>
      </c>
      <c r="AJ467" s="1">
        <v>28</v>
      </c>
      <c r="AK467" s="50" t="str">
        <f t="shared" si="130"/>
        <v>RUIM</v>
      </c>
    </row>
    <row r="468" spans="1:37" x14ac:dyDescent="0.4">
      <c r="A468" s="2">
        <v>1621</v>
      </c>
      <c r="B468" s="16">
        <v>45996.4375</v>
      </c>
      <c r="C468" s="22">
        <f t="shared" si="115"/>
        <v>45996</v>
      </c>
      <c r="D468" s="23">
        <f t="shared" si="118"/>
        <v>0.4375</v>
      </c>
      <c r="E468" s="14">
        <v>45997.302083333336</v>
      </c>
      <c r="F468" s="12">
        <f t="shared" si="116"/>
        <v>45997</v>
      </c>
      <c r="G468" s="24">
        <f t="shared" si="119"/>
        <v>0.30208333333575865</v>
      </c>
      <c r="H468" s="14"/>
      <c r="I468" s="14"/>
      <c r="J468" s="29"/>
      <c r="K468" s="30"/>
      <c r="M468" s="17">
        <v>29.79</v>
      </c>
      <c r="N468" s="7">
        <f t="shared" si="122"/>
        <v>35.747999999999998</v>
      </c>
      <c r="O468" s="5">
        <v>4</v>
      </c>
      <c r="P468" s="3"/>
      <c r="Q468" s="5">
        <v>30.2</v>
      </c>
      <c r="R468" s="7">
        <f t="shared" si="123"/>
        <v>36.239999999999995</v>
      </c>
      <c r="S468" s="5">
        <v>4</v>
      </c>
      <c r="U468" s="10"/>
      <c r="V468" s="11" t="str">
        <f t="shared" si="124"/>
        <v/>
      </c>
      <c r="W468" s="6"/>
      <c r="Y468" s="10"/>
      <c r="Z468" s="11" t="str">
        <f t="shared" si="125"/>
        <v/>
      </c>
      <c r="AA468" s="6"/>
      <c r="AB468" s="1">
        <v>1.2</v>
      </c>
      <c r="AC468" s="53" t="str">
        <f t="shared" si="126"/>
        <v>20:45</v>
      </c>
      <c r="AD468" s="52" t="str">
        <f t="shared" si="127"/>
        <v>00:00</v>
      </c>
      <c r="AE468" s="52" t="str">
        <f t="shared" si="128"/>
        <v>00:00</v>
      </c>
      <c r="AF468" s="14">
        <f t="shared" si="120"/>
        <v>45997.302083333336</v>
      </c>
      <c r="AG468" s="12">
        <f t="shared" si="117"/>
        <v>45997</v>
      </c>
      <c r="AH468" s="24">
        <f t="shared" si="121"/>
        <v>0.30208333333575865</v>
      </c>
      <c r="AI468" s="49">
        <f t="shared" si="129"/>
        <v>0.86458333333333337</v>
      </c>
      <c r="AJ468" s="1">
        <v>28</v>
      </c>
      <c r="AK468" s="50" t="str">
        <f t="shared" si="130"/>
        <v>RUIM</v>
      </c>
    </row>
    <row r="469" spans="1:37" x14ac:dyDescent="0.4">
      <c r="A469" s="2">
        <v>1622</v>
      </c>
      <c r="B469" s="16">
        <v>45996.46597222222</v>
      </c>
      <c r="C469" s="22">
        <f t="shared" si="115"/>
        <v>45996</v>
      </c>
      <c r="D469" s="23">
        <f t="shared" si="118"/>
        <v>0.46597222222044365</v>
      </c>
      <c r="E469" s="14">
        <v>45997.305555555555</v>
      </c>
      <c r="F469" s="12">
        <f t="shared" si="116"/>
        <v>45997</v>
      </c>
      <c r="G469" s="24">
        <f t="shared" si="119"/>
        <v>0.30555555555474712</v>
      </c>
      <c r="H469" s="14"/>
      <c r="I469" s="14"/>
      <c r="J469" s="29"/>
      <c r="K469" s="30"/>
      <c r="M469" s="17">
        <v>27.84</v>
      </c>
      <c r="N469" s="7">
        <f t="shared" si="122"/>
        <v>33.408000000000001</v>
      </c>
      <c r="O469" s="5">
        <v>4</v>
      </c>
      <c r="P469" s="3"/>
      <c r="Q469" s="5">
        <v>29.86</v>
      </c>
      <c r="R469" s="7">
        <f t="shared" si="123"/>
        <v>35.832000000000001</v>
      </c>
      <c r="S469" s="5">
        <v>4</v>
      </c>
      <c r="U469" s="10"/>
      <c r="V469" s="11" t="str">
        <f t="shared" si="124"/>
        <v/>
      </c>
      <c r="W469" s="6"/>
      <c r="Y469" s="10"/>
      <c r="Z469" s="11" t="str">
        <f t="shared" si="125"/>
        <v/>
      </c>
      <c r="AA469" s="6"/>
      <c r="AB469" s="1">
        <v>1.2</v>
      </c>
      <c r="AC469" s="53" t="str">
        <f t="shared" si="126"/>
        <v>20:09</v>
      </c>
      <c r="AD469" s="52" t="str">
        <f t="shared" si="127"/>
        <v>00:00</v>
      </c>
      <c r="AE469" s="52" t="str">
        <f t="shared" si="128"/>
        <v>00:00</v>
      </c>
      <c r="AF469" s="14">
        <f t="shared" si="120"/>
        <v>45997.305555555555</v>
      </c>
      <c r="AG469" s="12">
        <f t="shared" si="117"/>
        <v>45997</v>
      </c>
      <c r="AH469" s="24">
        <f t="shared" si="121"/>
        <v>0.30555555555474712</v>
      </c>
      <c r="AI469" s="49">
        <f t="shared" si="129"/>
        <v>0.83958333333333335</v>
      </c>
      <c r="AJ469" s="1">
        <v>28</v>
      </c>
      <c r="AK469" s="50" t="str">
        <f t="shared" si="130"/>
        <v>BOM</v>
      </c>
    </row>
    <row r="470" spans="1:37" x14ac:dyDescent="0.4">
      <c r="A470" s="2">
        <v>1623</v>
      </c>
      <c r="B470" s="16">
        <v>45999.408333333333</v>
      </c>
      <c r="C470" s="22">
        <f t="shared" si="115"/>
        <v>45999</v>
      </c>
      <c r="D470" s="23">
        <f t="shared" si="118"/>
        <v>0.40833333333284827</v>
      </c>
      <c r="E470" s="14">
        <v>46000.338888888888</v>
      </c>
      <c r="F470" s="12">
        <f t="shared" si="116"/>
        <v>46000</v>
      </c>
      <c r="G470" s="24">
        <f t="shared" si="119"/>
        <v>0.33888888888759539</v>
      </c>
      <c r="H470" s="14"/>
      <c r="I470" s="14"/>
      <c r="J470" s="29"/>
      <c r="K470" s="30"/>
      <c r="M470" s="17">
        <v>37.950000000000003</v>
      </c>
      <c r="N470" s="7">
        <f t="shared" si="122"/>
        <v>45.54</v>
      </c>
      <c r="O470" s="5">
        <v>4</v>
      </c>
      <c r="P470" s="3"/>
      <c r="Q470" s="5">
        <v>35.96</v>
      </c>
      <c r="R470" s="7">
        <f t="shared" si="123"/>
        <v>43.152000000000001</v>
      </c>
      <c r="S470" s="5">
        <v>4</v>
      </c>
      <c r="U470" s="10"/>
      <c r="V470" s="11" t="str">
        <f t="shared" si="124"/>
        <v/>
      </c>
      <c r="W470" s="6"/>
      <c r="Y470" s="10"/>
      <c r="Z470" s="11" t="str">
        <f t="shared" si="125"/>
        <v/>
      </c>
      <c r="AA470" s="6"/>
      <c r="AB470" s="1">
        <v>1.2</v>
      </c>
      <c r="AC470" s="53" t="str">
        <f t="shared" si="126"/>
        <v>22:20</v>
      </c>
      <c r="AD470" s="52" t="str">
        <f t="shared" si="127"/>
        <v>00:00</v>
      </c>
      <c r="AE470" s="52" t="str">
        <f t="shared" si="128"/>
        <v>00:00</v>
      </c>
      <c r="AF470" s="14">
        <f t="shared" si="120"/>
        <v>46000.338888888888</v>
      </c>
      <c r="AG470" s="12">
        <f t="shared" si="117"/>
        <v>46000</v>
      </c>
      <c r="AH470" s="24">
        <f t="shared" si="121"/>
        <v>0.33888888888759539</v>
      </c>
      <c r="AI470" s="49">
        <f t="shared" si="129"/>
        <v>0.93055555555555558</v>
      </c>
      <c r="AJ470" s="1">
        <v>28</v>
      </c>
      <c r="AK470" s="50" t="str">
        <f>IF(VALUE(AI470)&lt;=VALUE($AK$3),"BOM","RUIM")</f>
        <v>RUIM</v>
      </c>
    </row>
    <row r="471" spans="1:37" x14ac:dyDescent="0.4">
      <c r="A471" s="2">
        <v>1624</v>
      </c>
      <c r="B471" s="16">
        <v>45999.4375</v>
      </c>
      <c r="C471" s="22">
        <f t="shared" ref="C471:C534" si="131">INT(B471)</f>
        <v>45999</v>
      </c>
      <c r="D471" s="23">
        <f t="shared" si="118"/>
        <v>0.4375</v>
      </c>
      <c r="E471" s="14">
        <v>46000.340277777781</v>
      </c>
      <c r="F471" s="12">
        <f t="shared" ref="F471:F534" si="132">INT(E471)</f>
        <v>46000</v>
      </c>
      <c r="G471" s="24">
        <f t="shared" si="119"/>
        <v>0.34027777778101154</v>
      </c>
      <c r="H471" s="14"/>
      <c r="I471" s="14"/>
      <c r="J471" s="29"/>
      <c r="K471" s="30"/>
      <c r="M471" s="17">
        <v>41.93</v>
      </c>
      <c r="N471" s="7">
        <f t="shared" si="122"/>
        <v>50.315999999999995</v>
      </c>
      <c r="O471" s="5">
        <v>4</v>
      </c>
      <c r="P471" s="3"/>
      <c r="Q471" s="5">
        <v>39.979999999999997</v>
      </c>
      <c r="R471" s="7">
        <f t="shared" si="123"/>
        <v>47.975999999999992</v>
      </c>
      <c r="S471" s="5">
        <v>4</v>
      </c>
      <c r="U471" s="10"/>
      <c r="V471" s="11" t="str">
        <f t="shared" si="124"/>
        <v/>
      </c>
      <c r="W471" s="6"/>
      <c r="Y471" s="10"/>
      <c r="Z471" s="11" t="str">
        <f t="shared" si="125"/>
        <v/>
      </c>
      <c r="AA471" s="6"/>
      <c r="AB471" s="1">
        <v>1.2</v>
      </c>
      <c r="AC471" s="53" t="str">
        <f t="shared" si="126"/>
        <v>21:40</v>
      </c>
      <c r="AD471" s="52" t="str">
        <f t="shared" si="127"/>
        <v>00:00</v>
      </c>
      <c r="AE471" s="52" t="str">
        <f t="shared" si="128"/>
        <v>00:00</v>
      </c>
      <c r="AF471" s="14">
        <f t="shared" si="120"/>
        <v>46000.340277777781</v>
      </c>
      <c r="AG471" s="12">
        <f t="shared" ref="AG471:AG534" si="133">INT(AF471)</f>
        <v>46000</v>
      </c>
      <c r="AH471" s="24">
        <f t="shared" si="121"/>
        <v>0.34027777778101154</v>
      </c>
      <c r="AI471" s="49">
        <f t="shared" si="129"/>
        <v>0.90277777777777779</v>
      </c>
      <c r="AJ471" s="1">
        <v>28</v>
      </c>
      <c r="AK471" s="50" t="str">
        <f t="shared" ref="AK471:AK534" si="134">IF(VALUE(AI471)&lt;=VALUE($AK$3),"BOM","RUIM")</f>
        <v>RUIM</v>
      </c>
    </row>
    <row r="472" spans="1:37" x14ac:dyDescent="0.4">
      <c r="A472" s="2">
        <v>1625</v>
      </c>
      <c r="B472" s="16">
        <v>45999.493055555555</v>
      </c>
      <c r="C472" s="22">
        <f t="shared" si="131"/>
        <v>45999</v>
      </c>
      <c r="D472" s="23">
        <f t="shared" si="118"/>
        <v>0.49305555555474712</v>
      </c>
      <c r="E472" s="14">
        <v>46000.34375</v>
      </c>
      <c r="F472" s="12">
        <f t="shared" si="132"/>
        <v>46000</v>
      </c>
      <c r="G472" s="24">
        <f t="shared" si="119"/>
        <v>0.34375</v>
      </c>
      <c r="H472" s="14"/>
      <c r="I472" s="14"/>
      <c r="J472" s="29"/>
      <c r="K472" s="30"/>
      <c r="M472" s="17">
        <v>40.94</v>
      </c>
      <c r="N472" s="7">
        <f t="shared" si="122"/>
        <v>49.127999999999993</v>
      </c>
      <c r="O472" s="5">
        <v>4</v>
      </c>
      <c r="P472" s="3"/>
      <c r="Q472" s="5">
        <v>39.97</v>
      </c>
      <c r="R472" s="7">
        <f t="shared" si="123"/>
        <v>47.963999999999999</v>
      </c>
      <c r="S472" s="5">
        <v>4</v>
      </c>
      <c r="U472" s="10"/>
      <c r="V472" s="11" t="str">
        <f t="shared" si="124"/>
        <v/>
      </c>
      <c r="W472" s="6"/>
      <c r="Y472" s="10"/>
      <c r="Z472" s="11" t="str">
        <f t="shared" si="125"/>
        <v/>
      </c>
      <c r="AA472" s="6"/>
      <c r="AB472" s="1">
        <v>1.2</v>
      </c>
      <c r="AC472" s="53" t="str">
        <f t="shared" si="126"/>
        <v>20:25</v>
      </c>
      <c r="AD472" s="52" t="str">
        <f t="shared" si="127"/>
        <v>00:00</v>
      </c>
      <c r="AE472" s="52" t="str">
        <f t="shared" si="128"/>
        <v>00:00</v>
      </c>
      <c r="AF472" s="14">
        <f t="shared" si="120"/>
        <v>46000.34375</v>
      </c>
      <c r="AG472" s="12">
        <f t="shared" si="133"/>
        <v>46000</v>
      </c>
      <c r="AH472" s="24">
        <f t="shared" si="121"/>
        <v>0.34375</v>
      </c>
      <c r="AI472" s="49">
        <f t="shared" si="129"/>
        <v>0.85069444444444442</v>
      </c>
      <c r="AJ472" s="1">
        <v>28</v>
      </c>
      <c r="AK472" s="50" t="str">
        <f t="shared" si="134"/>
        <v>BOM</v>
      </c>
    </row>
    <row r="473" spans="1:37" x14ac:dyDescent="0.4">
      <c r="A473" s="2">
        <v>1626</v>
      </c>
      <c r="B473" s="16">
        <v>46000.645833333336</v>
      </c>
      <c r="C473" s="22">
        <f t="shared" si="131"/>
        <v>46000</v>
      </c>
      <c r="D473" s="23">
        <f t="shared" si="118"/>
        <v>0.64583333333575865</v>
      </c>
      <c r="E473" s="14">
        <v>46001.375694444447</v>
      </c>
      <c r="F473" s="12">
        <f t="shared" si="132"/>
        <v>46001</v>
      </c>
      <c r="G473" s="24">
        <f t="shared" si="119"/>
        <v>0.37569444444670808</v>
      </c>
      <c r="H473" s="14"/>
      <c r="I473" s="14"/>
      <c r="J473" s="29"/>
      <c r="K473" s="30"/>
      <c r="M473" s="17">
        <v>26.2</v>
      </c>
      <c r="N473" s="7">
        <f t="shared" si="122"/>
        <v>31.439999999999998</v>
      </c>
      <c r="O473" s="5">
        <v>4</v>
      </c>
      <c r="P473" s="3"/>
      <c r="Q473" s="5">
        <v>25.03</v>
      </c>
      <c r="R473" s="7">
        <f t="shared" si="123"/>
        <v>30.036000000000001</v>
      </c>
      <c r="S473" s="5">
        <v>4</v>
      </c>
      <c r="U473" s="10"/>
      <c r="V473" s="11" t="str">
        <f t="shared" si="124"/>
        <v/>
      </c>
      <c r="W473" s="6"/>
      <c r="Y473" s="10"/>
      <c r="Z473" s="11" t="str">
        <f t="shared" si="125"/>
        <v/>
      </c>
      <c r="AA473" s="6"/>
      <c r="AB473" s="1">
        <v>1.2</v>
      </c>
      <c r="AC473" s="53" t="str">
        <f t="shared" si="126"/>
        <v>17:31</v>
      </c>
      <c r="AD473" s="52" t="str">
        <f t="shared" si="127"/>
        <v>00:00</v>
      </c>
      <c r="AE473" s="52" t="str">
        <f t="shared" si="128"/>
        <v>00:00</v>
      </c>
      <c r="AF473" s="14">
        <f t="shared" si="120"/>
        <v>46001.375694444447</v>
      </c>
      <c r="AG473" s="12">
        <f t="shared" si="133"/>
        <v>46001</v>
      </c>
      <c r="AH473" s="24">
        <f t="shared" si="121"/>
        <v>0.37569444444670808</v>
      </c>
      <c r="AI473" s="49">
        <f t="shared" si="129"/>
        <v>0.72986111111111107</v>
      </c>
      <c r="AJ473" s="1">
        <v>28</v>
      </c>
      <c r="AK473" s="50" t="str">
        <f t="shared" si="134"/>
        <v>BOM</v>
      </c>
    </row>
    <row r="474" spans="1:37" x14ac:dyDescent="0.4">
      <c r="A474" s="2">
        <v>1627</v>
      </c>
      <c r="B474" s="16">
        <v>46000.666666666664</v>
      </c>
      <c r="C474" s="22">
        <f t="shared" si="131"/>
        <v>46000</v>
      </c>
      <c r="D474" s="23">
        <f t="shared" si="118"/>
        <v>0.66666666666424135</v>
      </c>
      <c r="E474" s="14">
        <v>46001.383333333331</v>
      </c>
      <c r="F474" s="12">
        <f t="shared" si="132"/>
        <v>46001</v>
      </c>
      <c r="G474" s="24">
        <f t="shared" si="119"/>
        <v>0.38333333333139308</v>
      </c>
      <c r="H474" s="14"/>
      <c r="I474" s="14"/>
      <c r="J474" s="29"/>
      <c r="K474" s="30"/>
      <c r="M474" s="17">
        <v>26.27</v>
      </c>
      <c r="N474" s="7">
        <f t="shared" si="122"/>
        <v>31.523999999999997</v>
      </c>
      <c r="O474" s="5">
        <v>4</v>
      </c>
      <c r="P474" s="3"/>
      <c r="Q474" s="5">
        <v>27.22</v>
      </c>
      <c r="R474" s="7">
        <f t="shared" si="123"/>
        <v>32.663999999999994</v>
      </c>
      <c r="S474" s="5">
        <v>4</v>
      </c>
      <c r="U474" s="10"/>
      <c r="V474" s="11" t="str">
        <f t="shared" si="124"/>
        <v/>
      </c>
      <c r="W474" s="6"/>
      <c r="Y474" s="10"/>
      <c r="Z474" s="11" t="str">
        <f t="shared" si="125"/>
        <v/>
      </c>
      <c r="AA474" s="6"/>
      <c r="AB474" s="1">
        <v>1.2</v>
      </c>
      <c r="AC474" s="53" t="str">
        <f t="shared" si="126"/>
        <v>17:12</v>
      </c>
      <c r="AD474" s="52" t="str">
        <f t="shared" si="127"/>
        <v>00:00</v>
      </c>
      <c r="AE474" s="52" t="str">
        <f t="shared" si="128"/>
        <v>00:00</v>
      </c>
      <c r="AF474" s="14">
        <f t="shared" si="120"/>
        <v>46001.383333333331</v>
      </c>
      <c r="AG474" s="12">
        <f t="shared" si="133"/>
        <v>46001</v>
      </c>
      <c r="AH474" s="24">
        <f t="shared" si="121"/>
        <v>0.38333333333139308</v>
      </c>
      <c r="AI474" s="49">
        <f t="shared" si="129"/>
        <v>0.71666666666666667</v>
      </c>
      <c r="AJ474" s="1">
        <v>28</v>
      </c>
      <c r="AK474" s="50" t="str">
        <f t="shared" si="134"/>
        <v>BOM</v>
      </c>
    </row>
    <row r="475" spans="1:37" x14ac:dyDescent="0.4">
      <c r="A475" s="2">
        <v>1628</v>
      </c>
      <c r="B475" s="16">
        <v>46000.690972222219</v>
      </c>
      <c r="C475" s="22">
        <f t="shared" si="131"/>
        <v>46000</v>
      </c>
      <c r="D475" s="23">
        <f t="shared" si="118"/>
        <v>0.69097222221898846</v>
      </c>
      <c r="E475" s="14">
        <v>46001.386805555558</v>
      </c>
      <c r="F475" s="12">
        <f t="shared" si="132"/>
        <v>46001</v>
      </c>
      <c r="G475" s="24">
        <f t="shared" si="119"/>
        <v>0.3868055555576575</v>
      </c>
      <c r="H475" s="14"/>
      <c r="I475" s="14"/>
      <c r="J475" s="29"/>
      <c r="K475" s="30"/>
      <c r="M475" s="17">
        <v>28.37</v>
      </c>
      <c r="N475" s="7">
        <f t="shared" si="122"/>
        <v>34.043999999999997</v>
      </c>
      <c r="O475" s="5">
        <v>4</v>
      </c>
      <c r="P475" s="3"/>
      <c r="Q475" s="5">
        <v>27.39</v>
      </c>
      <c r="R475" s="7">
        <f t="shared" si="123"/>
        <v>32.868000000000002</v>
      </c>
      <c r="S475" s="5">
        <v>4</v>
      </c>
      <c r="U475" s="10"/>
      <c r="V475" s="11" t="str">
        <f t="shared" si="124"/>
        <v/>
      </c>
      <c r="W475" s="6"/>
      <c r="Y475" s="10"/>
      <c r="Z475" s="11" t="str">
        <f t="shared" si="125"/>
        <v/>
      </c>
      <c r="AA475" s="6"/>
      <c r="AB475" s="1">
        <v>1.2</v>
      </c>
      <c r="AC475" s="53" t="str">
        <f t="shared" si="126"/>
        <v>16:42</v>
      </c>
      <c r="AD475" s="52" t="str">
        <f t="shared" si="127"/>
        <v>00:00</v>
      </c>
      <c r="AE475" s="52" t="str">
        <f t="shared" si="128"/>
        <v>00:00</v>
      </c>
      <c r="AF475" s="14">
        <f t="shared" si="120"/>
        <v>46001.386805555558</v>
      </c>
      <c r="AG475" s="12">
        <f t="shared" si="133"/>
        <v>46001</v>
      </c>
      <c r="AH475" s="24">
        <f t="shared" si="121"/>
        <v>0.3868055555576575</v>
      </c>
      <c r="AI475" s="49">
        <f t="shared" si="129"/>
        <v>0.6958333333333333</v>
      </c>
      <c r="AJ475" s="1">
        <v>28</v>
      </c>
      <c r="AK475" s="50" t="str">
        <f t="shared" si="134"/>
        <v>BOM</v>
      </c>
    </row>
    <row r="476" spans="1:37" x14ac:dyDescent="0.4">
      <c r="A476" s="2">
        <v>1629</v>
      </c>
      <c r="B476" s="16">
        <v>46000.714583333334</v>
      </c>
      <c r="C476" s="22">
        <f t="shared" si="131"/>
        <v>46000</v>
      </c>
      <c r="D476" s="23">
        <f t="shared" si="118"/>
        <v>0.71458333333430346</v>
      </c>
      <c r="E476" s="14">
        <v>46001.379861111112</v>
      </c>
      <c r="F476" s="12">
        <f t="shared" si="132"/>
        <v>46001</v>
      </c>
      <c r="G476" s="24">
        <f t="shared" si="119"/>
        <v>0.37986111111240461</v>
      </c>
      <c r="H476" s="14"/>
      <c r="I476" s="14"/>
      <c r="J476" s="29"/>
      <c r="K476" s="30"/>
      <c r="M476" s="17">
        <v>24.07</v>
      </c>
      <c r="N476" s="7">
        <f t="shared" si="122"/>
        <v>28.884</v>
      </c>
      <c r="O476" s="5">
        <v>4</v>
      </c>
      <c r="P476" s="3"/>
      <c r="Q476" s="5">
        <v>24.38</v>
      </c>
      <c r="R476" s="7">
        <f t="shared" si="123"/>
        <v>29.255999999999997</v>
      </c>
      <c r="S476" s="5">
        <v>4</v>
      </c>
      <c r="U476" s="10"/>
      <c r="V476" s="11" t="str">
        <f t="shared" si="124"/>
        <v/>
      </c>
      <c r="W476" s="6"/>
      <c r="Y476" s="10"/>
      <c r="Z476" s="11" t="str">
        <f t="shared" si="125"/>
        <v/>
      </c>
      <c r="AA476" s="6"/>
      <c r="AB476" s="1">
        <v>1.2</v>
      </c>
      <c r="AC476" s="53" t="str">
        <f t="shared" si="126"/>
        <v>15:58</v>
      </c>
      <c r="AD476" s="52" t="str">
        <f t="shared" si="127"/>
        <v>00:00</v>
      </c>
      <c r="AE476" s="52" t="str">
        <f t="shared" si="128"/>
        <v>00:00</v>
      </c>
      <c r="AF476" s="14">
        <f t="shared" si="120"/>
        <v>46001.379861111112</v>
      </c>
      <c r="AG476" s="12">
        <f t="shared" si="133"/>
        <v>46001</v>
      </c>
      <c r="AH476" s="24">
        <f t="shared" si="121"/>
        <v>0.37986111111240461</v>
      </c>
      <c r="AI476" s="49">
        <f t="shared" si="129"/>
        <v>0.66527777777777775</v>
      </c>
      <c r="AJ476" s="1">
        <v>28</v>
      </c>
      <c r="AK476" s="50" t="str">
        <f t="shared" si="134"/>
        <v>BOM</v>
      </c>
    </row>
    <row r="477" spans="1:37" x14ac:dyDescent="0.4">
      <c r="A477" s="2">
        <v>1630</v>
      </c>
      <c r="B477" s="16">
        <v>46000.739583333336</v>
      </c>
      <c r="C477" s="22">
        <f t="shared" si="131"/>
        <v>46000</v>
      </c>
      <c r="D477" s="23">
        <f t="shared" si="118"/>
        <v>0.73958333333575865</v>
      </c>
      <c r="E477" s="14">
        <v>46001.382638888892</v>
      </c>
      <c r="F477" s="12">
        <f t="shared" si="132"/>
        <v>46001</v>
      </c>
      <c r="G477" s="24">
        <f t="shared" si="119"/>
        <v>0.38263888889196096</v>
      </c>
      <c r="H477" s="14"/>
      <c r="I477" s="14"/>
      <c r="J477" s="29"/>
      <c r="K477" s="30"/>
      <c r="M477" s="17">
        <v>23.26</v>
      </c>
      <c r="N477" s="7">
        <f t="shared" si="122"/>
        <v>27.912000000000003</v>
      </c>
      <c r="O477" s="5">
        <v>4</v>
      </c>
      <c r="P477" s="3"/>
      <c r="Q477" s="5">
        <v>24.16</v>
      </c>
      <c r="R477" s="7">
        <f t="shared" si="123"/>
        <v>28.991999999999997</v>
      </c>
      <c r="S477" s="5">
        <v>4</v>
      </c>
      <c r="U477" s="10"/>
      <c r="V477" s="11" t="str">
        <f t="shared" si="124"/>
        <v/>
      </c>
      <c r="W477" s="6"/>
      <c r="Y477" s="10"/>
      <c r="Z477" s="11" t="str">
        <f t="shared" si="125"/>
        <v/>
      </c>
      <c r="AA477" s="6"/>
      <c r="AB477" s="1">
        <v>1.2</v>
      </c>
      <c r="AC477" s="53" t="str">
        <f t="shared" si="126"/>
        <v>15:26</v>
      </c>
      <c r="AD477" s="52" t="str">
        <f t="shared" si="127"/>
        <v>00:00</v>
      </c>
      <c r="AE477" s="52" t="str">
        <f t="shared" si="128"/>
        <v>00:00</v>
      </c>
      <c r="AF477" s="14">
        <f t="shared" si="120"/>
        <v>46001.382638888892</v>
      </c>
      <c r="AG477" s="12">
        <f t="shared" si="133"/>
        <v>46001</v>
      </c>
      <c r="AH477" s="24">
        <f t="shared" si="121"/>
        <v>0.38263888889196096</v>
      </c>
      <c r="AI477" s="49">
        <f t="shared" si="129"/>
        <v>0.6430555555555556</v>
      </c>
      <c r="AJ477" s="1">
        <v>28</v>
      </c>
      <c r="AK477" s="50" t="str">
        <f t="shared" si="134"/>
        <v>BOM</v>
      </c>
    </row>
    <row r="478" spans="1:37" x14ac:dyDescent="0.4">
      <c r="A478" s="2">
        <v>1631</v>
      </c>
      <c r="B478" s="16">
        <v>46001.718055555553</v>
      </c>
      <c r="C478" s="22">
        <f t="shared" si="131"/>
        <v>46001</v>
      </c>
      <c r="D478" s="23">
        <f t="shared" si="118"/>
        <v>0.71805555555329192</v>
      </c>
      <c r="E478" s="14">
        <v>46002.676388888889</v>
      </c>
      <c r="F478" s="12">
        <f t="shared" si="132"/>
        <v>46002</v>
      </c>
      <c r="G478" s="24">
        <f t="shared" si="119"/>
        <v>0.67638888888905058</v>
      </c>
      <c r="H478" s="14"/>
      <c r="I478" s="14"/>
      <c r="J478" s="29"/>
      <c r="K478" s="30"/>
      <c r="M478" s="17">
        <v>29.9</v>
      </c>
      <c r="N478" s="7">
        <f t="shared" si="122"/>
        <v>35.879999999999995</v>
      </c>
      <c r="O478" s="5">
        <v>4</v>
      </c>
      <c r="P478" s="3"/>
      <c r="Q478" s="5">
        <v>28.71</v>
      </c>
      <c r="R478" s="7">
        <f t="shared" si="123"/>
        <v>34.451999999999998</v>
      </c>
      <c r="S478" s="5">
        <v>4</v>
      </c>
      <c r="U478" s="10"/>
      <c r="V478" s="11" t="str">
        <f t="shared" si="124"/>
        <v/>
      </c>
      <c r="W478" s="6"/>
      <c r="Y478" s="10"/>
      <c r="Z478" s="11" t="str">
        <f t="shared" si="125"/>
        <v/>
      </c>
      <c r="AA478" s="6"/>
      <c r="AB478" s="1">
        <v>1.2</v>
      </c>
      <c r="AC478" s="53" t="str">
        <f t="shared" si="126"/>
        <v>23:00</v>
      </c>
      <c r="AD478" s="52" t="str">
        <f t="shared" si="127"/>
        <v>00:00</v>
      </c>
      <c r="AE478" s="52" t="str">
        <f t="shared" si="128"/>
        <v>00:00</v>
      </c>
      <c r="AF478" s="14">
        <f t="shared" si="120"/>
        <v>46002.676388888889</v>
      </c>
      <c r="AG478" s="12">
        <f t="shared" si="133"/>
        <v>46002</v>
      </c>
      <c r="AH478" s="24">
        <f t="shared" si="121"/>
        <v>0.67638888888905058</v>
      </c>
      <c r="AI478" s="49">
        <f t="shared" si="129"/>
        <v>0.95833333333333337</v>
      </c>
      <c r="AJ478" s="1">
        <v>28</v>
      </c>
      <c r="AK478" s="50" t="str">
        <f t="shared" si="134"/>
        <v>RUIM</v>
      </c>
    </row>
    <row r="479" spans="1:37" x14ac:dyDescent="0.4">
      <c r="A479" s="2">
        <v>1632</v>
      </c>
      <c r="B479" s="16">
        <v>46001.75</v>
      </c>
      <c r="C479" s="22">
        <f t="shared" si="131"/>
        <v>46001</v>
      </c>
      <c r="D479" s="23">
        <f t="shared" si="118"/>
        <v>0.75</v>
      </c>
      <c r="E479" s="14">
        <v>46002.673611111109</v>
      </c>
      <c r="F479" s="12">
        <f t="shared" si="132"/>
        <v>46002</v>
      </c>
      <c r="G479" s="24">
        <f t="shared" si="119"/>
        <v>0.67361111110949423</v>
      </c>
      <c r="H479" s="14"/>
      <c r="I479" s="14"/>
      <c r="J479" s="29"/>
      <c r="K479" s="30"/>
      <c r="M479" s="17">
        <v>25.8</v>
      </c>
      <c r="N479" s="7">
        <f t="shared" si="122"/>
        <v>30.96</v>
      </c>
      <c r="O479" s="5">
        <v>4</v>
      </c>
      <c r="P479" s="3"/>
      <c r="Q479" s="5">
        <v>26.5</v>
      </c>
      <c r="R479" s="7">
        <f t="shared" si="123"/>
        <v>31.799999999999997</v>
      </c>
      <c r="S479" s="5">
        <v>4</v>
      </c>
      <c r="U479" s="10"/>
      <c r="V479" s="11" t="str">
        <f t="shared" si="124"/>
        <v/>
      </c>
      <c r="W479" s="6"/>
      <c r="Y479" s="10"/>
      <c r="Z479" s="11" t="str">
        <f t="shared" si="125"/>
        <v/>
      </c>
      <c r="AA479" s="6"/>
      <c r="AB479" s="1">
        <v>1.2</v>
      </c>
      <c r="AC479" s="53" t="str">
        <f t="shared" si="126"/>
        <v>22:10</v>
      </c>
      <c r="AD479" s="52" t="str">
        <f t="shared" si="127"/>
        <v>00:00</v>
      </c>
      <c r="AE479" s="52" t="str">
        <f t="shared" si="128"/>
        <v>00:00</v>
      </c>
      <c r="AF479" s="14">
        <f t="shared" si="120"/>
        <v>46002.673611111109</v>
      </c>
      <c r="AG479" s="12">
        <f t="shared" si="133"/>
        <v>46002</v>
      </c>
      <c r="AH479" s="24">
        <f t="shared" si="121"/>
        <v>0.67361111110949423</v>
      </c>
      <c r="AI479" s="49">
        <f t="shared" si="129"/>
        <v>0.92361111111111116</v>
      </c>
      <c r="AJ479" s="1">
        <v>28</v>
      </c>
      <c r="AK479" s="50" t="str">
        <f t="shared" si="134"/>
        <v>RUIM</v>
      </c>
    </row>
    <row r="480" spans="1:37" x14ac:dyDescent="0.4">
      <c r="A480" s="2">
        <v>1633</v>
      </c>
      <c r="B480" s="16">
        <v>46003.607638888891</v>
      </c>
      <c r="C480" s="22">
        <f t="shared" si="131"/>
        <v>46003</v>
      </c>
      <c r="D480" s="23">
        <f t="shared" si="118"/>
        <v>0.60763888889050577</v>
      </c>
      <c r="E480" s="14">
        <v>46004.444444444445</v>
      </c>
      <c r="F480" s="12">
        <f t="shared" si="132"/>
        <v>46004</v>
      </c>
      <c r="G480" s="24">
        <f t="shared" si="119"/>
        <v>0.44444444444525288</v>
      </c>
      <c r="H480" s="14"/>
      <c r="I480" s="14"/>
      <c r="J480" s="29"/>
      <c r="K480" s="30"/>
      <c r="M480" s="17">
        <v>29.31</v>
      </c>
      <c r="N480" s="7">
        <f t="shared" si="122"/>
        <v>35.171999999999997</v>
      </c>
      <c r="O480" s="5">
        <v>4</v>
      </c>
      <c r="P480" s="3"/>
      <c r="Q480" s="5">
        <v>30.4</v>
      </c>
      <c r="R480" s="7">
        <f t="shared" si="123"/>
        <v>36.479999999999997</v>
      </c>
      <c r="S480" s="5">
        <v>4</v>
      </c>
      <c r="U480" s="10"/>
      <c r="V480" s="11" t="str">
        <f t="shared" si="124"/>
        <v/>
      </c>
      <c r="W480" s="6"/>
      <c r="Y480" s="10"/>
      <c r="Z480" s="11" t="str">
        <f t="shared" si="125"/>
        <v/>
      </c>
      <c r="AA480" s="6"/>
      <c r="AB480" s="1">
        <v>1.2</v>
      </c>
      <c r="AC480" s="53" t="str">
        <f t="shared" si="126"/>
        <v>20:05</v>
      </c>
      <c r="AD480" s="52" t="str">
        <f t="shared" si="127"/>
        <v>00:00</v>
      </c>
      <c r="AE480" s="52" t="str">
        <f t="shared" si="128"/>
        <v>00:00</v>
      </c>
      <c r="AF480" s="14">
        <f t="shared" si="120"/>
        <v>46004.444444444445</v>
      </c>
      <c r="AG480" s="12">
        <f t="shared" si="133"/>
        <v>46004</v>
      </c>
      <c r="AH480" s="24">
        <f t="shared" si="121"/>
        <v>0.44444444444525288</v>
      </c>
      <c r="AI480" s="49">
        <f t="shared" si="129"/>
        <v>0.83680555555555558</v>
      </c>
      <c r="AJ480" s="1">
        <v>28</v>
      </c>
      <c r="AK480" s="50" t="str">
        <f t="shared" si="134"/>
        <v>BOM</v>
      </c>
    </row>
    <row r="481" spans="1:37" x14ac:dyDescent="0.4">
      <c r="A481" s="2">
        <v>1634</v>
      </c>
      <c r="B481" s="16">
        <v>46003.626388888886</v>
      </c>
      <c r="C481" s="22">
        <f t="shared" si="131"/>
        <v>46003</v>
      </c>
      <c r="D481" s="23">
        <f t="shared" si="118"/>
        <v>0.62638888888614019</v>
      </c>
      <c r="E481" s="14">
        <v>46004.447916666664</v>
      </c>
      <c r="F481" s="12">
        <f t="shared" si="132"/>
        <v>46004</v>
      </c>
      <c r="G481" s="24">
        <f t="shared" si="119"/>
        <v>0.44791666666424135</v>
      </c>
      <c r="H481" s="14"/>
      <c r="I481" s="14"/>
      <c r="J481" s="29"/>
      <c r="K481" s="30"/>
      <c r="M481" s="17">
        <v>28.67</v>
      </c>
      <c r="N481" s="7">
        <f t="shared" si="122"/>
        <v>34.404000000000003</v>
      </c>
      <c r="O481" s="5">
        <v>4</v>
      </c>
      <c r="P481" s="3"/>
      <c r="Q481" s="5">
        <v>26.69</v>
      </c>
      <c r="R481" s="7">
        <f t="shared" si="123"/>
        <v>32.027999999999999</v>
      </c>
      <c r="S481" s="5">
        <v>4</v>
      </c>
      <c r="U481" s="10"/>
      <c r="V481" s="11" t="str">
        <f t="shared" si="124"/>
        <v/>
      </c>
      <c r="W481" s="6"/>
      <c r="Y481" s="10"/>
      <c r="Z481" s="11" t="str">
        <f t="shared" si="125"/>
        <v/>
      </c>
      <c r="AA481" s="6"/>
      <c r="AB481" s="1">
        <v>1.2</v>
      </c>
      <c r="AC481" s="53" t="str">
        <f t="shared" si="126"/>
        <v>19:43</v>
      </c>
      <c r="AD481" s="52" t="str">
        <f t="shared" si="127"/>
        <v>00:00</v>
      </c>
      <c r="AE481" s="52" t="str">
        <f t="shared" si="128"/>
        <v>00:00</v>
      </c>
      <c r="AF481" s="14">
        <f t="shared" si="120"/>
        <v>46004.447916666664</v>
      </c>
      <c r="AG481" s="12">
        <f t="shared" si="133"/>
        <v>46004</v>
      </c>
      <c r="AH481" s="24">
        <f t="shared" si="121"/>
        <v>0.44791666666424135</v>
      </c>
      <c r="AI481" s="49">
        <f t="shared" si="129"/>
        <v>0.82152777777777775</v>
      </c>
      <c r="AJ481" s="1">
        <v>28</v>
      </c>
      <c r="AK481" s="50" t="str">
        <f t="shared" si="134"/>
        <v>BOM</v>
      </c>
    </row>
    <row r="482" spans="1:37" x14ac:dyDescent="0.4">
      <c r="A482" s="2">
        <v>1635</v>
      </c>
      <c r="B482" s="16">
        <v>46003.677083333336</v>
      </c>
      <c r="C482" s="22">
        <f t="shared" si="131"/>
        <v>46003</v>
      </c>
      <c r="D482" s="23">
        <f t="shared" si="118"/>
        <v>0.67708333333575865</v>
      </c>
      <c r="E482" s="14">
        <v>46004.451388888891</v>
      </c>
      <c r="F482" s="12">
        <f t="shared" si="132"/>
        <v>46004</v>
      </c>
      <c r="G482" s="24">
        <f t="shared" si="119"/>
        <v>0.45138888889050577</v>
      </c>
      <c r="H482" s="14"/>
      <c r="I482" s="14"/>
      <c r="J482" s="29"/>
      <c r="K482" s="30"/>
      <c r="M482" s="17">
        <v>28.8</v>
      </c>
      <c r="N482" s="7">
        <f t="shared" si="122"/>
        <v>34.56</v>
      </c>
      <c r="O482" s="5">
        <v>4</v>
      </c>
      <c r="P482" s="3"/>
      <c r="Q482" s="5">
        <v>30.43</v>
      </c>
      <c r="R482" s="7">
        <f t="shared" si="123"/>
        <v>36.515999999999998</v>
      </c>
      <c r="S482" s="5">
        <v>4</v>
      </c>
      <c r="U482" s="10"/>
      <c r="V482" s="11" t="str">
        <f t="shared" si="124"/>
        <v/>
      </c>
      <c r="W482" s="6"/>
      <c r="Y482" s="10"/>
      <c r="Z482" s="11" t="str">
        <f t="shared" si="125"/>
        <v/>
      </c>
      <c r="AA482" s="6"/>
      <c r="AB482" s="1">
        <v>1.2</v>
      </c>
      <c r="AC482" s="53" t="str">
        <f t="shared" si="126"/>
        <v>18:35</v>
      </c>
      <c r="AD482" s="52" t="str">
        <f t="shared" si="127"/>
        <v>00:00</v>
      </c>
      <c r="AE482" s="52" t="str">
        <f t="shared" si="128"/>
        <v>00:00</v>
      </c>
      <c r="AF482" s="14">
        <f t="shared" si="120"/>
        <v>46004.451388888891</v>
      </c>
      <c r="AG482" s="12">
        <f t="shared" si="133"/>
        <v>46004</v>
      </c>
      <c r="AH482" s="24">
        <f t="shared" si="121"/>
        <v>0.45138888889050577</v>
      </c>
      <c r="AI482" s="49">
        <f t="shared" si="129"/>
        <v>0.77430555555555558</v>
      </c>
      <c r="AJ482" s="1">
        <v>28</v>
      </c>
      <c r="AK482" s="50" t="str">
        <f t="shared" si="134"/>
        <v>BOM</v>
      </c>
    </row>
    <row r="483" spans="1:37" x14ac:dyDescent="0.4">
      <c r="A483" s="2">
        <v>1636</v>
      </c>
      <c r="B483" s="16">
        <v>46003.704861111109</v>
      </c>
      <c r="C483" s="22">
        <f t="shared" si="131"/>
        <v>46003</v>
      </c>
      <c r="D483" s="23">
        <f t="shared" si="118"/>
        <v>0.70486111110949423</v>
      </c>
      <c r="E483" s="14">
        <v>46004.456944444442</v>
      </c>
      <c r="F483" s="12">
        <f t="shared" si="132"/>
        <v>46004</v>
      </c>
      <c r="G483" s="24">
        <f t="shared" si="119"/>
        <v>0.4569444444423425</v>
      </c>
      <c r="H483" s="14"/>
      <c r="I483" s="14"/>
      <c r="J483" s="29"/>
      <c r="K483" s="30"/>
      <c r="M483" s="17">
        <v>29.63</v>
      </c>
      <c r="N483" s="7">
        <f t="shared" si="122"/>
        <v>35.555999999999997</v>
      </c>
      <c r="O483" s="5">
        <v>4</v>
      </c>
      <c r="P483" s="3"/>
      <c r="Q483" s="5">
        <v>28.1</v>
      </c>
      <c r="R483" s="7">
        <f t="shared" si="123"/>
        <v>33.72</v>
      </c>
      <c r="S483" s="5">
        <v>4</v>
      </c>
      <c r="U483" s="10"/>
      <c r="V483" s="11" t="str">
        <f t="shared" si="124"/>
        <v/>
      </c>
      <c r="W483" s="6"/>
      <c r="Y483" s="10"/>
      <c r="Z483" s="11" t="str">
        <f t="shared" si="125"/>
        <v/>
      </c>
      <c r="AA483" s="6"/>
      <c r="AB483" s="1">
        <v>1.2</v>
      </c>
      <c r="AC483" s="53" t="str">
        <f t="shared" si="126"/>
        <v>18:03</v>
      </c>
      <c r="AD483" s="52" t="str">
        <f t="shared" si="127"/>
        <v>00:00</v>
      </c>
      <c r="AE483" s="52" t="str">
        <f t="shared" si="128"/>
        <v>00:00</v>
      </c>
      <c r="AF483" s="14">
        <f t="shared" si="120"/>
        <v>46004.456944444442</v>
      </c>
      <c r="AG483" s="12">
        <f t="shared" si="133"/>
        <v>46004</v>
      </c>
      <c r="AH483" s="24">
        <f t="shared" si="121"/>
        <v>0.4569444444423425</v>
      </c>
      <c r="AI483" s="49">
        <f t="shared" si="129"/>
        <v>0.75208333333333333</v>
      </c>
      <c r="AJ483" s="1">
        <v>28</v>
      </c>
      <c r="AK483" s="50" t="str">
        <f t="shared" si="134"/>
        <v>BOM</v>
      </c>
    </row>
    <row r="484" spans="1:37" x14ac:dyDescent="0.4">
      <c r="A484" s="2">
        <v>1637</v>
      </c>
      <c r="B484" s="16">
        <v>46004.416666666664</v>
      </c>
      <c r="C484" s="22">
        <f t="shared" si="131"/>
        <v>46004</v>
      </c>
      <c r="D484" s="23">
        <f t="shared" si="118"/>
        <v>0.41666666666424135</v>
      </c>
      <c r="E484" s="14">
        <v>46006.319444444445</v>
      </c>
      <c r="F484" s="12">
        <f t="shared" si="132"/>
        <v>46006</v>
      </c>
      <c r="G484" s="24">
        <f t="shared" si="119"/>
        <v>0.31944444444525288</v>
      </c>
      <c r="H484" s="14"/>
      <c r="I484" s="14"/>
      <c r="J484" s="29"/>
      <c r="K484" s="30"/>
      <c r="M484" s="17">
        <v>42.77</v>
      </c>
      <c r="N484" s="7">
        <f t="shared" si="122"/>
        <v>51.324000000000005</v>
      </c>
      <c r="O484" s="5">
        <v>4</v>
      </c>
      <c r="P484" s="3"/>
      <c r="Q484" s="5">
        <v>44.8</v>
      </c>
      <c r="R484" s="7">
        <f t="shared" si="123"/>
        <v>53.76</v>
      </c>
      <c r="S484" s="5">
        <v>4</v>
      </c>
      <c r="U484" s="10"/>
      <c r="V484" s="11" t="str">
        <f t="shared" si="124"/>
        <v/>
      </c>
      <c r="W484" s="6"/>
      <c r="Y484" s="10"/>
      <c r="Z484" s="11" t="str">
        <f t="shared" si="125"/>
        <v/>
      </c>
      <c r="AA484" s="6"/>
      <c r="AB484" s="1">
        <v>1.2</v>
      </c>
      <c r="AC484" s="53" t="str">
        <f t="shared" si="126"/>
        <v>45:40</v>
      </c>
      <c r="AD484" s="52" t="str">
        <f t="shared" si="127"/>
        <v>00:00</v>
      </c>
      <c r="AE484" s="52" t="str">
        <f t="shared" si="128"/>
        <v>00:00</v>
      </c>
      <c r="AF484" s="14">
        <f t="shared" si="120"/>
        <v>46006.319444444445</v>
      </c>
      <c r="AG484" s="12">
        <f t="shared" si="133"/>
        <v>46006</v>
      </c>
      <c r="AH484" s="24">
        <f t="shared" si="121"/>
        <v>0.31944444444525288</v>
      </c>
      <c r="AI484" s="49">
        <f t="shared" si="129"/>
        <v>1.9027777777777777</v>
      </c>
      <c r="AJ484" s="1">
        <v>28</v>
      </c>
      <c r="AK484" s="50" t="str">
        <f t="shared" si="134"/>
        <v>RUIM</v>
      </c>
    </row>
    <row r="485" spans="1:37" x14ac:dyDescent="0.4">
      <c r="A485" s="2">
        <v>1638</v>
      </c>
      <c r="B485" s="16">
        <v>46004.455555555556</v>
      </c>
      <c r="C485" s="22">
        <f t="shared" si="131"/>
        <v>46004</v>
      </c>
      <c r="D485" s="23">
        <f t="shared" si="118"/>
        <v>0.45555555555620231</v>
      </c>
      <c r="E485" s="14">
        <v>46006.322916666664</v>
      </c>
      <c r="F485" s="12">
        <f t="shared" si="132"/>
        <v>46006</v>
      </c>
      <c r="G485" s="24">
        <f t="shared" si="119"/>
        <v>0.32291666666424135</v>
      </c>
      <c r="H485" s="14"/>
      <c r="I485" s="14"/>
      <c r="J485" s="29"/>
      <c r="K485" s="30"/>
      <c r="M485" s="17">
        <v>38.33</v>
      </c>
      <c r="N485" s="7">
        <f t="shared" si="122"/>
        <v>45.995999999999995</v>
      </c>
      <c r="O485" s="5">
        <v>4</v>
      </c>
      <c r="P485" s="3"/>
      <c r="Q485" s="5">
        <v>38.67</v>
      </c>
      <c r="R485" s="7">
        <f t="shared" si="123"/>
        <v>46.404000000000003</v>
      </c>
      <c r="S485" s="5">
        <v>4</v>
      </c>
      <c r="U485" s="10"/>
      <c r="V485" s="11" t="str">
        <f t="shared" si="124"/>
        <v/>
      </c>
      <c r="W485" s="6"/>
      <c r="Y485" s="10"/>
      <c r="Z485" s="11" t="str">
        <f t="shared" si="125"/>
        <v/>
      </c>
      <c r="AA485" s="6"/>
      <c r="AB485" s="1">
        <v>1.2</v>
      </c>
      <c r="AC485" s="53" t="str">
        <f t="shared" si="126"/>
        <v>44:49</v>
      </c>
      <c r="AD485" s="52" t="str">
        <f t="shared" si="127"/>
        <v>00:00</v>
      </c>
      <c r="AE485" s="52" t="str">
        <f t="shared" si="128"/>
        <v>00:00</v>
      </c>
      <c r="AF485" s="14">
        <f t="shared" si="120"/>
        <v>46006.322916666664</v>
      </c>
      <c r="AG485" s="12">
        <f t="shared" si="133"/>
        <v>46006</v>
      </c>
      <c r="AH485" s="24">
        <f t="shared" si="121"/>
        <v>0.32291666666424135</v>
      </c>
      <c r="AI485" s="49">
        <f t="shared" si="129"/>
        <v>1.867361111111111</v>
      </c>
      <c r="AJ485" s="1">
        <v>28</v>
      </c>
      <c r="AK485" s="50" t="str">
        <f t="shared" si="134"/>
        <v>RUIM</v>
      </c>
    </row>
    <row r="486" spans="1:37" x14ac:dyDescent="0.4">
      <c r="A486" s="2">
        <v>1639</v>
      </c>
      <c r="B486" s="16">
        <v>46004.479166666664</v>
      </c>
      <c r="C486" s="22">
        <f t="shared" si="131"/>
        <v>46004</v>
      </c>
      <c r="D486" s="23">
        <f t="shared" si="118"/>
        <v>0.47916666666424135</v>
      </c>
      <c r="E486" s="14">
        <v>46006.333333333336</v>
      </c>
      <c r="F486" s="12">
        <f t="shared" si="132"/>
        <v>46006</v>
      </c>
      <c r="G486" s="24">
        <f t="shared" si="119"/>
        <v>0.33333333333575865</v>
      </c>
      <c r="H486" s="14"/>
      <c r="I486" s="14"/>
      <c r="J486" s="29"/>
      <c r="K486" s="30"/>
      <c r="M486" s="17">
        <v>46.58</v>
      </c>
      <c r="N486" s="7">
        <f t="shared" si="122"/>
        <v>55.895999999999994</v>
      </c>
      <c r="O486" s="5">
        <v>4</v>
      </c>
      <c r="P486" s="3"/>
      <c r="Q486" s="5">
        <v>45.17</v>
      </c>
      <c r="R486" s="7">
        <f t="shared" si="123"/>
        <v>54.204000000000001</v>
      </c>
      <c r="S486" s="5">
        <v>4</v>
      </c>
      <c r="U486" s="10"/>
      <c r="V486" s="11" t="str">
        <f t="shared" si="124"/>
        <v/>
      </c>
      <c r="W486" s="6"/>
      <c r="Y486" s="10"/>
      <c r="Z486" s="11" t="str">
        <f t="shared" si="125"/>
        <v/>
      </c>
      <c r="AA486" s="6"/>
      <c r="AB486" s="1">
        <v>1.2</v>
      </c>
      <c r="AC486" s="53" t="str">
        <f t="shared" si="126"/>
        <v>44:30</v>
      </c>
      <c r="AD486" s="52" t="str">
        <f t="shared" si="127"/>
        <v>00:00</v>
      </c>
      <c r="AE486" s="52" t="str">
        <f t="shared" si="128"/>
        <v>00:00</v>
      </c>
      <c r="AF486" s="14">
        <f t="shared" si="120"/>
        <v>46006.333333333336</v>
      </c>
      <c r="AG486" s="12">
        <f t="shared" si="133"/>
        <v>46006</v>
      </c>
      <c r="AH486" s="24">
        <f t="shared" si="121"/>
        <v>0.33333333333575865</v>
      </c>
      <c r="AI486" s="49">
        <f t="shared" si="129"/>
        <v>1.8541666666666667</v>
      </c>
      <c r="AJ486" s="1">
        <v>28</v>
      </c>
      <c r="AK486" s="50" t="str">
        <f t="shared" si="134"/>
        <v>RUIM</v>
      </c>
    </row>
    <row r="487" spans="1:37" x14ac:dyDescent="0.4">
      <c r="A487" s="2">
        <v>1640</v>
      </c>
      <c r="B487" s="16">
        <v>46004.5</v>
      </c>
      <c r="C487" s="22">
        <f t="shared" si="131"/>
        <v>46004</v>
      </c>
      <c r="D487" s="23">
        <f t="shared" si="118"/>
        <v>0.5</v>
      </c>
      <c r="E487" s="14">
        <v>46006.334722222222</v>
      </c>
      <c r="F487" s="12">
        <f t="shared" si="132"/>
        <v>46006</v>
      </c>
      <c r="G487" s="24">
        <f t="shared" si="119"/>
        <v>0.33472222222189885</v>
      </c>
      <c r="H487" s="14"/>
      <c r="I487" s="14"/>
      <c r="J487" s="29"/>
      <c r="K487" s="30"/>
      <c r="M487" s="17">
        <v>39.79</v>
      </c>
      <c r="N487" s="7">
        <f t="shared" si="122"/>
        <v>47.747999999999998</v>
      </c>
      <c r="O487" s="5">
        <v>4</v>
      </c>
      <c r="P487" s="3"/>
      <c r="Q487" s="5">
        <v>40.58</v>
      </c>
      <c r="R487" s="7">
        <f t="shared" si="123"/>
        <v>48.695999999999998</v>
      </c>
      <c r="S487" s="5">
        <v>4</v>
      </c>
      <c r="U487" s="10"/>
      <c r="V487" s="11" t="str">
        <f t="shared" si="124"/>
        <v/>
      </c>
      <c r="W487" s="6"/>
      <c r="Y487" s="10"/>
      <c r="Z487" s="11" t="str">
        <f t="shared" si="125"/>
        <v/>
      </c>
      <c r="AA487" s="6"/>
      <c r="AB487" s="1">
        <v>1.2</v>
      </c>
      <c r="AC487" s="53" t="str">
        <f t="shared" si="126"/>
        <v>44:02</v>
      </c>
      <c r="AD487" s="52" t="str">
        <f t="shared" si="127"/>
        <v>00:00</v>
      </c>
      <c r="AE487" s="52" t="str">
        <f t="shared" si="128"/>
        <v>00:00</v>
      </c>
      <c r="AF487" s="14">
        <f t="shared" si="120"/>
        <v>46006.334722222222</v>
      </c>
      <c r="AG487" s="12">
        <f t="shared" si="133"/>
        <v>46006</v>
      </c>
      <c r="AH487" s="24">
        <f t="shared" si="121"/>
        <v>0.33472222222189885</v>
      </c>
      <c r="AI487" s="49">
        <f t="shared" si="129"/>
        <v>1.8347222222222221</v>
      </c>
      <c r="AJ487" s="1">
        <v>28</v>
      </c>
      <c r="AK487" s="50" t="str">
        <f t="shared" si="134"/>
        <v>RUIM</v>
      </c>
    </row>
    <row r="488" spans="1:37" x14ac:dyDescent="0.4">
      <c r="A488" s="2">
        <v>1641</v>
      </c>
      <c r="B488" s="16">
        <v>46004.520833333336</v>
      </c>
      <c r="C488" s="22">
        <f t="shared" si="131"/>
        <v>46004</v>
      </c>
      <c r="D488" s="23">
        <f t="shared" ref="D488:D551" si="135">B488-INT(B488)</f>
        <v>0.52083333333575865</v>
      </c>
      <c r="E488" s="14">
        <v>46006.340277777781</v>
      </c>
      <c r="F488" s="12">
        <f t="shared" si="132"/>
        <v>46006</v>
      </c>
      <c r="G488" s="24">
        <f t="shared" ref="G488:G551" si="136">E488-INT(E488)</f>
        <v>0.34027777778101154</v>
      </c>
      <c r="H488" s="14"/>
      <c r="I488" s="14"/>
      <c r="J488" s="29"/>
      <c r="K488" s="30"/>
      <c r="M488" s="17">
        <v>45.03</v>
      </c>
      <c r="N488" s="7">
        <f t="shared" si="122"/>
        <v>54.036000000000001</v>
      </c>
      <c r="O488" s="5">
        <v>4</v>
      </c>
      <c r="P488" s="3"/>
      <c r="Q488" s="5">
        <v>44.34</v>
      </c>
      <c r="R488" s="7">
        <f t="shared" si="123"/>
        <v>53.208000000000006</v>
      </c>
      <c r="S488" s="5">
        <v>4</v>
      </c>
      <c r="U488" s="10"/>
      <c r="V488" s="11" t="str">
        <f t="shared" si="124"/>
        <v/>
      </c>
      <c r="W488" s="6"/>
      <c r="Y488" s="10"/>
      <c r="Z488" s="11" t="str">
        <f t="shared" si="125"/>
        <v/>
      </c>
      <c r="AA488" s="6"/>
      <c r="AB488" s="1">
        <v>1.2</v>
      </c>
      <c r="AC488" s="53" t="str">
        <f t="shared" si="126"/>
        <v>43:40</v>
      </c>
      <c r="AD488" s="52" t="str">
        <f t="shared" si="127"/>
        <v>00:00</v>
      </c>
      <c r="AE488" s="52" t="str">
        <f t="shared" si="128"/>
        <v>00:00</v>
      </c>
      <c r="AF488" s="14">
        <f t="shared" ref="AF488:AF551" si="137">MAX(E488,H488,I488)</f>
        <v>46006.340277777781</v>
      </c>
      <c r="AG488" s="12">
        <f t="shared" si="133"/>
        <v>46006</v>
      </c>
      <c r="AH488" s="24">
        <f t="shared" ref="AH488:AH551" si="138">AF488-INT(AF488)</f>
        <v>0.34027777778101154</v>
      </c>
      <c r="AI488" s="49">
        <f t="shared" si="129"/>
        <v>1.8194444444444444</v>
      </c>
      <c r="AJ488" s="1">
        <v>28</v>
      </c>
      <c r="AK488" s="50" t="str">
        <f t="shared" si="134"/>
        <v>RUIM</v>
      </c>
    </row>
    <row r="489" spans="1:37" x14ac:dyDescent="0.4">
      <c r="A489" s="2">
        <v>1642</v>
      </c>
      <c r="B489" s="16">
        <v>46006.729166666664</v>
      </c>
      <c r="C489" s="22">
        <f t="shared" si="131"/>
        <v>46006</v>
      </c>
      <c r="D489" s="23">
        <f t="shared" si="135"/>
        <v>0.72916666666424135</v>
      </c>
      <c r="E489" s="14">
        <v>46007.321527777778</v>
      </c>
      <c r="F489" s="12">
        <f t="shared" si="132"/>
        <v>46007</v>
      </c>
      <c r="G489" s="24">
        <f t="shared" si="136"/>
        <v>0.32152777777810115</v>
      </c>
      <c r="H489" s="14"/>
      <c r="I489" s="14"/>
      <c r="J489" s="29"/>
      <c r="K489" s="30"/>
      <c r="M489" s="17">
        <v>20.010000000000002</v>
      </c>
      <c r="N489" s="7">
        <f t="shared" si="122"/>
        <v>24.012</v>
      </c>
      <c r="O489" s="5">
        <v>4</v>
      </c>
      <c r="P489" s="3"/>
      <c r="Q489" s="5">
        <v>21.17</v>
      </c>
      <c r="R489" s="7">
        <f t="shared" si="123"/>
        <v>25.404</v>
      </c>
      <c r="S489" s="5">
        <v>4</v>
      </c>
      <c r="U489" s="10"/>
      <c r="V489" s="11" t="str">
        <f t="shared" si="124"/>
        <v/>
      </c>
      <c r="W489" s="6"/>
      <c r="Y489" s="10"/>
      <c r="Z489" s="11" t="str">
        <f t="shared" si="125"/>
        <v/>
      </c>
      <c r="AA489" s="6"/>
      <c r="AB489" s="1">
        <v>1.2</v>
      </c>
      <c r="AC489" s="53" t="str">
        <f t="shared" si="126"/>
        <v>14:13</v>
      </c>
      <c r="AD489" s="52" t="str">
        <f t="shared" si="127"/>
        <v>00:00</v>
      </c>
      <c r="AE489" s="52" t="str">
        <f t="shared" si="128"/>
        <v>00:00</v>
      </c>
      <c r="AF489" s="14">
        <f t="shared" si="137"/>
        <v>46007.321527777778</v>
      </c>
      <c r="AG489" s="12">
        <f t="shared" si="133"/>
        <v>46007</v>
      </c>
      <c r="AH489" s="24">
        <f t="shared" si="138"/>
        <v>0.32152777777810115</v>
      </c>
      <c r="AI489" s="49">
        <f t="shared" si="129"/>
        <v>0.59236111111111112</v>
      </c>
      <c r="AJ489" s="1">
        <v>28</v>
      </c>
      <c r="AK489" s="50" t="str">
        <f t="shared" si="134"/>
        <v>BOM</v>
      </c>
    </row>
    <row r="490" spans="1:37" x14ac:dyDescent="0.4">
      <c r="A490" s="2">
        <v>1643</v>
      </c>
      <c r="B490" s="16">
        <v>46008.604166666664</v>
      </c>
      <c r="C490" s="22">
        <f t="shared" si="131"/>
        <v>46008</v>
      </c>
      <c r="D490" s="23">
        <f t="shared" si="135"/>
        <v>0.60416666666424135</v>
      </c>
      <c r="E490" s="14">
        <v>46009.384027777778</v>
      </c>
      <c r="F490" s="12">
        <f t="shared" si="132"/>
        <v>46009</v>
      </c>
      <c r="G490" s="24">
        <f t="shared" si="136"/>
        <v>0.38402777777810115</v>
      </c>
      <c r="H490" s="14"/>
      <c r="I490" s="14"/>
      <c r="J490" s="29"/>
      <c r="K490" s="30"/>
      <c r="M490" s="17">
        <v>25</v>
      </c>
      <c r="N490" s="7">
        <f t="shared" si="122"/>
        <v>30</v>
      </c>
      <c r="O490" s="5">
        <v>4</v>
      </c>
      <c r="P490" s="3"/>
      <c r="Q490" s="5">
        <v>24.51</v>
      </c>
      <c r="R490" s="7">
        <f t="shared" si="123"/>
        <v>29.411999999999999</v>
      </c>
      <c r="S490" s="5">
        <v>4</v>
      </c>
      <c r="U490" s="10"/>
      <c r="V490" s="11" t="str">
        <f t="shared" si="124"/>
        <v/>
      </c>
      <c r="W490" s="6"/>
      <c r="Y490" s="10"/>
      <c r="Z490" s="11" t="str">
        <f t="shared" si="125"/>
        <v/>
      </c>
      <c r="AA490" s="6"/>
      <c r="AB490" s="1">
        <v>1.2</v>
      </c>
      <c r="AC490" s="53" t="str">
        <f t="shared" si="126"/>
        <v>18:43</v>
      </c>
      <c r="AD490" s="52" t="str">
        <f t="shared" si="127"/>
        <v>00:00</v>
      </c>
      <c r="AE490" s="52" t="str">
        <f t="shared" si="128"/>
        <v>00:00</v>
      </c>
      <c r="AF490" s="14">
        <f t="shared" si="137"/>
        <v>46009.384027777778</v>
      </c>
      <c r="AG490" s="12">
        <f t="shared" si="133"/>
        <v>46009</v>
      </c>
      <c r="AH490" s="24">
        <f t="shared" si="138"/>
        <v>0.38402777777810115</v>
      </c>
      <c r="AI490" s="49">
        <f t="shared" si="129"/>
        <v>0.77986111111111112</v>
      </c>
      <c r="AJ490" s="1">
        <v>28</v>
      </c>
      <c r="AK490" s="50" t="str">
        <f t="shared" si="134"/>
        <v>BOM</v>
      </c>
    </row>
    <row r="491" spans="1:37" x14ac:dyDescent="0.4">
      <c r="A491" s="2">
        <v>1644</v>
      </c>
      <c r="B491" s="16">
        <v>46008.645833333336</v>
      </c>
      <c r="C491" s="22">
        <f t="shared" si="131"/>
        <v>46008</v>
      </c>
      <c r="D491" s="23">
        <f t="shared" si="135"/>
        <v>0.64583333333575865</v>
      </c>
      <c r="E491" s="14">
        <v>46009.386111111111</v>
      </c>
      <c r="F491" s="12">
        <f t="shared" si="132"/>
        <v>46009</v>
      </c>
      <c r="G491" s="24">
        <f t="shared" si="136"/>
        <v>0.38611111111094942</v>
      </c>
      <c r="H491" s="14"/>
      <c r="I491" s="14"/>
      <c r="J491" s="29"/>
      <c r="K491" s="30"/>
      <c r="M491" s="17">
        <v>22.74</v>
      </c>
      <c r="N491" s="7">
        <f t="shared" si="122"/>
        <v>27.287999999999997</v>
      </c>
      <c r="O491" s="5">
        <v>4</v>
      </c>
      <c r="P491" s="3"/>
      <c r="Q491" s="5">
        <v>22.7</v>
      </c>
      <c r="R491" s="7">
        <f t="shared" si="123"/>
        <v>27.24</v>
      </c>
      <c r="S491" s="5">
        <v>4</v>
      </c>
      <c r="U491" s="10"/>
      <c r="V491" s="11" t="str">
        <f t="shared" si="124"/>
        <v/>
      </c>
      <c r="W491" s="6"/>
      <c r="Y491" s="10"/>
      <c r="Z491" s="11" t="str">
        <f t="shared" si="125"/>
        <v/>
      </c>
      <c r="AA491" s="6"/>
      <c r="AB491" s="1">
        <v>1.2</v>
      </c>
      <c r="AC491" s="53" t="str">
        <f t="shared" si="126"/>
        <v>17:46</v>
      </c>
      <c r="AD491" s="52" t="str">
        <f t="shared" si="127"/>
        <v>00:00</v>
      </c>
      <c r="AE491" s="52" t="str">
        <f t="shared" si="128"/>
        <v>00:00</v>
      </c>
      <c r="AF491" s="14">
        <f t="shared" si="137"/>
        <v>46009.386111111111</v>
      </c>
      <c r="AG491" s="12">
        <f t="shared" si="133"/>
        <v>46009</v>
      </c>
      <c r="AH491" s="24">
        <f t="shared" si="138"/>
        <v>0.38611111111094942</v>
      </c>
      <c r="AI491" s="49">
        <f t="shared" si="129"/>
        <v>0.74027777777777781</v>
      </c>
      <c r="AJ491" s="1">
        <v>28</v>
      </c>
      <c r="AK491" s="50" t="str">
        <f t="shared" si="134"/>
        <v>BOM</v>
      </c>
    </row>
    <row r="492" spans="1:37" x14ac:dyDescent="0.4">
      <c r="A492" s="2">
        <v>1645</v>
      </c>
      <c r="B492" s="16">
        <v>46008.680555555555</v>
      </c>
      <c r="C492" s="22">
        <f t="shared" si="131"/>
        <v>46008</v>
      </c>
      <c r="D492" s="23">
        <f t="shared" si="135"/>
        <v>0.68055555555474712</v>
      </c>
      <c r="E492" s="14">
        <v>46009.388888888891</v>
      </c>
      <c r="F492" s="12">
        <f t="shared" si="132"/>
        <v>46009</v>
      </c>
      <c r="G492" s="24">
        <f t="shared" si="136"/>
        <v>0.38888888889050577</v>
      </c>
      <c r="H492" s="14"/>
      <c r="I492" s="14"/>
      <c r="J492" s="29"/>
      <c r="K492" s="30"/>
      <c r="M492" s="17">
        <v>20.04</v>
      </c>
      <c r="N492" s="7">
        <f t="shared" si="122"/>
        <v>24.047999999999998</v>
      </c>
      <c r="O492" s="5">
        <v>4</v>
      </c>
      <c r="P492" s="3"/>
      <c r="Q492" s="5">
        <v>22.41</v>
      </c>
      <c r="R492" s="7">
        <f t="shared" si="123"/>
        <v>26.891999999999999</v>
      </c>
      <c r="S492" s="5">
        <v>4</v>
      </c>
      <c r="U492" s="10"/>
      <c r="V492" s="11" t="str">
        <f t="shared" si="124"/>
        <v/>
      </c>
      <c r="W492" s="6"/>
      <c r="Y492" s="10"/>
      <c r="Z492" s="11" t="str">
        <f t="shared" si="125"/>
        <v/>
      </c>
      <c r="AA492" s="6"/>
      <c r="AB492" s="1">
        <v>1.2</v>
      </c>
      <c r="AC492" s="53" t="str">
        <f t="shared" si="126"/>
        <v>17:00</v>
      </c>
      <c r="AD492" s="52" t="str">
        <f t="shared" si="127"/>
        <v>00:00</v>
      </c>
      <c r="AE492" s="52" t="str">
        <f t="shared" si="128"/>
        <v>00:00</v>
      </c>
      <c r="AF492" s="14">
        <f t="shared" si="137"/>
        <v>46009.388888888891</v>
      </c>
      <c r="AG492" s="12">
        <f t="shared" si="133"/>
        <v>46009</v>
      </c>
      <c r="AH492" s="24">
        <f t="shared" si="138"/>
        <v>0.38888888889050577</v>
      </c>
      <c r="AI492" s="49">
        <f t="shared" si="129"/>
        <v>0.70833333333333337</v>
      </c>
      <c r="AJ492" s="1">
        <v>28</v>
      </c>
      <c r="AK492" s="50" t="str">
        <f t="shared" si="134"/>
        <v>BOM</v>
      </c>
    </row>
    <row r="493" spans="1:37" x14ac:dyDescent="0.4">
      <c r="A493" s="2">
        <v>1646</v>
      </c>
      <c r="B493" s="16">
        <v>46008.708333333336</v>
      </c>
      <c r="C493" s="22">
        <f t="shared" si="131"/>
        <v>46008</v>
      </c>
      <c r="D493" s="23">
        <f t="shared" si="135"/>
        <v>0.70833333333575865</v>
      </c>
      <c r="E493" s="14">
        <v>46009.390277777777</v>
      </c>
      <c r="F493" s="12">
        <f t="shared" si="132"/>
        <v>46009</v>
      </c>
      <c r="G493" s="24">
        <f t="shared" si="136"/>
        <v>0.39027777777664596</v>
      </c>
      <c r="H493" s="14"/>
      <c r="I493" s="14"/>
      <c r="J493" s="29"/>
      <c r="K493" s="30"/>
      <c r="M493" s="17">
        <v>20.12</v>
      </c>
      <c r="N493" s="7">
        <f t="shared" si="122"/>
        <v>24.144000000000002</v>
      </c>
      <c r="O493" s="5">
        <v>4</v>
      </c>
      <c r="P493" s="3"/>
      <c r="Q493" s="5">
        <v>20.79</v>
      </c>
      <c r="R493" s="7">
        <f t="shared" si="123"/>
        <v>24.947999999999997</v>
      </c>
      <c r="S493" s="5">
        <v>4</v>
      </c>
      <c r="U493" s="10"/>
      <c r="V493" s="11" t="str">
        <f t="shared" si="124"/>
        <v/>
      </c>
      <c r="W493" s="6"/>
      <c r="Y493" s="10"/>
      <c r="Z493" s="11" t="str">
        <f t="shared" si="125"/>
        <v/>
      </c>
      <c r="AA493" s="6"/>
      <c r="AB493" s="1">
        <v>1.2</v>
      </c>
      <c r="AC493" s="53" t="str">
        <f t="shared" si="126"/>
        <v>16:22</v>
      </c>
      <c r="AD493" s="52" t="str">
        <f t="shared" si="127"/>
        <v>00:00</v>
      </c>
      <c r="AE493" s="52" t="str">
        <f t="shared" si="128"/>
        <v>00:00</v>
      </c>
      <c r="AF493" s="14">
        <f t="shared" si="137"/>
        <v>46009.390277777777</v>
      </c>
      <c r="AG493" s="12">
        <f t="shared" si="133"/>
        <v>46009</v>
      </c>
      <c r="AH493" s="24">
        <f t="shared" si="138"/>
        <v>0.39027777777664596</v>
      </c>
      <c r="AI493" s="49">
        <f t="shared" si="129"/>
        <v>0.68194444444444446</v>
      </c>
      <c r="AJ493" s="1">
        <v>28</v>
      </c>
      <c r="AK493" s="50" t="str">
        <f t="shared" si="134"/>
        <v>BOM</v>
      </c>
    </row>
    <row r="494" spans="1:37" x14ac:dyDescent="0.4">
      <c r="A494" s="2">
        <v>1647</v>
      </c>
      <c r="B494" s="16">
        <v>46008.732638888891</v>
      </c>
      <c r="C494" s="22">
        <f t="shared" si="131"/>
        <v>46008</v>
      </c>
      <c r="D494" s="23">
        <f t="shared" si="135"/>
        <v>0.73263888889050577</v>
      </c>
      <c r="E494" s="14">
        <v>46009.392361111109</v>
      </c>
      <c r="F494" s="12">
        <f t="shared" si="132"/>
        <v>46009</v>
      </c>
      <c r="G494" s="24">
        <f t="shared" si="136"/>
        <v>0.39236111110949423</v>
      </c>
      <c r="H494" s="14"/>
      <c r="I494" s="14"/>
      <c r="J494" s="29"/>
      <c r="K494" s="30"/>
      <c r="M494" s="17">
        <v>20.53</v>
      </c>
      <c r="N494" s="7">
        <f t="shared" si="122"/>
        <v>24.635999999999999</v>
      </c>
      <c r="O494" s="5">
        <v>4</v>
      </c>
      <c r="P494" s="3"/>
      <c r="Q494" s="5">
        <v>20.98</v>
      </c>
      <c r="R494" s="7">
        <f t="shared" si="123"/>
        <v>25.175999999999998</v>
      </c>
      <c r="S494" s="5">
        <v>4</v>
      </c>
      <c r="U494" s="10"/>
      <c r="V494" s="11" t="str">
        <f t="shared" si="124"/>
        <v/>
      </c>
      <c r="W494" s="6"/>
      <c r="Y494" s="10"/>
      <c r="Z494" s="11" t="str">
        <f t="shared" si="125"/>
        <v/>
      </c>
      <c r="AA494" s="6"/>
      <c r="AB494" s="1">
        <v>1.2</v>
      </c>
      <c r="AC494" s="53" t="str">
        <f t="shared" si="126"/>
        <v>15:50</v>
      </c>
      <c r="AD494" s="52" t="str">
        <f t="shared" si="127"/>
        <v>00:00</v>
      </c>
      <c r="AE494" s="52" t="str">
        <f t="shared" si="128"/>
        <v>00:00</v>
      </c>
      <c r="AF494" s="14">
        <f t="shared" si="137"/>
        <v>46009.392361111109</v>
      </c>
      <c r="AG494" s="12">
        <f t="shared" si="133"/>
        <v>46009</v>
      </c>
      <c r="AH494" s="24">
        <f t="shared" si="138"/>
        <v>0.39236111110949423</v>
      </c>
      <c r="AI494" s="49">
        <f t="shared" si="129"/>
        <v>0.65972222222222221</v>
      </c>
      <c r="AJ494" s="1">
        <v>28</v>
      </c>
      <c r="AK494" s="50" t="str">
        <f t="shared" si="134"/>
        <v>BOM</v>
      </c>
    </row>
    <row r="495" spans="1:37" x14ac:dyDescent="0.4">
      <c r="A495" s="2">
        <v>1648</v>
      </c>
      <c r="B495" s="16">
        <v>46010.375</v>
      </c>
      <c r="C495" s="22">
        <f t="shared" si="131"/>
        <v>46010</v>
      </c>
      <c r="D495" s="23">
        <f t="shared" si="135"/>
        <v>0.375</v>
      </c>
      <c r="E495" s="14">
        <v>46011.344444444447</v>
      </c>
      <c r="F495" s="12">
        <f t="shared" si="132"/>
        <v>46011</v>
      </c>
      <c r="G495" s="24">
        <f t="shared" si="136"/>
        <v>0.34444444444670808</v>
      </c>
      <c r="H495" s="14"/>
      <c r="I495" s="14"/>
      <c r="J495" s="29"/>
      <c r="K495" s="30"/>
      <c r="M495" s="17">
        <v>30.34</v>
      </c>
      <c r="N495" s="7">
        <f t="shared" si="122"/>
        <v>36.408000000000001</v>
      </c>
      <c r="O495" s="5">
        <v>4</v>
      </c>
      <c r="P495" s="3"/>
      <c r="Q495" s="5">
        <v>29.56</v>
      </c>
      <c r="R495" s="7">
        <f t="shared" si="123"/>
        <v>35.471999999999994</v>
      </c>
      <c r="S495" s="5">
        <v>4</v>
      </c>
      <c r="U495" s="10"/>
      <c r="V495" s="11" t="str">
        <f t="shared" si="124"/>
        <v/>
      </c>
      <c r="W495" s="6"/>
      <c r="Y495" s="10"/>
      <c r="Z495" s="11" t="str">
        <f t="shared" si="125"/>
        <v/>
      </c>
      <c r="AA495" s="6"/>
      <c r="AB495" s="1">
        <v>1.2</v>
      </c>
      <c r="AC495" s="53" t="str">
        <f t="shared" si="126"/>
        <v>23:16</v>
      </c>
      <c r="AD495" s="52" t="str">
        <f t="shared" si="127"/>
        <v>00:00</v>
      </c>
      <c r="AE495" s="52" t="str">
        <f t="shared" si="128"/>
        <v>00:00</v>
      </c>
      <c r="AF495" s="14">
        <f t="shared" si="137"/>
        <v>46011.344444444447</v>
      </c>
      <c r="AG495" s="12">
        <f t="shared" si="133"/>
        <v>46011</v>
      </c>
      <c r="AH495" s="24">
        <f t="shared" si="138"/>
        <v>0.34444444444670808</v>
      </c>
      <c r="AI495" s="49">
        <f t="shared" si="129"/>
        <v>0.96944444444444444</v>
      </c>
      <c r="AJ495" s="1">
        <v>28</v>
      </c>
      <c r="AK495" s="50" t="str">
        <f t="shared" si="134"/>
        <v>RUIM</v>
      </c>
    </row>
    <row r="496" spans="1:37" x14ac:dyDescent="0.4">
      <c r="A496" s="2">
        <v>1649</v>
      </c>
      <c r="B496" s="16">
        <v>46010.395833333336</v>
      </c>
      <c r="C496" s="22">
        <f t="shared" si="131"/>
        <v>46010</v>
      </c>
      <c r="D496" s="23">
        <f t="shared" si="135"/>
        <v>0.39583333333575865</v>
      </c>
      <c r="E496" s="14">
        <v>46011.333333333336</v>
      </c>
      <c r="F496" s="12">
        <f t="shared" si="132"/>
        <v>46011</v>
      </c>
      <c r="G496" s="24">
        <f t="shared" si="136"/>
        <v>0.33333333333575865</v>
      </c>
      <c r="H496" s="14"/>
      <c r="I496" s="14"/>
      <c r="J496" s="29"/>
      <c r="K496" s="30"/>
      <c r="M496" s="17">
        <v>27.27</v>
      </c>
      <c r="N496" s="7">
        <f t="shared" si="122"/>
        <v>32.723999999999997</v>
      </c>
      <c r="O496" s="5">
        <v>4</v>
      </c>
      <c r="P496" s="3"/>
      <c r="Q496" s="5">
        <v>26.43</v>
      </c>
      <c r="R496" s="7">
        <f t="shared" si="123"/>
        <v>31.715999999999998</v>
      </c>
      <c r="S496" s="5">
        <v>4</v>
      </c>
      <c r="U496" s="10"/>
      <c r="V496" s="11" t="str">
        <f t="shared" si="124"/>
        <v/>
      </c>
      <c r="W496" s="6"/>
      <c r="Y496" s="10"/>
      <c r="Z496" s="11" t="str">
        <f t="shared" si="125"/>
        <v/>
      </c>
      <c r="AA496" s="6"/>
      <c r="AB496" s="1">
        <v>1.2</v>
      </c>
      <c r="AC496" s="53" t="str">
        <f t="shared" si="126"/>
        <v>22:30</v>
      </c>
      <c r="AD496" s="52" t="str">
        <f t="shared" si="127"/>
        <v>00:00</v>
      </c>
      <c r="AE496" s="52" t="str">
        <f t="shared" si="128"/>
        <v>00:00</v>
      </c>
      <c r="AF496" s="14">
        <f t="shared" si="137"/>
        <v>46011.333333333336</v>
      </c>
      <c r="AG496" s="12">
        <f t="shared" si="133"/>
        <v>46011</v>
      </c>
      <c r="AH496" s="24">
        <f t="shared" si="138"/>
        <v>0.33333333333575865</v>
      </c>
      <c r="AI496" s="49">
        <f t="shared" si="129"/>
        <v>0.9375</v>
      </c>
      <c r="AJ496" s="1">
        <v>28</v>
      </c>
      <c r="AK496" s="50" t="str">
        <f t="shared" si="134"/>
        <v>RUIM</v>
      </c>
    </row>
    <row r="497" spans="1:37" x14ac:dyDescent="0.4">
      <c r="A497" s="2">
        <v>1650</v>
      </c>
      <c r="B497" s="16">
        <v>46010.416666666664</v>
      </c>
      <c r="C497" s="22">
        <f t="shared" si="131"/>
        <v>46010</v>
      </c>
      <c r="D497" s="23">
        <f t="shared" si="135"/>
        <v>0.41666666666424135</v>
      </c>
      <c r="E497" s="14">
        <v>46011.335416666669</v>
      </c>
      <c r="F497" s="12">
        <f t="shared" si="132"/>
        <v>46011</v>
      </c>
      <c r="G497" s="24">
        <f t="shared" si="136"/>
        <v>0.33541666666860692</v>
      </c>
      <c r="H497" s="14"/>
      <c r="I497" s="14"/>
      <c r="J497" s="29"/>
      <c r="K497" s="30"/>
      <c r="M497" s="17">
        <v>28.29</v>
      </c>
      <c r="N497" s="7">
        <f t="shared" si="122"/>
        <v>33.948</v>
      </c>
      <c r="O497" s="5">
        <v>4</v>
      </c>
      <c r="P497" s="3"/>
      <c r="Q497" s="5">
        <v>29</v>
      </c>
      <c r="R497" s="7">
        <f t="shared" si="123"/>
        <v>34.799999999999997</v>
      </c>
      <c r="S497" s="5">
        <v>4</v>
      </c>
      <c r="U497" s="10"/>
      <c r="V497" s="11" t="str">
        <f t="shared" si="124"/>
        <v/>
      </c>
      <c r="W497" s="6"/>
      <c r="Y497" s="10"/>
      <c r="Z497" s="11" t="str">
        <f t="shared" si="125"/>
        <v/>
      </c>
      <c r="AA497" s="6"/>
      <c r="AB497" s="1">
        <v>1.2</v>
      </c>
      <c r="AC497" s="53" t="str">
        <f t="shared" si="126"/>
        <v>22:03</v>
      </c>
      <c r="AD497" s="52" t="str">
        <f t="shared" si="127"/>
        <v>00:00</v>
      </c>
      <c r="AE497" s="52" t="str">
        <f t="shared" si="128"/>
        <v>00:00</v>
      </c>
      <c r="AF497" s="14">
        <f t="shared" si="137"/>
        <v>46011.335416666669</v>
      </c>
      <c r="AG497" s="12">
        <f t="shared" si="133"/>
        <v>46011</v>
      </c>
      <c r="AH497" s="24">
        <f t="shared" si="138"/>
        <v>0.33541666666860692</v>
      </c>
      <c r="AI497" s="49">
        <f t="shared" si="129"/>
        <v>0.91874999999999996</v>
      </c>
      <c r="AJ497" s="1">
        <v>28</v>
      </c>
      <c r="AK497" s="50" t="str">
        <f t="shared" si="134"/>
        <v>RUIM</v>
      </c>
    </row>
    <row r="498" spans="1:37" x14ac:dyDescent="0.4">
      <c r="A498" s="2">
        <v>1651</v>
      </c>
      <c r="B498" s="16">
        <v>46010.451388888891</v>
      </c>
      <c r="C498" s="22">
        <f t="shared" si="131"/>
        <v>46010</v>
      </c>
      <c r="D498" s="23">
        <f t="shared" si="135"/>
        <v>0.45138888889050577</v>
      </c>
      <c r="E498" s="14">
        <v>46011.338888888888</v>
      </c>
      <c r="F498" s="12">
        <f t="shared" si="132"/>
        <v>46011</v>
      </c>
      <c r="G498" s="24">
        <f t="shared" si="136"/>
        <v>0.33888888888759539</v>
      </c>
      <c r="H498" s="14"/>
      <c r="I498" s="14"/>
      <c r="J498" s="29"/>
      <c r="K498" s="30"/>
      <c r="M498" s="17">
        <v>32.020000000000003</v>
      </c>
      <c r="N498" s="7">
        <f t="shared" si="122"/>
        <v>38.423999999999999</v>
      </c>
      <c r="O498" s="5">
        <v>4</v>
      </c>
      <c r="P498" s="3"/>
      <c r="Q498" s="5">
        <v>32.479999999999997</v>
      </c>
      <c r="R498" s="7">
        <f t="shared" si="123"/>
        <v>38.975999999999992</v>
      </c>
      <c r="S498" s="5">
        <v>4</v>
      </c>
      <c r="U498" s="10"/>
      <c r="V498" s="11" t="str">
        <f t="shared" si="124"/>
        <v/>
      </c>
      <c r="W498" s="6"/>
      <c r="Y498" s="10"/>
      <c r="Z498" s="11" t="str">
        <f t="shared" si="125"/>
        <v/>
      </c>
      <c r="AA498" s="6"/>
      <c r="AB498" s="1">
        <v>1.2</v>
      </c>
      <c r="AC498" s="53" t="str">
        <f t="shared" si="126"/>
        <v>21:18</v>
      </c>
      <c r="AD498" s="52" t="str">
        <f t="shared" si="127"/>
        <v>00:00</v>
      </c>
      <c r="AE498" s="52" t="str">
        <f t="shared" si="128"/>
        <v>00:00</v>
      </c>
      <c r="AF498" s="14">
        <f t="shared" si="137"/>
        <v>46011.338888888888</v>
      </c>
      <c r="AG498" s="12">
        <f t="shared" si="133"/>
        <v>46011</v>
      </c>
      <c r="AH498" s="24">
        <f t="shared" si="138"/>
        <v>0.33888888888759539</v>
      </c>
      <c r="AI498" s="49">
        <f t="shared" si="129"/>
        <v>0.88749999999999996</v>
      </c>
      <c r="AJ498" s="1">
        <v>28</v>
      </c>
      <c r="AK498" s="50" t="str">
        <f t="shared" si="134"/>
        <v>RUIM</v>
      </c>
    </row>
    <row r="499" spans="1:37" x14ac:dyDescent="0.4">
      <c r="A499" s="2">
        <v>1652</v>
      </c>
      <c r="B499" s="16">
        <v>46010.479166666664</v>
      </c>
      <c r="C499" s="22">
        <f t="shared" si="131"/>
        <v>46010</v>
      </c>
      <c r="D499" s="23">
        <f t="shared" si="135"/>
        <v>0.47916666666424135</v>
      </c>
      <c r="E499" s="14">
        <v>46011.331944444442</v>
      </c>
      <c r="F499" s="12">
        <f t="shared" si="132"/>
        <v>46011</v>
      </c>
      <c r="G499" s="24">
        <f t="shared" si="136"/>
        <v>0.3319444444423425</v>
      </c>
      <c r="H499" s="14"/>
      <c r="I499" s="14"/>
      <c r="J499" s="29"/>
      <c r="K499" s="30"/>
      <c r="M499" s="17">
        <v>28.47</v>
      </c>
      <c r="N499" s="7">
        <f t="shared" si="122"/>
        <v>34.163999999999994</v>
      </c>
      <c r="O499" s="5">
        <v>4</v>
      </c>
      <c r="P499" s="3"/>
      <c r="Q499" s="5">
        <v>30.17</v>
      </c>
      <c r="R499" s="7">
        <f t="shared" si="123"/>
        <v>36.204000000000001</v>
      </c>
      <c r="S499" s="5">
        <v>4</v>
      </c>
      <c r="U499" s="10"/>
      <c r="V499" s="11" t="str">
        <f t="shared" si="124"/>
        <v/>
      </c>
      <c r="W499" s="6"/>
      <c r="Y499" s="10"/>
      <c r="Z499" s="11" t="str">
        <f t="shared" si="125"/>
        <v/>
      </c>
      <c r="AA499" s="6"/>
      <c r="AB499" s="1">
        <v>1.2</v>
      </c>
      <c r="AC499" s="53" t="str">
        <f t="shared" si="126"/>
        <v>20:28</v>
      </c>
      <c r="AD499" s="52" t="str">
        <f t="shared" si="127"/>
        <v>00:00</v>
      </c>
      <c r="AE499" s="52" t="str">
        <f t="shared" si="128"/>
        <v>00:00</v>
      </c>
      <c r="AF499" s="14">
        <f t="shared" si="137"/>
        <v>46011.331944444442</v>
      </c>
      <c r="AG499" s="12">
        <f t="shared" si="133"/>
        <v>46011</v>
      </c>
      <c r="AH499" s="24">
        <f t="shared" si="138"/>
        <v>0.3319444444423425</v>
      </c>
      <c r="AI499" s="49">
        <f t="shared" si="129"/>
        <v>0.85277777777777775</v>
      </c>
      <c r="AJ499" s="1">
        <v>28</v>
      </c>
      <c r="AK499" s="50" t="str">
        <f t="shared" si="134"/>
        <v>BOM</v>
      </c>
    </row>
    <row r="500" spans="1:37" x14ac:dyDescent="0.4">
      <c r="A500" s="2">
        <v>1653</v>
      </c>
      <c r="B500" s="16">
        <v>46014.555555555555</v>
      </c>
      <c r="C500" s="22">
        <f t="shared" si="131"/>
        <v>46014</v>
      </c>
      <c r="D500" s="23">
        <f t="shared" si="135"/>
        <v>0.55555555555474712</v>
      </c>
      <c r="E500" s="14">
        <v>46015.399305555555</v>
      </c>
      <c r="F500" s="12">
        <f t="shared" si="132"/>
        <v>46015</v>
      </c>
      <c r="G500" s="24">
        <f t="shared" si="136"/>
        <v>0.39930555555474712</v>
      </c>
      <c r="H500" s="14"/>
      <c r="I500" s="14"/>
      <c r="J500" s="29"/>
      <c r="K500" s="30"/>
      <c r="M500" s="17">
        <v>26.81</v>
      </c>
      <c r="N500" s="7">
        <f t="shared" si="122"/>
        <v>32.171999999999997</v>
      </c>
      <c r="O500" s="5">
        <v>4</v>
      </c>
      <c r="P500" s="3"/>
      <c r="Q500" s="5">
        <v>25.14</v>
      </c>
      <c r="R500" s="7">
        <f t="shared" si="123"/>
        <v>30.167999999999999</v>
      </c>
      <c r="S500" s="5">
        <v>4</v>
      </c>
      <c r="U500" s="10"/>
      <c r="V500" s="11" t="str">
        <f t="shared" si="124"/>
        <v/>
      </c>
      <c r="W500" s="6"/>
      <c r="Y500" s="10"/>
      <c r="Z500" s="11" t="str">
        <f t="shared" si="125"/>
        <v/>
      </c>
      <c r="AA500" s="6"/>
      <c r="AB500" s="1">
        <v>1.2</v>
      </c>
      <c r="AC500" s="53" t="str">
        <f t="shared" si="126"/>
        <v>20:15</v>
      </c>
      <c r="AD500" s="52" t="str">
        <f t="shared" si="127"/>
        <v>00:00</v>
      </c>
      <c r="AE500" s="52" t="str">
        <f t="shared" si="128"/>
        <v>00:00</v>
      </c>
      <c r="AF500" s="14">
        <f t="shared" si="137"/>
        <v>46015.399305555555</v>
      </c>
      <c r="AG500" s="12">
        <f t="shared" si="133"/>
        <v>46015</v>
      </c>
      <c r="AH500" s="24">
        <f t="shared" si="138"/>
        <v>0.39930555555474712</v>
      </c>
      <c r="AI500" s="49">
        <f t="shared" si="129"/>
        <v>0.84375</v>
      </c>
      <c r="AK500" s="50" t="str">
        <f t="shared" si="134"/>
        <v>BOM</v>
      </c>
    </row>
    <row r="501" spans="1:37" x14ac:dyDescent="0.4">
      <c r="A501" s="2">
        <v>1654</v>
      </c>
      <c r="B501" s="16">
        <v>46014.57708333333</v>
      </c>
      <c r="C501" s="22">
        <f t="shared" si="131"/>
        <v>46014</v>
      </c>
      <c r="D501" s="23">
        <f t="shared" si="135"/>
        <v>0.57708333332993789</v>
      </c>
      <c r="E501" s="14">
        <v>46015.402777777781</v>
      </c>
      <c r="F501" s="12">
        <f t="shared" si="132"/>
        <v>46015</v>
      </c>
      <c r="G501" s="24">
        <f t="shared" si="136"/>
        <v>0.40277777778101154</v>
      </c>
      <c r="H501" s="14"/>
      <c r="I501" s="14"/>
      <c r="J501" s="29"/>
      <c r="K501" s="30"/>
      <c r="M501" s="17">
        <v>26.3</v>
      </c>
      <c r="N501" s="7">
        <f t="shared" si="122"/>
        <v>31.56</v>
      </c>
      <c r="O501" s="5">
        <v>4</v>
      </c>
      <c r="P501" s="3"/>
      <c r="Q501" s="5">
        <v>27.25</v>
      </c>
      <c r="R501" s="7">
        <f t="shared" si="123"/>
        <v>32.699999999999996</v>
      </c>
      <c r="S501" s="5">
        <v>4</v>
      </c>
      <c r="U501" s="10"/>
      <c r="V501" s="11" t="str">
        <f t="shared" si="124"/>
        <v/>
      </c>
      <c r="W501" s="6"/>
      <c r="Y501" s="10"/>
      <c r="Z501" s="11" t="str">
        <f t="shared" si="125"/>
        <v/>
      </c>
      <c r="AA501" s="6"/>
      <c r="AB501" s="1">
        <v>1.2</v>
      </c>
      <c r="AC501" s="53" t="str">
        <f t="shared" si="126"/>
        <v>19:49</v>
      </c>
      <c r="AD501" s="52" t="str">
        <f t="shared" si="127"/>
        <v>00:00</v>
      </c>
      <c r="AE501" s="52" t="str">
        <f t="shared" si="128"/>
        <v>00:00</v>
      </c>
      <c r="AF501" s="14">
        <f t="shared" si="137"/>
        <v>46015.402777777781</v>
      </c>
      <c r="AG501" s="12">
        <f t="shared" si="133"/>
        <v>46015</v>
      </c>
      <c r="AH501" s="24">
        <f t="shared" si="138"/>
        <v>0.40277777778101154</v>
      </c>
      <c r="AI501" s="49">
        <f t="shared" si="129"/>
        <v>0.8256944444444444</v>
      </c>
      <c r="AK501" s="50" t="str">
        <f t="shared" si="134"/>
        <v>BOM</v>
      </c>
    </row>
    <row r="502" spans="1:37" x14ac:dyDescent="0.4">
      <c r="A502" s="2">
        <v>1655</v>
      </c>
      <c r="B502" s="16">
        <v>46014.60833333333</v>
      </c>
      <c r="C502" s="22">
        <f t="shared" si="131"/>
        <v>46014</v>
      </c>
      <c r="D502" s="23">
        <f t="shared" si="135"/>
        <v>0.60833333332993789</v>
      </c>
      <c r="E502" s="14">
        <v>46015.404166666667</v>
      </c>
      <c r="F502" s="12">
        <f t="shared" si="132"/>
        <v>46015</v>
      </c>
      <c r="G502" s="24">
        <f t="shared" si="136"/>
        <v>0.40416666666715173</v>
      </c>
      <c r="H502" s="14"/>
      <c r="I502" s="14"/>
      <c r="J502" s="29"/>
      <c r="K502" s="30"/>
      <c r="M502" s="17">
        <v>27.43</v>
      </c>
      <c r="N502" s="7">
        <f t="shared" si="122"/>
        <v>32.915999999999997</v>
      </c>
      <c r="O502" s="5">
        <v>4</v>
      </c>
      <c r="P502" s="3"/>
      <c r="Q502" s="5">
        <v>27.48</v>
      </c>
      <c r="R502" s="7">
        <f t="shared" si="123"/>
        <v>32.975999999999999</v>
      </c>
      <c r="S502" s="5">
        <v>4</v>
      </c>
      <c r="U502" s="10"/>
      <c r="V502" s="11" t="str">
        <f t="shared" si="124"/>
        <v/>
      </c>
      <c r="W502" s="6"/>
      <c r="Y502" s="10"/>
      <c r="Z502" s="11" t="str">
        <f t="shared" si="125"/>
        <v/>
      </c>
      <c r="AA502" s="6"/>
      <c r="AB502" s="1">
        <v>1.2</v>
      </c>
      <c r="AC502" s="53" t="str">
        <f t="shared" si="126"/>
        <v>19:06</v>
      </c>
      <c r="AD502" s="52" t="str">
        <f t="shared" si="127"/>
        <v>00:00</v>
      </c>
      <c r="AE502" s="52" t="str">
        <f t="shared" si="128"/>
        <v>00:00</v>
      </c>
      <c r="AF502" s="14">
        <f t="shared" si="137"/>
        <v>46015.404166666667</v>
      </c>
      <c r="AG502" s="12">
        <f t="shared" si="133"/>
        <v>46015</v>
      </c>
      <c r="AH502" s="24">
        <f t="shared" si="138"/>
        <v>0.40416666666715173</v>
      </c>
      <c r="AI502" s="49">
        <f t="shared" si="129"/>
        <v>0.79583333333333328</v>
      </c>
      <c r="AK502" s="50" t="str">
        <f t="shared" si="134"/>
        <v>BOM</v>
      </c>
    </row>
    <row r="503" spans="1:37" x14ac:dyDescent="0.4">
      <c r="A503" s="2">
        <v>1656</v>
      </c>
      <c r="B503" s="16">
        <v>46014.631944444445</v>
      </c>
      <c r="C503" s="22">
        <f t="shared" si="131"/>
        <v>46014</v>
      </c>
      <c r="D503" s="23">
        <f t="shared" si="135"/>
        <v>0.63194444444525288</v>
      </c>
      <c r="E503" s="14">
        <v>46015.40625</v>
      </c>
      <c r="F503" s="12">
        <f t="shared" si="132"/>
        <v>46015</v>
      </c>
      <c r="G503" s="24">
        <f t="shared" si="136"/>
        <v>0.40625</v>
      </c>
      <c r="H503" s="14"/>
      <c r="I503" s="14"/>
      <c r="J503" s="29"/>
      <c r="K503" s="30"/>
      <c r="M503" s="17">
        <v>22.94</v>
      </c>
      <c r="N503" s="7">
        <f t="shared" si="122"/>
        <v>27.528000000000002</v>
      </c>
      <c r="O503" s="5">
        <v>4</v>
      </c>
      <c r="P503" s="3"/>
      <c r="Q503" s="5">
        <v>22.49</v>
      </c>
      <c r="R503" s="7">
        <f t="shared" si="123"/>
        <v>26.987999999999996</v>
      </c>
      <c r="S503" s="5">
        <v>4</v>
      </c>
      <c r="U503" s="10"/>
      <c r="V503" s="11" t="str">
        <f t="shared" si="124"/>
        <v/>
      </c>
      <c r="W503" s="6"/>
      <c r="Y503" s="10"/>
      <c r="Z503" s="11" t="str">
        <f t="shared" si="125"/>
        <v/>
      </c>
      <c r="AA503" s="6"/>
      <c r="AB503" s="1">
        <v>1.2</v>
      </c>
      <c r="AC503" s="53" t="str">
        <f t="shared" si="126"/>
        <v>18:35</v>
      </c>
      <c r="AD503" s="52" t="str">
        <f t="shared" si="127"/>
        <v>00:00</v>
      </c>
      <c r="AE503" s="52" t="str">
        <f t="shared" si="128"/>
        <v>00:00</v>
      </c>
      <c r="AF503" s="14">
        <f t="shared" si="137"/>
        <v>46015.40625</v>
      </c>
      <c r="AG503" s="12">
        <f t="shared" si="133"/>
        <v>46015</v>
      </c>
      <c r="AH503" s="24">
        <f t="shared" si="138"/>
        <v>0.40625</v>
      </c>
      <c r="AI503" s="49">
        <f t="shared" si="129"/>
        <v>0.77430555555555558</v>
      </c>
      <c r="AK503" s="50" t="str">
        <f t="shared" si="134"/>
        <v>BOM</v>
      </c>
    </row>
    <row r="504" spans="1:37" x14ac:dyDescent="0.4">
      <c r="A504" s="2">
        <v>1657</v>
      </c>
      <c r="B504" s="16">
        <v>46014.677083333336</v>
      </c>
      <c r="C504" s="22">
        <f t="shared" si="131"/>
        <v>46014</v>
      </c>
      <c r="D504" s="23">
        <f t="shared" si="135"/>
        <v>0.67708333333575865</v>
      </c>
      <c r="E504" s="14">
        <v>46015.411111111112</v>
      </c>
      <c r="F504" s="12">
        <f t="shared" si="132"/>
        <v>46015</v>
      </c>
      <c r="G504" s="24">
        <f t="shared" si="136"/>
        <v>0.41111111111240461</v>
      </c>
      <c r="H504" s="14"/>
      <c r="I504" s="14"/>
      <c r="J504" s="29"/>
      <c r="K504" s="30"/>
      <c r="M504" s="17">
        <v>26.48</v>
      </c>
      <c r="N504" s="7">
        <f t="shared" si="122"/>
        <v>31.776</v>
      </c>
      <c r="O504" s="5">
        <v>4</v>
      </c>
      <c r="P504" s="3"/>
      <c r="Q504" s="5">
        <v>26.73</v>
      </c>
      <c r="R504" s="7">
        <f t="shared" si="123"/>
        <v>32.076000000000001</v>
      </c>
      <c r="S504" s="5">
        <v>4</v>
      </c>
      <c r="U504" s="10"/>
      <c r="V504" s="11" t="str">
        <f t="shared" si="124"/>
        <v/>
      </c>
      <c r="W504" s="6"/>
      <c r="Y504" s="10"/>
      <c r="Z504" s="11" t="str">
        <f t="shared" si="125"/>
        <v/>
      </c>
      <c r="AA504" s="6"/>
      <c r="AB504" s="1">
        <v>1.2</v>
      </c>
      <c r="AC504" s="53" t="str">
        <f t="shared" si="126"/>
        <v>17:37</v>
      </c>
      <c r="AD504" s="52" t="str">
        <f t="shared" si="127"/>
        <v>00:00</v>
      </c>
      <c r="AE504" s="52" t="str">
        <f t="shared" si="128"/>
        <v>00:00</v>
      </c>
      <c r="AF504" s="14">
        <f t="shared" si="137"/>
        <v>46015.411111111112</v>
      </c>
      <c r="AG504" s="12">
        <f t="shared" si="133"/>
        <v>46015</v>
      </c>
      <c r="AH504" s="24">
        <f t="shared" si="138"/>
        <v>0.41111111111240461</v>
      </c>
      <c r="AI504" s="49">
        <f t="shared" si="129"/>
        <v>0.73402777777777772</v>
      </c>
      <c r="AK504" s="50" t="str">
        <f t="shared" si="134"/>
        <v>BOM</v>
      </c>
    </row>
    <row r="505" spans="1:37" x14ac:dyDescent="0.4">
      <c r="A505" s="2">
        <v>1658</v>
      </c>
      <c r="B505" s="16">
        <v>46021.541666666664</v>
      </c>
      <c r="C505" s="22">
        <f t="shared" si="131"/>
        <v>46021</v>
      </c>
      <c r="D505" s="23">
        <f t="shared" si="135"/>
        <v>0.54166666666424135</v>
      </c>
      <c r="E505" s="14"/>
      <c r="F505" s="12">
        <f t="shared" si="132"/>
        <v>0</v>
      </c>
      <c r="G505" s="24">
        <f t="shared" si="136"/>
        <v>0</v>
      </c>
      <c r="H505" s="14"/>
      <c r="I505" s="14"/>
      <c r="J505" s="29"/>
      <c r="K505" s="30"/>
      <c r="M505" s="17"/>
      <c r="N505" s="7" t="str">
        <f t="shared" si="122"/>
        <v/>
      </c>
      <c r="O505" s="5"/>
      <c r="P505" s="3"/>
      <c r="Q505" s="5"/>
      <c r="R505" s="7" t="str">
        <f t="shared" si="123"/>
        <v/>
      </c>
      <c r="S505" s="5"/>
      <c r="U505" s="10"/>
      <c r="V505" s="11" t="str">
        <f t="shared" si="124"/>
        <v/>
      </c>
      <c r="W505" s="6"/>
      <c r="Y505" s="10"/>
      <c r="Z505" s="11" t="str">
        <f t="shared" si="125"/>
        <v/>
      </c>
      <c r="AA505" s="6"/>
      <c r="AB505" s="1">
        <v>1.2</v>
      </c>
      <c r="AC505" s="53" t="e">
        <f t="shared" si="126"/>
        <v>#VALUE!</v>
      </c>
      <c r="AD505" s="52" t="str">
        <f t="shared" si="127"/>
        <v>00:00</v>
      </c>
      <c r="AE505" s="52" t="str">
        <f t="shared" si="128"/>
        <v>00:00</v>
      </c>
      <c r="AF505" s="14">
        <f t="shared" si="137"/>
        <v>0</v>
      </c>
      <c r="AG505" s="12">
        <f t="shared" si="133"/>
        <v>0</v>
      </c>
      <c r="AH505" s="24">
        <f t="shared" si="138"/>
        <v>0</v>
      </c>
      <c r="AI505" s="49" t="e">
        <f t="shared" si="129"/>
        <v>#VALUE!</v>
      </c>
      <c r="AK505" s="50" t="e">
        <f t="shared" si="134"/>
        <v>#VALUE!</v>
      </c>
    </row>
    <row r="506" spans="1:37" x14ac:dyDescent="0.4">
      <c r="A506" s="2">
        <v>1659</v>
      </c>
      <c r="B506" s="16">
        <v>46021.5625</v>
      </c>
      <c r="C506" s="22">
        <f t="shared" si="131"/>
        <v>46021</v>
      </c>
      <c r="D506" s="23">
        <f t="shared" si="135"/>
        <v>0.5625</v>
      </c>
      <c r="E506" s="14"/>
      <c r="F506" s="12">
        <f t="shared" si="132"/>
        <v>0</v>
      </c>
      <c r="G506" s="24">
        <f t="shared" si="136"/>
        <v>0</v>
      </c>
      <c r="H506" s="14"/>
      <c r="I506" s="14"/>
      <c r="J506" s="29"/>
      <c r="K506" s="30"/>
      <c r="M506" s="17"/>
      <c r="N506" s="7" t="str">
        <f t="shared" si="122"/>
        <v/>
      </c>
      <c r="O506" s="5"/>
      <c r="P506" s="3"/>
      <c r="Q506" s="5"/>
      <c r="R506" s="7" t="str">
        <f t="shared" si="123"/>
        <v/>
      </c>
      <c r="S506" s="5"/>
      <c r="U506" s="10"/>
      <c r="V506" s="11" t="str">
        <f t="shared" si="124"/>
        <v/>
      </c>
      <c r="W506" s="6"/>
      <c r="Y506" s="10"/>
      <c r="Z506" s="11" t="str">
        <f t="shared" si="125"/>
        <v/>
      </c>
      <c r="AA506" s="6"/>
      <c r="AB506" s="1">
        <v>1.2</v>
      </c>
      <c r="AC506" s="53" t="e">
        <f t="shared" si="126"/>
        <v>#VALUE!</v>
      </c>
      <c r="AD506" s="52" t="str">
        <f t="shared" si="127"/>
        <v>00:00</v>
      </c>
      <c r="AE506" s="52" t="str">
        <f t="shared" si="128"/>
        <v>00:00</v>
      </c>
      <c r="AF506" s="14">
        <f t="shared" si="137"/>
        <v>0</v>
      </c>
      <c r="AG506" s="12">
        <f t="shared" si="133"/>
        <v>0</v>
      </c>
      <c r="AH506" s="24">
        <f t="shared" si="138"/>
        <v>0</v>
      </c>
      <c r="AI506" s="49" t="e">
        <f t="shared" si="129"/>
        <v>#VALUE!</v>
      </c>
      <c r="AK506" s="50" t="e">
        <f t="shared" si="134"/>
        <v>#VALUE!</v>
      </c>
    </row>
    <row r="507" spans="1:37" x14ac:dyDescent="0.4">
      <c r="A507" s="2">
        <v>1660</v>
      </c>
      <c r="B507" s="16"/>
      <c r="C507" s="22">
        <f t="shared" si="131"/>
        <v>0</v>
      </c>
      <c r="D507" s="23">
        <f t="shared" si="135"/>
        <v>0</v>
      </c>
      <c r="E507" s="14"/>
      <c r="F507" s="12">
        <f t="shared" si="132"/>
        <v>0</v>
      </c>
      <c r="G507" s="24">
        <f t="shared" si="136"/>
        <v>0</v>
      </c>
      <c r="H507" s="14"/>
      <c r="I507" s="14"/>
      <c r="J507" s="29"/>
      <c r="K507" s="30"/>
      <c r="M507" s="17"/>
      <c r="N507" s="7" t="str">
        <f t="shared" si="122"/>
        <v/>
      </c>
      <c r="O507" s="5"/>
      <c r="P507" s="3"/>
      <c r="Q507" s="5"/>
      <c r="R507" s="7" t="str">
        <f t="shared" si="123"/>
        <v/>
      </c>
      <c r="S507" s="5"/>
      <c r="U507" s="10"/>
      <c r="V507" s="11" t="str">
        <f t="shared" si="124"/>
        <v/>
      </c>
      <c r="W507" s="6"/>
      <c r="Y507" s="10"/>
      <c r="Z507" s="11" t="str">
        <f t="shared" si="125"/>
        <v/>
      </c>
      <c r="AA507" s="6"/>
      <c r="AB507" s="1">
        <v>1.2</v>
      </c>
      <c r="AC507" s="53" t="str">
        <f t="shared" si="126"/>
        <v/>
      </c>
      <c r="AD507" s="52" t="str">
        <f t="shared" si="127"/>
        <v>00:00</v>
      </c>
      <c r="AE507" s="52" t="str">
        <f t="shared" si="128"/>
        <v>00:00</v>
      </c>
      <c r="AF507" s="14">
        <f t="shared" si="137"/>
        <v>0</v>
      </c>
      <c r="AG507" s="12">
        <f t="shared" si="133"/>
        <v>0</v>
      </c>
      <c r="AH507" s="24">
        <f t="shared" si="138"/>
        <v>0</v>
      </c>
      <c r="AI507" s="49" t="e">
        <f t="shared" si="129"/>
        <v>#VALUE!</v>
      </c>
      <c r="AK507" s="50" t="e">
        <f t="shared" si="134"/>
        <v>#VALUE!</v>
      </c>
    </row>
    <row r="508" spans="1:37" x14ac:dyDescent="0.4">
      <c r="A508" s="2">
        <v>1661</v>
      </c>
      <c r="B508" s="16"/>
      <c r="C508" s="22">
        <f t="shared" si="131"/>
        <v>0</v>
      </c>
      <c r="D508" s="23">
        <f t="shared" si="135"/>
        <v>0</v>
      </c>
      <c r="E508" s="14"/>
      <c r="F508" s="12">
        <f t="shared" si="132"/>
        <v>0</v>
      </c>
      <c r="G508" s="24">
        <f t="shared" si="136"/>
        <v>0</v>
      </c>
      <c r="H508" s="14"/>
      <c r="I508" s="14"/>
      <c r="J508" s="29"/>
      <c r="K508" s="30"/>
      <c r="M508" s="17"/>
      <c r="N508" s="7" t="str">
        <f t="shared" si="122"/>
        <v/>
      </c>
      <c r="O508" s="5"/>
      <c r="P508" s="3"/>
      <c r="Q508" s="5"/>
      <c r="R508" s="7" t="str">
        <f t="shared" si="123"/>
        <v/>
      </c>
      <c r="S508" s="5"/>
      <c r="U508" s="10"/>
      <c r="V508" s="11" t="str">
        <f t="shared" si="124"/>
        <v/>
      </c>
      <c r="W508" s="6"/>
      <c r="Y508" s="10"/>
      <c r="Z508" s="11" t="str">
        <f t="shared" si="125"/>
        <v/>
      </c>
      <c r="AA508" s="6"/>
      <c r="AB508" s="1">
        <v>1.2</v>
      </c>
      <c r="AC508" s="53" t="str">
        <f t="shared" si="126"/>
        <v/>
      </c>
      <c r="AD508" s="52" t="str">
        <f t="shared" si="127"/>
        <v>00:00</v>
      </c>
      <c r="AE508" s="52" t="str">
        <f t="shared" si="128"/>
        <v>00:00</v>
      </c>
      <c r="AF508" s="14">
        <f t="shared" si="137"/>
        <v>0</v>
      </c>
      <c r="AG508" s="12">
        <f t="shared" si="133"/>
        <v>0</v>
      </c>
      <c r="AH508" s="24">
        <f t="shared" si="138"/>
        <v>0</v>
      </c>
      <c r="AI508" s="49" t="e">
        <f t="shared" si="129"/>
        <v>#VALUE!</v>
      </c>
      <c r="AK508" s="50" t="e">
        <f t="shared" si="134"/>
        <v>#VALUE!</v>
      </c>
    </row>
    <row r="509" spans="1:37" x14ac:dyDescent="0.4">
      <c r="A509" s="2">
        <v>1662</v>
      </c>
      <c r="B509" s="16"/>
      <c r="C509" s="22">
        <f t="shared" si="131"/>
        <v>0</v>
      </c>
      <c r="D509" s="23">
        <f t="shared" si="135"/>
        <v>0</v>
      </c>
      <c r="E509" s="14"/>
      <c r="F509" s="12">
        <f t="shared" si="132"/>
        <v>0</v>
      </c>
      <c r="G509" s="24">
        <f t="shared" si="136"/>
        <v>0</v>
      </c>
      <c r="H509" s="14"/>
      <c r="I509" s="14"/>
      <c r="J509" s="29"/>
      <c r="K509" s="30"/>
      <c r="M509" s="17"/>
      <c r="N509" s="7" t="str">
        <f t="shared" si="122"/>
        <v/>
      </c>
      <c r="O509" s="5"/>
      <c r="P509" s="3"/>
      <c r="Q509" s="5"/>
      <c r="R509" s="7" t="str">
        <f t="shared" si="123"/>
        <v/>
      </c>
      <c r="S509" s="5"/>
      <c r="U509" s="10"/>
      <c r="V509" s="11" t="str">
        <f t="shared" si="124"/>
        <v/>
      </c>
      <c r="W509" s="6"/>
      <c r="Y509" s="10"/>
      <c r="Z509" s="11" t="str">
        <f t="shared" si="125"/>
        <v/>
      </c>
      <c r="AA509" s="6"/>
      <c r="AB509" s="1">
        <v>1.2</v>
      </c>
      <c r="AC509" s="53" t="str">
        <f t="shared" si="126"/>
        <v/>
      </c>
      <c r="AD509" s="52" t="str">
        <f t="shared" si="127"/>
        <v>00:00</v>
      </c>
      <c r="AE509" s="52" t="str">
        <f t="shared" si="128"/>
        <v>00:00</v>
      </c>
      <c r="AF509" s="14">
        <f t="shared" si="137"/>
        <v>0</v>
      </c>
      <c r="AG509" s="12">
        <f t="shared" si="133"/>
        <v>0</v>
      </c>
      <c r="AH509" s="24">
        <f t="shared" si="138"/>
        <v>0</v>
      </c>
      <c r="AI509" s="49" t="e">
        <f t="shared" si="129"/>
        <v>#VALUE!</v>
      </c>
      <c r="AK509" s="50" t="e">
        <f t="shared" si="134"/>
        <v>#VALUE!</v>
      </c>
    </row>
    <row r="510" spans="1:37" x14ac:dyDescent="0.4">
      <c r="A510" s="2">
        <v>1663</v>
      </c>
      <c r="B510" s="16"/>
      <c r="C510" s="22">
        <f t="shared" si="131"/>
        <v>0</v>
      </c>
      <c r="D510" s="23">
        <f t="shared" si="135"/>
        <v>0</v>
      </c>
      <c r="E510" s="14"/>
      <c r="F510" s="12">
        <f t="shared" si="132"/>
        <v>0</v>
      </c>
      <c r="G510" s="24">
        <f t="shared" si="136"/>
        <v>0</v>
      </c>
      <c r="H510" s="14"/>
      <c r="I510" s="14"/>
      <c r="J510" s="29"/>
      <c r="K510" s="30"/>
      <c r="M510" s="17"/>
      <c r="N510" s="7" t="str">
        <f t="shared" si="122"/>
        <v/>
      </c>
      <c r="O510" s="5"/>
      <c r="P510" s="3"/>
      <c r="Q510" s="5"/>
      <c r="R510" s="7" t="str">
        <f t="shared" si="123"/>
        <v/>
      </c>
      <c r="S510" s="5"/>
      <c r="U510" s="10"/>
      <c r="V510" s="11" t="str">
        <f t="shared" si="124"/>
        <v/>
      </c>
      <c r="W510" s="6"/>
      <c r="Y510" s="10"/>
      <c r="Z510" s="11" t="str">
        <f t="shared" si="125"/>
        <v/>
      </c>
      <c r="AA510" s="6"/>
      <c r="AB510" s="1">
        <v>1.2</v>
      </c>
      <c r="AC510" s="53" t="str">
        <f t="shared" si="126"/>
        <v/>
      </c>
      <c r="AD510" s="52" t="str">
        <f t="shared" si="127"/>
        <v>00:00</v>
      </c>
      <c r="AE510" s="52" t="str">
        <f t="shared" si="128"/>
        <v>00:00</v>
      </c>
      <c r="AF510" s="14">
        <f t="shared" si="137"/>
        <v>0</v>
      </c>
      <c r="AG510" s="12">
        <f t="shared" si="133"/>
        <v>0</v>
      </c>
      <c r="AH510" s="24">
        <f t="shared" si="138"/>
        <v>0</v>
      </c>
      <c r="AI510" s="49" t="e">
        <f t="shared" si="129"/>
        <v>#VALUE!</v>
      </c>
      <c r="AK510" s="50" t="e">
        <f t="shared" si="134"/>
        <v>#VALUE!</v>
      </c>
    </row>
    <row r="511" spans="1:37" x14ac:dyDescent="0.4">
      <c r="A511" s="2">
        <v>1664</v>
      </c>
      <c r="B511" s="16"/>
      <c r="C511" s="22">
        <f t="shared" si="131"/>
        <v>0</v>
      </c>
      <c r="D511" s="23">
        <f t="shared" si="135"/>
        <v>0</v>
      </c>
      <c r="E511" s="14"/>
      <c r="F511" s="12">
        <f t="shared" si="132"/>
        <v>0</v>
      </c>
      <c r="G511" s="24">
        <f t="shared" si="136"/>
        <v>0</v>
      </c>
      <c r="H511" s="14"/>
      <c r="I511" s="14"/>
      <c r="J511" s="29"/>
      <c r="K511" s="30"/>
      <c r="M511" s="17"/>
      <c r="N511" s="7" t="str">
        <f t="shared" si="122"/>
        <v/>
      </c>
      <c r="O511" s="5"/>
      <c r="P511" s="3"/>
      <c r="Q511" s="5"/>
      <c r="R511" s="7" t="str">
        <f t="shared" si="123"/>
        <v/>
      </c>
      <c r="S511" s="5"/>
      <c r="U511" s="10"/>
      <c r="V511" s="11" t="str">
        <f t="shared" si="124"/>
        <v/>
      </c>
      <c r="W511" s="6"/>
      <c r="Y511" s="10"/>
      <c r="Z511" s="11" t="str">
        <f t="shared" si="125"/>
        <v/>
      </c>
      <c r="AA511" s="6"/>
      <c r="AB511" s="1">
        <v>1.2</v>
      </c>
      <c r="AC511" s="53" t="str">
        <f t="shared" si="126"/>
        <v/>
      </c>
      <c r="AD511" s="52" t="str">
        <f t="shared" si="127"/>
        <v>00:00</v>
      </c>
      <c r="AE511" s="52" t="str">
        <f t="shared" si="128"/>
        <v>00:00</v>
      </c>
      <c r="AF511" s="14">
        <f t="shared" si="137"/>
        <v>0</v>
      </c>
      <c r="AG511" s="12">
        <f t="shared" si="133"/>
        <v>0</v>
      </c>
      <c r="AH511" s="24">
        <f t="shared" si="138"/>
        <v>0</v>
      </c>
      <c r="AI511" s="49" t="e">
        <f t="shared" si="129"/>
        <v>#VALUE!</v>
      </c>
      <c r="AK511" s="50" t="e">
        <f t="shared" si="134"/>
        <v>#VALUE!</v>
      </c>
    </row>
    <row r="512" spans="1:37" x14ac:dyDescent="0.4">
      <c r="A512" s="2">
        <v>1665</v>
      </c>
      <c r="B512" s="16"/>
      <c r="C512" s="22">
        <f t="shared" si="131"/>
        <v>0</v>
      </c>
      <c r="D512" s="23">
        <f t="shared" si="135"/>
        <v>0</v>
      </c>
      <c r="E512" s="14"/>
      <c r="F512" s="12">
        <f t="shared" si="132"/>
        <v>0</v>
      </c>
      <c r="G512" s="24">
        <f t="shared" si="136"/>
        <v>0</v>
      </c>
      <c r="H512" s="14"/>
      <c r="I512" s="14"/>
      <c r="J512" s="29"/>
      <c r="K512" s="30"/>
      <c r="M512" s="17"/>
      <c r="N512" s="7" t="str">
        <f t="shared" si="122"/>
        <v/>
      </c>
      <c r="O512" s="5"/>
      <c r="P512" s="3"/>
      <c r="Q512" s="5"/>
      <c r="R512" s="7" t="str">
        <f t="shared" si="123"/>
        <v/>
      </c>
      <c r="S512" s="5"/>
      <c r="U512" s="10"/>
      <c r="V512" s="11" t="str">
        <f t="shared" si="124"/>
        <v/>
      </c>
      <c r="W512" s="6"/>
      <c r="Y512" s="10"/>
      <c r="Z512" s="11" t="str">
        <f t="shared" si="125"/>
        <v/>
      </c>
      <c r="AA512" s="6"/>
      <c r="AB512" s="1">
        <v>1.2</v>
      </c>
      <c r="AC512" s="53" t="str">
        <f t="shared" si="126"/>
        <v/>
      </c>
      <c r="AD512" s="52" t="str">
        <f t="shared" si="127"/>
        <v>00:00</v>
      </c>
      <c r="AE512" s="52" t="str">
        <f t="shared" si="128"/>
        <v>00:00</v>
      </c>
      <c r="AF512" s="14">
        <f t="shared" si="137"/>
        <v>0</v>
      </c>
      <c r="AG512" s="12">
        <f t="shared" si="133"/>
        <v>0</v>
      </c>
      <c r="AH512" s="24">
        <f t="shared" si="138"/>
        <v>0</v>
      </c>
      <c r="AI512" s="49" t="e">
        <f t="shared" si="129"/>
        <v>#VALUE!</v>
      </c>
      <c r="AK512" s="50" t="e">
        <f t="shared" si="134"/>
        <v>#VALUE!</v>
      </c>
    </row>
    <row r="513" spans="1:37" x14ac:dyDescent="0.4">
      <c r="A513" s="2">
        <v>1666</v>
      </c>
      <c r="B513" s="16"/>
      <c r="C513" s="22">
        <f t="shared" si="131"/>
        <v>0</v>
      </c>
      <c r="D513" s="23">
        <f t="shared" si="135"/>
        <v>0</v>
      </c>
      <c r="E513" s="14"/>
      <c r="F513" s="12">
        <f t="shared" si="132"/>
        <v>0</v>
      </c>
      <c r="G513" s="24">
        <f t="shared" si="136"/>
        <v>0</v>
      </c>
      <c r="H513" s="14"/>
      <c r="I513" s="14"/>
      <c r="J513" s="29"/>
      <c r="K513" s="30"/>
      <c r="M513" s="17"/>
      <c r="N513" s="7" t="str">
        <f t="shared" si="122"/>
        <v/>
      </c>
      <c r="O513" s="5"/>
      <c r="P513" s="3"/>
      <c r="Q513" s="5"/>
      <c r="R513" s="7" t="str">
        <f t="shared" si="123"/>
        <v/>
      </c>
      <c r="S513" s="5"/>
      <c r="U513" s="10"/>
      <c r="V513" s="11" t="str">
        <f t="shared" si="124"/>
        <v/>
      </c>
      <c r="W513" s="6"/>
      <c r="Y513" s="10"/>
      <c r="Z513" s="11" t="str">
        <f t="shared" si="125"/>
        <v/>
      </c>
      <c r="AA513" s="6"/>
      <c r="AB513" s="1">
        <v>1.2</v>
      </c>
      <c r="AC513" s="53" t="str">
        <f t="shared" si="126"/>
        <v/>
      </c>
      <c r="AD513" s="52" t="str">
        <f t="shared" si="127"/>
        <v>00:00</v>
      </c>
      <c r="AE513" s="52" t="str">
        <f t="shared" si="128"/>
        <v>00:00</v>
      </c>
      <c r="AF513" s="14">
        <f t="shared" si="137"/>
        <v>0</v>
      </c>
      <c r="AG513" s="12">
        <f t="shared" si="133"/>
        <v>0</v>
      </c>
      <c r="AH513" s="24">
        <f t="shared" si="138"/>
        <v>0</v>
      </c>
      <c r="AI513" s="49" t="e">
        <f t="shared" si="129"/>
        <v>#VALUE!</v>
      </c>
      <c r="AK513" s="50" t="e">
        <f t="shared" si="134"/>
        <v>#VALUE!</v>
      </c>
    </row>
    <row r="514" spans="1:37" x14ac:dyDescent="0.4">
      <c r="A514" s="2">
        <v>1667</v>
      </c>
      <c r="B514" s="16"/>
      <c r="C514" s="22">
        <f t="shared" si="131"/>
        <v>0</v>
      </c>
      <c r="D514" s="23">
        <f t="shared" si="135"/>
        <v>0</v>
      </c>
      <c r="E514" s="14"/>
      <c r="F514" s="12">
        <f t="shared" si="132"/>
        <v>0</v>
      </c>
      <c r="G514" s="24">
        <f t="shared" si="136"/>
        <v>0</v>
      </c>
      <c r="H514" s="14"/>
      <c r="I514" s="14"/>
      <c r="J514" s="29"/>
      <c r="K514" s="30"/>
      <c r="M514" s="17"/>
      <c r="N514" s="7" t="str">
        <f t="shared" si="122"/>
        <v/>
      </c>
      <c r="O514" s="5"/>
      <c r="P514" s="3"/>
      <c r="Q514" s="5"/>
      <c r="R514" s="7" t="str">
        <f t="shared" si="123"/>
        <v/>
      </c>
      <c r="S514" s="5"/>
      <c r="U514" s="10"/>
      <c r="V514" s="11" t="str">
        <f t="shared" si="124"/>
        <v/>
      </c>
      <c r="W514" s="6"/>
      <c r="Y514" s="10"/>
      <c r="Z514" s="11" t="str">
        <f t="shared" si="125"/>
        <v/>
      </c>
      <c r="AA514" s="6"/>
      <c r="AB514" s="1">
        <v>1.2</v>
      </c>
      <c r="AC514" s="53" t="str">
        <f t="shared" si="126"/>
        <v/>
      </c>
      <c r="AD514" s="52" t="str">
        <f t="shared" si="127"/>
        <v>00:00</v>
      </c>
      <c r="AE514" s="52" t="str">
        <f t="shared" si="128"/>
        <v>00:00</v>
      </c>
      <c r="AF514" s="14">
        <f t="shared" si="137"/>
        <v>0</v>
      </c>
      <c r="AG514" s="12">
        <f t="shared" si="133"/>
        <v>0</v>
      </c>
      <c r="AH514" s="24">
        <f t="shared" si="138"/>
        <v>0</v>
      </c>
      <c r="AI514" s="49" t="e">
        <f t="shared" si="129"/>
        <v>#VALUE!</v>
      </c>
      <c r="AK514" s="50" t="e">
        <f t="shared" si="134"/>
        <v>#VALUE!</v>
      </c>
    </row>
    <row r="515" spans="1:37" x14ac:dyDescent="0.4">
      <c r="A515" s="2">
        <v>1668</v>
      </c>
      <c r="B515" s="16"/>
      <c r="C515" s="22">
        <f t="shared" si="131"/>
        <v>0</v>
      </c>
      <c r="D515" s="23">
        <f t="shared" si="135"/>
        <v>0</v>
      </c>
      <c r="E515" s="14"/>
      <c r="F515" s="12">
        <f t="shared" si="132"/>
        <v>0</v>
      </c>
      <c r="G515" s="24">
        <f t="shared" si="136"/>
        <v>0</v>
      </c>
      <c r="H515" s="14"/>
      <c r="I515" s="14"/>
      <c r="J515" s="29"/>
      <c r="K515" s="30"/>
      <c r="M515" s="17"/>
      <c r="N515" s="7" t="str">
        <f t="shared" si="122"/>
        <v/>
      </c>
      <c r="O515" s="5"/>
      <c r="P515" s="3"/>
      <c r="Q515" s="5"/>
      <c r="R515" s="7" t="str">
        <f t="shared" si="123"/>
        <v/>
      </c>
      <c r="S515" s="5"/>
      <c r="U515" s="10"/>
      <c r="V515" s="11" t="str">
        <f t="shared" si="124"/>
        <v/>
      </c>
      <c r="W515" s="6"/>
      <c r="Y515" s="10"/>
      <c r="Z515" s="11" t="str">
        <f t="shared" si="125"/>
        <v/>
      </c>
      <c r="AA515" s="6"/>
      <c r="AB515" s="1">
        <v>1.2</v>
      </c>
      <c r="AC515" s="53" t="str">
        <f t="shared" si="126"/>
        <v/>
      </c>
      <c r="AD515" s="52" t="str">
        <f t="shared" si="127"/>
        <v>00:00</v>
      </c>
      <c r="AE515" s="52" t="str">
        <f t="shared" si="128"/>
        <v>00:00</v>
      </c>
      <c r="AF515" s="14">
        <f t="shared" si="137"/>
        <v>0</v>
      </c>
      <c r="AG515" s="12">
        <f t="shared" si="133"/>
        <v>0</v>
      </c>
      <c r="AH515" s="24">
        <f t="shared" si="138"/>
        <v>0</v>
      </c>
      <c r="AI515" s="49" t="e">
        <f t="shared" si="129"/>
        <v>#VALUE!</v>
      </c>
      <c r="AK515" s="50" t="e">
        <f t="shared" si="134"/>
        <v>#VALUE!</v>
      </c>
    </row>
    <row r="516" spans="1:37" x14ac:dyDescent="0.4">
      <c r="A516" s="2">
        <v>1669</v>
      </c>
      <c r="B516" s="16"/>
      <c r="C516" s="22">
        <f t="shared" si="131"/>
        <v>0</v>
      </c>
      <c r="D516" s="23">
        <f t="shared" si="135"/>
        <v>0</v>
      </c>
      <c r="E516" s="14"/>
      <c r="F516" s="12">
        <f t="shared" si="132"/>
        <v>0</v>
      </c>
      <c r="G516" s="24">
        <f t="shared" si="136"/>
        <v>0</v>
      </c>
      <c r="H516" s="14"/>
      <c r="I516" s="14"/>
      <c r="J516" s="29"/>
      <c r="K516" s="30"/>
      <c r="M516" s="17"/>
      <c r="N516" s="7" t="str">
        <f t="shared" si="122"/>
        <v/>
      </c>
      <c r="O516" s="5"/>
      <c r="P516" s="3"/>
      <c r="Q516" s="5"/>
      <c r="R516" s="7" t="str">
        <f t="shared" si="123"/>
        <v/>
      </c>
      <c r="S516" s="5"/>
      <c r="U516" s="10"/>
      <c r="V516" s="11" t="str">
        <f t="shared" si="124"/>
        <v/>
      </c>
      <c r="W516" s="6"/>
      <c r="Y516" s="10"/>
      <c r="Z516" s="11" t="str">
        <f t="shared" si="125"/>
        <v/>
      </c>
      <c r="AA516" s="6"/>
      <c r="AB516" s="1">
        <v>1.2</v>
      </c>
      <c r="AC516" s="53" t="str">
        <f t="shared" si="126"/>
        <v/>
      </c>
      <c r="AD516" s="52" t="str">
        <f t="shared" si="127"/>
        <v>00:00</v>
      </c>
      <c r="AE516" s="52" t="str">
        <f t="shared" si="128"/>
        <v>00:00</v>
      </c>
      <c r="AF516" s="14">
        <f t="shared" si="137"/>
        <v>0</v>
      </c>
      <c r="AG516" s="12">
        <f t="shared" si="133"/>
        <v>0</v>
      </c>
      <c r="AH516" s="24">
        <f t="shared" si="138"/>
        <v>0</v>
      </c>
      <c r="AI516" s="49" t="e">
        <f t="shared" si="129"/>
        <v>#VALUE!</v>
      </c>
      <c r="AK516" s="50" t="e">
        <f t="shared" si="134"/>
        <v>#VALUE!</v>
      </c>
    </row>
    <row r="517" spans="1:37" x14ac:dyDescent="0.4">
      <c r="A517" s="2">
        <v>1670</v>
      </c>
      <c r="B517" s="16"/>
      <c r="C517" s="22">
        <f t="shared" si="131"/>
        <v>0</v>
      </c>
      <c r="D517" s="23">
        <f t="shared" si="135"/>
        <v>0</v>
      </c>
      <c r="E517" s="14"/>
      <c r="F517" s="12">
        <f t="shared" si="132"/>
        <v>0</v>
      </c>
      <c r="G517" s="24">
        <f t="shared" si="136"/>
        <v>0</v>
      </c>
      <c r="H517" s="14"/>
      <c r="I517" s="14"/>
      <c r="J517" s="29"/>
      <c r="K517" s="30"/>
      <c r="M517" s="17"/>
      <c r="N517" s="7" t="str">
        <f t="shared" si="122"/>
        <v/>
      </c>
      <c r="O517" s="5"/>
      <c r="P517" s="3"/>
      <c r="Q517" s="5"/>
      <c r="R517" s="7" t="str">
        <f t="shared" si="123"/>
        <v/>
      </c>
      <c r="S517" s="5"/>
      <c r="U517" s="10"/>
      <c r="V517" s="11" t="str">
        <f t="shared" si="124"/>
        <v/>
      </c>
      <c r="W517" s="6"/>
      <c r="Y517" s="10"/>
      <c r="Z517" s="11" t="str">
        <f t="shared" si="125"/>
        <v/>
      </c>
      <c r="AA517" s="6"/>
      <c r="AB517" s="1">
        <v>1.2</v>
      </c>
      <c r="AC517" s="53" t="str">
        <f t="shared" si="126"/>
        <v/>
      </c>
      <c r="AD517" s="52" t="str">
        <f t="shared" si="127"/>
        <v>00:00</v>
      </c>
      <c r="AE517" s="52" t="str">
        <f t="shared" si="128"/>
        <v>00:00</v>
      </c>
      <c r="AF517" s="14">
        <f t="shared" si="137"/>
        <v>0</v>
      </c>
      <c r="AG517" s="12">
        <f t="shared" si="133"/>
        <v>0</v>
      </c>
      <c r="AH517" s="24">
        <f t="shared" si="138"/>
        <v>0</v>
      </c>
      <c r="AI517" s="49" t="e">
        <f t="shared" si="129"/>
        <v>#VALUE!</v>
      </c>
      <c r="AK517" s="50" t="e">
        <f t="shared" si="134"/>
        <v>#VALUE!</v>
      </c>
    </row>
    <row r="518" spans="1:37" x14ac:dyDescent="0.4">
      <c r="A518" s="2">
        <v>1671</v>
      </c>
      <c r="B518" s="16"/>
      <c r="C518" s="22">
        <f t="shared" si="131"/>
        <v>0</v>
      </c>
      <c r="D518" s="23">
        <f t="shared" si="135"/>
        <v>0</v>
      </c>
      <c r="E518" s="14"/>
      <c r="F518" s="12">
        <f t="shared" si="132"/>
        <v>0</v>
      </c>
      <c r="G518" s="24">
        <f t="shared" si="136"/>
        <v>0</v>
      </c>
      <c r="H518" s="14"/>
      <c r="I518" s="14"/>
      <c r="J518" s="29"/>
      <c r="K518" s="30"/>
      <c r="M518" s="17"/>
      <c r="N518" s="7" t="str">
        <f t="shared" si="122"/>
        <v/>
      </c>
      <c r="O518" s="5"/>
      <c r="P518" s="3"/>
      <c r="Q518" s="5"/>
      <c r="R518" s="7" t="str">
        <f t="shared" si="123"/>
        <v/>
      </c>
      <c r="S518" s="5"/>
      <c r="U518" s="10"/>
      <c r="V518" s="11" t="str">
        <f t="shared" si="124"/>
        <v/>
      </c>
      <c r="W518" s="6"/>
      <c r="Y518" s="10"/>
      <c r="Z518" s="11" t="str">
        <f t="shared" si="125"/>
        <v/>
      </c>
      <c r="AA518" s="6"/>
      <c r="AB518" s="1">
        <v>1.2</v>
      </c>
      <c r="AC518" s="53" t="str">
        <f t="shared" si="126"/>
        <v/>
      </c>
      <c r="AD518" s="52" t="str">
        <f t="shared" si="127"/>
        <v>00:00</v>
      </c>
      <c r="AE518" s="52" t="str">
        <f t="shared" si="128"/>
        <v>00:00</v>
      </c>
      <c r="AF518" s="14">
        <f t="shared" si="137"/>
        <v>0</v>
      </c>
      <c r="AG518" s="12">
        <f t="shared" si="133"/>
        <v>0</v>
      </c>
      <c r="AH518" s="24">
        <f t="shared" si="138"/>
        <v>0</v>
      </c>
      <c r="AI518" s="49" t="e">
        <f t="shared" si="129"/>
        <v>#VALUE!</v>
      </c>
      <c r="AK518" s="50" t="e">
        <f t="shared" si="134"/>
        <v>#VALUE!</v>
      </c>
    </row>
    <row r="519" spans="1:37" x14ac:dyDescent="0.4">
      <c r="A519" s="2">
        <v>1672</v>
      </c>
      <c r="B519" s="16"/>
      <c r="C519" s="22">
        <f t="shared" si="131"/>
        <v>0</v>
      </c>
      <c r="D519" s="23">
        <f t="shared" si="135"/>
        <v>0</v>
      </c>
      <c r="E519" s="14"/>
      <c r="F519" s="12">
        <f t="shared" si="132"/>
        <v>0</v>
      </c>
      <c r="G519" s="24">
        <f t="shared" si="136"/>
        <v>0</v>
      </c>
      <c r="H519" s="14"/>
      <c r="I519" s="14"/>
      <c r="J519" s="29"/>
      <c r="K519" s="30"/>
      <c r="M519" s="17"/>
      <c r="N519" s="7" t="str">
        <f t="shared" si="122"/>
        <v/>
      </c>
      <c r="O519" s="5"/>
      <c r="P519" s="3"/>
      <c r="Q519" s="5"/>
      <c r="R519" s="7" t="str">
        <f t="shared" si="123"/>
        <v/>
      </c>
      <c r="S519" s="5"/>
      <c r="U519" s="10"/>
      <c r="V519" s="11" t="str">
        <f t="shared" si="124"/>
        <v/>
      </c>
      <c r="W519" s="6"/>
      <c r="Y519" s="10"/>
      <c r="Z519" s="11" t="str">
        <f t="shared" si="125"/>
        <v/>
      </c>
      <c r="AA519" s="6"/>
      <c r="AB519" s="1">
        <v>1.2</v>
      </c>
      <c r="AC519" s="53" t="str">
        <f t="shared" si="126"/>
        <v/>
      </c>
      <c r="AD519" s="52" t="str">
        <f t="shared" si="127"/>
        <v>00:00</v>
      </c>
      <c r="AE519" s="52" t="str">
        <f t="shared" si="128"/>
        <v>00:00</v>
      </c>
      <c r="AF519" s="14">
        <f t="shared" si="137"/>
        <v>0</v>
      </c>
      <c r="AG519" s="12">
        <f t="shared" si="133"/>
        <v>0</v>
      </c>
      <c r="AH519" s="24">
        <f t="shared" si="138"/>
        <v>0</v>
      </c>
      <c r="AI519" s="49" t="e">
        <f t="shared" si="129"/>
        <v>#VALUE!</v>
      </c>
      <c r="AK519" s="50" t="e">
        <f t="shared" si="134"/>
        <v>#VALUE!</v>
      </c>
    </row>
    <row r="520" spans="1:37" x14ac:dyDescent="0.4">
      <c r="A520" s="2">
        <v>1673</v>
      </c>
      <c r="B520" s="16"/>
      <c r="C520" s="22">
        <f t="shared" si="131"/>
        <v>0</v>
      </c>
      <c r="D520" s="23">
        <f t="shared" si="135"/>
        <v>0</v>
      </c>
      <c r="E520" s="14"/>
      <c r="F520" s="12">
        <f t="shared" si="132"/>
        <v>0</v>
      </c>
      <c r="G520" s="24">
        <f t="shared" si="136"/>
        <v>0</v>
      </c>
      <c r="H520" s="14"/>
      <c r="I520" s="14"/>
      <c r="J520" s="29"/>
      <c r="K520" s="30"/>
      <c r="M520" s="17"/>
      <c r="N520" s="7" t="str">
        <f t="shared" ref="N520:N583" si="139">IF(M520="","",M520*AB520)</f>
        <v/>
      </c>
      <c r="O520" s="5"/>
      <c r="P520" s="3"/>
      <c r="Q520" s="5"/>
      <c r="R520" s="7" t="str">
        <f t="shared" ref="R520:R583" si="140">IF(Q520="","",Q520*AB520)</f>
        <v/>
      </c>
      <c r="S520" s="5"/>
      <c r="U520" s="10"/>
      <c r="V520" s="11" t="str">
        <f t="shared" ref="V520:V583" si="141">IF(U520="","",U520*AB520)</f>
        <v/>
      </c>
      <c r="W520" s="6"/>
      <c r="Y520" s="10"/>
      <c r="Z520" s="11" t="str">
        <f t="shared" ref="Z520:Z583" si="142">IF(Y520="","",Y520*AB520)</f>
        <v/>
      </c>
      <c r="AA520" s="6"/>
      <c r="AB520" s="1">
        <v>1.2</v>
      </c>
      <c r="AC520" s="53" t="str">
        <f t="shared" si="126"/>
        <v/>
      </c>
      <c r="AD520" s="52" t="str">
        <f t="shared" si="127"/>
        <v>00:00</v>
      </c>
      <c r="AE520" s="52" t="str">
        <f t="shared" si="128"/>
        <v>00:00</v>
      </c>
      <c r="AF520" s="14">
        <f t="shared" si="137"/>
        <v>0</v>
      </c>
      <c r="AG520" s="12">
        <f t="shared" si="133"/>
        <v>0</v>
      </c>
      <c r="AH520" s="24">
        <f t="shared" si="138"/>
        <v>0</v>
      </c>
      <c r="AI520" s="49" t="e">
        <f t="shared" si="129"/>
        <v>#VALUE!</v>
      </c>
      <c r="AK520" s="50" t="e">
        <f t="shared" si="134"/>
        <v>#VALUE!</v>
      </c>
    </row>
    <row r="521" spans="1:37" x14ac:dyDescent="0.4">
      <c r="A521" s="2">
        <v>1674</v>
      </c>
      <c r="B521" s="16"/>
      <c r="C521" s="22">
        <f t="shared" si="131"/>
        <v>0</v>
      </c>
      <c r="D521" s="23">
        <f t="shared" si="135"/>
        <v>0</v>
      </c>
      <c r="E521" s="14"/>
      <c r="F521" s="12">
        <f t="shared" si="132"/>
        <v>0</v>
      </c>
      <c r="G521" s="24">
        <f t="shared" si="136"/>
        <v>0</v>
      </c>
      <c r="H521" s="14"/>
      <c r="I521" s="14"/>
      <c r="J521" s="29"/>
      <c r="K521" s="30"/>
      <c r="M521" s="17"/>
      <c r="N521" s="7" t="str">
        <f t="shared" si="139"/>
        <v/>
      </c>
      <c r="O521" s="5"/>
      <c r="P521" s="3"/>
      <c r="Q521" s="5"/>
      <c r="R521" s="7" t="str">
        <f t="shared" si="140"/>
        <v/>
      </c>
      <c r="S521" s="5"/>
      <c r="U521" s="10"/>
      <c r="V521" s="11" t="str">
        <f t="shared" si="141"/>
        <v/>
      </c>
      <c r="W521" s="6"/>
      <c r="Y521" s="10"/>
      <c r="Z521" s="11" t="str">
        <f t="shared" si="142"/>
        <v/>
      </c>
      <c r="AA521" s="6"/>
      <c r="AB521" s="1">
        <v>1.2</v>
      </c>
      <c r="AC521" s="53" t="str">
        <f t="shared" si="126"/>
        <v/>
      </c>
      <c r="AD521" s="52" t="str">
        <f t="shared" si="127"/>
        <v>00:00</v>
      </c>
      <c r="AE521" s="52" t="str">
        <f t="shared" si="128"/>
        <v>00:00</v>
      </c>
      <c r="AF521" s="14">
        <f t="shared" si="137"/>
        <v>0</v>
      </c>
      <c r="AG521" s="12">
        <f t="shared" si="133"/>
        <v>0</v>
      </c>
      <c r="AH521" s="24">
        <f t="shared" si="138"/>
        <v>0</v>
      </c>
      <c r="AI521" s="49" t="e">
        <f t="shared" si="129"/>
        <v>#VALUE!</v>
      </c>
      <c r="AK521" s="50" t="e">
        <f t="shared" si="134"/>
        <v>#VALUE!</v>
      </c>
    </row>
    <row r="522" spans="1:37" x14ac:dyDescent="0.4">
      <c r="A522" s="2">
        <v>1675</v>
      </c>
      <c r="B522" s="16"/>
      <c r="C522" s="22">
        <f t="shared" si="131"/>
        <v>0</v>
      </c>
      <c r="D522" s="23">
        <f t="shared" si="135"/>
        <v>0</v>
      </c>
      <c r="E522" s="14"/>
      <c r="F522" s="12">
        <f t="shared" si="132"/>
        <v>0</v>
      </c>
      <c r="G522" s="24">
        <f t="shared" si="136"/>
        <v>0</v>
      </c>
      <c r="H522" s="14"/>
      <c r="I522" s="14"/>
      <c r="J522" s="29"/>
      <c r="K522" s="30"/>
      <c r="M522" s="17"/>
      <c r="N522" s="7" t="str">
        <f t="shared" si="139"/>
        <v/>
      </c>
      <c r="O522" s="5"/>
      <c r="P522" s="3"/>
      <c r="Q522" s="5"/>
      <c r="R522" s="7" t="str">
        <f t="shared" si="140"/>
        <v/>
      </c>
      <c r="S522" s="5"/>
      <c r="U522" s="10"/>
      <c r="V522" s="11" t="str">
        <f t="shared" si="141"/>
        <v/>
      </c>
      <c r="W522" s="6"/>
      <c r="Y522" s="10"/>
      <c r="Z522" s="11" t="str">
        <f t="shared" si="142"/>
        <v/>
      </c>
      <c r="AA522" s="6"/>
      <c r="AB522" s="1">
        <v>1.2</v>
      </c>
      <c r="AC522" s="53" t="str">
        <f t="shared" si="126"/>
        <v/>
      </c>
      <c r="AD522" s="52" t="str">
        <f t="shared" si="127"/>
        <v>00:00</v>
      </c>
      <c r="AE522" s="52" t="str">
        <f t="shared" si="128"/>
        <v>00:00</v>
      </c>
      <c r="AF522" s="14">
        <f t="shared" si="137"/>
        <v>0</v>
      </c>
      <c r="AG522" s="12">
        <f t="shared" si="133"/>
        <v>0</v>
      </c>
      <c r="AH522" s="24">
        <f t="shared" si="138"/>
        <v>0</v>
      </c>
      <c r="AI522" s="49" t="e">
        <f t="shared" si="129"/>
        <v>#VALUE!</v>
      </c>
      <c r="AK522" s="50" t="e">
        <f t="shared" si="134"/>
        <v>#VALUE!</v>
      </c>
    </row>
    <row r="523" spans="1:37" x14ac:dyDescent="0.4">
      <c r="A523" s="2">
        <v>1676</v>
      </c>
      <c r="B523" s="16"/>
      <c r="C523" s="22">
        <f t="shared" si="131"/>
        <v>0</v>
      </c>
      <c r="D523" s="23">
        <f t="shared" si="135"/>
        <v>0</v>
      </c>
      <c r="E523" s="14"/>
      <c r="F523" s="12">
        <f t="shared" si="132"/>
        <v>0</v>
      </c>
      <c r="G523" s="24">
        <f t="shared" si="136"/>
        <v>0</v>
      </c>
      <c r="H523" s="14"/>
      <c r="I523" s="14"/>
      <c r="J523" s="29"/>
      <c r="K523" s="30"/>
      <c r="M523" s="17"/>
      <c r="N523" s="7" t="str">
        <f t="shared" si="139"/>
        <v/>
      </c>
      <c r="O523" s="5"/>
      <c r="P523" s="3"/>
      <c r="Q523" s="5"/>
      <c r="R523" s="7" t="str">
        <f t="shared" si="140"/>
        <v/>
      </c>
      <c r="S523" s="5"/>
      <c r="U523" s="10"/>
      <c r="V523" s="11" t="str">
        <f t="shared" si="141"/>
        <v/>
      </c>
      <c r="W523" s="6"/>
      <c r="Y523" s="10"/>
      <c r="Z523" s="11" t="str">
        <f t="shared" si="142"/>
        <v/>
      </c>
      <c r="AA523" s="6"/>
      <c r="AB523" s="1">
        <v>1.2</v>
      </c>
      <c r="AC523" s="53" t="str">
        <f t="shared" si="126"/>
        <v/>
      </c>
      <c r="AD523" s="52" t="str">
        <f t="shared" si="127"/>
        <v>00:00</v>
      </c>
      <c r="AE523" s="52" t="str">
        <f t="shared" si="128"/>
        <v>00:00</v>
      </c>
      <c r="AF523" s="14">
        <f t="shared" si="137"/>
        <v>0</v>
      </c>
      <c r="AG523" s="12">
        <f t="shared" si="133"/>
        <v>0</v>
      </c>
      <c r="AH523" s="24">
        <f t="shared" si="138"/>
        <v>0</v>
      </c>
      <c r="AI523" s="49" t="e">
        <f t="shared" si="129"/>
        <v>#VALUE!</v>
      </c>
      <c r="AK523" s="50" t="e">
        <f t="shared" si="134"/>
        <v>#VALUE!</v>
      </c>
    </row>
    <row r="524" spans="1:37" x14ac:dyDescent="0.4">
      <c r="A524" s="2">
        <v>1677</v>
      </c>
      <c r="B524" s="16"/>
      <c r="C524" s="22">
        <f t="shared" si="131"/>
        <v>0</v>
      </c>
      <c r="D524" s="23">
        <f t="shared" si="135"/>
        <v>0</v>
      </c>
      <c r="E524" s="14"/>
      <c r="F524" s="12">
        <f t="shared" si="132"/>
        <v>0</v>
      </c>
      <c r="G524" s="24">
        <f t="shared" si="136"/>
        <v>0</v>
      </c>
      <c r="H524" s="14"/>
      <c r="I524" s="14"/>
      <c r="J524" s="29"/>
      <c r="K524" s="30"/>
      <c r="M524" s="17"/>
      <c r="N524" s="7" t="str">
        <f t="shared" si="139"/>
        <v/>
      </c>
      <c r="O524" s="5"/>
      <c r="P524" s="3"/>
      <c r="Q524" s="5"/>
      <c r="R524" s="7" t="str">
        <f t="shared" si="140"/>
        <v/>
      </c>
      <c r="S524" s="5"/>
      <c r="U524" s="10"/>
      <c r="V524" s="11" t="str">
        <f t="shared" si="141"/>
        <v/>
      </c>
      <c r="W524" s="6"/>
      <c r="Y524" s="10"/>
      <c r="Z524" s="11" t="str">
        <f t="shared" si="142"/>
        <v/>
      </c>
      <c r="AA524" s="6"/>
      <c r="AB524" s="1">
        <v>1.2</v>
      </c>
      <c r="AC524" s="53" t="str">
        <f t="shared" si="126"/>
        <v/>
      </c>
      <c r="AD524" s="52" t="str">
        <f t="shared" si="127"/>
        <v>00:00</v>
      </c>
      <c r="AE524" s="52" t="str">
        <f t="shared" si="128"/>
        <v>00:00</v>
      </c>
      <c r="AF524" s="14">
        <f t="shared" si="137"/>
        <v>0</v>
      </c>
      <c r="AG524" s="12">
        <f t="shared" si="133"/>
        <v>0</v>
      </c>
      <c r="AH524" s="24">
        <f t="shared" si="138"/>
        <v>0</v>
      </c>
      <c r="AI524" s="49" t="e">
        <f t="shared" si="129"/>
        <v>#VALUE!</v>
      </c>
      <c r="AK524" s="50" t="e">
        <f t="shared" si="134"/>
        <v>#VALUE!</v>
      </c>
    </row>
    <row r="525" spans="1:37" x14ac:dyDescent="0.4">
      <c r="A525" s="2">
        <v>1678</v>
      </c>
      <c r="B525" s="16"/>
      <c r="C525" s="22">
        <f t="shared" si="131"/>
        <v>0</v>
      </c>
      <c r="D525" s="23">
        <f t="shared" si="135"/>
        <v>0</v>
      </c>
      <c r="E525" s="14"/>
      <c r="F525" s="12">
        <f t="shared" si="132"/>
        <v>0</v>
      </c>
      <c r="G525" s="24">
        <f t="shared" si="136"/>
        <v>0</v>
      </c>
      <c r="H525" s="14"/>
      <c r="I525" s="14"/>
      <c r="J525" s="29"/>
      <c r="K525" s="30"/>
      <c r="M525" s="17"/>
      <c r="N525" s="7" t="str">
        <f t="shared" si="139"/>
        <v/>
      </c>
      <c r="O525" s="5"/>
      <c r="P525" s="3"/>
      <c r="Q525" s="5"/>
      <c r="R525" s="7" t="str">
        <f t="shared" si="140"/>
        <v/>
      </c>
      <c r="S525" s="5"/>
      <c r="U525" s="10"/>
      <c r="V525" s="11" t="str">
        <f t="shared" si="141"/>
        <v/>
      </c>
      <c r="W525" s="6"/>
      <c r="Y525" s="10"/>
      <c r="Z525" s="11" t="str">
        <f t="shared" si="142"/>
        <v/>
      </c>
      <c r="AA525" s="6"/>
      <c r="AB525" s="1">
        <v>1.2</v>
      </c>
      <c r="AC525" s="53" t="str">
        <f t="shared" ref="AC525:AC534" si="143">IF(B525="","",TEXT(E525-B525,"[hh]:mm"))</f>
        <v/>
      </c>
      <c r="AD525" s="52" t="str">
        <f t="shared" ref="AD525:AD534" si="144">IF(H525="","00:00",TEXT(H525-B525,"[hh]:mm"))</f>
        <v>00:00</v>
      </c>
      <c r="AE525" s="52" t="str">
        <f t="shared" ref="AE525:AE534" si="145">IF(I525="","00:00",TEXT(I525-B525,"[hh]:mm"))</f>
        <v>00:00</v>
      </c>
      <c r="AF525" s="14">
        <f t="shared" si="137"/>
        <v>0</v>
      </c>
      <c r="AG525" s="12">
        <f t="shared" si="133"/>
        <v>0</v>
      </c>
      <c r="AH525" s="24">
        <f t="shared" si="138"/>
        <v>0</v>
      </c>
      <c r="AI525" s="49" t="e">
        <f t="shared" ref="AI525:AI588" si="146">MAX(VALUE(AC525),VALUE(AD525),VALUE(AE525))</f>
        <v>#VALUE!</v>
      </c>
      <c r="AK525" s="50" t="e">
        <f t="shared" si="134"/>
        <v>#VALUE!</v>
      </c>
    </row>
    <row r="526" spans="1:37" x14ac:dyDescent="0.4">
      <c r="A526" s="2">
        <v>1679</v>
      </c>
      <c r="B526" s="16"/>
      <c r="C526" s="22">
        <f t="shared" si="131"/>
        <v>0</v>
      </c>
      <c r="D526" s="23">
        <f t="shared" si="135"/>
        <v>0</v>
      </c>
      <c r="E526" s="14"/>
      <c r="F526" s="12">
        <f t="shared" si="132"/>
        <v>0</v>
      </c>
      <c r="G526" s="24">
        <f t="shared" si="136"/>
        <v>0</v>
      </c>
      <c r="H526" s="14"/>
      <c r="I526" s="14"/>
      <c r="J526" s="29"/>
      <c r="K526" s="30"/>
      <c r="M526" s="17"/>
      <c r="N526" s="7" t="str">
        <f t="shared" si="139"/>
        <v/>
      </c>
      <c r="O526" s="5"/>
      <c r="P526" s="3"/>
      <c r="Q526" s="5"/>
      <c r="R526" s="7" t="str">
        <f t="shared" si="140"/>
        <v/>
      </c>
      <c r="S526" s="5"/>
      <c r="U526" s="10"/>
      <c r="V526" s="11" t="str">
        <f t="shared" si="141"/>
        <v/>
      </c>
      <c r="W526" s="6"/>
      <c r="Y526" s="10"/>
      <c r="Z526" s="11" t="str">
        <f t="shared" si="142"/>
        <v/>
      </c>
      <c r="AA526" s="6"/>
      <c r="AB526" s="1">
        <v>1.2</v>
      </c>
      <c r="AC526" s="53" t="str">
        <f t="shared" si="143"/>
        <v/>
      </c>
      <c r="AD526" s="52" t="str">
        <f t="shared" si="144"/>
        <v>00:00</v>
      </c>
      <c r="AE526" s="52" t="str">
        <f t="shared" si="145"/>
        <v>00:00</v>
      </c>
      <c r="AF526" s="14">
        <f t="shared" si="137"/>
        <v>0</v>
      </c>
      <c r="AG526" s="12">
        <f t="shared" si="133"/>
        <v>0</v>
      </c>
      <c r="AH526" s="24">
        <f t="shared" si="138"/>
        <v>0</v>
      </c>
      <c r="AI526" s="49" t="e">
        <f t="shared" si="146"/>
        <v>#VALUE!</v>
      </c>
      <c r="AK526" s="50" t="e">
        <f t="shared" si="134"/>
        <v>#VALUE!</v>
      </c>
    </row>
    <row r="527" spans="1:37" x14ac:dyDescent="0.4">
      <c r="A527" s="2">
        <v>1680</v>
      </c>
      <c r="B527" s="16"/>
      <c r="C527" s="22">
        <f t="shared" si="131"/>
        <v>0</v>
      </c>
      <c r="D527" s="23">
        <f t="shared" si="135"/>
        <v>0</v>
      </c>
      <c r="E527" s="14"/>
      <c r="F527" s="12">
        <f t="shared" si="132"/>
        <v>0</v>
      </c>
      <c r="G527" s="24">
        <f t="shared" si="136"/>
        <v>0</v>
      </c>
      <c r="H527" s="14"/>
      <c r="I527" s="14"/>
      <c r="J527" s="29"/>
      <c r="K527" s="30"/>
      <c r="M527" s="17"/>
      <c r="N527" s="7" t="str">
        <f t="shared" si="139"/>
        <v/>
      </c>
      <c r="O527" s="5"/>
      <c r="P527" s="3"/>
      <c r="Q527" s="5"/>
      <c r="R527" s="7" t="str">
        <f t="shared" si="140"/>
        <v/>
      </c>
      <c r="S527" s="5"/>
      <c r="U527" s="10"/>
      <c r="V527" s="11" t="str">
        <f t="shared" si="141"/>
        <v/>
      </c>
      <c r="W527" s="6"/>
      <c r="Y527" s="10"/>
      <c r="Z527" s="11" t="str">
        <f t="shared" si="142"/>
        <v/>
      </c>
      <c r="AA527" s="6"/>
      <c r="AB527" s="1">
        <v>1.2</v>
      </c>
      <c r="AC527" s="53" t="str">
        <f t="shared" si="143"/>
        <v/>
      </c>
      <c r="AD527" s="52" t="str">
        <f t="shared" si="144"/>
        <v>00:00</v>
      </c>
      <c r="AE527" s="52" t="str">
        <f t="shared" si="145"/>
        <v>00:00</v>
      </c>
      <c r="AF527" s="14">
        <f t="shared" si="137"/>
        <v>0</v>
      </c>
      <c r="AG527" s="12">
        <f t="shared" si="133"/>
        <v>0</v>
      </c>
      <c r="AH527" s="24">
        <f t="shared" si="138"/>
        <v>0</v>
      </c>
      <c r="AI527" s="49" t="e">
        <f t="shared" si="146"/>
        <v>#VALUE!</v>
      </c>
      <c r="AK527" s="50" t="e">
        <f t="shared" si="134"/>
        <v>#VALUE!</v>
      </c>
    </row>
    <row r="528" spans="1:37" x14ac:dyDescent="0.4">
      <c r="A528" s="2">
        <v>1681</v>
      </c>
      <c r="B528" s="16"/>
      <c r="C528" s="22">
        <f t="shared" si="131"/>
        <v>0</v>
      </c>
      <c r="D528" s="23">
        <f t="shared" si="135"/>
        <v>0</v>
      </c>
      <c r="E528" s="14"/>
      <c r="F528" s="12">
        <f t="shared" si="132"/>
        <v>0</v>
      </c>
      <c r="G528" s="24">
        <f t="shared" si="136"/>
        <v>0</v>
      </c>
      <c r="H528" s="14"/>
      <c r="I528" s="14"/>
      <c r="J528" s="29"/>
      <c r="K528" s="30"/>
      <c r="M528" s="17"/>
      <c r="N528" s="7" t="str">
        <f t="shared" si="139"/>
        <v/>
      </c>
      <c r="O528" s="5"/>
      <c r="P528" s="3"/>
      <c r="Q528" s="5"/>
      <c r="R528" s="7" t="str">
        <f t="shared" si="140"/>
        <v/>
      </c>
      <c r="S528" s="5"/>
      <c r="U528" s="10"/>
      <c r="V528" s="11" t="str">
        <f t="shared" si="141"/>
        <v/>
      </c>
      <c r="W528" s="6"/>
      <c r="Y528" s="10"/>
      <c r="Z528" s="11" t="str">
        <f t="shared" si="142"/>
        <v/>
      </c>
      <c r="AA528" s="6"/>
      <c r="AB528" s="1">
        <v>1.2</v>
      </c>
      <c r="AC528" s="53" t="str">
        <f t="shared" si="143"/>
        <v/>
      </c>
      <c r="AD528" s="52" t="str">
        <f t="shared" si="144"/>
        <v>00:00</v>
      </c>
      <c r="AE528" s="52" t="str">
        <f t="shared" si="145"/>
        <v>00:00</v>
      </c>
      <c r="AF528" s="14">
        <f t="shared" si="137"/>
        <v>0</v>
      </c>
      <c r="AG528" s="12">
        <f t="shared" si="133"/>
        <v>0</v>
      </c>
      <c r="AH528" s="24">
        <f t="shared" si="138"/>
        <v>0</v>
      </c>
      <c r="AI528" s="49" t="e">
        <f t="shared" si="146"/>
        <v>#VALUE!</v>
      </c>
      <c r="AK528" s="50" t="e">
        <f t="shared" si="134"/>
        <v>#VALUE!</v>
      </c>
    </row>
    <row r="529" spans="1:37" x14ac:dyDescent="0.4">
      <c r="A529" s="2">
        <v>1682</v>
      </c>
      <c r="B529" s="16"/>
      <c r="C529" s="22">
        <f t="shared" si="131"/>
        <v>0</v>
      </c>
      <c r="D529" s="23">
        <f t="shared" si="135"/>
        <v>0</v>
      </c>
      <c r="E529" s="14"/>
      <c r="F529" s="12">
        <f t="shared" si="132"/>
        <v>0</v>
      </c>
      <c r="G529" s="24">
        <f t="shared" si="136"/>
        <v>0</v>
      </c>
      <c r="H529" s="14"/>
      <c r="I529" s="14"/>
      <c r="J529" s="29"/>
      <c r="K529" s="30"/>
      <c r="M529" s="17"/>
      <c r="N529" s="7" t="str">
        <f t="shared" si="139"/>
        <v/>
      </c>
      <c r="O529" s="5"/>
      <c r="P529" s="3"/>
      <c r="Q529" s="5"/>
      <c r="R529" s="7" t="str">
        <f t="shared" si="140"/>
        <v/>
      </c>
      <c r="S529" s="5"/>
      <c r="U529" s="10"/>
      <c r="V529" s="11" t="str">
        <f t="shared" si="141"/>
        <v/>
      </c>
      <c r="W529" s="6"/>
      <c r="Y529" s="10"/>
      <c r="Z529" s="11" t="str">
        <f t="shared" si="142"/>
        <v/>
      </c>
      <c r="AA529" s="6"/>
      <c r="AB529" s="1">
        <v>1.2</v>
      </c>
      <c r="AC529" s="53" t="str">
        <f t="shared" si="143"/>
        <v/>
      </c>
      <c r="AD529" s="52" t="str">
        <f t="shared" si="144"/>
        <v>00:00</v>
      </c>
      <c r="AE529" s="52" t="str">
        <f t="shared" si="145"/>
        <v>00:00</v>
      </c>
      <c r="AF529" s="14">
        <f t="shared" si="137"/>
        <v>0</v>
      </c>
      <c r="AG529" s="12">
        <f t="shared" si="133"/>
        <v>0</v>
      </c>
      <c r="AH529" s="24">
        <f t="shared" si="138"/>
        <v>0</v>
      </c>
      <c r="AI529" s="49" t="e">
        <f t="shared" si="146"/>
        <v>#VALUE!</v>
      </c>
      <c r="AK529" s="50" t="e">
        <f t="shared" si="134"/>
        <v>#VALUE!</v>
      </c>
    </row>
    <row r="530" spans="1:37" x14ac:dyDescent="0.4">
      <c r="A530" s="2">
        <v>1683</v>
      </c>
      <c r="B530" s="16"/>
      <c r="C530" s="22">
        <f t="shared" si="131"/>
        <v>0</v>
      </c>
      <c r="D530" s="23">
        <f t="shared" si="135"/>
        <v>0</v>
      </c>
      <c r="E530" s="14"/>
      <c r="F530" s="12">
        <f t="shared" si="132"/>
        <v>0</v>
      </c>
      <c r="G530" s="24">
        <f t="shared" si="136"/>
        <v>0</v>
      </c>
      <c r="H530" s="14"/>
      <c r="I530" s="14"/>
      <c r="J530" s="29"/>
      <c r="K530" s="30"/>
      <c r="M530" s="17"/>
      <c r="N530" s="7" t="str">
        <f t="shared" si="139"/>
        <v/>
      </c>
      <c r="O530" s="5"/>
      <c r="P530" s="3"/>
      <c r="Q530" s="5"/>
      <c r="R530" s="7" t="str">
        <f t="shared" si="140"/>
        <v/>
      </c>
      <c r="S530" s="5"/>
      <c r="U530" s="10"/>
      <c r="V530" s="11" t="str">
        <f t="shared" si="141"/>
        <v/>
      </c>
      <c r="W530" s="6"/>
      <c r="Y530" s="10"/>
      <c r="Z530" s="11" t="str">
        <f t="shared" si="142"/>
        <v/>
      </c>
      <c r="AA530" s="6"/>
      <c r="AB530" s="1">
        <v>1.2</v>
      </c>
      <c r="AC530" s="53" t="str">
        <f t="shared" si="143"/>
        <v/>
      </c>
      <c r="AD530" s="52" t="str">
        <f t="shared" si="144"/>
        <v>00:00</v>
      </c>
      <c r="AE530" s="52" t="str">
        <f t="shared" si="145"/>
        <v>00:00</v>
      </c>
      <c r="AF530" s="14">
        <f t="shared" si="137"/>
        <v>0</v>
      </c>
      <c r="AG530" s="12">
        <f t="shared" si="133"/>
        <v>0</v>
      </c>
      <c r="AH530" s="24">
        <f t="shared" si="138"/>
        <v>0</v>
      </c>
      <c r="AI530" s="49" t="e">
        <f t="shared" si="146"/>
        <v>#VALUE!</v>
      </c>
      <c r="AK530" s="50" t="e">
        <f t="shared" si="134"/>
        <v>#VALUE!</v>
      </c>
    </row>
    <row r="531" spans="1:37" x14ac:dyDescent="0.4">
      <c r="A531" s="2">
        <v>1684</v>
      </c>
      <c r="B531" s="16"/>
      <c r="C531" s="22">
        <f t="shared" si="131"/>
        <v>0</v>
      </c>
      <c r="D531" s="23">
        <f t="shared" si="135"/>
        <v>0</v>
      </c>
      <c r="E531" s="14"/>
      <c r="F531" s="12">
        <f t="shared" si="132"/>
        <v>0</v>
      </c>
      <c r="G531" s="24">
        <f t="shared" si="136"/>
        <v>0</v>
      </c>
      <c r="H531" s="14"/>
      <c r="I531" s="14"/>
      <c r="J531" s="29"/>
      <c r="K531" s="30"/>
      <c r="M531" s="17"/>
      <c r="N531" s="7" t="str">
        <f t="shared" si="139"/>
        <v/>
      </c>
      <c r="O531" s="5"/>
      <c r="P531" s="3"/>
      <c r="Q531" s="5"/>
      <c r="R531" s="7" t="str">
        <f t="shared" si="140"/>
        <v/>
      </c>
      <c r="S531" s="5"/>
      <c r="U531" s="10"/>
      <c r="V531" s="11" t="str">
        <f t="shared" si="141"/>
        <v/>
      </c>
      <c r="W531" s="6"/>
      <c r="Y531" s="10"/>
      <c r="Z531" s="11" t="str">
        <f t="shared" si="142"/>
        <v/>
      </c>
      <c r="AA531" s="6"/>
      <c r="AB531" s="1">
        <v>1.2</v>
      </c>
      <c r="AC531" s="53" t="str">
        <f t="shared" si="143"/>
        <v/>
      </c>
      <c r="AD531" s="52" t="str">
        <f t="shared" si="144"/>
        <v>00:00</v>
      </c>
      <c r="AE531" s="52" t="str">
        <f t="shared" si="145"/>
        <v>00:00</v>
      </c>
      <c r="AF531" s="14">
        <f t="shared" si="137"/>
        <v>0</v>
      </c>
      <c r="AG531" s="12">
        <f t="shared" si="133"/>
        <v>0</v>
      </c>
      <c r="AH531" s="24">
        <f t="shared" si="138"/>
        <v>0</v>
      </c>
      <c r="AI531" s="49" t="e">
        <f t="shared" si="146"/>
        <v>#VALUE!</v>
      </c>
      <c r="AK531" s="50" t="e">
        <f t="shared" si="134"/>
        <v>#VALUE!</v>
      </c>
    </row>
    <row r="532" spans="1:37" x14ac:dyDescent="0.4">
      <c r="A532" s="2">
        <v>1685</v>
      </c>
      <c r="B532" s="16"/>
      <c r="C532" s="22">
        <f t="shared" si="131"/>
        <v>0</v>
      </c>
      <c r="D532" s="23">
        <f t="shared" si="135"/>
        <v>0</v>
      </c>
      <c r="E532" s="14"/>
      <c r="F532" s="12">
        <f t="shared" si="132"/>
        <v>0</v>
      </c>
      <c r="G532" s="24">
        <f t="shared" si="136"/>
        <v>0</v>
      </c>
      <c r="H532" s="14"/>
      <c r="I532" s="14"/>
      <c r="J532" s="29"/>
      <c r="K532" s="30"/>
      <c r="M532" s="17"/>
      <c r="N532" s="7" t="str">
        <f t="shared" si="139"/>
        <v/>
      </c>
      <c r="O532" s="5"/>
      <c r="P532" s="3"/>
      <c r="Q532" s="5"/>
      <c r="R532" s="7" t="str">
        <f t="shared" si="140"/>
        <v/>
      </c>
      <c r="S532" s="5"/>
      <c r="U532" s="10"/>
      <c r="V532" s="11" t="str">
        <f t="shared" si="141"/>
        <v/>
      </c>
      <c r="W532" s="6"/>
      <c r="Y532" s="10"/>
      <c r="Z532" s="11" t="str">
        <f t="shared" si="142"/>
        <v/>
      </c>
      <c r="AA532" s="6"/>
      <c r="AB532" s="1">
        <v>1.2</v>
      </c>
      <c r="AC532" s="53" t="str">
        <f t="shared" si="143"/>
        <v/>
      </c>
      <c r="AD532" s="52" t="str">
        <f t="shared" si="144"/>
        <v>00:00</v>
      </c>
      <c r="AE532" s="52" t="str">
        <f t="shared" si="145"/>
        <v>00:00</v>
      </c>
      <c r="AF532" s="14">
        <f t="shared" si="137"/>
        <v>0</v>
      </c>
      <c r="AG532" s="12">
        <f t="shared" si="133"/>
        <v>0</v>
      </c>
      <c r="AH532" s="24">
        <f t="shared" si="138"/>
        <v>0</v>
      </c>
      <c r="AI532" s="49" t="e">
        <f t="shared" si="146"/>
        <v>#VALUE!</v>
      </c>
      <c r="AK532" s="50" t="e">
        <f t="shared" si="134"/>
        <v>#VALUE!</v>
      </c>
    </row>
    <row r="533" spans="1:37" x14ac:dyDescent="0.4">
      <c r="A533" s="2">
        <v>1686</v>
      </c>
      <c r="B533" s="16"/>
      <c r="C533" s="22">
        <f t="shared" si="131"/>
        <v>0</v>
      </c>
      <c r="D533" s="23">
        <f t="shared" si="135"/>
        <v>0</v>
      </c>
      <c r="E533" s="14"/>
      <c r="F533" s="12">
        <f t="shared" si="132"/>
        <v>0</v>
      </c>
      <c r="G533" s="24">
        <f t="shared" si="136"/>
        <v>0</v>
      </c>
      <c r="H533" s="14"/>
      <c r="I533" s="14"/>
      <c r="J533" s="29"/>
      <c r="K533" s="30"/>
      <c r="M533" s="17"/>
      <c r="N533" s="7" t="str">
        <f t="shared" si="139"/>
        <v/>
      </c>
      <c r="O533" s="5"/>
      <c r="P533" s="3"/>
      <c r="Q533" s="5"/>
      <c r="R533" s="7" t="str">
        <f t="shared" si="140"/>
        <v/>
      </c>
      <c r="S533" s="5"/>
      <c r="U533" s="10"/>
      <c r="V533" s="11" t="str">
        <f t="shared" si="141"/>
        <v/>
      </c>
      <c r="W533" s="6"/>
      <c r="Y533" s="10"/>
      <c r="Z533" s="11" t="str">
        <f t="shared" si="142"/>
        <v/>
      </c>
      <c r="AA533" s="6"/>
      <c r="AB533" s="1">
        <v>1.2</v>
      </c>
      <c r="AC533" s="53" t="str">
        <f t="shared" si="143"/>
        <v/>
      </c>
      <c r="AD533" s="52" t="str">
        <f t="shared" si="144"/>
        <v>00:00</v>
      </c>
      <c r="AE533" s="52" t="str">
        <f t="shared" si="145"/>
        <v>00:00</v>
      </c>
      <c r="AF533" s="14">
        <f t="shared" si="137"/>
        <v>0</v>
      </c>
      <c r="AG533" s="12">
        <f t="shared" si="133"/>
        <v>0</v>
      </c>
      <c r="AH533" s="24">
        <f t="shared" si="138"/>
        <v>0</v>
      </c>
      <c r="AI533" s="49" t="e">
        <f t="shared" si="146"/>
        <v>#VALUE!</v>
      </c>
      <c r="AK533" s="50" t="e">
        <f t="shared" si="134"/>
        <v>#VALUE!</v>
      </c>
    </row>
    <row r="534" spans="1:37" x14ac:dyDescent="0.4">
      <c r="A534" s="2">
        <v>1687</v>
      </c>
      <c r="B534" s="16"/>
      <c r="C534" s="22">
        <f t="shared" si="131"/>
        <v>0</v>
      </c>
      <c r="D534" s="23">
        <f t="shared" si="135"/>
        <v>0</v>
      </c>
      <c r="E534" s="14"/>
      <c r="F534" s="12">
        <f t="shared" si="132"/>
        <v>0</v>
      </c>
      <c r="G534" s="24">
        <f t="shared" si="136"/>
        <v>0</v>
      </c>
      <c r="H534" s="14"/>
      <c r="I534" s="14"/>
      <c r="J534" s="29"/>
      <c r="K534" s="30"/>
      <c r="M534" s="17"/>
      <c r="N534" s="7" t="str">
        <f t="shared" si="139"/>
        <v/>
      </c>
      <c r="O534" s="5"/>
      <c r="P534" s="3"/>
      <c r="Q534" s="5"/>
      <c r="R534" s="7" t="str">
        <f t="shared" si="140"/>
        <v/>
      </c>
      <c r="S534" s="5"/>
      <c r="U534" s="10"/>
      <c r="V534" s="11" t="str">
        <f t="shared" si="141"/>
        <v/>
      </c>
      <c r="W534" s="6"/>
      <c r="Y534" s="10"/>
      <c r="Z534" s="11" t="str">
        <f t="shared" si="142"/>
        <v/>
      </c>
      <c r="AA534" s="6"/>
      <c r="AB534" s="1">
        <v>1.2</v>
      </c>
      <c r="AC534" s="53" t="str">
        <f t="shared" si="143"/>
        <v/>
      </c>
      <c r="AD534" s="52" t="str">
        <f t="shared" si="144"/>
        <v>00:00</v>
      </c>
      <c r="AE534" s="52" t="str">
        <f t="shared" si="145"/>
        <v>00:00</v>
      </c>
      <c r="AF534" s="14">
        <f t="shared" si="137"/>
        <v>0</v>
      </c>
      <c r="AG534" s="12">
        <f t="shared" si="133"/>
        <v>0</v>
      </c>
      <c r="AH534" s="24">
        <f t="shared" si="138"/>
        <v>0</v>
      </c>
      <c r="AI534" s="49" t="e">
        <f t="shared" si="146"/>
        <v>#VALUE!</v>
      </c>
      <c r="AK534" s="50" t="e">
        <f t="shared" si="134"/>
        <v>#VALUE!</v>
      </c>
    </row>
    <row r="535" spans="1:37" x14ac:dyDescent="0.4">
      <c r="A535" s="2">
        <v>1688</v>
      </c>
      <c r="B535" s="16"/>
      <c r="C535" s="22">
        <f t="shared" ref="C535:C598" si="147">INT(B535)</f>
        <v>0</v>
      </c>
      <c r="D535" s="23">
        <f t="shared" si="135"/>
        <v>0</v>
      </c>
      <c r="E535" s="14"/>
      <c r="F535" s="12">
        <f t="shared" ref="F535:F598" si="148">INT(E535)</f>
        <v>0</v>
      </c>
      <c r="G535" s="24">
        <f t="shared" si="136"/>
        <v>0</v>
      </c>
      <c r="H535" s="14"/>
      <c r="I535" s="14"/>
      <c r="J535" s="29"/>
      <c r="K535" s="30"/>
      <c r="M535" s="17"/>
      <c r="N535" s="7" t="str">
        <f t="shared" si="139"/>
        <v/>
      </c>
      <c r="O535" s="5"/>
      <c r="P535" s="3"/>
      <c r="Q535" s="5"/>
      <c r="R535" s="7" t="str">
        <f t="shared" si="140"/>
        <v/>
      </c>
      <c r="S535" s="5"/>
      <c r="U535" s="10"/>
      <c r="V535" s="11" t="str">
        <f t="shared" si="141"/>
        <v/>
      </c>
      <c r="W535" s="6"/>
      <c r="Y535" s="10"/>
      <c r="Z535" s="11" t="str">
        <f t="shared" si="142"/>
        <v/>
      </c>
      <c r="AA535" s="6"/>
      <c r="AB535" s="1">
        <v>1.2</v>
      </c>
      <c r="AC535" s="21" t="str">
        <f t="shared" ref="AC535:AC551" si="149">IF(B535="","",TEXT(E535-B535,"[hh]:mm"))</f>
        <v/>
      </c>
      <c r="AD535" s="27" t="str">
        <f t="shared" ref="AD535:AD597" si="150">IF(H535="","",TEXT(H535-B535,"[hh]:mm"))</f>
        <v/>
      </c>
      <c r="AE535" s="27" t="str">
        <f t="shared" ref="AE535:AE588" si="151">IF(I535="","",TEXT(I535-B535,"[hh]:mm"))</f>
        <v/>
      </c>
      <c r="AF535" s="14">
        <f t="shared" si="137"/>
        <v>0</v>
      </c>
      <c r="AG535" s="12">
        <f t="shared" ref="AG535:AG598" si="152">INT(AF535)</f>
        <v>0</v>
      </c>
      <c r="AH535" s="24">
        <f t="shared" si="138"/>
        <v>0</v>
      </c>
      <c r="AI535" s="49" t="e">
        <f t="shared" si="146"/>
        <v>#VALUE!</v>
      </c>
      <c r="AK535" s="50" t="e">
        <f t="shared" ref="AK535:AK598" si="153">IF(VALUE(AI535)&lt;=VALUE($AK$3),"BOM","RUIM")</f>
        <v>#VALUE!</v>
      </c>
    </row>
    <row r="536" spans="1:37" x14ac:dyDescent="0.4">
      <c r="A536" s="2">
        <v>1689</v>
      </c>
      <c r="B536" s="16"/>
      <c r="C536" s="22">
        <f t="shared" si="147"/>
        <v>0</v>
      </c>
      <c r="D536" s="23">
        <f t="shared" si="135"/>
        <v>0</v>
      </c>
      <c r="E536" s="14"/>
      <c r="F536" s="12">
        <f t="shared" si="148"/>
        <v>0</v>
      </c>
      <c r="G536" s="24">
        <f t="shared" si="136"/>
        <v>0</v>
      </c>
      <c r="H536" s="14"/>
      <c r="I536" s="14"/>
      <c r="J536" s="29"/>
      <c r="K536" s="30"/>
      <c r="M536" s="17"/>
      <c r="N536" s="7" t="str">
        <f t="shared" si="139"/>
        <v/>
      </c>
      <c r="O536" s="5"/>
      <c r="P536" s="3"/>
      <c r="Q536" s="5"/>
      <c r="R536" s="7" t="str">
        <f t="shared" si="140"/>
        <v/>
      </c>
      <c r="S536" s="5"/>
      <c r="U536" s="10"/>
      <c r="V536" s="11" t="str">
        <f t="shared" si="141"/>
        <v/>
      </c>
      <c r="W536" s="6"/>
      <c r="Y536" s="10"/>
      <c r="Z536" s="11" t="str">
        <f t="shared" si="142"/>
        <v/>
      </c>
      <c r="AA536" s="6"/>
      <c r="AB536" s="1">
        <v>1.2</v>
      </c>
      <c r="AC536" s="21" t="str">
        <f t="shared" si="149"/>
        <v/>
      </c>
      <c r="AD536" s="27" t="str">
        <f t="shared" si="150"/>
        <v/>
      </c>
      <c r="AE536" s="27" t="str">
        <f t="shared" si="151"/>
        <v/>
      </c>
      <c r="AF536" s="14">
        <f t="shared" si="137"/>
        <v>0</v>
      </c>
      <c r="AG536" s="12">
        <f t="shared" si="152"/>
        <v>0</v>
      </c>
      <c r="AH536" s="24">
        <f t="shared" si="138"/>
        <v>0</v>
      </c>
      <c r="AI536" s="49" t="e">
        <f t="shared" si="146"/>
        <v>#VALUE!</v>
      </c>
      <c r="AK536" s="50" t="e">
        <f t="shared" si="153"/>
        <v>#VALUE!</v>
      </c>
    </row>
    <row r="537" spans="1:37" x14ac:dyDescent="0.4">
      <c r="A537" s="2">
        <v>1690</v>
      </c>
      <c r="B537" s="16"/>
      <c r="C537" s="22">
        <f t="shared" si="147"/>
        <v>0</v>
      </c>
      <c r="D537" s="23">
        <f t="shared" si="135"/>
        <v>0</v>
      </c>
      <c r="E537" s="14"/>
      <c r="F537" s="12">
        <f t="shared" si="148"/>
        <v>0</v>
      </c>
      <c r="G537" s="24">
        <f t="shared" si="136"/>
        <v>0</v>
      </c>
      <c r="H537" s="14"/>
      <c r="I537" s="14"/>
      <c r="J537" s="29"/>
      <c r="K537" s="30"/>
      <c r="M537" s="17"/>
      <c r="N537" s="7" t="str">
        <f t="shared" si="139"/>
        <v/>
      </c>
      <c r="O537" s="5"/>
      <c r="P537" s="3"/>
      <c r="Q537" s="5"/>
      <c r="R537" s="7" t="str">
        <f t="shared" si="140"/>
        <v/>
      </c>
      <c r="S537" s="5"/>
      <c r="U537" s="10"/>
      <c r="V537" s="11" t="str">
        <f t="shared" si="141"/>
        <v/>
      </c>
      <c r="W537" s="6"/>
      <c r="Y537" s="10"/>
      <c r="Z537" s="11" t="str">
        <f t="shared" si="142"/>
        <v/>
      </c>
      <c r="AA537" s="6"/>
      <c r="AB537" s="1">
        <v>1.2</v>
      </c>
      <c r="AC537" s="21" t="str">
        <f t="shared" si="149"/>
        <v/>
      </c>
      <c r="AD537" s="27" t="str">
        <f t="shared" si="150"/>
        <v/>
      </c>
      <c r="AE537" s="27" t="str">
        <f t="shared" si="151"/>
        <v/>
      </c>
      <c r="AF537" s="14">
        <f t="shared" si="137"/>
        <v>0</v>
      </c>
      <c r="AG537" s="12">
        <f t="shared" si="152"/>
        <v>0</v>
      </c>
      <c r="AH537" s="24">
        <f t="shared" si="138"/>
        <v>0</v>
      </c>
      <c r="AI537" s="49" t="e">
        <f t="shared" si="146"/>
        <v>#VALUE!</v>
      </c>
      <c r="AK537" s="50" t="e">
        <f t="shared" si="153"/>
        <v>#VALUE!</v>
      </c>
    </row>
    <row r="538" spans="1:37" x14ac:dyDescent="0.4">
      <c r="A538" s="2">
        <v>1691</v>
      </c>
      <c r="B538" s="16"/>
      <c r="C538" s="22">
        <f t="shared" si="147"/>
        <v>0</v>
      </c>
      <c r="D538" s="23">
        <f t="shared" si="135"/>
        <v>0</v>
      </c>
      <c r="E538" s="14"/>
      <c r="F538" s="12">
        <f t="shared" si="148"/>
        <v>0</v>
      </c>
      <c r="G538" s="24">
        <f t="shared" si="136"/>
        <v>0</v>
      </c>
      <c r="H538" s="14"/>
      <c r="I538" s="14"/>
      <c r="J538" s="29"/>
      <c r="K538" s="30"/>
      <c r="M538" s="17"/>
      <c r="N538" s="7" t="str">
        <f t="shared" si="139"/>
        <v/>
      </c>
      <c r="O538" s="5"/>
      <c r="P538" s="3"/>
      <c r="Q538" s="5"/>
      <c r="R538" s="7" t="str">
        <f t="shared" si="140"/>
        <v/>
      </c>
      <c r="S538" s="5"/>
      <c r="U538" s="10"/>
      <c r="V538" s="11" t="str">
        <f t="shared" si="141"/>
        <v/>
      </c>
      <c r="W538" s="6"/>
      <c r="Y538" s="10"/>
      <c r="Z538" s="11" t="str">
        <f t="shared" si="142"/>
        <v/>
      </c>
      <c r="AA538" s="6"/>
      <c r="AB538" s="1">
        <v>1.2</v>
      </c>
      <c r="AC538" s="21" t="str">
        <f t="shared" si="149"/>
        <v/>
      </c>
      <c r="AD538" s="27" t="str">
        <f t="shared" si="150"/>
        <v/>
      </c>
      <c r="AE538" s="27" t="str">
        <f t="shared" si="151"/>
        <v/>
      </c>
      <c r="AF538" s="14">
        <f t="shared" si="137"/>
        <v>0</v>
      </c>
      <c r="AG538" s="12">
        <f t="shared" si="152"/>
        <v>0</v>
      </c>
      <c r="AH538" s="24">
        <f t="shared" si="138"/>
        <v>0</v>
      </c>
      <c r="AI538" s="49" t="e">
        <f t="shared" si="146"/>
        <v>#VALUE!</v>
      </c>
      <c r="AK538" s="50" t="e">
        <f t="shared" si="153"/>
        <v>#VALUE!</v>
      </c>
    </row>
    <row r="539" spans="1:37" x14ac:dyDescent="0.4">
      <c r="A539" s="2">
        <v>1692</v>
      </c>
      <c r="B539" s="16"/>
      <c r="C539" s="22">
        <f t="shared" si="147"/>
        <v>0</v>
      </c>
      <c r="D539" s="23">
        <f t="shared" si="135"/>
        <v>0</v>
      </c>
      <c r="E539" s="14"/>
      <c r="F539" s="12">
        <f t="shared" si="148"/>
        <v>0</v>
      </c>
      <c r="G539" s="24">
        <f t="shared" si="136"/>
        <v>0</v>
      </c>
      <c r="H539" s="14"/>
      <c r="I539" s="14"/>
      <c r="J539" s="29"/>
      <c r="K539" s="30"/>
      <c r="M539" s="17"/>
      <c r="N539" s="7" t="str">
        <f t="shared" si="139"/>
        <v/>
      </c>
      <c r="O539" s="5"/>
      <c r="P539" s="3"/>
      <c r="Q539" s="5"/>
      <c r="R539" s="7" t="str">
        <f t="shared" si="140"/>
        <v/>
      </c>
      <c r="S539" s="5"/>
      <c r="U539" s="10"/>
      <c r="V539" s="11" t="str">
        <f t="shared" si="141"/>
        <v/>
      </c>
      <c r="W539" s="6"/>
      <c r="Y539" s="10"/>
      <c r="Z539" s="11" t="str">
        <f t="shared" si="142"/>
        <v/>
      </c>
      <c r="AA539" s="6"/>
      <c r="AB539" s="1">
        <v>1.2</v>
      </c>
      <c r="AC539" s="21" t="str">
        <f t="shared" si="149"/>
        <v/>
      </c>
      <c r="AD539" s="27" t="str">
        <f t="shared" si="150"/>
        <v/>
      </c>
      <c r="AE539" s="27" t="str">
        <f t="shared" si="151"/>
        <v/>
      </c>
      <c r="AF539" s="14">
        <f t="shared" si="137"/>
        <v>0</v>
      </c>
      <c r="AG539" s="12">
        <f t="shared" si="152"/>
        <v>0</v>
      </c>
      <c r="AH539" s="24">
        <f t="shared" si="138"/>
        <v>0</v>
      </c>
      <c r="AI539" s="49" t="e">
        <f t="shared" si="146"/>
        <v>#VALUE!</v>
      </c>
      <c r="AK539" s="50" t="e">
        <f t="shared" si="153"/>
        <v>#VALUE!</v>
      </c>
    </row>
    <row r="540" spans="1:37" x14ac:dyDescent="0.4">
      <c r="A540" s="2">
        <v>1693</v>
      </c>
      <c r="B540" s="16"/>
      <c r="C540" s="22">
        <f t="shared" si="147"/>
        <v>0</v>
      </c>
      <c r="D540" s="23">
        <f t="shared" si="135"/>
        <v>0</v>
      </c>
      <c r="E540" s="14"/>
      <c r="F540" s="12">
        <f t="shared" si="148"/>
        <v>0</v>
      </c>
      <c r="G540" s="24">
        <f t="shared" si="136"/>
        <v>0</v>
      </c>
      <c r="H540" s="14"/>
      <c r="I540" s="14"/>
      <c r="J540" s="29"/>
      <c r="K540" s="30"/>
      <c r="M540" s="17"/>
      <c r="N540" s="7" t="str">
        <f t="shared" si="139"/>
        <v/>
      </c>
      <c r="O540" s="5"/>
      <c r="P540" s="3"/>
      <c r="Q540" s="5"/>
      <c r="R540" s="7" t="str">
        <f t="shared" si="140"/>
        <v/>
      </c>
      <c r="S540" s="5"/>
      <c r="U540" s="10"/>
      <c r="V540" s="11" t="str">
        <f t="shared" si="141"/>
        <v/>
      </c>
      <c r="W540" s="6"/>
      <c r="Y540" s="10"/>
      <c r="Z540" s="11" t="str">
        <f t="shared" si="142"/>
        <v/>
      </c>
      <c r="AA540" s="6"/>
      <c r="AB540" s="1">
        <v>1.2</v>
      </c>
      <c r="AC540" s="21" t="str">
        <f t="shared" si="149"/>
        <v/>
      </c>
      <c r="AD540" s="27" t="str">
        <f t="shared" si="150"/>
        <v/>
      </c>
      <c r="AE540" s="27" t="str">
        <f t="shared" si="151"/>
        <v/>
      </c>
      <c r="AF540" s="14">
        <f t="shared" si="137"/>
        <v>0</v>
      </c>
      <c r="AG540" s="12">
        <f t="shared" si="152"/>
        <v>0</v>
      </c>
      <c r="AH540" s="24">
        <f t="shared" si="138"/>
        <v>0</v>
      </c>
      <c r="AI540" s="49" t="e">
        <f t="shared" si="146"/>
        <v>#VALUE!</v>
      </c>
      <c r="AK540" s="50" t="e">
        <f t="shared" si="153"/>
        <v>#VALUE!</v>
      </c>
    </row>
    <row r="541" spans="1:37" x14ac:dyDescent="0.4">
      <c r="A541" s="2">
        <v>1694</v>
      </c>
      <c r="B541" s="16"/>
      <c r="C541" s="22">
        <f t="shared" si="147"/>
        <v>0</v>
      </c>
      <c r="D541" s="23">
        <f t="shared" si="135"/>
        <v>0</v>
      </c>
      <c r="E541" s="14"/>
      <c r="F541" s="12">
        <f t="shared" si="148"/>
        <v>0</v>
      </c>
      <c r="G541" s="24">
        <f t="shared" si="136"/>
        <v>0</v>
      </c>
      <c r="H541" s="14"/>
      <c r="I541" s="14"/>
      <c r="J541" s="29"/>
      <c r="K541" s="30"/>
      <c r="M541" s="17"/>
      <c r="N541" s="7" t="str">
        <f t="shared" si="139"/>
        <v/>
      </c>
      <c r="O541" s="5"/>
      <c r="P541" s="3"/>
      <c r="Q541" s="5"/>
      <c r="R541" s="7" t="str">
        <f t="shared" si="140"/>
        <v/>
      </c>
      <c r="S541" s="5"/>
      <c r="U541" s="10"/>
      <c r="V541" s="11" t="str">
        <f t="shared" si="141"/>
        <v/>
      </c>
      <c r="W541" s="6"/>
      <c r="Y541" s="10"/>
      <c r="Z541" s="11" t="str">
        <f t="shared" si="142"/>
        <v/>
      </c>
      <c r="AA541" s="6"/>
      <c r="AB541" s="1">
        <v>1.2</v>
      </c>
      <c r="AC541" s="21" t="str">
        <f t="shared" si="149"/>
        <v/>
      </c>
      <c r="AD541" s="27" t="str">
        <f t="shared" si="150"/>
        <v/>
      </c>
      <c r="AE541" s="27" t="str">
        <f t="shared" si="151"/>
        <v/>
      </c>
      <c r="AF541" s="14">
        <f t="shared" si="137"/>
        <v>0</v>
      </c>
      <c r="AG541" s="12">
        <f t="shared" si="152"/>
        <v>0</v>
      </c>
      <c r="AH541" s="24">
        <f t="shared" si="138"/>
        <v>0</v>
      </c>
      <c r="AI541" s="49" t="e">
        <f t="shared" si="146"/>
        <v>#VALUE!</v>
      </c>
      <c r="AK541" s="50" t="e">
        <f t="shared" si="153"/>
        <v>#VALUE!</v>
      </c>
    </row>
    <row r="542" spans="1:37" x14ac:dyDescent="0.4">
      <c r="A542" s="2">
        <v>1695</v>
      </c>
      <c r="B542" s="16"/>
      <c r="C542" s="22">
        <f t="shared" si="147"/>
        <v>0</v>
      </c>
      <c r="D542" s="23">
        <f t="shared" si="135"/>
        <v>0</v>
      </c>
      <c r="E542" s="14"/>
      <c r="F542" s="12">
        <f t="shared" si="148"/>
        <v>0</v>
      </c>
      <c r="G542" s="24">
        <f t="shared" si="136"/>
        <v>0</v>
      </c>
      <c r="H542" s="14"/>
      <c r="I542" s="14"/>
      <c r="J542" s="29"/>
      <c r="K542" s="30"/>
      <c r="M542" s="17"/>
      <c r="N542" s="7" t="str">
        <f t="shared" si="139"/>
        <v/>
      </c>
      <c r="O542" s="5"/>
      <c r="P542" s="3"/>
      <c r="Q542" s="5"/>
      <c r="R542" s="7" t="str">
        <f t="shared" si="140"/>
        <v/>
      </c>
      <c r="S542" s="5"/>
      <c r="U542" s="10"/>
      <c r="V542" s="11" t="str">
        <f t="shared" si="141"/>
        <v/>
      </c>
      <c r="W542" s="6"/>
      <c r="Y542" s="10"/>
      <c r="Z542" s="11" t="str">
        <f t="shared" si="142"/>
        <v/>
      </c>
      <c r="AA542" s="6"/>
      <c r="AB542" s="1">
        <v>1.2</v>
      </c>
      <c r="AC542" s="21" t="str">
        <f t="shared" si="149"/>
        <v/>
      </c>
      <c r="AD542" s="27" t="str">
        <f t="shared" si="150"/>
        <v/>
      </c>
      <c r="AE542" s="27" t="str">
        <f t="shared" si="151"/>
        <v/>
      </c>
      <c r="AF542" s="14">
        <f t="shared" si="137"/>
        <v>0</v>
      </c>
      <c r="AG542" s="12">
        <f t="shared" si="152"/>
        <v>0</v>
      </c>
      <c r="AH542" s="24">
        <f t="shared" si="138"/>
        <v>0</v>
      </c>
      <c r="AI542" s="49" t="e">
        <f t="shared" si="146"/>
        <v>#VALUE!</v>
      </c>
      <c r="AK542" s="50" t="e">
        <f t="shared" si="153"/>
        <v>#VALUE!</v>
      </c>
    </row>
    <row r="543" spans="1:37" x14ac:dyDescent="0.4">
      <c r="A543" s="2">
        <v>1696</v>
      </c>
      <c r="B543" s="16"/>
      <c r="C543" s="22">
        <f t="shared" si="147"/>
        <v>0</v>
      </c>
      <c r="D543" s="23">
        <f t="shared" si="135"/>
        <v>0</v>
      </c>
      <c r="E543" s="14"/>
      <c r="F543" s="12">
        <f t="shared" si="148"/>
        <v>0</v>
      </c>
      <c r="G543" s="24">
        <f t="shared" si="136"/>
        <v>0</v>
      </c>
      <c r="H543" s="14"/>
      <c r="I543" s="14"/>
      <c r="J543" s="29"/>
      <c r="K543" s="30"/>
      <c r="M543" s="17"/>
      <c r="N543" s="7" t="str">
        <f t="shared" si="139"/>
        <v/>
      </c>
      <c r="O543" s="5"/>
      <c r="P543" s="3"/>
      <c r="Q543" s="5"/>
      <c r="R543" s="7" t="str">
        <f t="shared" si="140"/>
        <v/>
      </c>
      <c r="S543" s="5"/>
      <c r="U543" s="10"/>
      <c r="V543" s="11" t="str">
        <f t="shared" si="141"/>
        <v/>
      </c>
      <c r="W543" s="6"/>
      <c r="Y543" s="10"/>
      <c r="Z543" s="11" t="str">
        <f t="shared" si="142"/>
        <v/>
      </c>
      <c r="AA543" s="6"/>
      <c r="AB543" s="1">
        <v>1.2</v>
      </c>
      <c r="AC543" s="21" t="str">
        <f t="shared" si="149"/>
        <v/>
      </c>
      <c r="AD543" s="27" t="str">
        <f t="shared" si="150"/>
        <v/>
      </c>
      <c r="AE543" s="27" t="str">
        <f t="shared" si="151"/>
        <v/>
      </c>
      <c r="AF543" s="14">
        <f t="shared" si="137"/>
        <v>0</v>
      </c>
      <c r="AG543" s="12">
        <f t="shared" si="152"/>
        <v>0</v>
      </c>
      <c r="AH543" s="24">
        <f t="shared" si="138"/>
        <v>0</v>
      </c>
      <c r="AI543" s="49" t="e">
        <f t="shared" si="146"/>
        <v>#VALUE!</v>
      </c>
      <c r="AK543" s="50" t="e">
        <f t="shared" si="153"/>
        <v>#VALUE!</v>
      </c>
    </row>
    <row r="544" spans="1:37" x14ac:dyDescent="0.4">
      <c r="A544" s="2">
        <v>1697</v>
      </c>
      <c r="B544" s="16"/>
      <c r="C544" s="22">
        <f t="shared" si="147"/>
        <v>0</v>
      </c>
      <c r="D544" s="23">
        <f t="shared" si="135"/>
        <v>0</v>
      </c>
      <c r="E544" s="14"/>
      <c r="F544" s="12">
        <f t="shared" si="148"/>
        <v>0</v>
      </c>
      <c r="G544" s="24">
        <f t="shared" si="136"/>
        <v>0</v>
      </c>
      <c r="H544" s="14"/>
      <c r="I544" s="14"/>
      <c r="J544" s="29"/>
      <c r="K544" s="30"/>
      <c r="M544" s="17"/>
      <c r="N544" s="7" t="str">
        <f t="shared" si="139"/>
        <v/>
      </c>
      <c r="O544" s="5"/>
      <c r="P544" s="3"/>
      <c r="Q544" s="5"/>
      <c r="R544" s="7" t="str">
        <f t="shared" si="140"/>
        <v/>
      </c>
      <c r="S544" s="5"/>
      <c r="U544" s="10"/>
      <c r="V544" s="11" t="str">
        <f t="shared" si="141"/>
        <v/>
      </c>
      <c r="W544" s="6"/>
      <c r="Y544" s="10"/>
      <c r="Z544" s="11" t="str">
        <f t="shared" si="142"/>
        <v/>
      </c>
      <c r="AA544" s="6"/>
      <c r="AB544" s="1">
        <v>1.2</v>
      </c>
      <c r="AC544" s="21" t="str">
        <f t="shared" si="149"/>
        <v/>
      </c>
      <c r="AD544" s="27" t="str">
        <f t="shared" si="150"/>
        <v/>
      </c>
      <c r="AE544" s="27" t="str">
        <f t="shared" si="151"/>
        <v/>
      </c>
      <c r="AF544" s="14">
        <f t="shared" si="137"/>
        <v>0</v>
      </c>
      <c r="AG544" s="12">
        <f t="shared" si="152"/>
        <v>0</v>
      </c>
      <c r="AH544" s="24">
        <f t="shared" si="138"/>
        <v>0</v>
      </c>
      <c r="AI544" s="49" t="e">
        <f t="shared" si="146"/>
        <v>#VALUE!</v>
      </c>
      <c r="AK544" s="50" t="e">
        <f t="shared" si="153"/>
        <v>#VALUE!</v>
      </c>
    </row>
    <row r="545" spans="1:37" x14ac:dyDescent="0.4">
      <c r="A545" s="2">
        <v>1698</v>
      </c>
      <c r="B545" s="16"/>
      <c r="C545" s="22">
        <f t="shared" si="147"/>
        <v>0</v>
      </c>
      <c r="D545" s="23">
        <f t="shared" si="135"/>
        <v>0</v>
      </c>
      <c r="E545" s="14"/>
      <c r="F545" s="12">
        <f t="shared" si="148"/>
        <v>0</v>
      </c>
      <c r="G545" s="24">
        <f t="shared" si="136"/>
        <v>0</v>
      </c>
      <c r="H545" s="14"/>
      <c r="I545" s="14"/>
      <c r="J545" s="29"/>
      <c r="K545" s="30"/>
      <c r="M545" s="17"/>
      <c r="N545" s="7" t="str">
        <f t="shared" si="139"/>
        <v/>
      </c>
      <c r="O545" s="5"/>
      <c r="P545" s="3"/>
      <c r="Q545" s="5"/>
      <c r="R545" s="7" t="str">
        <f t="shared" si="140"/>
        <v/>
      </c>
      <c r="S545" s="5"/>
      <c r="U545" s="10"/>
      <c r="V545" s="11" t="str">
        <f t="shared" si="141"/>
        <v/>
      </c>
      <c r="W545" s="6"/>
      <c r="Y545" s="10"/>
      <c r="Z545" s="11" t="str">
        <f t="shared" si="142"/>
        <v/>
      </c>
      <c r="AA545" s="6"/>
      <c r="AB545" s="1">
        <v>1.2</v>
      </c>
      <c r="AC545" s="21" t="str">
        <f t="shared" si="149"/>
        <v/>
      </c>
      <c r="AD545" s="27" t="str">
        <f t="shared" si="150"/>
        <v/>
      </c>
      <c r="AE545" s="27" t="str">
        <f t="shared" si="151"/>
        <v/>
      </c>
      <c r="AF545" s="14">
        <f t="shared" si="137"/>
        <v>0</v>
      </c>
      <c r="AG545" s="12">
        <f t="shared" si="152"/>
        <v>0</v>
      </c>
      <c r="AH545" s="24">
        <f t="shared" si="138"/>
        <v>0</v>
      </c>
      <c r="AI545" s="49" t="e">
        <f t="shared" si="146"/>
        <v>#VALUE!</v>
      </c>
      <c r="AK545" s="50" t="e">
        <f t="shared" si="153"/>
        <v>#VALUE!</v>
      </c>
    </row>
    <row r="546" spans="1:37" x14ac:dyDescent="0.4">
      <c r="A546" s="2">
        <v>1699</v>
      </c>
      <c r="B546" s="16"/>
      <c r="C546" s="22">
        <f t="shared" si="147"/>
        <v>0</v>
      </c>
      <c r="D546" s="23">
        <f t="shared" si="135"/>
        <v>0</v>
      </c>
      <c r="E546" s="14"/>
      <c r="F546" s="12">
        <f t="shared" si="148"/>
        <v>0</v>
      </c>
      <c r="G546" s="24">
        <f t="shared" si="136"/>
        <v>0</v>
      </c>
      <c r="H546" s="14"/>
      <c r="I546" s="14"/>
      <c r="J546" s="29"/>
      <c r="K546" s="30"/>
      <c r="M546" s="17"/>
      <c r="N546" s="7" t="str">
        <f t="shared" si="139"/>
        <v/>
      </c>
      <c r="O546" s="5"/>
      <c r="P546" s="3"/>
      <c r="Q546" s="5"/>
      <c r="R546" s="7" t="str">
        <f t="shared" si="140"/>
        <v/>
      </c>
      <c r="S546" s="5"/>
      <c r="U546" s="10"/>
      <c r="V546" s="11" t="str">
        <f t="shared" si="141"/>
        <v/>
      </c>
      <c r="W546" s="6"/>
      <c r="Y546" s="10"/>
      <c r="Z546" s="11" t="str">
        <f t="shared" si="142"/>
        <v/>
      </c>
      <c r="AA546" s="6"/>
      <c r="AB546" s="1">
        <v>1.2</v>
      </c>
      <c r="AC546" s="21" t="str">
        <f t="shared" si="149"/>
        <v/>
      </c>
      <c r="AD546" s="27" t="str">
        <f t="shared" si="150"/>
        <v/>
      </c>
      <c r="AE546" s="27" t="str">
        <f t="shared" si="151"/>
        <v/>
      </c>
      <c r="AF546" s="14">
        <f t="shared" si="137"/>
        <v>0</v>
      </c>
      <c r="AG546" s="12">
        <f t="shared" si="152"/>
        <v>0</v>
      </c>
      <c r="AH546" s="24">
        <f t="shared" si="138"/>
        <v>0</v>
      </c>
      <c r="AI546" s="49" t="e">
        <f t="shared" si="146"/>
        <v>#VALUE!</v>
      </c>
      <c r="AK546" s="50" t="e">
        <f t="shared" si="153"/>
        <v>#VALUE!</v>
      </c>
    </row>
    <row r="547" spans="1:37" x14ac:dyDescent="0.4">
      <c r="A547" s="2">
        <v>1700</v>
      </c>
      <c r="B547" s="16"/>
      <c r="C547" s="22">
        <f t="shared" si="147"/>
        <v>0</v>
      </c>
      <c r="D547" s="23">
        <f t="shared" si="135"/>
        <v>0</v>
      </c>
      <c r="E547" s="14"/>
      <c r="F547" s="12">
        <f t="shared" si="148"/>
        <v>0</v>
      </c>
      <c r="G547" s="24">
        <f t="shared" si="136"/>
        <v>0</v>
      </c>
      <c r="H547" s="14"/>
      <c r="I547" s="14"/>
      <c r="J547" s="29"/>
      <c r="K547" s="30"/>
      <c r="M547" s="17"/>
      <c r="N547" s="7" t="str">
        <f t="shared" si="139"/>
        <v/>
      </c>
      <c r="O547" s="5"/>
      <c r="P547" s="3"/>
      <c r="Q547" s="5"/>
      <c r="R547" s="7" t="str">
        <f t="shared" si="140"/>
        <v/>
      </c>
      <c r="S547" s="5"/>
      <c r="U547" s="10"/>
      <c r="V547" s="11" t="str">
        <f t="shared" si="141"/>
        <v/>
      </c>
      <c r="W547" s="6"/>
      <c r="Y547" s="10"/>
      <c r="Z547" s="11" t="str">
        <f t="shared" si="142"/>
        <v/>
      </c>
      <c r="AA547" s="6"/>
      <c r="AB547" s="1">
        <v>1.2</v>
      </c>
      <c r="AC547" s="21" t="str">
        <f t="shared" si="149"/>
        <v/>
      </c>
      <c r="AD547" s="27" t="str">
        <f t="shared" si="150"/>
        <v/>
      </c>
      <c r="AE547" s="27" t="str">
        <f t="shared" si="151"/>
        <v/>
      </c>
      <c r="AF547" s="14">
        <f t="shared" si="137"/>
        <v>0</v>
      </c>
      <c r="AG547" s="12">
        <f t="shared" si="152"/>
        <v>0</v>
      </c>
      <c r="AH547" s="24">
        <f t="shared" si="138"/>
        <v>0</v>
      </c>
      <c r="AI547" s="49" t="e">
        <f t="shared" si="146"/>
        <v>#VALUE!</v>
      </c>
      <c r="AK547" s="50" t="e">
        <f t="shared" si="153"/>
        <v>#VALUE!</v>
      </c>
    </row>
    <row r="548" spans="1:37" x14ac:dyDescent="0.4">
      <c r="A548" s="2">
        <v>1701</v>
      </c>
      <c r="B548" s="16"/>
      <c r="C548" s="22">
        <f t="shared" si="147"/>
        <v>0</v>
      </c>
      <c r="D548" s="23">
        <f t="shared" si="135"/>
        <v>0</v>
      </c>
      <c r="E548" s="14"/>
      <c r="F548" s="12">
        <f t="shared" si="148"/>
        <v>0</v>
      </c>
      <c r="G548" s="24">
        <f t="shared" si="136"/>
        <v>0</v>
      </c>
      <c r="H548" s="14"/>
      <c r="I548" s="14"/>
      <c r="J548" s="29"/>
      <c r="K548" s="30"/>
      <c r="M548" s="17"/>
      <c r="N548" s="7" t="str">
        <f t="shared" si="139"/>
        <v/>
      </c>
      <c r="O548" s="5"/>
      <c r="P548" s="3"/>
      <c r="Q548" s="5"/>
      <c r="R548" s="7" t="str">
        <f t="shared" si="140"/>
        <v/>
      </c>
      <c r="S548" s="5"/>
      <c r="U548" s="10"/>
      <c r="V548" s="11" t="str">
        <f t="shared" si="141"/>
        <v/>
      </c>
      <c r="W548" s="6"/>
      <c r="Y548" s="10"/>
      <c r="Z548" s="11" t="str">
        <f t="shared" si="142"/>
        <v/>
      </c>
      <c r="AA548" s="6"/>
      <c r="AB548" s="1">
        <v>1.2</v>
      </c>
      <c r="AC548" s="21" t="str">
        <f t="shared" si="149"/>
        <v/>
      </c>
      <c r="AD548" s="27" t="str">
        <f t="shared" si="150"/>
        <v/>
      </c>
      <c r="AE548" s="27" t="str">
        <f t="shared" si="151"/>
        <v/>
      </c>
      <c r="AF548" s="14">
        <f t="shared" si="137"/>
        <v>0</v>
      </c>
      <c r="AG548" s="12">
        <f t="shared" si="152"/>
        <v>0</v>
      </c>
      <c r="AH548" s="24">
        <f t="shared" si="138"/>
        <v>0</v>
      </c>
      <c r="AI548" s="49" t="e">
        <f t="shared" si="146"/>
        <v>#VALUE!</v>
      </c>
      <c r="AK548" s="50" t="e">
        <f t="shared" si="153"/>
        <v>#VALUE!</v>
      </c>
    </row>
    <row r="549" spans="1:37" x14ac:dyDescent="0.4">
      <c r="A549" s="2">
        <v>1702</v>
      </c>
      <c r="B549" s="16"/>
      <c r="C549" s="22">
        <f t="shared" si="147"/>
        <v>0</v>
      </c>
      <c r="D549" s="23">
        <f t="shared" si="135"/>
        <v>0</v>
      </c>
      <c r="E549" s="14"/>
      <c r="F549" s="12">
        <f t="shared" si="148"/>
        <v>0</v>
      </c>
      <c r="G549" s="24">
        <f t="shared" si="136"/>
        <v>0</v>
      </c>
      <c r="H549" s="14"/>
      <c r="I549" s="14"/>
      <c r="J549" s="29"/>
      <c r="K549" s="30"/>
      <c r="M549" s="17"/>
      <c r="N549" s="7" t="str">
        <f t="shared" si="139"/>
        <v/>
      </c>
      <c r="O549" s="5"/>
      <c r="P549" s="3"/>
      <c r="Q549" s="5"/>
      <c r="R549" s="7" t="str">
        <f t="shared" si="140"/>
        <v/>
      </c>
      <c r="S549" s="5"/>
      <c r="U549" s="10"/>
      <c r="V549" s="11" t="str">
        <f t="shared" si="141"/>
        <v/>
      </c>
      <c r="W549" s="6"/>
      <c r="Y549" s="10"/>
      <c r="Z549" s="11" t="str">
        <f t="shared" si="142"/>
        <v/>
      </c>
      <c r="AA549" s="6"/>
      <c r="AB549" s="1">
        <v>1.2</v>
      </c>
      <c r="AC549" s="21" t="str">
        <f t="shared" si="149"/>
        <v/>
      </c>
      <c r="AD549" s="27" t="str">
        <f t="shared" si="150"/>
        <v/>
      </c>
      <c r="AE549" s="27" t="str">
        <f t="shared" si="151"/>
        <v/>
      </c>
      <c r="AF549" s="14">
        <f t="shared" si="137"/>
        <v>0</v>
      </c>
      <c r="AG549" s="12">
        <f t="shared" si="152"/>
        <v>0</v>
      </c>
      <c r="AH549" s="24">
        <f t="shared" si="138"/>
        <v>0</v>
      </c>
      <c r="AI549" s="49" t="e">
        <f t="shared" si="146"/>
        <v>#VALUE!</v>
      </c>
      <c r="AK549" s="50" t="e">
        <f t="shared" si="153"/>
        <v>#VALUE!</v>
      </c>
    </row>
    <row r="550" spans="1:37" x14ac:dyDescent="0.4">
      <c r="A550" s="2">
        <v>1703</v>
      </c>
      <c r="B550" s="16"/>
      <c r="C550" s="22">
        <f t="shared" si="147"/>
        <v>0</v>
      </c>
      <c r="D550" s="23">
        <f t="shared" si="135"/>
        <v>0</v>
      </c>
      <c r="E550" s="14"/>
      <c r="F550" s="12">
        <f t="shared" si="148"/>
        <v>0</v>
      </c>
      <c r="G550" s="24">
        <f t="shared" si="136"/>
        <v>0</v>
      </c>
      <c r="H550" s="14"/>
      <c r="I550" s="14"/>
      <c r="J550" s="29"/>
      <c r="K550" s="30"/>
      <c r="M550" s="17"/>
      <c r="N550" s="7" t="str">
        <f t="shared" si="139"/>
        <v/>
      </c>
      <c r="O550" s="5"/>
      <c r="P550" s="3"/>
      <c r="Q550" s="5"/>
      <c r="R550" s="7" t="str">
        <f t="shared" si="140"/>
        <v/>
      </c>
      <c r="S550" s="5"/>
      <c r="U550" s="10"/>
      <c r="V550" s="11" t="str">
        <f t="shared" si="141"/>
        <v/>
      </c>
      <c r="W550" s="6"/>
      <c r="Y550" s="10"/>
      <c r="Z550" s="11" t="str">
        <f t="shared" si="142"/>
        <v/>
      </c>
      <c r="AA550" s="6"/>
      <c r="AB550" s="1">
        <v>1.2</v>
      </c>
      <c r="AC550" s="21" t="str">
        <f t="shared" si="149"/>
        <v/>
      </c>
      <c r="AD550" s="27" t="str">
        <f t="shared" si="150"/>
        <v/>
      </c>
      <c r="AE550" s="27" t="str">
        <f t="shared" si="151"/>
        <v/>
      </c>
      <c r="AF550" s="14">
        <f t="shared" si="137"/>
        <v>0</v>
      </c>
      <c r="AG550" s="12">
        <f t="shared" si="152"/>
        <v>0</v>
      </c>
      <c r="AH550" s="24">
        <f t="shared" si="138"/>
        <v>0</v>
      </c>
      <c r="AI550" s="49" t="e">
        <f t="shared" si="146"/>
        <v>#VALUE!</v>
      </c>
      <c r="AK550" s="50" t="e">
        <f t="shared" si="153"/>
        <v>#VALUE!</v>
      </c>
    </row>
    <row r="551" spans="1:37" x14ac:dyDescent="0.4">
      <c r="A551" s="2">
        <v>1704</v>
      </c>
      <c r="B551" s="16"/>
      <c r="C551" s="22">
        <f t="shared" si="147"/>
        <v>0</v>
      </c>
      <c r="D551" s="23">
        <f t="shared" si="135"/>
        <v>0</v>
      </c>
      <c r="E551" s="14"/>
      <c r="F551" s="12">
        <f t="shared" si="148"/>
        <v>0</v>
      </c>
      <c r="G551" s="24">
        <f t="shared" si="136"/>
        <v>0</v>
      </c>
      <c r="H551" s="14"/>
      <c r="I551" s="14"/>
      <c r="J551" s="29"/>
      <c r="K551" s="30"/>
      <c r="M551" s="17"/>
      <c r="N551" s="7" t="str">
        <f t="shared" si="139"/>
        <v/>
      </c>
      <c r="O551" s="5"/>
      <c r="P551" s="3"/>
      <c r="Q551" s="5"/>
      <c r="R551" s="7" t="str">
        <f t="shared" si="140"/>
        <v/>
      </c>
      <c r="S551" s="5"/>
      <c r="U551" s="10"/>
      <c r="V551" s="11" t="str">
        <f t="shared" si="141"/>
        <v/>
      </c>
      <c r="W551" s="6"/>
      <c r="Y551" s="10"/>
      <c r="Z551" s="11" t="str">
        <f t="shared" si="142"/>
        <v/>
      </c>
      <c r="AA551" s="6"/>
      <c r="AB551" s="1">
        <v>1.2</v>
      </c>
      <c r="AC551" s="21" t="str">
        <f t="shared" si="149"/>
        <v/>
      </c>
      <c r="AD551" s="27" t="str">
        <f t="shared" si="150"/>
        <v/>
      </c>
      <c r="AE551" s="27" t="str">
        <f t="shared" si="151"/>
        <v/>
      </c>
      <c r="AF551" s="14">
        <f t="shared" si="137"/>
        <v>0</v>
      </c>
      <c r="AG551" s="12">
        <f t="shared" si="152"/>
        <v>0</v>
      </c>
      <c r="AH551" s="24">
        <f t="shared" si="138"/>
        <v>0</v>
      </c>
      <c r="AI551" s="49" t="e">
        <f t="shared" si="146"/>
        <v>#VALUE!</v>
      </c>
      <c r="AK551" s="50" t="e">
        <f t="shared" si="153"/>
        <v>#VALUE!</v>
      </c>
    </row>
    <row r="552" spans="1:37" x14ac:dyDescent="0.4">
      <c r="A552" s="2">
        <v>1705</v>
      </c>
      <c r="B552" s="16"/>
      <c r="C552" s="22">
        <f t="shared" si="147"/>
        <v>0</v>
      </c>
      <c r="D552" s="23">
        <f t="shared" ref="D552:D615" si="154">B552-INT(B552)</f>
        <v>0</v>
      </c>
      <c r="E552" s="14"/>
      <c r="F552" s="12">
        <f t="shared" si="148"/>
        <v>0</v>
      </c>
      <c r="G552" s="24">
        <f t="shared" ref="G552:G615" si="155">E552-INT(E552)</f>
        <v>0</v>
      </c>
      <c r="H552" s="14"/>
      <c r="I552" s="14"/>
      <c r="J552" s="29"/>
      <c r="K552" s="30"/>
      <c r="M552" s="17"/>
      <c r="N552" s="7" t="str">
        <f t="shared" si="139"/>
        <v/>
      </c>
      <c r="O552" s="5"/>
      <c r="P552" s="3"/>
      <c r="Q552" s="5"/>
      <c r="R552" s="7" t="str">
        <f t="shared" si="140"/>
        <v/>
      </c>
      <c r="S552" s="5"/>
      <c r="U552" s="10"/>
      <c r="V552" s="11" t="str">
        <f t="shared" si="141"/>
        <v/>
      </c>
      <c r="W552" s="6"/>
      <c r="Y552" s="10"/>
      <c r="Z552" s="11" t="str">
        <f t="shared" si="142"/>
        <v/>
      </c>
      <c r="AA552" s="6"/>
      <c r="AB552" s="1">
        <v>1.2</v>
      </c>
      <c r="AC552" s="21" t="str">
        <f t="shared" ref="AC552:AC615" si="156">IF(B552="","",TEXT(E552-B552,"[hh]:mm"))</f>
        <v/>
      </c>
      <c r="AD552" s="27" t="str">
        <f t="shared" si="150"/>
        <v/>
      </c>
      <c r="AE552" s="27" t="str">
        <f t="shared" si="151"/>
        <v/>
      </c>
      <c r="AF552" s="14">
        <f t="shared" ref="AF552:AF615" si="157">MAX(E552,H552,I552)</f>
        <v>0</v>
      </c>
      <c r="AG552" s="12">
        <f t="shared" si="152"/>
        <v>0</v>
      </c>
      <c r="AH552" s="24">
        <f t="shared" ref="AH552:AH615" si="158">AF552-INT(AF552)</f>
        <v>0</v>
      </c>
      <c r="AI552" s="49" t="e">
        <f t="shared" si="146"/>
        <v>#VALUE!</v>
      </c>
      <c r="AK552" s="50" t="e">
        <f t="shared" si="153"/>
        <v>#VALUE!</v>
      </c>
    </row>
    <row r="553" spans="1:37" x14ac:dyDescent="0.4">
      <c r="A553" s="2">
        <v>1706</v>
      </c>
      <c r="B553" s="16"/>
      <c r="C553" s="22">
        <f t="shared" si="147"/>
        <v>0</v>
      </c>
      <c r="D553" s="23">
        <f t="shared" si="154"/>
        <v>0</v>
      </c>
      <c r="E553" s="14"/>
      <c r="F553" s="12">
        <f t="shared" si="148"/>
        <v>0</v>
      </c>
      <c r="G553" s="24">
        <f t="shared" si="155"/>
        <v>0</v>
      </c>
      <c r="H553" s="14"/>
      <c r="I553" s="14"/>
      <c r="J553" s="29"/>
      <c r="K553" s="30"/>
      <c r="M553" s="17"/>
      <c r="N553" s="7" t="str">
        <f t="shared" si="139"/>
        <v/>
      </c>
      <c r="O553" s="5"/>
      <c r="P553" s="3"/>
      <c r="Q553" s="5"/>
      <c r="R553" s="7" t="str">
        <f t="shared" si="140"/>
        <v/>
      </c>
      <c r="S553" s="5"/>
      <c r="U553" s="10"/>
      <c r="V553" s="11" t="str">
        <f t="shared" si="141"/>
        <v/>
      </c>
      <c r="W553" s="6"/>
      <c r="Y553" s="10"/>
      <c r="Z553" s="11" t="str">
        <f t="shared" si="142"/>
        <v/>
      </c>
      <c r="AA553" s="6"/>
      <c r="AB553" s="1">
        <v>1.2</v>
      </c>
      <c r="AC553" s="21" t="str">
        <f t="shared" si="156"/>
        <v/>
      </c>
      <c r="AD553" s="27" t="str">
        <f t="shared" si="150"/>
        <v/>
      </c>
      <c r="AE553" s="27" t="str">
        <f t="shared" si="151"/>
        <v/>
      </c>
      <c r="AF553" s="14">
        <f t="shared" si="157"/>
        <v>0</v>
      </c>
      <c r="AG553" s="12">
        <f t="shared" si="152"/>
        <v>0</v>
      </c>
      <c r="AH553" s="24">
        <f t="shared" si="158"/>
        <v>0</v>
      </c>
      <c r="AI553" s="49" t="e">
        <f t="shared" si="146"/>
        <v>#VALUE!</v>
      </c>
      <c r="AK553" s="50" t="e">
        <f t="shared" si="153"/>
        <v>#VALUE!</v>
      </c>
    </row>
    <row r="554" spans="1:37" x14ac:dyDescent="0.4">
      <c r="A554" s="2">
        <v>1707</v>
      </c>
      <c r="B554" s="16"/>
      <c r="C554" s="22">
        <f t="shared" si="147"/>
        <v>0</v>
      </c>
      <c r="D554" s="23">
        <f t="shared" si="154"/>
        <v>0</v>
      </c>
      <c r="E554" s="14"/>
      <c r="F554" s="12">
        <f t="shared" si="148"/>
        <v>0</v>
      </c>
      <c r="G554" s="24">
        <f t="shared" si="155"/>
        <v>0</v>
      </c>
      <c r="H554" s="14"/>
      <c r="I554" s="14"/>
      <c r="J554" s="29"/>
      <c r="K554" s="30"/>
      <c r="M554" s="17"/>
      <c r="N554" s="7" t="str">
        <f t="shared" si="139"/>
        <v/>
      </c>
      <c r="O554" s="5"/>
      <c r="P554" s="3"/>
      <c r="Q554" s="5"/>
      <c r="R554" s="7" t="str">
        <f t="shared" si="140"/>
        <v/>
      </c>
      <c r="S554" s="5"/>
      <c r="U554" s="10"/>
      <c r="V554" s="11" t="str">
        <f t="shared" si="141"/>
        <v/>
      </c>
      <c r="W554" s="6"/>
      <c r="Y554" s="10"/>
      <c r="Z554" s="11" t="str">
        <f t="shared" si="142"/>
        <v/>
      </c>
      <c r="AA554" s="6"/>
      <c r="AB554" s="1">
        <v>1.2</v>
      </c>
      <c r="AC554" s="21" t="str">
        <f t="shared" si="156"/>
        <v/>
      </c>
      <c r="AD554" s="27" t="str">
        <f t="shared" si="150"/>
        <v/>
      </c>
      <c r="AE554" s="27" t="str">
        <f t="shared" si="151"/>
        <v/>
      </c>
      <c r="AF554" s="14">
        <f t="shared" si="157"/>
        <v>0</v>
      </c>
      <c r="AG554" s="12">
        <f t="shared" si="152"/>
        <v>0</v>
      </c>
      <c r="AH554" s="24">
        <f t="shared" si="158"/>
        <v>0</v>
      </c>
      <c r="AI554" s="49" t="e">
        <f t="shared" si="146"/>
        <v>#VALUE!</v>
      </c>
      <c r="AK554" s="50" t="e">
        <f t="shared" si="153"/>
        <v>#VALUE!</v>
      </c>
    </row>
    <row r="555" spans="1:37" x14ac:dyDescent="0.4">
      <c r="A555" s="2">
        <v>1708</v>
      </c>
      <c r="B555" s="16"/>
      <c r="C555" s="22">
        <f t="shared" si="147"/>
        <v>0</v>
      </c>
      <c r="D555" s="23">
        <f t="shared" si="154"/>
        <v>0</v>
      </c>
      <c r="E555" s="14"/>
      <c r="F555" s="12">
        <f t="shared" si="148"/>
        <v>0</v>
      </c>
      <c r="G555" s="24">
        <f t="shared" si="155"/>
        <v>0</v>
      </c>
      <c r="H555" s="14"/>
      <c r="I555" s="14"/>
      <c r="J555" s="29"/>
      <c r="K555" s="30"/>
      <c r="M555" s="17"/>
      <c r="N555" s="7" t="str">
        <f t="shared" si="139"/>
        <v/>
      </c>
      <c r="O555" s="5"/>
      <c r="P555" s="3"/>
      <c r="Q555" s="5"/>
      <c r="R555" s="7" t="str">
        <f t="shared" si="140"/>
        <v/>
      </c>
      <c r="S555" s="5"/>
      <c r="U555" s="10"/>
      <c r="V555" s="11" t="str">
        <f t="shared" si="141"/>
        <v/>
      </c>
      <c r="W555" s="6"/>
      <c r="Y555" s="10"/>
      <c r="Z555" s="11" t="str">
        <f t="shared" si="142"/>
        <v/>
      </c>
      <c r="AA555" s="6"/>
      <c r="AB555" s="1">
        <v>1.2</v>
      </c>
      <c r="AC555" s="21" t="str">
        <f t="shared" si="156"/>
        <v/>
      </c>
      <c r="AD555" s="27" t="str">
        <f t="shared" si="150"/>
        <v/>
      </c>
      <c r="AE555" s="27" t="str">
        <f t="shared" si="151"/>
        <v/>
      </c>
      <c r="AF555" s="14">
        <f t="shared" si="157"/>
        <v>0</v>
      </c>
      <c r="AG555" s="12">
        <f t="shared" si="152"/>
        <v>0</v>
      </c>
      <c r="AH555" s="24">
        <f t="shared" si="158"/>
        <v>0</v>
      </c>
      <c r="AI555" s="49" t="e">
        <f t="shared" si="146"/>
        <v>#VALUE!</v>
      </c>
      <c r="AK555" s="50" t="e">
        <f t="shared" si="153"/>
        <v>#VALUE!</v>
      </c>
    </row>
    <row r="556" spans="1:37" x14ac:dyDescent="0.4">
      <c r="A556" s="2">
        <v>1709</v>
      </c>
      <c r="B556" s="16"/>
      <c r="C556" s="22">
        <f t="shared" si="147"/>
        <v>0</v>
      </c>
      <c r="D556" s="23">
        <f t="shared" si="154"/>
        <v>0</v>
      </c>
      <c r="E556" s="14"/>
      <c r="F556" s="12">
        <f t="shared" si="148"/>
        <v>0</v>
      </c>
      <c r="G556" s="24">
        <f t="shared" si="155"/>
        <v>0</v>
      </c>
      <c r="H556" s="14"/>
      <c r="I556" s="14"/>
      <c r="J556" s="29"/>
      <c r="K556" s="30"/>
      <c r="M556" s="17"/>
      <c r="N556" s="7" t="str">
        <f t="shared" si="139"/>
        <v/>
      </c>
      <c r="O556" s="5"/>
      <c r="P556" s="3"/>
      <c r="Q556" s="5"/>
      <c r="R556" s="7" t="str">
        <f t="shared" si="140"/>
        <v/>
      </c>
      <c r="S556" s="5"/>
      <c r="U556" s="10"/>
      <c r="V556" s="11" t="str">
        <f t="shared" si="141"/>
        <v/>
      </c>
      <c r="W556" s="6"/>
      <c r="Y556" s="10"/>
      <c r="Z556" s="11" t="str">
        <f t="shared" si="142"/>
        <v/>
      </c>
      <c r="AA556" s="6"/>
      <c r="AB556" s="1">
        <v>1.2</v>
      </c>
      <c r="AC556" s="21" t="str">
        <f t="shared" si="156"/>
        <v/>
      </c>
      <c r="AD556" s="27" t="str">
        <f t="shared" si="150"/>
        <v/>
      </c>
      <c r="AE556" s="27" t="str">
        <f t="shared" si="151"/>
        <v/>
      </c>
      <c r="AF556" s="14">
        <f t="shared" si="157"/>
        <v>0</v>
      </c>
      <c r="AG556" s="12">
        <f t="shared" si="152"/>
        <v>0</v>
      </c>
      <c r="AH556" s="24">
        <f t="shared" si="158"/>
        <v>0</v>
      </c>
      <c r="AI556" s="49" t="e">
        <f t="shared" si="146"/>
        <v>#VALUE!</v>
      </c>
      <c r="AK556" s="50" t="e">
        <f t="shared" si="153"/>
        <v>#VALUE!</v>
      </c>
    </row>
    <row r="557" spans="1:37" x14ac:dyDescent="0.4">
      <c r="A557" s="2">
        <v>1710</v>
      </c>
      <c r="B557" s="16"/>
      <c r="C557" s="22">
        <f t="shared" si="147"/>
        <v>0</v>
      </c>
      <c r="D557" s="23">
        <f t="shared" si="154"/>
        <v>0</v>
      </c>
      <c r="E557" s="14"/>
      <c r="F557" s="12">
        <f t="shared" si="148"/>
        <v>0</v>
      </c>
      <c r="G557" s="24">
        <f t="shared" si="155"/>
        <v>0</v>
      </c>
      <c r="H557" s="14"/>
      <c r="I557" s="14"/>
      <c r="J557" s="29"/>
      <c r="K557" s="30"/>
      <c r="M557" s="17"/>
      <c r="N557" s="7" t="str">
        <f t="shared" si="139"/>
        <v/>
      </c>
      <c r="O557" s="5"/>
      <c r="P557" s="3"/>
      <c r="Q557" s="5"/>
      <c r="R557" s="7" t="str">
        <f t="shared" si="140"/>
        <v/>
      </c>
      <c r="S557" s="5"/>
      <c r="U557" s="10"/>
      <c r="V557" s="11" t="str">
        <f t="shared" si="141"/>
        <v/>
      </c>
      <c r="W557" s="6"/>
      <c r="Y557" s="10"/>
      <c r="Z557" s="11" t="str">
        <f t="shared" si="142"/>
        <v/>
      </c>
      <c r="AA557" s="6"/>
      <c r="AB557" s="1">
        <v>1.2</v>
      </c>
      <c r="AC557" s="21" t="str">
        <f t="shared" si="156"/>
        <v/>
      </c>
      <c r="AD557" s="27" t="str">
        <f t="shared" si="150"/>
        <v/>
      </c>
      <c r="AE557" s="27" t="str">
        <f t="shared" si="151"/>
        <v/>
      </c>
      <c r="AF557" s="14">
        <f t="shared" si="157"/>
        <v>0</v>
      </c>
      <c r="AG557" s="12">
        <f t="shared" si="152"/>
        <v>0</v>
      </c>
      <c r="AH557" s="24">
        <f t="shared" si="158"/>
        <v>0</v>
      </c>
      <c r="AI557" s="49" t="e">
        <f t="shared" si="146"/>
        <v>#VALUE!</v>
      </c>
      <c r="AK557" s="50" t="e">
        <f t="shared" si="153"/>
        <v>#VALUE!</v>
      </c>
    </row>
    <row r="558" spans="1:37" x14ac:dyDescent="0.4">
      <c r="A558" s="2">
        <v>1711</v>
      </c>
      <c r="B558" s="16"/>
      <c r="C558" s="22">
        <f t="shared" si="147"/>
        <v>0</v>
      </c>
      <c r="D558" s="23">
        <f t="shared" si="154"/>
        <v>0</v>
      </c>
      <c r="E558" s="14"/>
      <c r="F558" s="12">
        <f t="shared" si="148"/>
        <v>0</v>
      </c>
      <c r="G558" s="24">
        <f t="shared" si="155"/>
        <v>0</v>
      </c>
      <c r="H558" s="14"/>
      <c r="I558" s="14"/>
      <c r="J558" s="29"/>
      <c r="K558" s="30"/>
      <c r="M558" s="17"/>
      <c r="N558" s="7" t="str">
        <f t="shared" si="139"/>
        <v/>
      </c>
      <c r="O558" s="5"/>
      <c r="P558" s="3"/>
      <c r="Q558" s="5"/>
      <c r="R558" s="7" t="str">
        <f t="shared" si="140"/>
        <v/>
      </c>
      <c r="S558" s="5"/>
      <c r="U558" s="10"/>
      <c r="V558" s="11" t="str">
        <f t="shared" si="141"/>
        <v/>
      </c>
      <c r="W558" s="6"/>
      <c r="Y558" s="10"/>
      <c r="Z558" s="11" t="str">
        <f t="shared" si="142"/>
        <v/>
      </c>
      <c r="AA558" s="6"/>
      <c r="AB558" s="1">
        <v>1.2</v>
      </c>
      <c r="AC558" s="21" t="str">
        <f t="shared" si="156"/>
        <v/>
      </c>
      <c r="AD558" s="27" t="str">
        <f t="shared" si="150"/>
        <v/>
      </c>
      <c r="AE558" s="27" t="str">
        <f t="shared" si="151"/>
        <v/>
      </c>
      <c r="AF558" s="14">
        <f t="shared" si="157"/>
        <v>0</v>
      </c>
      <c r="AG558" s="12">
        <f t="shared" si="152"/>
        <v>0</v>
      </c>
      <c r="AH558" s="24">
        <f t="shared" si="158"/>
        <v>0</v>
      </c>
      <c r="AI558" s="49" t="e">
        <f t="shared" si="146"/>
        <v>#VALUE!</v>
      </c>
      <c r="AK558" s="50" t="e">
        <f t="shared" si="153"/>
        <v>#VALUE!</v>
      </c>
    </row>
    <row r="559" spans="1:37" x14ac:dyDescent="0.4">
      <c r="A559" s="2">
        <v>1712</v>
      </c>
      <c r="B559" s="16"/>
      <c r="C559" s="22">
        <f t="shared" si="147"/>
        <v>0</v>
      </c>
      <c r="D559" s="23">
        <f t="shared" si="154"/>
        <v>0</v>
      </c>
      <c r="E559" s="14"/>
      <c r="F559" s="12">
        <f t="shared" si="148"/>
        <v>0</v>
      </c>
      <c r="G559" s="24">
        <f t="shared" si="155"/>
        <v>0</v>
      </c>
      <c r="H559" s="14"/>
      <c r="I559" s="14"/>
      <c r="J559" s="29"/>
      <c r="K559" s="30"/>
      <c r="M559" s="17"/>
      <c r="N559" s="7" t="str">
        <f t="shared" si="139"/>
        <v/>
      </c>
      <c r="O559" s="5"/>
      <c r="P559" s="3"/>
      <c r="Q559" s="5"/>
      <c r="R559" s="7" t="str">
        <f t="shared" si="140"/>
        <v/>
      </c>
      <c r="S559" s="5"/>
      <c r="U559" s="10"/>
      <c r="V559" s="11" t="str">
        <f t="shared" si="141"/>
        <v/>
      </c>
      <c r="W559" s="6"/>
      <c r="Y559" s="10"/>
      <c r="Z559" s="11" t="str">
        <f t="shared" si="142"/>
        <v/>
      </c>
      <c r="AA559" s="6"/>
      <c r="AB559" s="1">
        <v>1.2</v>
      </c>
      <c r="AC559" s="21" t="str">
        <f t="shared" si="156"/>
        <v/>
      </c>
      <c r="AD559" s="27" t="str">
        <f t="shared" si="150"/>
        <v/>
      </c>
      <c r="AE559" s="27" t="str">
        <f t="shared" si="151"/>
        <v/>
      </c>
      <c r="AF559" s="14">
        <f t="shared" si="157"/>
        <v>0</v>
      </c>
      <c r="AG559" s="12">
        <f t="shared" si="152"/>
        <v>0</v>
      </c>
      <c r="AH559" s="24">
        <f t="shared" si="158"/>
        <v>0</v>
      </c>
      <c r="AI559" s="49" t="e">
        <f t="shared" si="146"/>
        <v>#VALUE!</v>
      </c>
      <c r="AK559" s="50" t="e">
        <f t="shared" si="153"/>
        <v>#VALUE!</v>
      </c>
    </row>
    <row r="560" spans="1:37" x14ac:dyDescent="0.4">
      <c r="A560" s="2">
        <v>1713</v>
      </c>
      <c r="B560" s="16"/>
      <c r="C560" s="22">
        <f t="shared" si="147"/>
        <v>0</v>
      </c>
      <c r="D560" s="23">
        <f t="shared" si="154"/>
        <v>0</v>
      </c>
      <c r="E560" s="14"/>
      <c r="F560" s="12">
        <f t="shared" si="148"/>
        <v>0</v>
      </c>
      <c r="G560" s="24">
        <f t="shared" si="155"/>
        <v>0</v>
      </c>
      <c r="H560" s="14"/>
      <c r="I560" s="14"/>
      <c r="J560" s="29"/>
      <c r="K560" s="30"/>
      <c r="M560" s="17"/>
      <c r="N560" s="7" t="str">
        <f t="shared" si="139"/>
        <v/>
      </c>
      <c r="O560" s="5"/>
      <c r="P560" s="3"/>
      <c r="Q560" s="5"/>
      <c r="R560" s="7" t="str">
        <f t="shared" si="140"/>
        <v/>
      </c>
      <c r="S560" s="5"/>
      <c r="U560" s="10"/>
      <c r="V560" s="11" t="str">
        <f t="shared" si="141"/>
        <v/>
      </c>
      <c r="W560" s="6"/>
      <c r="Y560" s="10"/>
      <c r="Z560" s="11" t="str">
        <f t="shared" si="142"/>
        <v/>
      </c>
      <c r="AA560" s="6"/>
      <c r="AB560" s="1">
        <v>1.2</v>
      </c>
      <c r="AC560" s="21" t="str">
        <f t="shared" si="156"/>
        <v/>
      </c>
      <c r="AD560" s="27" t="str">
        <f t="shared" si="150"/>
        <v/>
      </c>
      <c r="AE560" s="27" t="str">
        <f t="shared" si="151"/>
        <v/>
      </c>
      <c r="AF560" s="14">
        <f t="shared" si="157"/>
        <v>0</v>
      </c>
      <c r="AG560" s="12">
        <f t="shared" si="152"/>
        <v>0</v>
      </c>
      <c r="AH560" s="24">
        <f t="shared" si="158"/>
        <v>0</v>
      </c>
      <c r="AI560" s="49" t="e">
        <f t="shared" si="146"/>
        <v>#VALUE!</v>
      </c>
      <c r="AK560" s="50" t="e">
        <f t="shared" si="153"/>
        <v>#VALUE!</v>
      </c>
    </row>
    <row r="561" spans="1:37" x14ac:dyDescent="0.4">
      <c r="A561" s="2">
        <v>1714</v>
      </c>
      <c r="B561" s="16"/>
      <c r="C561" s="22">
        <f t="shared" si="147"/>
        <v>0</v>
      </c>
      <c r="D561" s="23">
        <f t="shared" si="154"/>
        <v>0</v>
      </c>
      <c r="E561" s="14"/>
      <c r="F561" s="12">
        <f t="shared" si="148"/>
        <v>0</v>
      </c>
      <c r="G561" s="24">
        <f t="shared" si="155"/>
        <v>0</v>
      </c>
      <c r="H561" s="14"/>
      <c r="I561" s="14"/>
      <c r="J561" s="29"/>
      <c r="K561" s="30"/>
      <c r="M561" s="17"/>
      <c r="N561" s="7" t="str">
        <f t="shared" si="139"/>
        <v/>
      </c>
      <c r="O561" s="5"/>
      <c r="P561" s="3"/>
      <c r="Q561" s="5"/>
      <c r="R561" s="7" t="str">
        <f t="shared" si="140"/>
        <v/>
      </c>
      <c r="S561" s="5"/>
      <c r="U561" s="10"/>
      <c r="V561" s="11" t="str">
        <f t="shared" si="141"/>
        <v/>
      </c>
      <c r="W561" s="6"/>
      <c r="Y561" s="10"/>
      <c r="Z561" s="11" t="str">
        <f t="shared" si="142"/>
        <v/>
      </c>
      <c r="AA561" s="6"/>
      <c r="AB561" s="1">
        <v>1.2</v>
      </c>
      <c r="AC561" s="21" t="str">
        <f t="shared" si="156"/>
        <v/>
      </c>
      <c r="AD561" s="27" t="str">
        <f t="shared" si="150"/>
        <v/>
      </c>
      <c r="AE561" s="27" t="str">
        <f t="shared" si="151"/>
        <v/>
      </c>
      <c r="AF561" s="14">
        <f t="shared" si="157"/>
        <v>0</v>
      </c>
      <c r="AG561" s="12">
        <f t="shared" si="152"/>
        <v>0</v>
      </c>
      <c r="AH561" s="24">
        <f t="shared" si="158"/>
        <v>0</v>
      </c>
      <c r="AI561" s="49" t="e">
        <f t="shared" si="146"/>
        <v>#VALUE!</v>
      </c>
      <c r="AK561" s="50" t="e">
        <f t="shared" si="153"/>
        <v>#VALUE!</v>
      </c>
    </row>
    <row r="562" spans="1:37" x14ac:dyDescent="0.4">
      <c r="A562" s="2">
        <v>1715</v>
      </c>
      <c r="B562" s="16"/>
      <c r="C562" s="22">
        <f t="shared" si="147"/>
        <v>0</v>
      </c>
      <c r="D562" s="23">
        <f t="shared" si="154"/>
        <v>0</v>
      </c>
      <c r="E562" s="14"/>
      <c r="F562" s="12">
        <f t="shared" si="148"/>
        <v>0</v>
      </c>
      <c r="G562" s="24">
        <f t="shared" si="155"/>
        <v>0</v>
      </c>
      <c r="H562" s="14"/>
      <c r="I562" s="14"/>
      <c r="J562" s="29"/>
      <c r="K562" s="30"/>
      <c r="M562" s="17"/>
      <c r="N562" s="7" t="str">
        <f t="shared" si="139"/>
        <v/>
      </c>
      <c r="O562" s="5"/>
      <c r="P562" s="3"/>
      <c r="Q562" s="5"/>
      <c r="R562" s="7" t="str">
        <f t="shared" si="140"/>
        <v/>
      </c>
      <c r="S562" s="5"/>
      <c r="U562" s="10"/>
      <c r="V562" s="11" t="str">
        <f t="shared" si="141"/>
        <v/>
      </c>
      <c r="W562" s="6"/>
      <c r="Y562" s="10"/>
      <c r="Z562" s="11" t="str">
        <f t="shared" si="142"/>
        <v/>
      </c>
      <c r="AA562" s="6"/>
      <c r="AB562" s="1">
        <v>1.2</v>
      </c>
      <c r="AC562" s="21" t="str">
        <f t="shared" si="156"/>
        <v/>
      </c>
      <c r="AD562" s="27" t="str">
        <f t="shared" si="150"/>
        <v/>
      </c>
      <c r="AE562" s="27" t="str">
        <f t="shared" si="151"/>
        <v/>
      </c>
      <c r="AF562" s="14">
        <f t="shared" si="157"/>
        <v>0</v>
      </c>
      <c r="AG562" s="12">
        <f t="shared" si="152"/>
        <v>0</v>
      </c>
      <c r="AH562" s="24">
        <f t="shared" si="158"/>
        <v>0</v>
      </c>
      <c r="AI562" s="49" t="e">
        <f t="shared" si="146"/>
        <v>#VALUE!</v>
      </c>
      <c r="AK562" s="50" t="e">
        <f t="shared" si="153"/>
        <v>#VALUE!</v>
      </c>
    </row>
    <row r="563" spans="1:37" x14ac:dyDescent="0.4">
      <c r="A563" s="2">
        <v>1716</v>
      </c>
      <c r="B563" s="16"/>
      <c r="C563" s="22">
        <f t="shared" si="147"/>
        <v>0</v>
      </c>
      <c r="D563" s="23">
        <f t="shared" si="154"/>
        <v>0</v>
      </c>
      <c r="E563" s="14"/>
      <c r="F563" s="12">
        <f t="shared" si="148"/>
        <v>0</v>
      </c>
      <c r="G563" s="24">
        <f t="shared" si="155"/>
        <v>0</v>
      </c>
      <c r="H563" s="14"/>
      <c r="I563" s="14"/>
      <c r="J563" s="29"/>
      <c r="K563" s="30"/>
      <c r="M563" s="17"/>
      <c r="N563" s="7" t="str">
        <f t="shared" si="139"/>
        <v/>
      </c>
      <c r="O563" s="5"/>
      <c r="P563" s="3"/>
      <c r="Q563" s="5"/>
      <c r="R563" s="7" t="str">
        <f t="shared" si="140"/>
        <v/>
      </c>
      <c r="S563" s="5"/>
      <c r="U563" s="10"/>
      <c r="V563" s="11" t="str">
        <f t="shared" si="141"/>
        <v/>
      </c>
      <c r="W563" s="6"/>
      <c r="Y563" s="10"/>
      <c r="Z563" s="11" t="str">
        <f t="shared" si="142"/>
        <v/>
      </c>
      <c r="AA563" s="6"/>
      <c r="AB563" s="1">
        <v>1.2</v>
      </c>
      <c r="AC563" s="21" t="str">
        <f t="shared" si="156"/>
        <v/>
      </c>
      <c r="AD563" s="27" t="str">
        <f t="shared" si="150"/>
        <v/>
      </c>
      <c r="AE563" s="27" t="str">
        <f t="shared" si="151"/>
        <v/>
      </c>
      <c r="AF563" s="14">
        <f t="shared" si="157"/>
        <v>0</v>
      </c>
      <c r="AG563" s="12">
        <f t="shared" si="152"/>
        <v>0</v>
      </c>
      <c r="AH563" s="24">
        <f t="shared" si="158"/>
        <v>0</v>
      </c>
      <c r="AI563" s="49" t="e">
        <f t="shared" si="146"/>
        <v>#VALUE!</v>
      </c>
      <c r="AK563" s="50" t="e">
        <f t="shared" si="153"/>
        <v>#VALUE!</v>
      </c>
    </row>
    <row r="564" spans="1:37" x14ac:dyDescent="0.4">
      <c r="A564" s="2">
        <v>1717</v>
      </c>
      <c r="B564" s="16"/>
      <c r="C564" s="22">
        <f t="shared" si="147"/>
        <v>0</v>
      </c>
      <c r="D564" s="23">
        <f t="shared" si="154"/>
        <v>0</v>
      </c>
      <c r="E564" s="14"/>
      <c r="F564" s="12">
        <f t="shared" si="148"/>
        <v>0</v>
      </c>
      <c r="G564" s="24">
        <f t="shared" si="155"/>
        <v>0</v>
      </c>
      <c r="H564" s="14"/>
      <c r="I564" s="14"/>
      <c r="J564" s="29"/>
      <c r="K564" s="30"/>
      <c r="M564" s="17"/>
      <c r="N564" s="7" t="str">
        <f t="shared" si="139"/>
        <v/>
      </c>
      <c r="O564" s="5"/>
      <c r="P564" s="3"/>
      <c r="Q564" s="5"/>
      <c r="R564" s="7" t="str">
        <f t="shared" si="140"/>
        <v/>
      </c>
      <c r="S564" s="5"/>
      <c r="U564" s="10"/>
      <c r="V564" s="11" t="str">
        <f t="shared" si="141"/>
        <v/>
      </c>
      <c r="W564" s="6"/>
      <c r="Y564" s="10"/>
      <c r="Z564" s="11" t="str">
        <f t="shared" si="142"/>
        <v/>
      </c>
      <c r="AA564" s="6"/>
      <c r="AB564" s="1">
        <v>1.2</v>
      </c>
      <c r="AC564" s="21" t="str">
        <f t="shared" si="156"/>
        <v/>
      </c>
      <c r="AD564" s="27" t="str">
        <f t="shared" si="150"/>
        <v/>
      </c>
      <c r="AE564" s="27" t="str">
        <f t="shared" si="151"/>
        <v/>
      </c>
      <c r="AF564" s="14">
        <f t="shared" si="157"/>
        <v>0</v>
      </c>
      <c r="AG564" s="12">
        <f t="shared" si="152"/>
        <v>0</v>
      </c>
      <c r="AH564" s="24">
        <f t="shared" si="158"/>
        <v>0</v>
      </c>
      <c r="AI564" s="49" t="e">
        <f t="shared" si="146"/>
        <v>#VALUE!</v>
      </c>
      <c r="AK564" s="50" t="e">
        <f t="shared" si="153"/>
        <v>#VALUE!</v>
      </c>
    </row>
    <row r="565" spans="1:37" x14ac:dyDescent="0.4">
      <c r="A565" s="2">
        <v>1718</v>
      </c>
      <c r="B565" s="16"/>
      <c r="C565" s="22">
        <f t="shared" si="147"/>
        <v>0</v>
      </c>
      <c r="D565" s="23">
        <f t="shared" si="154"/>
        <v>0</v>
      </c>
      <c r="E565" s="14"/>
      <c r="F565" s="12">
        <f t="shared" si="148"/>
        <v>0</v>
      </c>
      <c r="G565" s="24">
        <f t="shared" si="155"/>
        <v>0</v>
      </c>
      <c r="H565" s="14"/>
      <c r="I565" s="14"/>
      <c r="J565" s="29"/>
      <c r="K565" s="30"/>
      <c r="M565" s="17"/>
      <c r="N565" s="7" t="str">
        <f t="shared" si="139"/>
        <v/>
      </c>
      <c r="O565" s="5"/>
      <c r="P565" s="3"/>
      <c r="Q565" s="5"/>
      <c r="R565" s="7" t="str">
        <f t="shared" si="140"/>
        <v/>
      </c>
      <c r="S565" s="5"/>
      <c r="U565" s="10"/>
      <c r="V565" s="11" t="str">
        <f t="shared" si="141"/>
        <v/>
      </c>
      <c r="W565" s="6"/>
      <c r="Y565" s="10"/>
      <c r="Z565" s="11" t="str">
        <f t="shared" si="142"/>
        <v/>
      </c>
      <c r="AA565" s="6"/>
      <c r="AB565" s="1">
        <v>1.2</v>
      </c>
      <c r="AC565" s="21" t="str">
        <f t="shared" si="156"/>
        <v/>
      </c>
      <c r="AD565" s="27" t="str">
        <f t="shared" si="150"/>
        <v/>
      </c>
      <c r="AE565" s="27" t="str">
        <f t="shared" si="151"/>
        <v/>
      </c>
      <c r="AF565" s="14">
        <f t="shared" si="157"/>
        <v>0</v>
      </c>
      <c r="AG565" s="12">
        <f t="shared" si="152"/>
        <v>0</v>
      </c>
      <c r="AH565" s="24">
        <f t="shared" si="158"/>
        <v>0</v>
      </c>
      <c r="AI565" s="49" t="e">
        <f t="shared" si="146"/>
        <v>#VALUE!</v>
      </c>
      <c r="AK565" s="50" t="e">
        <f t="shared" si="153"/>
        <v>#VALUE!</v>
      </c>
    </row>
    <row r="566" spans="1:37" x14ac:dyDescent="0.4">
      <c r="A566" s="2">
        <v>1719</v>
      </c>
      <c r="B566" s="16"/>
      <c r="C566" s="22">
        <f t="shared" si="147"/>
        <v>0</v>
      </c>
      <c r="D566" s="23">
        <f t="shared" si="154"/>
        <v>0</v>
      </c>
      <c r="E566" s="14"/>
      <c r="F566" s="12">
        <f t="shared" si="148"/>
        <v>0</v>
      </c>
      <c r="G566" s="24">
        <f t="shared" si="155"/>
        <v>0</v>
      </c>
      <c r="H566" s="14"/>
      <c r="I566" s="14"/>
      <c r="J566" s="29"/>
      <c r="K566" s="30"/>
      <c r="M566" s="17"/>
      <c r="N566" s="7" t="str">
        <f t="shared" si="139"/>
        <v/>
      </c>
      <c r="O566" s="5"/>
      <c r="P566" s="3"/>
      <c r="Q566" s="5"/>
      <c r="R566" s="7" t="str">
        <f t="shared" si="140"/>
        <v/>
      </c>
      <c r="S566" s="5"/>
      <c r="U566" s="10"/>
      <c r="V566" s="11" t="str">
        <f t="shared" si="141"/>
        <v/>
      </c>
      <c r="W566" s="6"/>
      <c r="Y566" s="10"/>
      <c r="Z566" s="11" t="str">
        <f t="shared" si="142"/>
        <v/>
      </c>
      <c r="AA566" s="6"/>
      <c r="AB566" s="1">
        <v>1.2</v>
      </c>
      <c r="AC566" s="21" t="str">
        <f t="shared" si="156"/>
        <v/>
      </c>
      <c r="AD566" s="27" t="str">
        <f t="shared" si="150"/>
        <v/>
      </c>
      <c r="AE566" s="27" t="str">
        <f t="shared" si="151"/>
        <v/>
      </c>
      <c r="AF566" s="14">
        <f t="shared" si="157"/>
        <v>0</v>
      </c>
      <c r="AG566" s="12">
        <f t="shared" si="152"/>
        <v>0</v>
      </c>
      <c r="AH566" s="24">
        <f t="shared" si="158"/>
        <v>0</v>
      </c>
      <c r="AI566" s="49" t="e">
        <f t="shared" si="146"/>
        <v>#VALUE!</v>
      </c>
      <c r="AK566" s="50" t="e">
        <f t="shared" si="153"/>
        <v>#VALUE!</v>
      </c>
    </row>
    <row r="567" spans="1:37" x14ac:dyDescent="0.4">
      <c r="A567" s="2">
        <v>1720</v>
      </c>
      <c r="B567" s="16"/>
      <c r="C567" s="22">
        <f t="shared" si="147"/>
        <v>0</v>
      </c>
      <c r="D567" s="23">
        <f t="shared" si="154"/>
        <v>0</v>
      </c>
      <c r="E567" s="14"/>
      <c r="F567" s="12">
        <f t="shared" si="148"/>
        <v>0</v>
      </c>
      <c r="G567" s="24">
        <f t="shared" si="155"/>
        <v>0</v>
      </c>
      <c r="H567" s="14"/>
      <c r="I567" s="14"/>
      <c r="J567" s="29"/>
      <c r="K567" s="30"/>
      <c r="M567" s="17"/>
      <c r="N567" s="7" t="str">
        <f t="shared" si="139"/>
        <v/>
      </c>
      <c r="O567" s="5"/>
      <c r="P567" s="3"/>
      <c r="Q567" s="5"/>
      <c r="R567" s="7" t="str">
        <f t="shared" si="140"/>
        <v/>
      </c>
      <c r="S567" s="5"/>
      <c r="U567" s="10"/>
      <c r="V567" s="11" t="str">
        <f t="shared" si="141"/>
        <v/>
      </c>
      <c r="W567" s="6"/>
      <c r="Y567" s="10"/>
      <c r="Z567" s="11" t="str">
        <f t="shared" si="142"/>
        <v/>
      </c>
      <c r="AA567" s="6"/>
      <c r="AB567" s="1">
        <v>1.2</v>
      </c>
      <c r="AC567" s="21" t="str">
        <f t="shared" si="156"/>
        <v/>
      </c>
      <c r="AD567" s="27" t="str">
        <f t="shared" si="150"/>
        <v/>
      </c>
      <c r="AE567" s="27" t="str">
        <f t="shared" si="151"/>
        <v/>
      </c>
      <c r="AF567" s="14">
        <f t="shared" si="157"/>
        <v>0</v>
      </c>
      <c r="AG567" s="12">
        <f t="shared" si="152"/>
        <v>0</v>
      </c>
      <c r="AH567" s="24">
        <f t="shared" si="158"/>
        <v>0</v>
      </c>
      <c r="AI567" s="49" t="e">
        <f t="shared" si="146"/>
        <v>#VALUE!</v>
      </c>
      <c r="AK567" s="50" t="e">
        <f t="shared" si="153"/>
        <v>#VALUE!</v>
      </c>
    </row>
    <row r="568" spans="1:37" x14ac:dyDescent="0.4">
      <c r="A568" s="2">
        <v>1721</v>
      </c>
      <c r="B568" s="16"/>
      <c r="C568" s="22">
        <f t="shared" si="147"/>
        <v>0</v>
      </c>
      <c r="D568" s="23">
        <f t="shared" si="154"/>
        <v>0</v>
      </c>
      <c r="E568" s="14"/>
      <c r="F568" s="12">
        <f t="shared" si="148"/>
        <v>0</v>
      </c>
      <c r="G568" s="24">
        <f t="shared" si="155"/>
        <v>0</v>
      </c>
      <c r="H568" s="14"/>
      <c r="I568" s="14"/>
      <c r="J568" s="29"/>
      <c r="K568" s="30"/>
      <c r="M568" s="17"/>
      <c r="N568" s="7" t="str">
        <f t="shared" si="139"/>
        <v/>
      </c>
      <c r="O568" s="5"/>
      <c r="P568" s="3"/>
      <c r="Q568" s="5"/>
      <c r="R568" s="7" t="str">
        <f t="shared" si="140"/>
        <v/>
      </c>
      <c r="S568" s="5"/>
      <c r="U568" s="10"/>
      <c r="V568" s="11" t="str">
        <f t="shared" si="141"/>
        <v/>
      </c>
      <c r="W568" s="6"/>
      <c r="Y568" s="10"/>
      <c r="Z568" s="11" t="str">
        <f t="shared" si="142"/>
        <v/>
      </c>
      <c r="AA568" s="6"/>
      <c r="AB568" s="1">
        <v>1.2</v>
      </c>
      <c r="AC568" s="21" t="str">
        <f t="shared" si="156"/>
        <v/>
      </c>
      <c r="AD568" s="27" t="str">
        <f t="shared" si="150"/>
        <v/>
      </c>
      <c r="AE568" s="27" t="str">
        <f t="shared" si="151"/>
        <v/>
      </c>
      <c r="AF568" s="14">
        <f t="shared" si="157"/>
        <v>0</v>
      </c>
      <c r="AG568" s="12">
        <f t="shared" si="152"/>
        <v>0</v>
      </c>
      <c r="AH568" s="24">
        <f t="shared" si="158"/>
        <v>0</v>
      </c>
      <c r="AI568" s="49" t="e">
        <f t="shared" si="146"/>
        <v>#VALUE!</v>
      </c>
      <c r="AK568" s="50" t="e">
        <f t="shared" si="153"/>
        <v>#VALUE!</v>
      </c>
    </row>
    <row r="569" spans="1:37" x14ac:dyDescent="0.4">
      <c r="A569" s="2">
        <v>1722</v>
      </c>
      <c r="B569" s="16"/>
      <c r="C569" s="22">
        <f t="shared" si="147"/>
        <v>0</v>
      </c>
      <c r="D569" s="23">
        <f t="shared" si="154"/>
        <v>0</v>
      </c>
      <c r="E569" s="14"/>
      <c r="F569" s="12">
        <f t="shared" si="148"/>
        <v>0</v>
      </c>
      <c r="G569" s="24">
        <f t="shared" si="155"/>
        <v>0</v>
      </c>
      <c r="H569" s="14"/>
      <c r="I569" s="14"/>
      <c r="J569" s="29"/>
      <c r="K569" s="30"/>
      <c r="M569" s="17"/>
      <c r="N569" s="7" t="str">
        <f t="shared" si="139"/>
        <v/>
      </c>
      <c r="O569" s="5"/>
      <c r="P569" s="3"/>
      <c r="Q569" s="5"/>
      <c r="R569" s="7" t="str">
        <f t="shared" si="140"/>
        <v/>
      </c>
      <c r="S569" s="5"/>
      <c r="U569" s="10"/>
      <c r="V569" s="11" t="str">
        <f t="shared" si="141"/>
        <v/>
      </c>
      <c r="W569" s="6"/>
      <c r="Y569" s="10"/>
      <c r="Z569" s="11" t="str">
        <f t="shared" si="142"/>
        <v/>
      </c>
      <c r="AA569" s="6"/>
      <c r="AB569" s="1">
        <v>1.2</v>
      </c>
      <c r="AC569" s="21" t="str">
        <f t="shared" si="156"/>
        <v/>
      </c>
      <c r="AD569" s="27" t="str">
        <f t="shared" si="150"/>
        <v/>
      </c>
      <c r="AE569" s="27" t="str">
        <f t="shared" si="151"/>
        <v/>
      </c>
      <c r="AF569" s="14">
        <f t="shared" si="157"/>
        <v>0</v>
      </c>
      <c r="AG569" s="12">
        <f t="shared" si="152"/>
        <v>0</v>
      </c>
      <c r="AH569" s="24">
        <f t="shared" si="158"/>
        <v>0</v>
      </c>
      <c r="AI569" s="49" t="e">
        <f t="shared" si="146"/>
        <v>#VALUE!</v>
      </c>
      <c r="AK569" s="50" t="e">
        <f t="shared" si="153"/>
        <v>#VALUE!</v>
      </c>
    </row>
    <row r="570" spans="1:37" x14ac:dyDescent="0.4">
      <c r="A570" s="2">
        <v>1723</v>
      </c>
      <c r="B570" s="16"/>
      <c r="C570" s="22">
        <f t="shared" si="147"/>
        <v>0</v>
      </c>
      <c r="D570" s="23">
        <f t="shared" si="154"/>
        <v>0</v>
      </c>
      <c r="E570" s="14"/>
      <c r="F570" s="12">
        <f t="shared" si="148"/>
        <v>0</v>
      </c>
      <c r="G570" s="24">
        <f t="shared" si="155"/>
        <v>0</v>
      </c>
      <c r="H570" s="14"/>
      <c r="I570" s="14"/>
      <c r="J570" s="29"/>
      <c r="K570" s="30"/>
      <c r="M570" s="17"/>
      <c r="N570" s="7" t="str">
        <f t="shared" si="139"/>
        <v/>
      </c>
      <c r="O570" s="5"/>
      <c r="P570" s="3"/>
      <c r="Q570" s="5"/>
      <c r="R570" s="7" t="str">
        <f t="shared" si="140"/>
        <v/>
      </c>
      <c r="S570" s="5"/>
      <c r="U570" s="10"/>
      <c r="V570" s="11" t="str">
        <f t="shared" si="141"/>
        <v/>
      </c>
      <c r="W570" s="6"/>
      <c r="Y570" s="10"/>
      <c r="Z570" s="11" t="str">
        <f t="shared" si="142"/>
        <v/>
      </c>
      <c r="AA570" s="6"/>
      <c r="AB570" s="1">
        <v>1.2</v>
      </c>
      <c r="AC570" s="21" t="str">
        <f t="shared" si="156"/>
        <v/>
      </c>
      <c r="AD570" s="27" t="str">
        <f t="shared" si="150"/>
        <v/>
      </c>
      <c r="AE570" s="27" t="str">
        <f t="shared" si="151"/>
        <v/>
      </c>
      <c r="AF570" s="14">
        <f t="shared" si="157"/>
        <v>0</v>
      </c>
      <c r="AG570" s="12">
        <f t="shared" si="152"/>
        <v>0</v>
      </c>
      <c r="AH570" s="24">
        <f t="shared" si="158"/>
        <v>0</v>
      </c>
      <c r="AI570" s="49" t="e">
        <f t="shared" si="146"/>
        <v>#VALUE!</v>
      </c>
      <c r="AK570" s="50" t="e">
        <f t="shared" si="153"/>
        <v>#VALUE!</v>
      </c>
    </row>
    <row r="571" spans="1:37" x14ac:dyDescent="0.4">
      <c r="A571" s="2">
        <v>1724</v>
      </c>
      <c r="B571" s="16"/>
      <c r="C571" s="22">
        <f t="shared" si="147"/>
        <v>0</v>
      </c>
      <c r="D571" s="23">
        <f t="shared" si="154"/>
        <v>0</v>
      </c>
      <c r="E571" s="14"/>
      <c r="F571" s="12">
        <f t="shared" si="148"/>
        <v>0</v>
      </c>
      <c r="G571" s="24">
        <f t="shared" si="155"/>
        <v>0</v>
      </c>
      <c r="H571" s="14"/>
      <c r="I571" s="14"/>
      <c r="J571" s="29"/>
      <c r="K571" s="30"/>
      <c r="M571" s="17"/>
      <c r="N571" s="7" t="str">
        <f t="shared" si="139"/>
        <v/>
      </c>
      <c r="O571" s="5"/>
      <c r="P571" s="3"/>
      <c r="Q571" s="5"/>
      <c r="R571" s="7" t="str">
        <f t="shared" si="140"/>
        <v/>
      </c>
      <c r="S571" s="5"/>
      <c r="U571" s="10"/>
      <c r="V571" s="11" t="str">
        <f t="shared" si="141"/>
        <v/>
      </c>
      <c r="W571" s="6"/>
      <c r="Y571" s="10"/>
      <c r="Z571" s="11" t="str">
        <f t="shared" si="142"/>
        <v/>
      </c>
      <c r="AA571" s="6"/>
      <c r="AB571" s="1">
        <v>1.2</v>
      </c>
      <c r="AC571" s="21" t="str">
        <f t="shared" si="156"/>
        <v/>
      </c>
      <c r="AD571" s="27" t="str">
        <f t="shared" si="150"/>
        <v/>
      </c>
      <c r="AE571" s="27" t="str">
        <f t="shared" si="151"/>
        <v/>
      </c>
      <c r="AF571" s="14">
        <f t="shared" si="157"/>
        <v>0</v>
      </c>
      <c r="AG571" s="12">
        <f t="shared" si="152"/>
        <v>0</v>
      </c>
      <c r="AH571" s="24">
        <f t="shared" si="158"/>
        <v>0</v>
      </c>
      <c r="AI571" s="49" t="e">
        <f t="shared" si="146"/>
        <v>#VALUE!</v>
      </c>
      <c r="AK571" s="50" t="e">
        <f t="shared" si="153"/>
        <v>#VALUE!</v>
      </c>
    </row>
    <row r="572" spans="1:37" x14ac:dyDescent="0.4">
      <c r="A572" s="2">
        <v>1725</v>
      </c>
      <c r="B572" s="16"/>
      <c r="C572" s="22">
        <f t="shared" si="147"/>
        <v>0</v>
      </c>
      <c r="D572" s="23">
        <f t="shared" si="154"/>
        <v>0</v>
      </c>
      <c r="E572" s="14"/>
      <c r="F572" s="12">
        <f t="shared" si="148"/>
        <v>0</v>
      </c>
      <c r="G572" s="24">
        <f t="shared" si="155"/>
        <v>0</v>
      </c>
      <c r="H572" s="14"/>
      <c r="I572" s="14"/>
      <c r="J572" s="29"/>
      <c r="K572" s="30"/>
      <c r="M572" s="17"/>
      <c r="N572" s="7" t="str">
        <f t="shared" si="139"/>
        <v/>
      </c>
      <c r="O572" s="5"/>
      <c r="P572" s="3"/>
      <c r="Q572" s="5"/>
      <c r="R572" s="7" t="str">
        <f t="shared" si="140"/>
        <v/>
      </c>
      <c r="S572" s="5"/>
      <c r="U572" s="10"/>
      <c r="V572" s="11" t="str">
        <f t="shared" si="141"/>
        <v/>
      </c>
      <c r="W572" s="6"/>
      <c r="Y572" s="10"/>
      <c r="Z572" s="11" t="str">
        <f t="shared" si="142"/>
        <v/>
      </c>
      <c r="AA572" s="6"/>
      <c r="AB572" s="1">
        <v>1.2</v>
      </c>
      <c r="AC572" s="21" t="str">
        <f t="shared" si="156"/>
        <v/>
      </c>
      <c r="AD572" s="27" t="str">
        <f t="shared" si="150"/>
        <v/>
      </c>
      <c r="AE572" s="27" t="str">
        <f t="shared" si="151"/>
        <v/>
      </c>
      <c r="AF572" s="14">
        <f t="shared" si="157"/>
        <v>0</v>
      </c>
      <c r="AG572" s="12">
        <f t="shared" si="152"/>
        <v>0</v>
      </c>
      <c r="AH572" s="24">
        <f t="shared" si="158"/>
        <v>0</v>
      </c>
      <c r="AI572" s="49" t="e">
        <f t="shared" si="146"/>
        <v>#VALUE!</v>
      </c>
      <c r="AK572" s="50" t="e">
        <f t="shared" si="153"/>
        <v>#VALUE!</v>
      </c>
    </row>
    <row r="573" spans="1:37" x14ac:dyDescent="0.4">
      <c r="A573" s="2">
        <v>1726</v>
      </c>
      <c r="B573" s="16"/>
      <c r="C573" s="22">
        <f t="shared" si="147"/>
        <v>0</v>
      </c>
      <c r="D573" s="23">
        <f t="shared" si="154"/>
        <v>0</v>
      </c>
      <c r="E573" s="14"/>
      <c r="F573" s="12">
        <f t="shared" si="148"/>
        <v>0</v>
      </c>
      <c r="G573" s="24">
        <f t="shared" si="155"/>
        <v>0</v>
      </c>
      <c r="H573" s="14"/>
      <c r="I573" s="14"/>
      <c r="J573" s="29"/>
      <c r="K573" s="30"/>
      <c r="M573" s="17"/>
      <c r="N573" s="7" t="str">
        <f t="shared" si="139"/>
        <v/>
      </c>
      <c r="O573" s="5"/>
      <c r="P573" s="3"/>
      <c r="Q573" s="5"/>
      <c r="R573" s="7" t="str">
        <f t="shared" si="140"/>
        <v/>
      </c>
      <c r="S573" s="5"/>
      <c r="U573" s="10"/>
      <c r="V573" s="11" t="str">
        <f t="shared" si="141"/>
        <v/>
      </c>
      <c r="W573" s="6"/>
      <c r="Y573" s="10"/>
      <c r="Z573" s="11" t="str">
        <f t="shared" si="142"/>
        <v/>
      </c>
      <c r="AA573" s="6"/>
      <c r="AB573" s="1">
        <v>1.2</v>
      </c>
      <c r="AC573" s="21" t="str">
        <f t="shared" si="156"/>
        <v/>
      </c>
      <c r="AD573" s="27" t="str">
        <f t="shared" si="150"/>
        <v/>
      </c>
      <c r="AE573" s="27" t="str">
        <f t="shared" si="151"/>
        <v/>
      </c>
      <c r="AF573" s="14">
        <f t="shared" si="157"/>
        <v>0</v>
      </c>
      <c r="AG573" s="12">
        <f t="shared" si="152"/>
        <v>0</v>
      </c>
      <c r="AH573" s="24">
        <f t="shared" si="158"/>
        <v>0</v>
      </c>
      <c r="AI573" s="49" t="e">
        <f t="shared" si="146"/>
        <v>#VALUE!</v>
      </c>
      <c r="AK573" s="50" t="e">
        <f t="shared" si="153"/>
        <v>#VALUE!</v>
      </c>
    </row>
    <row r="574" spans="1:37" x14ac:dyDescent="0.4">
      <c r="A574" s="2">
        <v>1727</v>
      </c>
      <c r="B574" s="16"/>
      <c r="C574" s="22">
        <f t="shared" si="147"/>
        <v>0</v>
      </c>
      <c r="D574" s="23">
        <f t="shared" si="154"/>
        <v>0</v>
      </c>
      <c r="E574" s="14"/>
      <c r="F574" s="12">
        <f t="shared" si="148"/>
        <v>0</v>
      </c>
      <c r="G574" s="24">
        <f t="shared" si="155"/>
        <v>0</v>
      </c>
      <c r="H574" s="14"/>
      <c r="I574" s="14"/>
      <c r="J574" s="29"/>
      <c r="K574" s="30"/>
      <c r="M574" s="17"/>
      <c r="N574" s="7" t="str">
        <f t="shared" si="139"/>
        <v/>
      </c>
      <c r="O574" s="5"/>
      <c r="P574" s="3"/>
      <c r="Q574" s="5"/>
      <c r="R574" s="7" t="str">
        <f t="shared" si="140"/>
        <v/>
      </c>
      <c r="S574" s="5"/>
      <c r="U574" s="10"/>
      <c r="V574" s="11" t="str">
        <f t="shared" si="141"/>
        <v/>
      </c>
      <c r="W574" s="6"/>
      <c r="Y574" s="10"/>
      <c r="Z574" s="11" t="str">
        <f t="shared" si="142"/>
        <v/>
      </c>
      <c r="AA574" s="6"/>
      <c r="AB574" s="1">
        <v>1.2</v>
      </c>
      <c r="AC574" s="21" t="str">
        <f t="shared" si="156"/>
        <v/>
      </c>
      <c r="AD574" s="27" t="str">
        <f t="shared" si="150"/>
        <v/>
      </c>
      <c r="AE574" s="27" t="str">
        <f t="shared" si="151"/>
        <v/>
      </c>
      <c r="AF574" s="14">
        <f t="shared" si="157"/>
        <v>0</v>
      </c>
      <c r="AG574" s="12">
        <f t="shared" si="152"/>
        <v>0</v>
      </c>
      <c r="AH574" s="24">
        <f t="shared" si="158"/>
        <v>0</v>
      </c>
      <c r="AI574" s="49" t="e">
        <f t="shared" si="146"/>
        <v>#VALUE!</v>
      </c>
      <c r="AK574" s="50" t="e">
        <f t="shared" si="153"/>
        <v>#VALUE!</v>
      </c>
    </row>
    <row r="575" spans="1:37" x14ac:dyDescent="0.4">
      <c r="A575" s="2">
        <v>1728</v>
      </c>
      <c r="B575" s="16"/>
      <c r="C575" s="22">
        <f t="shared" si="147"/>
        <v>0</v>
      </c>
      <c r="D575" s="23">
        <f t="shared" si="154"/>
        <v>0</v>
      </c>
      <c r="E575" s="14"/>
      <c r="F575" s="12">
        <f t="shared" si="148"/>
        <v>0</v>
      </c>
      <c r="G575" s="24">
        <f t="shared" si="155"/>
        <v>0</v>
      </c>
      <c r="H575" s="14"/>
      <c r="I575" s="14"/>
      <c r="J575" s="29"/>
      <c r="K575" s="30"/>
      <c r="M575" s="17"/>
      <c r="N575" s="7" t="str">
        <f t="shared" si="139"/>
        <v/>
      </c>
      <c r="O575" s="5"/>
      <c r="P575" s="3"/>
      <c r="Q575" s="5"/>
      <c r="R575" s="7" t="str">
        <f t="shared" si="140"/>
        <v/>
      </c>
      <c r="S575" s="5"/>
      <c r="U575" s="10"/>
      <c r="V575" s="11" t="str">
        <f t="shared" si="141"/>
        <v/>
      </c>
      <c r="W575" s="6"/>
      <c r="Y575" s="10"/>
      <c r="Z575" s="11" t="str">
        <f t="shared" si="142"/>
        <v/>
      </c>
      <c r="AA575" s="6"/>
      <c r="AB575" s="1">
        <v>1.2</v>
      </c>
      <c r="AC575" s="21" t="str">
        <f t="shared" si="156"/>
        <v/>
      </c>
      <c r="AD575" s="27" t="str">
        <f t="shared" si="150"/>
        <v/>
      </c>
      <c r="AE575" s="27" t="str">
        <f t="shared" si="151"/>
        <v/>
      </c>
      <c r="AF575" s="14">
        <f t="shared" si="157"/>
        <v>0</v>
      </c>
      <c r="AG575" s="12">
        <f t="shared" si="152"/>
        <v>0</v>
      </c>
      <c r="AH575" s="24">
        <f t="shared" si="158"/>
        <v>0</v>
      </c>
      <c r="AI575" s="49" t="e">
        <f t="shared" si="146"/>
        <v>#VALUE!</v>
      </c>
      <c r="AK575" s="50" t="e">
        <f t="shared" si="153"/>
        <v>#VALUE!</v>
      </c>
    </row>
    <row r="576" spans="1:37" x14ac:dyDescent="0.4">
      <c r="A576" s="2">
        <v>1729</v>
      </c>
      <c r="B576" s="16"/>
      <c r="C576" s="22">
        <f t="shared" si="147"/>
        <v>0</v>
      </c>
      <c r="D576" s="23">
        <f t="shared" si="154"/>
        <v>0</v>
      </c>
      <c r="E576" s="14"/>
      <c r="F576" s="12">
        <f t="shared" si="148"/>
        <v>0</v>
      </c>
      <c r="G576" s="24">
        <f t="shared" si="155"/>
        <v>0</v>
      </c>
      <c r="H576" s="14"/>
      <c r="I576" s="14"/>
      <c r="J576" s="29"/>
      <c r="K576" s="30"/>
      <c r="M576" s="17"/>
      <c r="N576" s="7" t="str">
        <f t="shared" si="139"/>
        <v/>
      </c>
      <c r="O576" s="5"/>
      <c r="P576" s="3"/>
      <c r="Q576" s="5"/>
      <c r="R576" s="7" t="str">
        <f t="shared" si="140"/>
        <v/>
      </c>
      <c r="S576" s="5"/>
      <c r="U576" s="10"/>
      <c r="V576" s="11" t="str">
        <f t="shared" si="141"/>
        <v/>
      </c>
      <c r="W576" s="6"/>
      <c r="Y576" s="10"/>
      <c r="Z576" s="11" t="str">
        <f t="shared" si="142"/>
        <v/>
      </c>
      <c r="AA576" s="6"/>
      <c r="AB576" s="1">
        <v>1.2</v>
      </c>
      <c r="AC576" s="21" t="str">
        <f t="shared" si="156"/>
        <v/>
      </c>
      <c r="AD576" s="27" t="str">
        <f t="shared" si="150"/>
        <v/>
      </c>
      <c r="AE576" s="27" t="str">
        <f t="shared" si="151"/>
        <v/>
      </c>
      <c r="AF576" s="14">
        <f t="shared" si="157"/>
        <v>0</v>
      </c>
      <c r="AG576" s="12">
        <f t="shared" si="152"/>
        <v>0</v>
      </c>
      <c r="AH576" s="24">
        <f t="shared" si="158"/>
        <v>0</v>
      </c>
      <c r="AI576" s="49" t="e">
        <f t="shared" si="146"/>
        <v>#VALUE!</v>
      </c>
      <c r="AK576" s="50" t="e">
        <f t="shared" si="153"/>
        <v>#VALUE!</v>
      </c>
    </row>
    <row r="577" spans="1:37" x14ac:dyDescent="0.4">
      <c r="A577" s="2">
        <v>1730</v>
      </c>
      <c r="B577" s="16"/>
      <c r="C577" s="22">
        <f t="shared" si="147"/>
        <v>0</v>
      </c>
      <c r="D577" s="23">
        <f t="shared" si="154"/>
        <v>0</v>
      </c>
      <c r="E577" s="14"/>
      <c r="F577" s="12">
        <f t="shared" si="148"/>
        <v>0</v>
      </c>
      <c r="G577" s="24">
        <f t="shared" si="155"/>
        <v>0</v>
      </c>
      <c r="H577" s="14"/>
      <c r="I577" s="14"/>
      <c r="J577" s="29"/>
      <c r="K577" s="30"/>
      <c r="M577" s="17"/>
      <c r="N577" s="7" t="str">
        <f t="shared" si="139"/>
        <v/>
      </c>
      <c r="O577" s="5"/>
      <c r="P577" s="3"/>
      <c r="Q577" s="5"/>
      <c r="R577" s="7" t="str">
        <f t="shared" si="140"/>
        <v/>
      </c>
      <c r="S577" s="5"/>
      <c r="U577" s="10"/>
      <c r="V577" s="11" t="str">
        <f t="shared" si="141"/>
        <v/>
      </c>
      <c r="W577" s="6"/>
      <c r="Y577" s="10"/>
      <c r="Z577" s="11" t="str">
        <f t="shared" si="142"/>
        <v/>
      </c>
      <c r="AA577" s="6"/>
      <c r="AB577" s="1">
        <v>1.2</v>
      </c>
      <c r="AC577" s="21" t="str">
        <f t="shared" si="156"/>
        <v/>
      </c>
      <c r="AD577" s="27" t="str">
        <f t="shared" si="150"/>
        <v/>
      </c>
      <c r="AE577" s="27" t="str">
        <f t="shared" si="151"/>
        <v/>
      </c>
      <c r="AF577" s="14">
        <f t="shared" si="157"/>
        <v>0</v>
      </c>
      <c r="AG577" s="12">
        <f t="shared" si="152"/>
        <v>0</v>
      </c>
      <c r="AH577" s="24">
        <f t="shared" si="158"/>
        <v>0</v>
      </c>
      <c r="AI577" s="49" t="e">
        <f t="shared" si="146"/>
        <v>#VALUE!</v>
      </c>
      <c r="AK577" s="50" t="e">
        <f t="shared" si="153"/>
        <v>#VALUE!</v>
      </c>
    </row>
    <row r="578" spans="1:37" x14ac:dyDescent="0.4">
      <c r="A578" s="2">
        <v>1731</v>
      </c>
      <c r="B578" s="16"/>
      <c r="C578" s="22">
        <f t="shared" si="147"/>
        <v>0</v>
      </c>
      <c r="D578" s="23">
        <f t="shared" si="154"/>
        <v>0</v>
      </c>
      <c r="E578" s="14"/>
      <c r="F578" s="12">
        <f t="shared" si="148"/>
        <v>0</v>
      </c>
      <c r="G578" s="24">
        <f t="shared" si="155"/>
        <v>0</v>
      </c>
      <c r="H578" s="14"/>
      <c r="I578" s="14"/>
      <c r="J578" s="29"/>
      <c r="K578" s="30"/>
      <c r="M578" s="17"/>
      <c r="N578" s="7" t="str">
        <f t="shared" si="139"/>
        <v/>
      </c>
      <c r="O578" s="5"/>
      <c r="P578" s="3"/>
      <c r="Q578" s="5"/>
      <c r="R578" s="7" t="str">
        <f t="shared" si="140"/>
        <v/>
      </c>
      <c r="S578" s="5"/>
      <c r="U578" s="10"/>
      <c r="V578" s="11" t="str">
        <f t="shared" si="141"/>
        <v/>
      </c>
      <c r="W578" s="6"/>
      <c r="Y578" s="10"/>
      <c r="Z578" s="11" t="str">
        <f t="shared" si="142"/>
        <v/>
      </c>
      <c r="AA578" s="6"/>
      <c r="AB578" s="1">
        <v>1.2</v>
      </c>
      <c r="AC578" s="21" t="str">
        <f t="shared" si="156"/>
        <v/>
      </c>
      <c r="AD578" s="27" t="str">
        <f t="shared" si="150"/>
        <v/>
      </c>
      <c r="AE578" s="27" t="str">
        <f t="shared" si="151"/>
        <v/>
      </c>
      <c r="AF578" s="14">
        <f t="shared" si="157"/>
        <v>0</v>
      </c>
      <c r="AG578" s="12">
        <f t="shared" si="152"/>
        <v>0</v>
      </c>
      <c r="AH578" s="24">
        <f t="shared" si="158"/>
        <v>0</v>
      </c>
      <c r="AI578" s="49" t="e">
        <f t="shared" si="146"/>
        <v>#VALUE!</v>
      </c>
      <c r="AK578" s="50" t="e">
        <f t="shared" si="153"/>
        <v>#VALUE!</v>
      </c>
    </row>
    <row r="579" spans="1:37" x14ac:dyDescent="0.4">
      <c r="A579" s="2">
        <v>1732</v>
      </c>
      <c r="B579" s="16"/>
      <c r="C579" s="22">
        <f t="shared" si="147"/>
        <v>0</v>
      </c>
      <c r="D579" s="23">
        <f t="shared" si="154"/>
        <v>0</v>
      </c>
      <c r="E579" s="14"/>
      <c r="F579" s="12">
        <f t="shared" si="148"/>
        <v>0</v>
      </c>
      <c r="G579" s="24">
        <f t="shared" si="155"/>
        <v>0</v>
      </c>
      <c r="H579" s="14"/>
      <c r="I579" s="14"/>
      <c r="J579" s="29"/>
      <c r="K579" s="30"/>
      <c r="M579" s="17"/>
      <c r="N579" s="7" t="str">
        <f t="shared" si="139"/>
        <v/>
      </c>
      <c r="O579" s="5"/>
      <c r="P579" s="3"/>
      <c r="Q579" s="5"/>
      <c r="R579" s="7" t="str">
        <f t="shared" si="140"/>
        <v/>
      </c>
      <c r="S579" s="5"/>
      <c r="U579" s="10"/>
      <c r="V579" s="11" t="str">
        <f t="shared" si="141"/>
        <v/>
      </c>
      <c r="W579" s="6"/>
      <c r="Y579" s="10"/>
      <c r="Z579" s="11" t="str">
        <f t="shared" si="142"/>
        <v/>
      </c>
      <c r="AA579" s="6"/>
      <c r="AB579" s="1">
        <v>1.2</v>
      </c>
      <c r="AC579" s="21" t="str">
        <f t="shared" si="156"/>
        <v/>
      </c>
      <c r="AD579" s="27" t="str">
        <f t="shared" si="150"/>
        <v/>
      </c>
      <c r="AE579" s="27" t="str">
        <f t="shared" si="151"/>
        <v/>
      </c>
      <c r="AF579" s="14">
        <f t="shared" si="157"/>
        <v>0</v>
      </c>
      <c r="AG579" s="12">
        <f t="shared" si="152"/>
        <v>0</v>
      </c>
      <c r="AH579" s="24">
        <f t="shared" si="158"/>
        <v>0</v>
      </c>
      <c r="AI579" s="49" t="e">
        <f t="shared" si="146"/>
        <v>#VALUE!</v>
      </c>
      <c r="AK579" s="50" t="e">
        <f t="shared" si="153"/>
        <v>#VALUE!</v>
      </c>
    </row>
    <row r="580" spans="1:37" x14ac:dyDescent="0.4">
      <c r="A580" s="2">
        <v>1733</v>
      </c>
      <c r="B580" s="16"/>
      <c r="C580" s="22">
        <f t="shared" si="147"/>
        <v>0</v>
      </c>
      <c r="D580" s="23">
        <f t="shared" si="154"/>
        <v>0</v>
      </c>
      <c r="E580" s="14"/>
      <c r="F580" s="12">
        <f t="shared" si="148"/>
        <v>0</v>
      </c>
      <c r="G580" s="24">
        <f t="shared" si="155"/>
        <v>0</v>
      </c>
      <c r="H580" s="14"/>
      <c r="I580" s="14"/>
      <c r="J580" s="29"/>
      <c r="K580" s="30"/>
      <c r="M580" s="17"/>
      <c r="N580" s="7" t="str">
        <f t="shared" si="139"/>
        <v/>
      </c>
      <c r="O580" s="5"/>
      <c r="P580" s="3"/>
      <c r="Q580" s="5"/>
      <c r="R580" s="7" t="str">
        <f t="shared" si="140"/>
        <v/>
      </c>
      <c r="S580" s="5"/>
      <c r="U580" s="10"/>
      <c r="V580" s="11" t="str">
        <f t="shared" si="141"/>
        <v/>
      </c>
      <c r="W580" s="6"/>
      <c r="Y580" s="10"/>
      <c r="Z580" s="11" t="str">
        <f t="shared" si="142"/>
        <v/>
      </c>
      <c r="AA580" s="6"/>
      <c r="AB580" s="1">
        <v>1.2</v>
      </c>
      <c r="AC580" s="21" t="str">
        <f t="shared" si="156"/>
        <v/>
      </c>
      <c r="AD580" s="27" t="str">
        <f t="shared" si="150"/>
        <v/>
      </c>
      <c r="AE580" s="27" t="str">
        <f t="shared" si="151"/>
        <v/>
      </c>
      <c r="AF580" s="14">
        <f t="shared" si="157"/>
        <v>0</v>
      </c>
      <c r="AG580" s="12">
        <f t="shared" si="152"/>
        <v>0</v>
      </c>
      <c r="AH580" s="24">
        <f t="shared" si="158"/>
        <v>0</v>
      </c>
      <c r="AI580" s="49" t="e">
        <f t="shared" si="146"/>
        <v>#VALUE!</v>
      </c>
      <c r="AK580" s="50" t="e">
        <f t="shared" si="153"/>
        <v>#VALUE!</v>
      </c>
    </row>
    <row r="581" spans="1:37" x14ac:dyDescent="0.4">
      <c r="A581" s="2">
        <v>1734</v>
      </c>
      <c r="B581" s="16"/>
      <c r="C581" s="22">
        <f t="shared" si="147"/>
        <v>0</v>
      </c>
      <c r="D581" s="23">
        <f t="shared" si="154"/>
        <v>0</v>
      </c>
      <c r="E581" s="14"/>
      <c r="F581" s="12">
        <f t="shared" si="148"/>
        <v>0</v>
      </c>
      <c r="G581" s="24">
        <f t="shared" si="155"/>
        <v>0</v>
      </c>
      <c r="H581" s="14"/>
      <c r="I581" s="14"/>
      <c r="J581" s="29"/>
      <c r="K581" s="30"/>
      <c r="M581" s="17"/>
      <c r="N581" s="7" t="str">
        <f t="shared" si="139"/>
        <v/>
      </c>
      <c r="O581" s="5"/>
      <c r="P581" s="3"/>
      <c r="Q581" s="5"/>
      <c r="R581" s="7" t="str">
        <f t="shared" si="140"/>
        <v/>
      </c>
      <c r="S581" s="5"/>
      <c r="U581" s="10"/>
      <c r="V581" s="11" t="str">
        <f t="shared" si="141"/>
        <v/>
      </c>
      <c r="W581" s="6"/>
      <c r="Y581" s="10"/>
      <c r="Z581" s="11" t="str">
        <f t="shared" si="142"/>
        <v/>
      </c>
      <c r="AA581" s="6"/>
      <c r="AB581" s="1">
        <v>1.2</v>
      </c>
      <c r="AC581" s="21" t="str">
        <f t="shared" si="156"/>
        <v/>
      </c>
      <c r="AD581" s="27" t="str">
        <f t="shared" si="150"/>
        <v/>
      </c>
      <c r="AE581" s="27" t="str">
        <f t="shared" si="151"/>
        <v/>
      </c>
      <c r="AF581" s="14">
        <f t="shared" si="157"/>
        <v>0</v>
      </c>
      <c r="AG581" s="12">
        <f t="shared" si="152"/>
        <v>0</v>
      </c>
      <c r="AH581" s="24">
        <f t="shared" si="158"/>
        <v>0</v>
      </c>
      <c r="AI581" s="49" t="e">
        <f t="shared" si="146"/>
        <v>#VALUE!</v>
      </c>
      <c r="AK581" s="50" t="e">
        <f t="shared" si="153"/>
        <v>#VALUE!</v>
      </c>
    </row>
    <row r="582" spans="1:37" x14ac:dyDescent="0.4">
      <c r="A582" s="2">
        <v>1735</v>
      </c>
      <c r="B582" s="16"/>
      <c r="C582" s="22">
        <f t="shared" si="147"/>
        <v>0</v>
      </c>
      <c r="D582" s="23">
        <f t="shared" si="154"/>
        <v>0</v>
      </c>
      <c r="E582" s="14"/>
      <c r="F582" s="12">
        <f t="shared" si="148"/>
        <v>0</v>
      </c>
      <c r="G582" s="24">
        <f t="shared" si="155"/>
        <v>0</v>
      </c>
      <c r="H582" s="14"/>
      <c r="I582" s="14"/>
      <c r="J582" s="29"/>
      <c r="K582" s="30"/>
      <c r="M582" s="17"/>
      <c r="N582" s="7" t="str">
        <f t="shared" si="139"/>
        <v/>
      </c>
      <c r="O582" s="5"/>
      <c r="P582" s="3"/>
      <c r="Q582" s="5"/>
      <c r="R582" s="7" t="str">
        <f t="shared" si="140"/>
        <v/>
      </c>
      <c r="S582" s="5"/>
      <c r="U582" s="10"/>
      <c r="V582" s="11" t="str">
        <f t="shared" si="141"/>
        <v/>
      </c>
      <c r="W582" s="6"/>
      <c r="Y582" s="10"/>
      <c r="Z582" s="11" t="str">
        <f t="shared" si="142"/>
        <v/>
      </c>
      <c r="AA582" s="6"/>
      <c r="AB582" s="1">
        <v>1.2</v>
      </c>
      <c r="AC582" s="21" t="str">
        <f t="shared" si="156"/>
        <v/>
      </c>
      <c r="AD582" s="27" t="str">
        <f t="shared" si="150"/>
        <v/>
      </c>
      <c r="AE582" s="27" t="str">
        <f t="shared" si="151"/>
        <v/>
      </c>
      <c r="AF582" s="14">
        <f t="shared" si="157"/>
        <v>0</v>
      </c>
      <c r="AG582" s="12">
        <f t="shared" si="152"/>
        <v>0</v>
      </c>
      <c r="AH582" s="24">
        <f t="shared" si="158"/>
        <v>0</v>
      </c>
      <c r="AI582" s="49" t="e">
        <f t="shared" si="146"/>
        <v>#VALUE!</v>
      </c>
      <c r="AK582" s="50" t="e">
        <f t="shared" si="153"/>
        <v>#VALUE!</v>
      </c>
    </row>
    <row r="583" spans="1:37" x14ac:dyDescent="0.4">
      <c r="A583" s="2">
        <v>1736</v>
      </c>
      <c r="B583" s="16"/>
      <c r="C583" s="22">
        <f t="shared" si="147"/>
        <v>0</v>
      </c>
      <c r="D583" s="23">
        <f t="shared" si="154"/>
        <v>0</v>
      </c>
      <c r="E583" s="14"/>
      <c r="F583" s="12">
        <f t="shared" si="148"/>
        <v>0</v>
      </c>
      <c r="G583" s="24">
        <f t="shared" si="155"/>
        <v>0</v>
      </c>
      <c r="H583" s="14"/>
      <c r="I583" s="14"/>
      <c r="J583" s="29"/>
      <c r="K583" s="30"/>
      <c r="M583" s="17"/>
      <c r="N583" s="7" t="str">
        <f t="shared" si="139"/>
        <v/>
      </c>
      <c r="O583" s="5"/>
      <c r="P583" s="3"/>
      <c r="Q583" s="5"/>
      <c r="R583" s="7" t="str">
        <f t="shared" si="140"/>
        <v/>
      </c>
      <c r="S583" s="5"/>
      <c r="U583" s="10"/>
      <c r="V583" s="11" t="str">
        <f t="shared" si="141"/>
        <v/>
      </c>
      <c r="W583" s="6"/>
      <c r="Y583" s="10"/>
      <c r="Z583" s="11" t="str">
        <f t="shared" si="142"/>
        <v/>
      </c>
      <c r="AA583" s="6"/>
      <c r="AB583" s="1">
        <v>1.2</v>
      </c>
      <c r="AC583" s="21" t="str">
        <f t="shared" si="156"/>
        <v/>
      </c>
      <c r="AD583" s="27" t="str">
        <f t="shared" si="150"/>
        <v/>
      </c>
      <c r="AE583" s="27" t="str">
        <f t="shared" si="151"/>
        <v/>
      </c>
      <c r="AF583" s="14">
        <f t="shared" si="157"/>
        <v>0</v>
      </c>
      <c r="AG583" s="12">
        <f t="shared" si="152"/>
        <v>0</v>
      </c>
      <c r="AH583" s="24">
        <f t="shared" si="158"/>
        <v>0</v>
      </c>
      <c r="AI583" s="49" t="e">
        <f t="shared" si="146"/>
        <v>#VALUE!</v>
      </c>
      <c r="AK583" s="50" t="e">
        <f t="shared" si="153"/>
        <v>#VALUE!</v>
      </c>
    </row>
    <row r="584" spans="1:37" x14ac:dyDescent="0.4">
      <c r="A584" s="2">
        <v>1737</v>
      </c>
      <c r="B584" s="16"/>
      <c r="C584" s="22">
        <f t="shared" si="147"/>
        <v>0</v>
      </c>
      <c r="D584" s="23">
        <f t="shared" si="154"/>
        <v>0</v>
      </c>
      <c r="E584" s="14"/>
      <c r="F584" s="12">
        <f t="shared" si="148"/>
        <v>0</v>
      </c>
      <c r="G584" s="24">
        <f t="shared" si="155"/>
        <v>0</v>
      </c>
      <c r="H584" s="14"/>
      <c r="I584" s="14"/>
      <c r="J584" s="29"/>
      <c r="K584" s="30"/>
      <c r="M584" s="17"/>
      <c r="N584" s="7" t="str">
        <f t="shared" ref="N584:N647" si="159">IF(M584="","",M584*AB584)</f>
        <v/>
      </c>
      <c r="O584" s="5"/>
      <c r="P584" s="3"/>
      <c r="Q584" s="5"/>
      <c r="R584" s="7" t="str">
        <f t="shared" ref="R584:R647" si="160">IF(Q584="","",Q584*AB584)</f>
        <v/>
      </c>
      <c r="S584" s="5"/>
      <c r="U584" s="10"/>
      <c r="V584" s="11" t="str">
        <f t="shared" ref="V584:V647" si="161">IF(U584="","",U584*AB584)</f>
        <v/>
      </c>
      <c r="W584" s="6"/>
      <c r="Y584" s="10"/>
      <c r="Z584" s="11" t="str">
        <f t="shared" ref="Z584:Z647" si="162">IF(Y584="","",Y584*AB584)</f>
        <v/>
      </c>
      <c r="AA584" s="6"/>
      <c r="AB584" s="1">
        <v>1.2</v>
      </c>
      <c r="AC584" s="21" t="str">
        <f t="shared" si="156"/>
        <v/>
      </c>
      <c r="AD584" s="27" t="str">
        <f t="shared" si="150"/>
        <v/>
      </c>
      <c r="AE584" s="27" t="str">
        <f t="shared" si="151"/>
        <v/>
      </c>
      <c r="AF584" s="14">
        <f t="shared" si="157"/>
        <v>0</v>
      </c>
      <c r="AG584" s="12">
        <f t="shared" si="152"/>
        <v>0</v>
      </c>
      <c r="AH584" s="24">
        <f t="shared" si="158"/>
        <v>0</v>
      </c>
      <c r="AI584" s="49" t="e">
        <f t="shared" si="146"/>
        <v>#VALUE!</v>
      </c>
      <c r="AK584" s="50" t="e">
        <f t="shared" si="153"/>
        <v>#VALUE!</v>
      </c>
    </row>
    <row r="585" spans="1:37" x14ac:dyDescent="0.4">
      <c r="A585" s="2">
        <v>1738</v>
      </c>
      <c r="B585" s="16"/>
      <c r="C585" s="22">
        <f t="shared" si="147"/>
        <v>0</v>
      </c>
      <c r="D585" s="23">
        <f t="shared" si="154"/>
        <v>0</v>
      </c>
      <c r="E585" s="14"/>
      <c r="F585" s="12">
        <f t="shared" si="148"/>
        <v>0</v>
      </c>
      <c r="G585" s="24">
        <f t="shared" si="155"/>
        <v>0</v>
      </c>
      <c r="H585" s="14"/>
      <c r="I585" s="14"/>
      <c r="J585" s="29"/>
      <c r="K585" s="30"/>
      <c r="M585" s="17"/>
      <c r="N585" s="7" t="str">
        <f t="shared" si="159"/>
        <v/>
      </c>
      <c r="O585" s="5"/>
      <c r="P585" s="3"/>
      <c r="Q585" s="5"/>
      <c r="R585" s="7" t="str">
        <f t="shared" si="160"/>
        <v/>
      </c>
      <c r="S585" s="5"/>
      <c r="U585" s="10"/>
      <c r="V585" s="11" t="str">
        <f t="shared" si="161"/>
        <v/>
      </c>
      <c r="W585" s="6"/>
      <c r="Y585" s="10"/>
      <c r="Z585" s="11" t="str">
        <f t="shared" si="162"/>
        <v/>
      </c>
      <c r="AA585" s="6"/>
      <c r="AB585" s="1">
        <v>1.2</v>
      </c>
      <c r="AC585" s="21" t="str">
        <f t="shared" si="156"/>
        <v/>
      </c>
      <c r="AD585" s="27" t="str">
        <f t="shared" si="150"/>
        <v/>
      </c>
      <c r="AE585" s="27" t="str">
        <f t="shared" si="151"/>
        <v/>
      </c>
      <c r="AF585" s="14">
        <f t="shared" si="157"/>
        <v>0</v>
      </c>
      <c r="AG585" s="12">
        <f t="shared" si="152"/>
        <v>0</v>
      </c>
      <c r="AH585" s="24">
        <f t="shared" si="158"/>
        <v>0</v>
      </c>
      <c r="AI585" s="49" t="e">
        <f t="shared" si="146"/>
        <v>#VALUE!</v>
      </c>
      <c r="AK585" s="50" t="e">
        <f t="shared" si="153"/>
        <v>#VALUE!</v>
      </c>
    </row>
    <row r="586" spans="1:37" x14ac:dyDescent="0.4">
      <c r="A586" s="2">
        <v>1739</v>
      </c>
      <c r="B586" s="16"/>
      <c r="C586" s="22">
        <f t="shared" si="147"/>
        <v>0</v>
      </c>
      <c r="D586" s="23">
        <f t="shared" si="154"/>
        <v>0</v>
      </c>
      <c r="E586" s="14"/>
      <c r="F586" s="12">
        <f t="shared" si="148"/>
        <v>0</v>
      </c>
      <c r="G586" s="24">
        <f t="shared" si="155"/>
        <v>0</v>
      </c>
      <c r="H586" s="14"/>
      <c r="I586" s="14"/>
      <c r="J586" s="29"/>
      <c r="K586" s="30"/>
      <c r="M586" s="17"/>
      <c r="N586" s="7" t="str">
        <f t="shared" si="159"/>
        <v/>
      </c>
      <c r="O586" s="5"/>
      <c r="P586" s="3"/>
      <c r="Q586" s="5"/>
      <c r="R586" s="7" t="str">
        <f t="shared" si="160"/>
        <v/>
      </c>
      <c r="S586" s="5"/>
      <c r="U586" s="10"/>
      <c r="V586" s="11" t="str">
        <f t="shared" si="161"/>
        <v/>
      </c>
      <c r="W586" s="6"/>
      <c r="Y586" s="10"/>
      <c r="Z586" s="11" t="str">
        <f t="shared" si="162"/>
        <v/>
      </c>
      <c r="AA586" s="6"/>
      <c r="AB586" s="1">
        <v>1.2</v>
      </c>
      <c r="AC586" s="21" t="str">
        <f t="shared" si="156"/>
        <v/>
      </c>
      <c r="AD586" s="27" t="str">
        <f t="shared" si="150"/>
        <v/>
      </c>
      <c r="AE586" s="27" t="str">
        <f t="shared" si="151"/>
        <v/>
      </c>
      <c r="AF586" s="14">
        <f t="shared" si="157"/>
        <v>0</v>
      </c>
      <c r="AG586" s="12">
        <f t="shared" si="152"/>
        <v>0</v>
      </c>
      <c r="AH586" s="24">
        <f t="shared" si="158"/>
        <v>0</v>
      </c>
      <c r="AI586" s="49" t="e">
        <f t="shared" si="146"/>
        <v>#VALUE!</v>
      </c>
      <c r="AK586" s="50" t="e">
        <f t="shared" si="153"/>
        <v>#VALUE!</v>
      </c>
    </row>
    <row r="587" spans="1:37" x14ac:dyDescent="0.4">
      <c r="A587" s="2">
        <v>1740</v>
      </c>
      <c r="B587" s="16"/>
      <c r="C587" s="22">
        <f t="shared" si="147"/>
        <v>0</v>
      </c>
      <c r="D587" s="23">
        <f t="shared" si="154"/>
        <v>0</v>
      </c>
      <c r="E587" s="14"/>
      <c r="F587" s="12">
        <f t="shared" si="148"/>
        <v>0</v>
      </c>
      <c r="G587" s="24">
        <f t="shared" si="155"/>
        <v>0</v>
      </c>
      <c r="H587" s="14"/>
      <c r="I587" s="14"/>
      <c r="J587" s="29"/>
      <c r="K587" s="30"/>
      <c r="M587" s="17"/>
      <c r="N587" s="7" t="str">
        <f t="shared" si="159"/>
        <v/>
      </c>
      <c r="O587" s="5"/>
      <c r="P587" s="3"/>
      <c r="Q587" s="5"/>
      <c r="R587" s="7" t="str">
        <f t="shared" si="160"/>
        <v/>
      </c>
      <c r="S587" s="5"/>
      <c r="U587" s="10"/>
      <c r="V587" s="11" t="str">
        <f t="shared" si="161"/>
        <v/>
      </c>
      <c r="W587" s="6"/>
      <c r="Y587" s="10"/>
      <c r="Z587" s="11" t="str">
        <f t="shared" si="162"/>
        <v/>
      </c>
      <c r="AA587" s="6"/>
      <c r="AB587" s="1">
        <v>1.2</v>
      </c>
      <c r="AC587" s="21" t="str">
        <f t="shared" si="156"/>
        <v/>
      </c>
      <c r="AD587" s="27" t="str">
        <f t="shared" si="150"/>
        <v/>
      </c>
      <c r="AE587" s="27" t="str">
        <f t="shared" si="151"/>
        <v/>
      </c>
      <c r="AF587" s="14">
        <f t="shared" si="157"/>
        <v>0</v>
      </c>
      <c r="AG587" s="12">
        <f t="shared" si="152"/>
        <v>0</v>
      </c>
      <c r="AH587" s="24">
        <f t="shared" si="158"/>
        <v>0</v>
      </c>
      <c r="AI587" s="49" t="e">
        <f t="shared" si="146"/>
        <v>#VALUE!</v>
      </c>
      <c r="AK587" s="50" t="e">
        <f t="shared" si="153"/>
        <v>#VALUE!</v>
      </c>
    </row>
    <row r="588" spans="1:37" x14ac:dyDescent="0.4">
      <c r="A588" s="2">
        <v>1741</v>
      </c>
      <c r="B588" s="16"/>
      <c r="C588" s="22">
        <f t="shared" si="147"/>
        <v>0</v>
      </c>
      <c r="D588" s="23">
        <f t="shared" si="154"/>
        <v>0</v>
      </c>
      <c r="E588" s="14"/>
      <c r="F588" s="12">
        <f t="shared" si="148"/>
        <v>0</v>
      </c>
      <c r="G588" s="24">
        <f t="shared" si="155"/>
        <v>0</v>
      </c>
      <c r="H588" s="14"/>
      <c r="I588" s="14"/>
      <c r="J588" s="29"/>
      <c r="K588" s="30"/>
      <c r="M588" s="17"/>
      <c r="N588" s="7" t="str">
        <f t="shared" si="159"/>
        <v/>
      </c>
      <c r="O588" s="5"/>
      <c r="P588" s="3"/>
      <c r="Q588" s="5"/>
      <c r="R588" s="7" t="str">
        <f t="shared" si="160"/>
        <v/>
      </c>
      <c r="S588" s="5"/>
      <c r="U588" s="10"/>
      <c r="V588" s="11" t="str">
        <f t="shared" si="161"/>
        <v/>
      </c>
      <c r="W588" s="6"/>
      <c r="Y588" s="10"/>
      <c r="Z588" s="11" t="str">
        <f t="shared" si="162"/>
        <v/>
      </c>
      <c r="AA588" s="6"/>
      <c r="AB588" s="1">
        <v>1.2</v>
      </c>
      <c r="AC588" s="21" t="str">
        <f t="shared" si="156"/>
        <v/>
      </c>
      <c r="AD588" s="27" t="str">
        <f t="shared" si="150"/>
        <v/>
      </c>
      <c r="AE588" s="27" t="str">
        <f t="shared" si="151"/>
        <v/>
      </c>
      <c r="AF588" s="14">
        <f t="shared" si="157"/>
        <v>0</v>
      </c>
      <c r="AG588" s="12">
        <f t="shared" si="152"/>
        <v>0</v>
      </c>
      <c r="AH588" s="24">
        <f t="shared" si="158"/>
        <v>0</v>
      </c>
      <c r="AI588" s="49" t="e">
        <f t="shared" si="146"/>
        <v>#VALUE!</v>
      </c>
      <c r="AK588" s="50" t="e">
        <f t="shared" si="153"/>
        <v>#VALUE!</v>
      </c>
    </row>
    <row r="589" spans="1:37" x14ac:dyDescent="0.4">
      <c r="A589" s="2">
        <v>1742</v>
      </c>
      <c r="B589" s="16"/>
      <c r="C589" s="22">
        <f t="shared" si="147"/>
        <v>0</v>
      </c>
      <c r="D589" s="23">
        <f t="shared" si="154"/>
        <v>0</v>
      </c>
      <c r="E589" s="14"/>
      <c r="F589" s="12">
        <f t="shared" si="148"/>
        <v>0</v>
      </c>
      <c r="G589" s="24">
        <f t="shared" si="155"/>
        <v>0</v>
      </c>
      <c r="H589" s="14"/>
      <c r="I589" s="14"/>
      <c r="J589" s="29"/>
      <c r="K589" s="30"/>
      <c r="M589" s="17"/>
      <c r="N589" s="7" t="str">
        <f t="shared" si="159"/>
        <v/>
      </c>
      <c r="O589" s="5"/>
      <c r="P589" s="3"/>
      <c r="Q589" s="5"/>
      <c r="R589" s="7" t="str">
        <f t="shared" si="160"/>
        <v/>
      </c>
      <c r="S589" s="5"/>
      <c r="U589" s="10"/>
      <c r="V589" s="11" t="str">
        <f t="shared" si="161"/>
        <v/>
      </c>
      <c r="W589" s="6"/>
      <c r="Y589" s="10"/>
      <c r="Z589" s="11" t="str">
        <f t="shared" si="162"/>
        <v/>
      </c>
      <c r="AA589" s="6"/>
      <c r="AB589" s="1">
        <v>1.2</v>
      </c>
      <c r="AC589" s="21" t="str">
        <f t="shared" si="156"/>
        <v/>
      </c>
      <c r="AD589" s="27" t="str">
        <f t="shared" si="150"/>
        <v/>
      </c>
      <c r="AE589" s="27" t="str">
        <f t="shared" ref="AE589:AE652" si="163">IF(I589="","",TEXT(I589-B589,"[hh]:mm"))</f>
        <v/>
      </c>
      <c r="AF589" s="14">
        <f t="shared" si="157"/>
        <v>0</v>
      </c>
      <c r="AG589" s="12">
        <f t="shared" si="152"/>
        <v>0</v>
      </c>
      <c r="AH589" s="24">
        <f t="shared" si="158"/>
        <v>0</v>
      </c>
      <c r="AI589" s="49" t="e">
        <f t="shared" ref="AI589:AI652" si="164">MAX(VALUE(AC589),VALUE(AD589),VALUE(AE589))</f>
        <v>#VALUE!</v>
      </c>
      <c r="AK589" s="50" t="e">
        <f t="shared" si="153"/>
        <v>#VALUE!</v>
      </c>
    </row>
    <row r="590" spans="1:37" x14ac:dyDescent="0.4">
      <c r="A590" s="2">
        <v>1743</v>
      </c>
      <c r="B590" s="16"/>
      <c r="C590" s="22">
        <f t="shared" si="147"/>
        <v>0</v>
      </c>
      <c r="D590" s="23">
        <f t="shared" si="154"/>
        <v>0</v>
      </c>
      <c r="E590" s="14"/>
      <c r="F590" s="12">
        <f t="shared" si="148"/>
        <v>0</v>
      </c>
      <c r="G590" s="24">
        <f t="shared" si="155"/>
        <v>0</v>
      </c>
      <c r="H590" s="14"/>
      <c r="I590" s="14"/>
      <c r="J590" s="29"/>
      <c r="K590" s="30"/>
      <c r="M590" s="17"/>
      <c r="N590" s="7" t="str">
        <f t="shared" si="159"/>
        <v/>
      </c>
      <c r="O590" s="5"/>
      <c r="P590" s="3"/>
      <c r="Q590" s="5"/>
      <c r="R590" s="7" t="str">
        <f t="shared" si="160"/>
        <v/>
      </c>
      <c r="S590" s="5"/>
      <c r="U590" s="10"/>
      <c r="V590" s="11" t="str">
        <f t="shared" si="161"/>
        <v/>
      </c>
      <c r="W590" s="6"/>
      <c r="Y590" s="10"/>
      <c r="Z590" s="11" t="str">
        <f t="shared" si="162"/>
        <v/>
      </c>
      <c r="AA590" s="6"/>
      <c r="AB590" s="1">
        <v>1.2</v>
      </c>
      <c r="AC590" s="21" t="str">
        <f t="shared" si="156"/>
        <v/>
      </c>
      <c r="AD590" s="27" t="str">
        <f t="shared" si="150"/>
        <v/>
      </c>
      <c r="AE590" s="27" t="str">
        <f t="shared" si="163"/>
        <v/>
      </c>
      <c r="AF590" s="14">
        <f t="shared" si="157"/>
        <v>0</v>
      </c>
      <c r="AG590" s="12">
        <f t="shared" si="152"/>
        <v>0</v>
      </c>
      <c r="AH590" s="24">
        <f t="shared" si="158"/>
        <v>0</v>
      </c>
      <c r="AI590" s="49" t="e">
        <f t="shared" si="164"/>
        <v>#VALUE!</v>
      </c>
      <c r="AK590" s="50" t="e">
        <f t="shared" si="153"/>
        <v>#VALUE!</v>
      </c>
    </row>
    <row r="591" spans="1:37" x14ac:dyDescent="0.4">
      <c r="A591" s="2">
        <v>1744</v>
      </c>
      <c r="B591" s="16"/>
      <c r="C591" s="22">
        <f t="shared" si="147"/>
        <v>0</v>
      </c>
      <c r="D591" s="23">
        <f t="shared" si="154"/>
        <v>0</v>
      </c>
      <c r="E591" s="14"/>
      <c r="F591" s="12">
        <f t="shared" si="148"/>
        <v>0</v>
      </c>
      <c r="G591" s="24">
        <f t="shared" si="155"/>
        <v>0</v>
      </c>
      <c r="H591" s="14"/>
      <c r="I591" s="14"/>
      <c r="J591" s="29"/>
      <c r="K591" s="30"/>
      <c r="M591" s="17"/>
      <c r="N591" s="7" t="str">
        <f t="shared" si="159"/>
        <v/>
      </c>
      <c r="O591" s="5"/>
      <c r="P591" s="3"/>
      <c r="Q591" s="5"/>
      <c r="R591" s="7" t="str">
        <f t="shared" si="160"/>
        <v/>
      </c>
      <c r="S591" s="5"/>
      <c r="U591" s="10"/>
      <c r="V591" s="11" t="str">
        <f t="shared" si="161"/>
        <v/>
      </c>
      <c r="W591" s="6"/>
      <c r="Y591" s="10"/>
      <c r="Z591" s="11" t="str">
        <f t="shared" si="162"/>
        <v/>
      </c>
      <c r="AA591" s="6"/>
      <c r="AB591" s="1">
        <v>1.2</v>
      </c>
      <c r="AC591" s="21" t="str">
        <f t="shared" si="156"/>
        <v/>
      </c>
      <c r="AD591" s="27" t="str">
        <f t="shared" si="150"/>
        <v/>
      </c>
      <c r="AE591" s="27" t="str">
        <f t="shared" si="163"/>
        <v/>
      </c>
      <c r="AF591" s="14">
        <f t="shared" si="157"/>
        <v>0</v>
      </c>
      <c r="AG591" s="12">
        <f t="shared" si="152"/>
        <v>0</v>
      </c>
      <c r="AH591" s="24">
        <f t="shared" si="158"/>
        <v>0</v>
      </c>
      <c r="AI591" s="49" t="e">
        <f t="shared" si="164"/>
        <v>#VALUE!</v>
      </c>
      <c r="AK591" s="50" t="e">
        <f t="shared" si="153"/>
        <v>#VALUE!</v>
      </c>
    </row>
    <row r="592" spans="1:37" x14ac:dyDescent="0.4">
      <c r="A592" s="2">
        <v>1745</v>
      </c>
      <c r="B592" s="16"/>
      <c r="C592" s="22">
        <f t="shared" si="147"/>
        <v>0</v>
      </c>
      <c r="D592" s="23">
        <f t="shared" si="154"/>
        <v>0</v>
      </c>
      <c r="E592" s="14"/>
      <c r="F592" s="12">
        <f t="shared" si="148"/>
        <v>0</v>
      </c>
      <c r="G592" s="24">
        <f t="shared" si="155"/>
        <v>0</v>
      </c>
      <c r="H592" s="14"/>
      <c r="I592" s="14"/>
      <c r="J592" s="29"/>
      <c r="K592" s="30"/>
      <c r="M592" s="17"/>
      <c r="N592" s="7" t="str">
        <f t="shared" si="159"/>
        <v/>
      </c>
      <c r="O592" s="5"/>
      <c r="P592" s="3"/>
      <c r="Q592" s="5"/>
      <c r="R592" s="7" t="str">
        <f t="shared" si="160"/>
        <v/>
      </c>
      <c r="S592" s="5"/>
      <c r="U592" s="10"/>
      <c r="V592" s="11" t="str">
        <f t="shared" si="161"/>
        <v/>
      </c>
      <c r="W592" s="6"/>
      <c r="Y592" s="10"/>
      <c r="Z592" s="11" t="str">
        <f t="shared" si="162"/>
        <v/>
      </c>
      <c r="AA592" s="6"/>
      <c r="AB592" s="1">
        <v>1.2</v>
      </c>
      <c r="AC592" s="21" t="str">
        <f t="shared" si="156"/>
        <v/>
      </c>
      <c r="AD592" s="27" t="str">
        <f t="shared" si="150"/>
        <v/>
      </c>
      <c r="AE592" s="27" t="str">
        <f t="shared" si="163"/>
        <v/>
      </c>
      <c r="AF592" s="14">
        <f t="shared" si="157"/>
        <v>0</v>
      </c>
      <c r="AG592" s="12">
        <f t="shared" si="152"/>
        <v>0</v>
      </c>
      <c r="AH592" s="24">
        <f t="shared" si="158"/>
        <v>0</v>
      </c>
      <c r="AI592" s="49" t="e">
        <f t="shared" si="164"/>
        <v>#VALUE!</v>
      </c>
      <c r="AK592" s="50" t="e">
        <f t="shared" si="153"/>
        <v>#VALUE!</v>
      </c>
    </row>
    <row r="593" spans="1:37" x14ac:dyDescent="0.4">
      <c r="A593" s="2">
        <v>1746</v>
      </c>
      <c r="B593" s="16"/>
      <c r="C593" s="22">
        <f t="shared" si="147"/>
        <v>0</v>
      </c>
      <c r="D593" s="23">
        <f t="shared" si="154"/>
        <v>0</v>
      </c>
      <c r="E593" s="14"/>
      <c r="F593" s="12">
        <f t="shared" si="148"/>
        <v>0</v>
      </c>
      <c r="G593" s="24">
        <f t="shared" si="155"/>
        <v>0</v>
      </c>
      <c r="H593" s="14"/>
      <c r="I593" s="14"/>
      <c r="J593" s="29"/>
      <c r="K593" s="30"/>
      <c r="M593" s="17"/>
      <c r="N593" s="7" t="str">
        <f t="shared" si="159"/>
        <v/>
      </c>
      <c r="O593" s="5"/>
      <c r="P593" s="3"/>
      <c r="Q593" s="5"/>
      <c r="R593" s="7" t="str">
        <f t="shared" si="160"/>
        <v/>
      </c>
      <c r="S593" s="5"/>
      <c r="U593" s="10"/>
      <c r="V593" s="11" t="str">
        <f t="shared" si="161"/>
        <v/>
      </c>
      <c r="W593" s="6"/>
      <c r="Y593" s="10"/>
      <c r="Z593" s="11" t="str">
        <f t="shared" si="162"/>
        <v/>
      </c>
      <c r="AA593" s="6"/>
      <c r="AB593" s="1">
        <v>1.2</v>
      </c>
      <c r="AC593" s="21" t="str">
        <f t="shared" si="156"/>
        <v/>
      </c>
      <c r="AD593" s="27" t="str">
        <f t="shared" si="150"/>
        <v/>
      </c>
      <c r="AE593" s="27" t="str">
        <f t="shared" si="163"/>
        <v/>
      </c>
      <c r="AF593" s="14">
        <f t="shared" si="157"/>
        <v>0</v>
      </c>
      <c r="AG593" s="12">
        <f t="shared" si="152"/>
        <v>0</v>
      </c>
      <c r="AH593" s="24">
        <f t="shared" si="158"/>
        <v>0</v>
      </c>
      <c r="AI593" s="49" t="e">
        <f t="shared" si="164"/>
        <v>#VALUE!</v>
      </c>
      <c r="AK593" s="50" t="e">
        <f t="shared" si="153"/>
        <v>#VALUE!</v>
      </c>
    </row>
    <row r="594" spans="1:37" x14ac:dyDescent="0.4">
      <c r="A594" s="2">
        <v>1747</v>
      </c>
      <c r="B594" s="16"/>
      <c r="C594" s="22">
        <f t="shared" si="147"/>
        <v>0</v>
      </c>
      <c r="D594" s="23">
        <f t="shared" si="154"/>
        <v>0</v>
      </c>
      <c r="E594" s="14"/>
      <c r="F594" s="12">
        <f t="shared" si="148"/>
        <v>0</v>
      </c>
      <c r="G594" s="24">
        <f t="shared" si="155"/>
        <v>0</v>
      </c>
      <c r="H594" s="14"/>
      <c r="I594" s="14"/>
      <c r="J594" s="29"/>
      <c r="K594" s="30"/>
      <c r="M594" s="17"/>
      <c r="N594" s="7" t="str">
        <f t="shared" si="159"/>
        <v/>
      </c>
      <c r="O594" s="5"/>
      <c r="P594" s="3"/>
      <c r="Q594" s="5"/>
      <c r="R594" s="7" t="str">
        <f t="shared" si="160"/>
        <v/>
      </c>
      <c r="S594" s="5"/>
      <c r="U594" s="10"/>
      <c r="V594" s="11" t="str">
        <f t="shared" si="161"/>
        <v/>
      </c>
      <c r="W594" s="6"/>
      <c r="Y594" s="10"/>
      <c r="Z594" s="11" t="str">
        <f t="shared" si="162"/>
        <v/>
      </c>
      <c r="AA594" s="6"/>
      <c r="AB594" s="1">
        <v>1.2</v>
      </c>
      <c r="AC594" s="21" t="str">
        <f t="shared" si="156"/>
        <v/>
      </c>
      <c r="AD594" s="27" t="str">
        <f t="shared" si="150"/>
        <v/>
      </c>
      <c r="AE594" s="27" t="str">
        <f t="shared" si="163"/>
        <v/>
      </c>
      <c r="AF594" s="14">
        <f t="shared" si="157"/>
        <v>0</v>
      </c>
      <c r="AG594" s="12">
        <f t="shared" si="152"/>
        <v>0</v>
      </c>
      <c r="AH594" s="24">
        <f t="shared" si="158"/>
        <v>0</v>
      </c>
      <c r="AI594" s="49" t="e">
        <f t="shared" si="164"/>
        <v>#VALUE!</v>
      </c>
      <c r="AK594" s="50" t="e">
        <f t="shared" si="153"/>
        <v>#VALUE!</v>
      </c>
    </row>
    <row r="595" spans="1:37" x14ac:dyDescent="0.4">
      <c r="A595" s="2">
        <v>1748</v>
      </c>
      <c r="B595" s="16"/>
      <c r="C595" s="22">
        <f t="shared" si="147"/>
        <v>0</v>
      </c>
      <c r="D595" s="23">
        <f t="shared" si="154"/>
        <v>0</v>
      </c>
      <c r="E595" s="14"/>
      <c r="F595" s="12">
        <f t="shared" si="148"/>
        <v>0</v>
      </c>
      <c r="G595" s="24">
        <f t="shared" si="155"/>
        <v>0</v>
      </c>
      <c r="H595" s="14"/>
      <c r="I595" s="14"/>
      <c r="J595" s="29"/>
      <c r="K595" s="30"/>
      <c r="M595" s="17"/>
      <c r="N595" s="7" t="str">
        <f t="shared" si="159"/>
        <v/>
      </c>
      <c r="O595" s="5"/>
      <c r="P595" s="3"/>
      <c r="Q595" s="5"/>
      <c r="R595" s="7" t="str">
        <f t="shared" si="160"/>
        <v/>
      </c>
      <c r="S595" s="5"/>
      <c r="U595" s="10"/>
      <c r="V595" s="11" t="str">
        <f t="shared" si="161"/>
        <v/>
      </c>
      <c r="W595" s="6"/>
      <c r="Y595" s="10"/>
      <c r="Z595" s="11" t="str">
        <f t="shared" si="162"/>
        <v/>
      </c>
      <c r="AA595" s="6"/>
      <c r="AB595" s="1">
        <v>1.2</v>
      </c>
      <c r="AC595" s="21" t="str">
        <f t="shared" si="156"/>
        <v/>
      </c>
      <c r="AD595" s="27" t="str">
        <f t="shared" si="150"/>
        <v/>
      </c>
      <c r="AE595" s="27" t="str">
        <f t="shared" si="163"/>
        <v/>
      </c>
      <c r="AF595" s="14">
        <f t="shared" si="157"/>
        <v>0</v>
      </c>
      <c r="AG595" s="12">
        <f t="shared" si="152"/>
        <v>0</v>
      </c>
      <c r="AH595" s="24">
        <f t="shared" si="158"/>
        <v>0</v>
      </c>
      <c r="AI595" s="49" t="e">
        <f t="shared" si="164"/>
        <v>#VALUE!</v>
      </c>
      <c r="AK595" s="50" t="e">
        <f t="shared" si="153"/>
        <v>#VALUE!</v>
      </c>
    </row>
    <row r="596" spans="1:37" x14ac:dyDescent="0.4">
      <c r="A596" s="2">
        <v>1749</v>
      </c>
      <c r="B596" s="16"/>
      <c r="C596" s="22">
        <f t="shared" si="147"/>
        <v>0</v>
      </c>
      <c r="D596" s="23">
        <f t="shared" si="154"/>
        <v>0</v>
      </c>
      <c r="E596" s="14"/>
      <c r="F596" s="12">
        <f t="shared" si="148"/>
        <v>0</v>
      </c>
      <c r="G596" s="24">
        <f t="shared" si="155"/>
        <v>0</v>
      </c>
      <c r="H596" s="14"/>
      <c r="I596" s="14"/>
      <c r="J596" s="29"/>
      <c r="K596" s="30"/>
      <c r="M596" s="17"/>
      <c r="N596" s="7" t="str">
        <f t="shared" si="159"/>
        <v/>
      </c>
      <c r="O596" s="5"/>
      <c r="P596" s="3"/>
      <c r="Q596" s="5"/>
      <c r="R596" s="7" t="str">
        <f t="shared" si="160"/>
        <v/>
      </c>
      <c r="S596" s="5"/>
      <c r="U596" s="10"/>
      <c r="V596" s="11" t="str">
        <f t="shared" si="161"/>
        <v/>
      </c>
      <c r="W596" s="6"/>
      <c r="Y596" s="10"/>
      <c r="Z596" s="11" t="str">
        <f t="shared" si="162"/>
        <v/>
      </c>
      <c r="AA596" s="6"/>
      <c r="AB596" s="1">
        <v>1.2</v>
      </c>
      <c r="AC596" s="21" t="str">
        <f t="shared" si="156"/>
        <v/>
      </c>
      <c r="AD596" s="27" t="str">
        <f t="shared" si="150"/>
        <v/>
      </c>
      <c r="AE596" s="27" t="str">
        <f t="shared" si="163"/>
        <v/>
      </c>
      <c r="AF596" s="14">
        <f t="shared" si="157"/>
        <v>0</v>
      </c>
      <c r="AG596" s="12">
        <f t="shared" si="152"/>
        <v>0</v>
      </c>
      <c r="AH596" s="24">
        <f t="shared" si="158"/>
        <v>0</v>
      </c>
      <c r="AI596" s="49" t="e">
        <f t="shared" si="164"/>
        <v>#VALUE!</v>
      </c>
      <c r="AK596" s="50" t="e">
        <f t="shared" si="153"/>
        <v>#VALUE!</v>
      </c>
    </row>
    <row r="597" spans="1:37" x14ac:dyDescent="0.4">
      <c r="A597" s="2">
        <v>1750</v>
      </c>
      <c r="B597" s="16"/>
      <c r="C597" s="22">
        <f t="shared" si="147"/>
        <v>0</v>
      </c>
      <c r="D597" s="23">
        <f t="shared" si="154"/>
        <v>0</v>
      </c>
      <c r="E597" s="14"/>
      <c r="F597" s="12">
        <f t="shared" si="148"/>
        <v>0</v>
      </c>
      <c r="G597" s="24">
        <f t="shared" si="155"/>
        <v>0</v>
      </c>
      <c r="H597" s="14"/>
      <c r="I597" s="14"/>
      <c r="J597" s="29"/>
      <c r="K597" s="30"/>
      <c r="M597" s="17"/>
      <c r="N597" s="7" t="str">
        <f t="shared" si="159"/>
        <v/>
      </c>
      <c r="O597" s="5"/>
      <c r="P597" s="3"/>
      <c r="Q597" s="5"/>
      <c r="R597" s="7" t="str">
        <f t="shared" si="160"/>
        <v/>
      </c>
      <c r="S597" s="5"/>
      <c r="U597" s="10"/>
      <c r="V597" s="11" t="str">
        <f t="shared" si="161"/>
        <v/>
      </c>
      <c r="W597" s="6"/>
      <c r="Y597" s="10"/>
      <c r="Z597" s="11" t="str">
        <f t="shared" si="162"/>
        <v/>
      </c>
      <c r="AA597" s="6"/>
      <c r="AB597" s="1">
        <v>1.2</v>
      </c>
      <c r="AC597" s="21" t="str">
        <f t="shared" si="156"/>
        <v/>
      </c>
      <c r="AD597" s="27" t="str">
        <f t="shared" si="150"/>
        <v/>
      </c>
      <c r="AE597" s="27" t="str">
        <f t="shared" si="163"/>
        <v/>
      </c>
      <c r="AF597" s="14">
        <f t="shared" si="157"/>
        <v>0</v>
      </c>
      <c r="AG597" s="12">
        <f t="shared" si="152"/>
        <v>0</v>
      </c>
      <c r="AH597" s="24">
        <f t="shared" si="158"/>
        <v>0</v>
      </c>
      <c r="AI597" s="49" t="e">
        <f t="shared" si="164"/>
        <v>#VALUE!</v>
      </c>
      <c r="AK597" s="50" t="e">
        <f t="shared" si="153"/>
        <v>#VALUE!</v>
      </c>
    </row>
    <row r="598" spans="1:37" x14ac:dyDescent="0.4">
      <c r="A598" s="2">
        <v>1751</v>
      </c>
      <c r="B598" s="16"/>
      <c r="C598" s="22">
        <f t="shared" si="147"/>
        <v>0</v>
      </c>
      <c r="D598" s="23">
        <f t="shared" si="154"/>
        <v>0</v>
      </c>
      <c r="E598" s="14"/>
      <c r="F598" s="12">
        <f t="shared" si="148"/>
        <v>0</v>
      </c>
      <c r="G598" s="24">
        <f t="shared" si="155"/>
        <v>0</v>
      </c>
      <c r="H598" s="14"/>
      <c r="I598" s="14"/>
      <c r="J598" s="29"/>
      <c r="K598" s="30"/>
      <c r="M598" s="17"/>
      <c r="N598" s="7" t="str">
        <f t="shared" si="159"/>
        <v/>
      </c>
      <c r="O598" s="5"/>
      <c r="P598" s="3"/>
      <c r="Q598" s="5"/>
      <c r="R598" s="7" t="str">
        <f t="shared" si="160"/>
        <v/>
      </c>
      <c r="S598" s="5"/>
      <c r="U598" s="10"/>
      <c r="V598" s="11" t="str">
        <f t="shared" si="161"/>
        <v/>
      </c>
      <c r="W598" s="6"/>
      <c r="Y598" s="10"/>
      <c r="Z598" s="11" t="str">
        <f t="shared" si="162"/>
        <v/>
      </c>
      <c r="AA598" s="6"/>
      <c r="AB598" s="1">
        <v>1.2</v>
      </c>
      <c r="AC598" s="21" t="str">
        <f t="shared" si="156"/>
        <v/>
      </c>
      <c r="AD598" s="27" t="str">
        <f t="shared" ref="AD598:AD661" si="165">IF(H598="","",TEXT(H598-B598,"[hh]:mm"))</f>
        <v/>
      </c>
      <c r="AE598" s="27" t="str">
        <f t="shared" si="163"/>
        <v/>
      </c>
      <c r="AF598" s="14">
        <f t="shared" si="157"/>
        <v>0</v>
      </c>
      <c r="AG598" s="12">
        <f t="shared" si="152"/>
        <v>0</v>
      </c>
      <c r="AH598" s="24">
        <f t="shared" si="158"/>
        <v>0</v>
      </c>
      <c r="AI598" s="49" t="e">
        <f t="shared" si="164"/>
        <v>#VALUE!</v>
      </c>
      <c r="AK598" s="50" t="e">
        <f t="shared" si="153"/>
        <v>#VALUE!</v>
      </c>
    </row>
    <row r="599" spans="1:37" x14ac:dyDescent="0.4">
      <c r="A599" s="2">
        <v>1752</v>
      </c>
      <c r="B599" s="16"/>
      <c r="C599" s="22">
        <f t="shared" ref="C599:C662" si="166">INT(B599)</f>
        <v>0</v>
      </c>
      <c r="D599" s="23">
        <f t="shared" si="154"/>
        <v>0</v>
      </c>
      <c r="E599" s="14"/>
      <c r="F599" s="12">
        <f t="shared" ref="F599:F662" si="167">INT(E599)</f>
        <v>0</v>
      </c>
      <c r="G599" s="24">
        <f t="shared" si="155"/>
        <v>0</v>
      </c>
      <c r="H599" s="14"/>
      <c r="I599" s="14"/>
      <c r="J599" s="29"/>
      <c r="K599" s="30"/>
      <c r="M599" s="17"/>
      <c r="N599" s="7" t="str">
        <f t="shared" si="159"/>
        <v/>
      </c>
      <c r="O599" s="5"/>
      <c r="P599" s="3"/>
      <c r="Q599" s="5"/>
      <c r="R599" s="7" t="str">
        <f t="shared" si="160"/>
        <v/>
      </c>
      <c r="S599" s="5"/>
      <c r="U599" s="10"/>
      <c r="V599" s="11" t="str">
        <f t="shared" si="161"/>
        <v/>
      </c>
      <c r="W599" s="6"/>
      <c r="Y599" s="10"/>
      <c r="Z599" s="11" t="str">
        <f t="shared" si="162"/>
        <v/>
      </c>
      <c r="AA599" s="6"/>
      <c r="AB599" s="1">
        <v>1.2</v>
      </c>
      <c r="AC599" s="21" t="str">
        <f t="shared" si="156"/>
        <v/>
      </c>
      <c r="AD599" s="27" t="str">
        <f t="shared" si="165"/>
        <v/>
      </c>
      <c r="AE599" s="27" t="str">
        <f t="shared" si="163"/>
        <v/>
      </c>
      <c r="AF599" s="14">
        <f t="shared" si="157"/>
        <v>0</v>
      </c>
      <c r="AG599" s="12">
        <f t="shared" ref="AG599:AG662" si="168">INT(AF599)</f>
        <v>0</v>
      </c>
      <c r="AH599" s="24">
        <f t="shared" si="158"/>
        <v>0</v>
      </c>
      <c r="AI599" s="49" t="e">
        <f t="shared" si="164"/>
        <v>#VALUE!</v>
      </c>
      <c r="AK599" s="50" t="e">
        <f t="shared" ref="AK599:AK662" si="169">IF(VALUE(AI599)&lt;=VALUE($AK$3),"BOM","RUIM")</f>
        <v>#VALUE!</v>
      </c>
    </row>
    <row r="600" spans="1:37" x14ac:dyDescent="0.4">
      <c r="A600" s="2">
        <v>1753</v>
      </c>
      <c r="B600" s="16"/>
      <c r="C600" s="22">
        <f t="shared" si="166"/>
        <v>0</v>
      </c>
      <c r="D600" s="23">
        <f t="shared" si="154"/>
        <v>0</v>
      </c>
      <c r="E600" s="14"/>
      <c r="F600" s="12">
        <f t="shared" si="167"/>
        <v>0</v>
      </c>
      <c r="G600" s="24">
        <f t="shared" si="155"/>
        <v>0</v>
      </c>
      <c r="H600" s="14"/>
      <c r="I600" s="14"/>
      <c r="J600" s="29"/>
      <c r="K600" s="30"/>
      <c r="M600" s="17"/>
      <c r="N600" s="7" t="str">
        <f t="shared" si="159"/>
        <v/>
      </c>
      <c r="O600" s="5"/>
      <c r="P600" s="3"/>
      <c r="Q600" s="5"/>
      <c r="R600" s="7" t="str">
        <f t="shared" si="160"/>
        <v/>
      </c>
      <c r="S600" s="5"/>
      <c r="U600" s="10"/>
      <c r="V600" s="11" t="str">
        <f t="shared" si="161"/>
        <v/>
      </c>
      <c r="W600" s="6"/>
      <c r="Y600" s="10"/>
      <c r="Z600" s="11" t="str">
        <f t="shared" si="162"/>
        <v/>
      </c>
      <c r="AA600" s="6"/>
      <c r="AB600" s="1">
        <v>1.2</v>
      </c>
      <c r="AC600" s="21" t="str">
        <f t="shared" si="156"/>
        <v/>
      </c>
      <c r="AD600" s="27" t="str">
        <f t="shared" si="165"/>
        <v/>
      </c>
      <c r="AE600" s="27" t="str">
        <f t="shared" si="163"/>
        <v/>
      </c>
      <c r="AF600" s="14">
        <f t="shared" si="157"/>
        <v>0</v>
      </c>
      <c r="AG600" s="12">
        <f t="shared" si="168"/>
        <v>0</v>
      </c>
      <c r="AH600" s="24">
        <f t="shared" si="158"/>
        <v>0</v>
      </c>
      <c r="AI600" s="49" t="e">
        <f t="shared" si="164"/>
        <v>#VALUE!</v>
      </c>
      <c r="AK600" s="50" t="e">
        <f t="shared" si="169"/>
        <v>#VALUE!</v>
      </c>
    </row>
    <row r="601" spans="1:37" x14ac:dyDescent="0.4">
      <c r="A601" s="2">
        <v>1754</v>
      </c>
      <c r="B601" s="16"/>
      <c r="C601" s="22">
        <f t="shared" si="166"/>
        <v>0</v>
      </c>
      <c r="D601" s="23">
        <f t="shared" si="154"/>
        <v>0</v>
      </c>
      <c r="E601" s="14"/>
      <c r="F601" s="12">
        <f t="shared" si="167"/>
        <v>0</v>
      </c>
      <c r="G601" s="24">
        <f t="shared" si="155"/>
        <v>0</v>
      </c>
      <c r="H601" s="14"/>
      <c r="I601" s="14"/>
      <c r="J601" s="29"/>
      <c r="K601" s="30"/>
      <c r="M601" s="17"/>
      <c r="N601" s="7" t="str">
        <f t="shared" si="159"/>
        <v/>
      </c>
      <c r="O601" s="5"/>
      <c r="P601" s="3"/>
      <c r="Q601" s="5"/>
      <c r="R601" s="7" t="str">
        <f t="shared" si="160"/>
        <v/>
      </c>
      <c r="S601" s="5"/>
      <c r="U601" s="10"/>
      <c r="V601" s="11" t="str">
        <f t="shared" si="161"/>
        <v/>
      </c>
      <c r="W601" s="6"/>
      <c r="Y601" s="10"/>
      <c r="Z601" s="11" t="str">
        <f t="shared" si="162"/>
        <v/>
      </c>
      <c r="AA601" s="6"/>
      <c r="AB601" s="1">
        <v>1.2</v>
      </c>
      <c r="AC601" s="21" t="str">
        <f t="shared" si="156"/>
        <v/>
      </c>
      <c r="AD601" s="27" t="str">
        <f t="shared" si="165"/>
        <v/>
      </c>
      <c r="AE601" s="27" t="str">
        <f t="shared" si="163"/>
        <v/>
      </c>
      <c r="AF601" s="14">
        <f t="shared" si="157"/>
        <v>0</v>
      </c>
      <c r="AG601" s="12">
        <f t="shared" si="168"/>
        <v>0</v>
      </c>
      <c r="AH601" s="24">
        <f t="shared" si="158"/>
        <v>0</v>
      </c>
      <c r="AI601" s="49" t="e">
        <f t="shared" si="164"/>
        <v>#VALUE!</v>
      </c>
      <c r="AK601" s="50" t="e">
        <f t="shared" si="169"/>
        <v>#VALUE!</v>
      </c>
    </row>
    <row r="602" spans="1:37" x14ac:dyDescent="0.4">
      <c r="A602" s="2">
        <v>1755</v>
      </c>
      <c r="B602" s="16"/>
      <c r="C602" s="22">
        <f t="shared" si="166"/>
        <v>0</v>
      </c>
      <c r="D602" s="23">
        <f t="shared" si="154"/>
        <v>0</v>
      </c>
      <c r="E602" s="14"/>
      <c r="F602" s="12">
        <f t="shared" si="167"/>
        <v>0</v>
      </c>
      <c r="G602" s="24">
        <f t="shared" si="155"/>
        <v>0</v>
      </c>
      <c r="H602" s="14"/>
      <c r="I602" s="14"/>
      <c r="J602" s="29"/>
      <c r="K602" s="30"/>
      <c r="M602" s="17"/>
      <c r="N602" s="7" t="str">
        <f t="shared" si="159"/>
        <v/>
      </c>
      <c r="O602" s="5"/>
      <c r="P602" s="3"/>
      <c r="Q602" s="5"/>
      <c r="R602" s="7" t="str">
        <f t="shared" si="160"/>
        <v/>
      </c>
      <c r="S602" s="5"/>
      <c r="U602" s="10"/>
      <c r="V602" s="11" t="str">
        <f t="shared" si="161"/>
        <v/>
      </c>
      <c r="W602" s="6"/>
      <c r="Y602" s="10"/>
      <c r="Z602" s="11" t="str">
        <f t="shared" si="162"/>
        <v/>
      </c>
      <c r="AA602" s="6"/>
      <c r="AB602" s="1">
        <v>1.2</v>
      </c>
      <c r="AC602" s="21" t="str">
        <f t="shared" si="156"/>
        <v/>
      </c>
      <c r="AD602" s="27" t="str">
        <f t="shared" si="165"/>
        <v/>
      </c>
      <c r="AE602" s="27" t="str">
        <f t="shared" si="163"/>
        <v/>
      </c>
      <c r="AF602" s="14">
        <f t="shared" si="157"/>
        <v>0</v>
      </c>
      <c r="AG602" s="12">
        <f t="shared" si="168"/>
        <v>0</v>
      </c>
      <c r="AH602" s="24">
        <f t="shared" si="158"/>
        <v>0</v>
      </c>
      <c r="AI602" s="49" t="e">
        <f t="shared" si="164"/>
        <v>#VALUE!</v>
      </c>
      <c r="AK602" s="50" t="e">
        <f t="shared" si="169"/>
        <v>#VALUE!</v>
      </c>
    </row>
    <row r="603" spans="1:37" x14ac:dyDescent="0.4">
      <c r="A603" s="2">
        <v>1756</v>
      </c>
      <c r="B603" s="16"/>
      <c r="C603" s="22">
        <f t="shared" si="166"/>
        <v>0</v>
      </c>
      <c r="D603" s="23">
        <f t="shared" si="154"/>
        <v>0</v>
      </c>
      <c r="E603" s="14"/>
      <c r="F603" s="12">
        <f t="shared" si="167"/>
        <v>0</v>
      </c>
      <c r="G603" s="24">
        <f t="shared" si="155"/>
        <v>0</v>
      </c>
      <c r="H603" s="14"/>
      <c r="I603" s="14"/>
      <c r="J603" s="29"/>
      <c r="K603" s="30"/>
      <c r="M603" s="17"/>
      <c r="N603" s="7" t="str">
        <f t="shared" si="159"/>
        <v/>
      </c>
      <c r="O603" s="5"/>
      <c r="P603" s="3"/>
      <c r="Q603" s="5"/>
      <c r="R603" s="7" t="str">
        <f t="shared" si="160"/>
        <v/>
      </c>
      <c r="S603" s="5"/>
      <c r="U603" s="10"/>
      <c r="V603" s="11" t="str">
        <f t="shared" si="161"/>
        <v/>
      </c>
      <c r="W603" s="6"/>
      <c r="Y603" s="10"/>
      <c r="Z603" s="11" t="str">
        <f t="shared" si="162"/>
        <v/>
      </c>
      <c r="AA603" s="6"/>
      <c r="AB603" s="1">
        <v>1.2</v>
      </c>
      <c r="AC603" s="21" t="str">
        <f t="shared" si="156"/>
        <v/>
      </c>
      <c r="AD603" s="27" t="str">
        <f t="shared" si="165"/>
        <v/>
      </c>
      <c r="AE603" s="27" t="str">
        <f t="shared" si="163"/>
        <v/>
      </c>
      <c r="AF603" s="14">
        <f t="shared" si="157"/>
        <v>0</v>
      </c>
      <c r="AG603" s="12">
        <f t="shared" si="168"/>
        <v>0</v>
      </c>
      <c r="AH603" s="24">
        <f t="shared" si="158"/>
        <v>0</v>
      </c>
      <c r="AI603" s="49" t="e">
        <f t="shared" si="164"/>
        <v>#VALUE!</v>
      </c>
      <c r="AK603" s="50" t="e">
        <f t="shared" si="169"/>
        <v>#VALUE!</v>
      </c>
    </row>
    <row r="604" spans="1:37" x14ac:dyDescent="0.4">
      <c r="A604" s="2">
        <v>1757</v>
      </c>
      <c r="B604" s="16"/>
      <c r="C604" s="22">
        <f t="shared" si="166"/>
        <v>0</v>
      </c>
      <c r="D604" s="23">
        <f t="shared" si="154"/>
        <v>0</v>
      </c>
      <c r="E604" s="14"/>
      <c r="F604" s="12">
        <f t="shared" si="167"/>
        <v>0</v>
      </c>
      <c r="G604" s="24">
        <f t="shared" si="155"/>
        <v>0</v>
      </c>
      <c r="H604" s="14"/>
      <c r="I604" s="14"/>
      <c r="J604" s="29"/>
      <c r="K604" s="30"/>
      <c r="M604" s="17"/>
      <c r="N604" s="7" t="str">
        <f t="shared" si="159"/>
        <v/>
      </c>
      <c r="O604" s="5"/>
      <c r="P604" s="3"/>
      <c r="Q604" s="5"/>
      <c r="R604" s="7" t="str">
        <f t="shared" si="160"/>
        <v/>
      </c>
      <c r="S604" s="5"/>
      <c r="U604" s="10"/>
      <c r="V604" s="11" t="str">
        <f t="shared" si="161"/>
        <v/>
      </c>
      <c r="W604" s="6"/>
      <c r="Y604" s="10"/>
      <c r="Z604" s="11" t="str">
        <f t="shared" si="162"/>
        <v/>
      </c>
      <c r="AA604" s="6"/>
      <c r="AB604" s="1">
        <v>1.2</v>
      </c>
      <c r="AC604" s="21" t="str">
        <f t="shared" si="156"/>
        <v/>
      </c>
      <c r="AD604" s="27" t="str">
        <f t="shared" si="165"/>
        <v/>
      </c>
      <c r="AE604" s="27" t="str">
        <f t="shared" si="163"/>
        <v/>
      </c>
      <c r="AF604" s="14">
        <f t="shared" si="157"/>
        <v>0</v>
      </c>
      <c r="AG604" s="12">
        <f t="shared" si="168"/>
        <v>0</v>
      </c>
      <c r="AH604" s="24">
        <f t="shared" si="158"/>
        <v>0</v>
      </c>
      <c r="AI604" s="49" t="e">
        <f t="shared" si="164"/>
        <v>#VALUE!</v>
      </c>
      <c r="AK604" s="50" t="e">
        <f t="shared" si="169"/>
        <v>#VALUE!</v>
      </c>
    </row>
    <row r="605" spans="1:37" x14ac:dyDescent="0.4">
      <c r="A605" s="2">
        <v>1758</v>
      </c>
      <c r="B605" s="16"/>
      <c r="C605" s="22">
        <f t="shared" si="166"/>
        <v>0</v>
      </c>
      <c r="D605" s="23">
        <f t="shared" si="154"/>
        <v>0</v>
      </c>
      <c r="E605" s="14"/>
      <c r="F605" s="12">
        <f t="shared" si="167"/>
        <v>0</v>
      </c>
      <c r="G605" s="24">
        <f t="shared" si="155"/>
        <v>0</v>
      </c>
      <c r="H605" s="14"/>
      <c r="I605" s="14"/>
      <c r="J605" s="29"/>
      <c r="K605" s="30"/>
      <c r="M605" s="17"/>
      <c r="N605" s="7" t="str">
        <f t="shared" si="159"/>
        <v/>
      </c>
      <c r="O605" s="5"/>
      <c r="P605" s="3"/>
      <c r="Q605" s="5"/>
      <c r="R605" s="7" t="str">
        <f t="shared" si="160"/>
        <v/>
      </c>
      <c r="S605" s="5"/>
      <c r="U605" s="10"/>
      <c r="V605" s="11" t="str">
        <f t="shared" si="161"/>
        <v/>
      </c>
      <c r="W605" s="6"/>
      <c r="Y605" s="10"/>
      <c r="Z605" s="11" t="str">
        <f t="shared" si="162"/>
        <v/>
      </c>
      <c r="AA605" s="6"/>
      <c r="AB605" s="1">
        <v>1.2</v>
      </c>
      <c r="AC605" s="21" t="str">
        <f t="shared" si="156"/>
        <v/>
      </c>
      <c r="AD605" s="27" t="str">
        <f t="shared" si="165"/>
        <v/>
      </c>
      <c r="AE605" s="27" t="str">
        <f t="shared" si="163"/>
        <v/>
      </c>
      <c r="AF605" s="14">
        <f t="shared" si="157"/>
        <v>0</v>
      </c>
      <c r="AG605" s="12">
        <f t="shared" si="168"/>
        <v>0</v>
      </c>
      <c r="AH605" s="24">
        <f t="shared" si="158"/>
        <v>0</v>
      </c>
      <c r="AI605" s="49" t="e">
        <f t="shared" si="164"/>
        <v>#VALUE!</v>
      </c>
      <c r="AK605" s="50" t="e">
        <f t="shared" si="169"/>
        <v>#VALUE!</v>
      </c>
    </row>
    <row r="606" spans="1:37" x14ac:dyDescent="0.4">
      <c r="A606" s="2">
        <v>1759</v>
      </c>
      <c r="B606" s="16"/>
      <c r="C606" s="22">
        <f t="shared" si="166"/>
        <v>0</v>
      </c>
      <c r="D606" s="23">
        <f t="shared" si="154"/>
        <v>0</v>
      </c>
      <c r="E606" s="14"/>
      <c r="F606" s="12">
        <f t="shared" si="167"/>
        <v>0</v>
      </c>
      <c r="G606" s="24">
        <f t="shared" si="155"/>
        <v>0</v>
      </c>
      <c r="H606" s="14"/>
      <c r="I606" s="14"/>
      <c r="J606" s="29"/>
      <c r="K606" s="30"/>
      <c r="M606" s="17"/>
      <c r="N606" s="7" t="str">
        <f t="shared" si="159"/>
        <v/>
      </c>
      <c r="O606" s="5"/>
      <c r="P606" s="3"/>
      <c r="Q606" s="5"/>
      <c r="R606" s="7" t="str">
        <f t="shared" si="160"/>
        <v/>
      </c>
      <c r="S606" s="5"/>
      <c r="U606" s="10"/>
      <c r="V606" s="11" t="str">
        <f t="shared" si="161"/>
        <v/>
      </c>
      <c r="W606" s="6"/>
      <c r="Y606" s="10"/>
      <c r="Z606" s="11" t="str">
        <f t="shared" si="162"/>
        <v/>
      </c>
      <c r="AA606" s="6"/>
      <c r="AB606" s="1">
        <v>1.2</v>
      </c>
      <c r="AC606" s="21" t="str">
        <f t="shared" si="156"/>
        <v/>
      </c>
      <c r="AD606" s="27" t="str">
        <f t="shared" si="165"/>
        <v/>
      </c>
      <c r="AE606" s="27" t="str">
        <f t="shared" si="163"/>
        <v/>
      </c>
      <c r="AF606" s="14">
        <f t="shared" si="157"/>
        <v>0</v>
      </c>
      <c r="AG606" s="12">
        <f t="shared" si="168"/>
        <v>0</v>
      </c>
      <c r="AH606" s="24">
        <f t="shared" si="158"/>
        <v>0</v>
      </c>
      <c r="AI606" s="49" t="e">
        <f t="shared" si="164"/>
        <v>#VALUE!</v>
      </c>
      <c r="AK606" s="50" t="e">
        <f t="shared" si="169"/>
        <v>#VALUE!</v>
      </c>
    </row>
    <row r="607" spans="1:37" x14ac:dyDescent="0.4">
      <c r="A607" s="2">
        <v>1760</v>
      </c>
      <c r="B607" s="16"/>
      <c r="C607" s="22">
        <f t="shared" si="166"/>
        <v>0</v>
      </c>
      <c r="D607" s="23">
        <f t="shared" si="154"/>
        <v>0</v>
      </c>
      <c r="E607" s="14"/>
      <c r="F607" s="12">
        <f t="shared" si="167"/>
        <v>0</v>
      </c>
      <c r="G607" s="24">
        <f t="shared" si="155"/>
        <v>0</v>
      </c>
      <c r="H607" s="14"/>
      <c r="I607" s="14"/>
      <c r="J607" s="29"/>
      <c r="K607" s="30"/>
      <c r="M607" s="17"/>
      <c r="N607" s="7" t="str">
        <f t="shared" si="159"/>
        <v/>
      </c>
      <c r="O607" s="5"/>
      <c r="P607" s="3"/>
      <c r="Q607" s="5"/>
      <c r="R607" s="7" t="str">
        <f t="shared" si="160"/>
        <v/>
      </c>
      <c r="S607" s="5"/>
      <c r="U607" s="10"/>
      <c r="V607" s="11" t="str">
        <f t="shared" si="161"/>
        <v/>
      </c>
      <c r="W607" s="6"/>
      <c r="Y607" s="10"/>
      <c r="Z607" s="11" t="str">
        <f t="shared" si="162"/>
        <v/>
      </c>
      <c r="AA607" s="6"/>
      <c r="AB607" s="1">
        <v>1.2</v>
      </c>
      <c r="AC607" s="21" t="str">
        <f t="shared" si="156"/>
        <v/>
      </c>
      <c r="AD607" s="27" t="str">
        <f t="shared" si="165"/>
        <v/>
      </c>
      <c r="AE607" s="27" t="str">
        <f t="shared" si="163"/>
        <v/>
      </c>
      <c r="AF607" s="14">
        <f t="shared" si="157"/>
        <v>0</v>
      </c>
      <c r="AG607" s="12">
        <f t="shared" si="168"/>
        <v>0</v>
      </c>
      <c r="AH607" s="24">
        <f t="shared" si="158"/>
        <v>0</v>
      </c>
      <c r="AI607" s="49" t="e">
        <f t="shared" si="164"/>
        <v>#VALUE!</v>
      </c>
      <c r="AK607" s="50" t="e">
        <f t="shared" si="169"/>
        <v>#VALUE!</v>
      </c>
    </row>
    <row r="608" spans="1:37" x14ac:dyDescent="0.4">
      <c r="A608" s="2">
        <v>1761</v>
      </c>
      <c r="B608" s="16"/>
      <c r="C608" s="22">
        <f t="shared" si="166"/>
        <v>0</v>
      </c>
      <c r="D608" s="23">
        <f t="shared" si="154"/>
        <v>0</v>
      </c>
      <c r="E608" s="14"/>
      <c r="F608" s="12">
        <f t="shared" si="167"/>
        <v>0</v>
      </c>
      <c r="G608" s="24">
        <f t="shared" si="155"/>
        <v>0</v>
      </c>
      <c r="H608" s="14"/>
      <c r="I608" s="14"/>
      <c r="J608" s="29"/>
      <c r="K608" s="30"/>
      <c r="M608" s="17"/>
      <c r="N608" s="7" t="str">
        <f t="shared" si="159"/>
        <v/>
      </c>
      <c r="O608" s="5"/>
      <c r="P608" s="3"/>
      <c r="Q608" s="5"/>
      <c r="R608" s="7" t="str">
        <f t="shared" si="160"/>
        <v/>
      </c>
      <c r="S608" s="5"/>
      <c r="U608" s="10"/>
      <c r="V608" s="11" t="str">
        <f t="shared" si="161"/>
        <v/>
      </c>
      <c r="W608" s="6"/>
      <c r="Y608" s="10"/>
      <c r="Z608" s="11" t="str">
        <f t="shared" si="162"/>
        <v/>
      </c>
      <c r="AA608" s="6"/>
      <c r="AB608" s="1">
        <v>1.2</v>
      </c>
      <c r="AC608" s="21" t="str">
        <f t="shared" si="156"/>
        <v/>
      </c>
      <c r="AD608" s="27" t="str">
        <f t="shared" si="165"/>
        <v/>
      </c>
      <c r="AE608" s="27" t="str">
        <f t="shared" si="163"/>
        <v/>
      </c>
      <c r="AF608" s="14">
        <f t="shared" si="157"/>
        <v>0</v>
      </c>
      <c r="AG608" s="12">
        <f t="shared" si="168"/>
        <v>0</v>
      </c>
      <c r="AH608" s="24">
        <f t="shared" si="158"/>
        <v>0</v>
      </c>
      <c r="AI608" s="49" t="e">
        <f t="shared" si="164"/>
        <v>#VALUE!</v>
      </c>
      <c r="AK608" s="50" t="e">
        <f t="shared" si="169"/>
        <v>#VALUE!</v>
      </c>
    </row>
    <row r="609" spans="1:37" x14ac:dyDescent="0.4">
      <c r="A609" s="2">
        <v>1762</v>
      </c>
      <c r="B609" s="16"/>
      <c r="C609" s="22">
        <f t="shared" si="166"/>
        <v>0</v>
      </c>
      <c r="D609" s="23">
        <f t="shared" si="154"/>
        <v>0</v>
      </c>
      <c r="E609" s="14"/>
      <c r="F609" s="12">
        <f t="shared" si="167"/>
        <v>0</v>
      </c>
      <c r="G609" s="24">
        <f t="shared" si="155"/>
        <v>0</v>
      </c>
      <c r="H609" s="14"/>
      <c r="I609" s="14"/>
      <c r="J609" s="29"/>
      <c r="K609" s="30"/>
      <c r="M609" s="17"/>
      <c r="N609" s="7" t="str">
        <f t="shared" si="159"/>
        <v/>
      </c>
      <c r="O609" s="5"/>
      <c r="P609" s="3"/>
      <c r="Q609" s="5"/>
      <c r="R609" s="7" t="str">
        <f t="shared" si="160"/>
        <v/>
      </c>
      <c r="S609" s="5"/>
      <c r="U609" s="10"/>
      <c r="V609" s="11" t="str">
        <f t="shared" si="161"/>
        <v/>
      </c>
      <c r="W609" s="6"/>
      <c r="Y609" s="10"/>
      <c r="Z609" s="11" t="str">
        <f t="shared" si="162"/>
        <v/>
      </c>
      <c r="AA609" s="6"/>
      <c r="AB609" s="1">
        <v>1.2</v>
      </c>
      <c r="AC609" s="21" t="str">
        <f t="shared" si="156"/>
        <v/>
      </c>
      <c r="AD609" s="27" t="str">
        <f t="shared" si="165"/>
        <v/>
      </c>
      <c r="AE609" s="27" t="str">
        <f t="shared" si="163"/>
        <v/>
      </c>
      <c r="AF609" s="14">
        <f t="shared" si="157"/>
        <v>0</v>
      </c>
      <c r="AG609" s="12">
        <f t="shared" si="168"/>
        <v>0</v>
      </c>
      <c r="AH609" s="24">
        <f t="shared" si="158"/>
        <v>0</v>
      </c>
      <c r="AI609" s="49" t="e">
        <f t="shared" si="164"/>
        <v>#VALUE!</v>
      </c>
      <c r="AK609" s="50" t="e">
        <f t="shared" si="169"/>
        <v>#VALUE!</v>
      </c>
    </row>
    <row r="610" spans="1:37" x14ac:dyDescent="0.4">
      <c r="A610" s="2">
        <v>1763</v>
      </c>
      <c r="B610" s="16"/>
      <c r="C610" s="22">
        <f t="shared" si="166"/>
        <v>0</v>
      </c>
      <c r="D610" s="23">
        <f t="shared" si="154"/>
        <v>0</v>
      </c>
      <c r="E610" s="14"/>
      <c r="F610" s="12">
        <f t="shared" si="167"/>
        <v>0</v>
      </c>
      <c r="G610" s="24">
        <f t="shared" si="155"/>
        <v>0</v>
      </c>
      <c r="H610" s="14"/>
      <c r="I610" s="14"/>
      <c r="J610" s="29"/>
      <c r="K610" s="30"/>
      <c r="M610" s="17"/>
      <c r="N610" s="7" t="str">
        <f t="shared" si="159"/>
        <v/>
      </c>
      <c r="O610" s="5"/>
      <c r="P610" s="3"/>
      <c r="Q610" s="5"/>
      <c r="R610" s="7" t="str">
        <f t="shared" si="160"/>
        <v/>
      </c>
      <c r="S610" s="5"/>
      <c r="U610" s="10"/>
      <c r="V610" s="11" t="str">
        <f t="shared" si="161"/>
        <v/>
      </c>
      <c r="W610" s="6"/>
      <c r="Y610" s="10"/>
      <c r="Z610" s="11" t="str">
        <f t="shared" si="162"/>
        <v/>
      </c>
      <c r="AA610" s="6"/>
      <c r="AB610" s="1">
        <v>1.2</v>
      </c>
      <c r="AC610" s="21" t="str">
        <f t="shared" si="156"/>
        <v/>
      </c>
      <c r="AD610" s="27" t="str">
        <f t="shared" si="165"/>
        <v/>
      </c>
      <c r="AE610" s="27" t="str">
        <f t="shared" si="163"/>
        <v/>
      </c>
      <c r="AF610" s="14">
        <f t="shared" si="157"/>
        <v>0</v>
      </c>
      <c r="AG610" s="12">
        <f t="shared" si="168"/>
        <v>0</v>
      </c>
      <c r="AH610" s="24">
        <f t="shared" si="158"/>
        <v>0</v>
      </c>
      <c r="AI610" s="49" t="e">
        <f t="shared" si="164"/>
        <v>#VALUE!</v>
      </c>
      <c r="AK610" s="50" t="e">
        <f t="shared" si="169"/>
        <v>#VALUE!</v>
      </c>
    </row>
    <row r="611" spans="1:37" x14ac:dyDescent="0.4">
      <c r="A611" s="2">
        <v>1764</v>
      </c>
      <c r="B611" s="16"/>
      <c r="C611" s="22">
        <f t="shared" si="166"/>
        <v>0</v>
      </c>
      <c r="D611" s="23">
        <f t="shared" si="154"/>
        <v>0</v>
      </c>
      <c r="E611" s="14"/>
      <c r="F611" s="12">
        <f t="shared" si="167"/>
        <v>0</v>
      </c>
      <c r="G611" s="24">
        <f t="shared" si="155"/>
        <v>0</v>
      </c>
      <c r="H611" s="14"/>
      <c r="I611" s="14"/>
      <c r="J611" s="29"/>
      <c r="K611" s="30"/>
      <c r="M611" s="17"/>
      <c r="N611" s="7" t="str">
        <f t="shared" si="159"/>
        <v/>
      </c>
      <c r="O611" s="5"/>
      <c r="P611" s="3"/>
      <c r="Q611" s="5"/>
      <c r="R611" s="7" t="str">
        <f t="shared" si="160"/>
        <v/>
      </c>
      <c r="S611" s="5"/>
      <c r="U611" s="10"/>
      <c r="V611" s="11" t="str">
        <f t="shared" si="161"/>
        <v/>
      </c>
      <c r="W611" s="6"/>
      <c r="Y611" s="10"/>
      <c r="Z611" s="11" t="str">
        <f t="shared" si="162"/>
        <v/>
      </c>
      <c r="AA611" s="6"/>
      <c r="AB611" s="1">
        <v>1.2</v>
      </c>
      <c r="AC611" s="21" t="str">
        <f t="shared" si="156"/>
        <v/>
      </c>
      <c r="AD611" s="27" t="str">
        <f t="shared" si="165"/>
        <v/>
      </c>
      <c r="AE611" s="27" t="str">
        <f t="shared" si="163"/>
        <v/>
      </c>
      <c r="AF611" s="14">
        <f t="shared" si="157"/>
        <v>0</v>
      </c>
      <c r="AG611" s="12">
        <f t="shared" si="168"/>
        <v>0</v>
      </c>
      <c r="AH611" s="24">
        <f t="shared" si="158"/>
        <v>0</v>
      </c>
      <c r="AI611" s="49" t="e">
        <f t="shared" si="164"/>
        <v>#VALUE!</v>
      </c>
      <c r="AK611" s="50" t="e">
        <f t="shared" si="169"/>
        <v>#VALUE!</v>
      </c>
    </row>
    <row r="612" spans="1:37" x14ac:dyDescent="0.4">
      <c r="A612" s="2">
        <v>1765</v>
      </c>
      <c r="B612" s="16"/>
      <c r="C612" s="22">
        <f t="shared" si="166"/>
        <v>0</v>
      </c>
      <c r="D612" s="23">
        <f t="shared" si="154"/>
        <v>0</v>
      </c>
      <c r="E612" s="14"/>
      <c r="F612" s="12">
        <f t="shared" si="167"/>
        <v>0</v>
      </c>
      <c r="G612" s="24">
        <f t="shared" si="155"/>
        <v>0</v>
      </c>
      <c r="H612" s="14"/>
      <c r="I612" s="14"/>
      <c r="J612" s="29"/>
      <c r="K612" s="30"/>
      <c r="M612" s="17"/>
      <c r="N612" s="7" t="str">
        <f t="shared" si="159"/>
        <v/>
      </c>
      <c r="O612" s="5"/>
      <c r="P612" s="3"/>
      <c r="Q612" s="5"/>
      <c r="R612" s="7" t="str">
        <f t="shared" si="160"/>
        <v/>
      </c>
      <c r="S612" s="5"/>
      <c r="U612" s="10"/>
      <c r="V612" s="11" t="str">
        <f t="shared" si="161"/>
        <v/>
      </c>
      <c r="W612" s="6"/>
      <c r="Y612" s="10"/>
      <c r="Z612" s="11" t="str">
        <f t="shared" si="162"/>
        <v/>
      </c>
      <c r="AA612" s="6"/>
      <c r="AB612" s="1">
        <v>1.2</v>
      </c>
      <c r="AC612" s="21" t="str">
        <f t="shared" si="156"/>
        <v/>
      </c>
      <c r="AD612" s="27" t="str">
        <f t="shared" si="165"/>
        <v/>
      </c>
      <c r="AE612" s="27" t="str">
        <f t="shared" si="163"/>
        <v/>
      </c>
      <c r="AF612" s="14">
        <f t="shared" si="157"/>
        <v>0</v>
      </c>
      <c r="AG612" s="12">
        <f t="shared" si="168"/>
        <v>0</v>
      </c>
      <c r="AH612" s="24">
        <f t="shared" si="158"/>
        <v>0</v>
      </c>
      <c r="AI612" s="49" t="e">
        <f t="shared" si="164"/>
        <v>#VALUE!</v>
      </c>
      <c r="AK612" s="50" t="e">
        <f t="shared" si="169"/>
        <v>#VALUE!</v>
      </c>
    </row>
    <row r="613" spans="1:37" x14ac:dyDescent="0.4">
      <c r="A613" s="2">
        <v>1766</v>
      </c>
      <c r="B613" s="16"/>
      <c r="C613" s="22">
        <f t="shared" si="166"/>
        <v>0</v>
      </c>
      <c r="D613" s="23">
        <f t="shared" si="154"/>
        <v>0</v>
      </c>
      <c r="E613" s="14"/>
      <c r="F613" s="12">
        <f t="shared" si="167"/>
        <v>0</v>
      </c>
      <c r="G613" s="24">
        <f t="shared" si="155"/>
        <v>0</v>
      </c>
      <c r="H613" s="14"/>
      <c r="I613" s="14"/>
      <c r="J613" s="29"/>
      <c r="K613" s="30"/>
      <c r="M613" s="17"/>
      <c r="N613" s="7" t="str">
        <f t="shared" si="159"/>
        <v/>
      </c>
      <c r="O613" s="5"/>
      <c r="P613" s="3"/>
      <c r="Q613" s="5"/>
      <c r="R613" s="7" t="str">
        <f t="shared" si="160"/>
        <v/>
      </c>
      <c r="S613" s="5"/>
      <c r="U613" s="10"/>
      <c r="V613" s="11" t="str">
        <f t="shared" si="161"/>
        <v/>
      </c>
      <c r="W613" s="6"/>
      <c r="Y613" s="10"/>
      <c r="Z613" s="11" t="str">
        <f t="shared" si="162"/>
        <v/>
      </c>
      <c r="AA613" s="6"/>
      <c r="AB613" s="1">
        <v>1.2</v>
      </c>
      <c r="AC613" s="21" t="str">
        <f t="shared" si="156"/>
        <v/>
      </c>
      <c r="AD613" s="27" t="str">
        <f t="shared" si="165"/>
        <v/>
      </c>
      <c r="AE613" s="27" t="str">
        <f t="shared" si="163"/>
        <v/>
      </c>
      <c r="AF613" s="14">
        <f t="shared" si="157"/>
        <v>0</v>
      </c>
      <c r="AG613" s="12">
        <f t="shared" si="168"/>
        <v>0</v>
      </c>
      <c r="AH613" s="24">
        <f t="shared" si="158"/>
        <v>0</v>
      </c>
      <c r="AI613" s="49" t="e">
        <f t="shared" si="164"/>
        <v>#VALUE!</v>
      </c>
      <c r="AK613" s="50" t="e">
        <f t="shared" si="169"/>
        <v>#VALUE!</v>
      </c>
    </row>
    <row r="614" spans="1:37" x14ac:dyDescent="0.4">
      <c r="A614" s="2">
        <v>1767</v>
      </c>
      <c r="B614" s="16"/>
      <c r="C614" s="22">
        <f t="shared" si="166"/>
        <v>0</v>
      </c>
      <c r="D614" s="23">
        <f t="shared" si="154"/>
        <v>0</v>
      </c>
      <c r="E614" s="14"/>
      <c r="F614" s="12">
        <f t="shared" si="167"/>
        <v>0</v>
      </c>
      <c r="G614" s="24">
        <f t="shared" si="155"/>
        <v>0</v>
      </c>
      <c r="H614" s="14"/>
      <c r="I614" s="14"/>
      <c r="J614" s="29"/>
      <c r="K614" s="30"/>
      <c r="M614" s="17"/>
      <c r="N614" s="7" t="str">
        <f t="shared" si="159"/>
        <v/>
      </c>
      <c r="O614" s="5"/>
      <c r="P614" s="3"/>
      <c r="Q614" s="5"/>
      <c r="R614" s="7" t="str">
        <f t="shared" si="160"/>
        <v/>
      </c>
      <c r="S614" s="5"/>
      <c r="U614" s="10"/>
      <c r="V614" s="11" t="str">
        <f t="shared" si="161"/>
        <v/>
      </c>
      <c r="W614" s="6"/>
      <c r="Y614" s="10"/>
      <c r="Z614" s="11" t="str">
        <f t="shared" si="162"/>
        <v/>
      </c>
      <c r="AA614" s="6"/>
      <c r="AB614" s="1">
        <v>1.2</v>
      </c>
      <c r="AC614" s="21" t="str">
        <f t="shared" si="156"/>
        <v/>
      </c>
      <c r="AD614" s="27" t="str">
        <f t="shared" si="165"/>
        <v/>
      </c>
      <c r="AE614" s="27" t="str">
        <f t="shared" si="163"/>
        <v/>
      </c>
      <c r="AF614" s="14">
        <f t="shared" si="157"/>
        <v>0</v>
      </c>
      <c r="AG614" s="12">
        <f t="shared" si="168"/>
        <v>0</v>
      </c>
      <c r="AH614" s="24">
        <f t="shared" si="158"/>
        <v>0</v>
      </c>
      <c r="AI614" s="49" t="e">
        <f t="shared" si="164"/>
        <v>#VALUE!</v>
      </c>
      <c r="AK614" s="50" t="e">
        <f t="shared" si="169"/>
        <v>#VALUE!</v>
      </c>
    </row>
    <row r="615" spans="1:37" x14ac:dyDescent="0.4">
      <c r="A615" s="2">
        <v>1768</v>
      </c>
      <c r="B615" s="16"/>
      <c r="C615" s="22">
        <f t="shared" si="166"/>
        <v>0</v>
      </c>
      <c r="D615" s="23">
        <f t="shared" si="154"/>
        <v>0</v>
      </c>
      <c r="E615" s="14"/>
      <c r="F615" s="12">
        <f t="shared" si="167"/>
        <v>0</v>
      </c>
      <c r="G615" s="24">
        <f t="shared" si="155"/>
        <v>0</v>
      </c>
      <c r="H615" s="14"/>
      <c r="I615" s="14"/>
      <c r="J615" s="29"/>
      <c r="K615" s="30"/>
      <c r="M615" s="17"/>
      <c r="N615" s="7" t="str">
        <f t="shared" si="159"/>
        <v/>
      </c>
      <c r="O615" s="5"/>
      <c r="P615" s="3"/>
      <c r="Q615" s="5"/>
      <c r="R615" s="7" t="str">
        <f t="shared" si="160"/>
        <v/>
      </c>
      <c r="S615" s="5"/>
      <c r="U615" s="10"/>
      <c r="V615" s="11" t="str">
        <f t="shared" si="161"/>
        <v/>
      </c>
      <c r="W615" s="6"/>
      <c r="Y615" s="10"/>
      <c r="Z615" s="11" t="str">
        <f t="shared" si="162"/>
        <v/>
      </c>
      <c r="AA615" s="6"/>
      <c r="AB615" s="1">
        <v>1.2</v>
      </c>
      <c r="AC615" s="21" t="str">
        <f t="shared" si="156"/>
        <v/>
      </c>
      <c r="AD615" s="27" t="str">
        <f t="shared" si="165"/>
        <v/>
      </c>
      <c r="AE615" s="27" t="str">
        <f t="shared" si="163"/>
        <v/>
      </c>
      <c r="AF615" s="14">
        <f t="shared" si="157"/>
        <v>0</v>
      </c>
      <c r="AG615" s="12">
        <f t="shared" si="168"/>
        <v>0</v>
      </c>
      <c r="AH615" s="24">
        <f t="shared" si="158"/>
        <v>0</v>
      </c>
      <c r="AI615" s="49" t="e">
        <f t="shared" si="164"/>
        <v>#VALUE!</v>
      </c>
      <c r="AK615" s="50" t="e">
        <f t="shared" si="169"/>
        <v>#VALUE!</v>
      </c>
    </row>
    <row r="616" spans="1:37" x14ac:dyDescent="0.4">
      <c r="A616" s="2">
        <v>1769</v>
      </c>
      <c r="B616" s="16"/>
      <c r="C616" s="22">
        <f t="shared" si="166"/>
        <v>0</v>
      </c>
      <c r="D616" s="23">
        <f t="shared" ref="D616:D679" si="170">B616-INT(B616)</f>
        <v>0</v>
      </c>
      <c r="E616" s="14"/>
      <c r="F616" s="12">
        <f t="shared" si="167"/>
        <v>0</v>
      </c>
      <c r="G616" s="24">
        <f t="shared" ref="G616:G679" si="171">E616-INT(E616)</f>
        <v>0</v>
      </c>
      <c r="H616" s="14"/>
      <c r="I616" s="14"/>
      <c r="J616" s="29"/>
      <c r="K616" s="30"/>
      <c r="M616" s="17"/>
      <c r="N616" s="7" t="str">
        <f t="shared" si="159"/>
        <v/>
      </c>
      <c r="O616" s="5"/>
      <c r="P616" s="3"/>
      <c r="Q616" s="5"/>
      <c r="R616" s="7" t="str">
        <f t="shared" si="160"/>
        <v/>
      </c>
      <c r="S616" s="5"/>
      <c r="U616" s="10"/>
      <c r="V616" s="11" t="str">
        <f t="shared" si="161"/>
        <v/>
      </c>
      <c r="W616" s="6"/>
      <c r="Y616" s="10"/>
      <c r="Z616" s="11" t="str">
        <f t="shared" si="162"/>
        <v/>
      </c>
      <c r="AA616" s="6"/>
      <c r="AB616" s="1">
        <v>1.2</v>
      </c>
      <c r="AC616" s="21" t="str">
        <f t="shared" ref="AC616:AC679" si="172">IF(B616="","",TEXT(E616-B616,"[hh]:mm"))</f>
        <v/>
      </c>
      <c r="AD616" s="27" t="str">
        <f t="shared" si="165"/>
        <v/>
      </c>
      <c r="AE616" s="27" t="str">
        <f t="shared" si="163"/>
        <v/>
      </c>
      <c r="AF616" s="14">
        <f t="shared" ref="AF616:AF679" si="173">MAX(E616,H616,I616)</f>
        <v>0</v>
      </c>
      <c r="AG616" s="12">
        <f t="shared" si="168"/>
        <v>0</v>
      </c>
      <c r="AH616" s="24">
        <f t="shared" ref="AH616:AH679" si="174">AF616-INT(AF616)</f>
        <v>0</v>
      </c>
      <c r="AI616" s="49" t="e">
        <f t="shared" si="164"/>
        <v>#VALUE!</v>
      </c>
      <c r="AK616" s="50" t="e">
        <f t="shared" si="169"/>
        <v>#VALUE!</v>
      </c>
    </row>
    <row r="617" spans="1:37" x14ac:dyDescent="0.4">
      <c r="A617" s="2">
        <v>1770</v>
      </c>
      <c r="B617" s="16"/>
      <c r="C617" s="22">
        <f t="shared" si="166"/>
        <v>0</v>
      </c>
      <c r="D617" s="23">
        <f t="shared" si="170"/>
        <v>0</v>
      </c>
      <c r="E617" s="14"/>
      <c r="F617" s="12">
        <f t="shared" si="167"/>
        <v>0</v>
      </c>
      <c r="G617" s="24">
        <f t="shared" si="171"/>
        <v>0</v>
      </c>
      <c r="H617" s="14"/>
      <c r="I617" s="14"/>
      <c r="J617" s="29"/>
      <c r="K617" s="30"/>
      <c r="M617" s="17"/>
      <c r="N617" s="7" t="str">
        <f t="shared" si="159"/>
        <v/>
      </c>
      <c r="O617" s="5"/>
      <c r="P617" s="3"/>
      <c r="Q617" s="5"/>
      <c r="R617" s="7" t="str">
        <f t="shared" si="160"/>
        <v/>
      </c>
      <c r="S617" s="5"/>
      <c r="U617" s="10"/>
      <c r="V617" s="11" t="str">
        <f t="shared" si="161"/>
        <v/>
      </c>
      <c r="W617" s="6"/>
      <c r="Y617" s="10"/>
      <c r="Z617" s="11" t="str">
        <f t="shared" si="162"/>
        <v/>
      </c>
      <c r="AA617" s="6"/>
      <c r="AB617" s="1">
        <v>1.2</v>
      </c>
      <c r="AC617" s="21" t="str">
        <f t="shared" si="172"/>
        <v/>
      </c>
      <c r="AD617" s="27" t="str">
        <f t="shared" si="165"/>
        <v/>
      </c>
      <c r="AE617" s="27" t="str">
        <f t="shared" si="163"/>
        <v/>
      </c>
      <c r="AF617" s="14">
        <f t="shared" si="173"/>
        <v>0</v>
      </c>
      <c r="AG617" s="12">
        <f t="shared" si="168"/>
        <v>0</v>
      </c>
      <c r="AH617" s="24">
        <f t="shared" si="174"/>
        <v>0</v>
      </c>
      <c r="AI617" s="49" t="e">
        <f t="shared" si="164"/>
        <v>#VALUE!</v>
      </c>
      <c r="AK617" s="50" t="e">
        <f t="shared" si="169"/>
        <v>#VALUE!</v>
      </c>
    </row>
    <row r="618" spans="1:37" x14ac:dyDescent="0.4">
      <c r="A618" s="2">
        <v>1771</v>
      </c>
      <c r="B618" s="16"/>
      <c r="C618" s="22">
        <f t="shared" si="166"/>
        <v>0</v>
      </c>
      <c r="D618" s="23">
        <f t="shared" si="170"/>
        <v>0</v>
      </c>
      <c r="E618" s="14"/>
      <c r="F618" s="12">
        <f t="shared" si="167"/>
        <v>0</v>
      </c>
      <c r="G618" s="24">
        <f t="shared" si="171"/>
        <v>0</v>
      </c>
      <c r="H618" s="14"/>
      <c r="I618" s="14"/>
      <c r="J618" s="29"/>
      <c r="K618" s="30"/>
      <c r="M618" s="17"/>
      <c r="N618" s="7" t="str">
        <f t="shared" si="159"/>
        <v/>
      </c>
      <c r="O618" s="5"/>
      <c r="P618" s="3"/>
      <c r="Q618" s="5"/>
      <c r="R618" s="7" t="str">
        <f t="shared" si="160"/>
        <v/>
      </c>
      <c r="S618" s="5"/>
      <c r="U618" s="10"/>
      <c r="V618" s="11" t="str">
        <f t="shared" si="161"/>
        <v/>
      </c>
      <c r="W618" s="6"/>
      <c r="Y618" s="10"/>
      <c r="Z618" s="11" t="str">
        <f t="shared" si="162"/>
        <v/>
      </c>
      <c r="AA618" s="6"/>
      <c r="AB618" s="1">
        <v>1.2</v>
      </c>
      <c r="AC618" s="21" t="str">
        <f t="shared" si="172"/>
        <v/>
      </c>
      <c r="AD618" s="27" t="str">
        <f t="shared" si="165"/>
        <v/>
      </c>
      <c r="AE618" s="27" t="str">
        <f t="shared" si="163"/>
        <v/>
      </c>
      <c r="AF618" s="14">
        <f t="shared" si="173"/>
        <v>0</v>
      </c>
      <c r="AG618" s="12">
        <f t="shared" si="168"/>
        <v>0</v>
      </c>
      <c r="AH618" s="24">
        <f t="shared" si="174"/>
        <v>0</v>
      </c>
      <c r="AI618" s="49" t="e">
        <f t="shared" si="164"/>
        <v>#VALUE!</v>
      </c>
      <c r="AK618" s="50" t="e">
        <f t="shared" si="169"/>
        <v>#VALUE!</v>
      </c>
    </row>
    <row r="619" spans="1:37" x14ac:dyDescent="0.4">
      <c r="A619" s="2">
        <v>1772</v>
      </c>
      <c r="B619" s="16"/>
      <c r="C619" s="22">
        <f t="shared" si="166"/>
        <v>0</v>
      </c>
      <c r="D619" s="23">
        <f t="shared" si="170"/>
        <v>0</v>
      </c>
      <c r="E619" s="14"/>
      <c r="F619" s="12">
        <f t="shared" si="167"/>
        <v>0</v>
      </c>
      <c r="G619" s="24">
        <f t="shared" si="171"/>
        <v>0</v>
      </c>
      <c r="H619" s="14"/>
      <c r="I619" s="14"/>
      <c r="J619" s="29"/>
      <c r="K619" s="30"/>
      <c r="M619" s="17"/>
      <c r="N619" s="7" t="str">
        <f t="shared" si="159"/>
        <v/>
      </c>
      <c r="O619" s="5"/>
      <c r="P619" s="3"/>
      <c r="Q619" s="5"/>
      <c r="R619" s="7" t="str">
        <f t="shared" si="160"/>
        <v/>
      </c>
      <c r="S619" s="5"/>
      <c r="U619" s="10"/>
      <c r="V619" s="11" t="str">
        <f t="shared" si="161"/>
        <v/>
      </c>
      <c r="W619" s="6"/>
      <c r="Y619" s="10"/>
      <c r="Z619" s="11" t="str">
        <f t="shared" si="162"/>
        <v/>
      </c>
      <c r="AA619" s="6"/>
      <c r="AB619" s="1">
        <v>1.2</v>
      </c>
      <c r="AC619" s="21" t="str">
        <f t="shared" si="172"/>
        <v/>
      </c>
      <c r="AD619" s="27" t="str">
        <f t="shared" si="165"/>
        <v/>
      </c>
      <c r="AE619" s="27" t="str">
        <f t="shared" si="163"/>
        <v/>
      </c>
      <c r="AF619" s="14">
        <f t="shared" si="173"/>
        <v>0</v>
      </c>
      <c r="AG619" s="12">
        <f t="shared" si="168"/>
        <v>0</v>
      </c>
      <c r="AH619" s="24">
        <f t="shared" si="174"/>
        <v>0</v>
      </c>
      <c r="AI619" s="49" t="e">
        <f t="shared" si="164"/>
        <v>#VALUE!</v>
      </c>
      <c r="AK619" s="50" t="e">
        <f t="shared" si="169"/>
        <v>#VALUE!</v>
      </c>
    </row>
    <row r="620" spans="1:37" x14ac:dyDescent="0.4">
      <c r="A620" s="2">
        <v>1773</v>
      </c>
      <c r="B620" s="16"/>
      <c r="C620" s="22">
        <f t="shared" si="166"/>
        <v>0</v>
      </c>
      <c r="D620" s="23">
        <f t="shared" si="170"/>
        <v>0</v>
      </c>
      <c r="E620" s="14"/>
      <c r="F620" s="12">
        <f t="shared" si="167"/>
        <v>0</v>
      </c>
      <c r="G620" s="24">
        <f t="shared" si="171"/>
        <v>0</v>
      </c>
      <c r="H620" s="14"/>
      <c r="I620" s="14"/>
      <c r="J620" s="29"/>
      <c r="K620" s="30"/>
      <c r="M620" s="17"/>
      <c r="N620" s="7" t="str">
        <f t="shared" si="159"/>
        <v/>
      </c>
      <c r="O620" s="5"/>
      <c r="P620" s="3"/>
      <c r="Q620" s="5"/>
      <c r="R620" s="7" t="str">
        <f t="shared" si="160"/>
        <v/>
      </c>
      <c r="S620" s="5"/>
      <c r="U620" s="10"/>
      <c r="V620" s="11" t="str">
        <f t="shared" si="161"/>
        <v/>
      </c>
      <c r="W620" s="6"/>
      <c r="Y620" s="10"/>
      <c r="Z620" s="11" t="str">
        <f t="shared" si="162"/>
        <v/>
      </c>
      <c r="AA620" s="6"/>
      <c r="AB620" s="1">
        <v>1.2</v>
      </c>
      <c r="AC620" s="21" t="str">
        <f t="shared" si="172"/>
        <v/>
      </c>
      <c r="AD620" s="27" t="str">
        <f t="shared" si="165"/>
        <v/>
      </c>
      <c r="AE620" s="27" t="str">
        <f t="shared" si="163"/>
        <v/>
      </c>
      <c r="AF620" s="14">
        <f t="shared" si="173"/>
        <v>0</v>
      </c>
      <c r="AG620" s="12">
        <f t="shared" si="168"/>
        <v>0</v>
      </c>
      <c r="AH620" s="24">
        <f t="shared" si="174"/>
        <v>0</v>
      </c>
      <c r="AI620" s="49" t="e">
        <f t="shared" si="164"/>
        <v>#VALUE!</v>
      </c>
      <c r="AK620" s="50" t="e">
        <f t="shared" si="169"/>
        <v>#VALUE!</v>
      </c>
    </row>
    <row r="621" spans="1:37" x14ac:dyDescent="0.4">
      <c r="A621" s="2">
        <v>1774</v>
      </c>
      <c r="B621" s="16"/>
      <c r="C621" s="22">
        <f t="shared" si="166"/>
        <v>0</v>
      </c>
      <c r="D621" s="23">
        <f t="shared" si="170"/>
        <v>0</v>
      </c>
      <c r="E621" s="14"/>
      <c r="F621" s="12">
        <f t="shared" si="167"/>
        <v>0</v>
      </c>
      <c r="G621" s="24">
        <f t="shared" si="171"/>
        <v>0</v>
      </c>
      <c r="H621" s="14"/>
      <c r="I621" s="14"/>
      <c r="J621" s="29"/>
      <c r="K621" s="30"/>
      <c r="M621" s="17"/>
      <c r="N621" s="7" t="str">
        <f t="shared" si="159"/>
        <v/>
      </c>
      <c r="O621" s="5"/>
      <c r="P621" s="3"/>
      <c r="Q621" s="5"/>
      <c r="R621" s="7" t="str">
        <f t="shared" si="160"/>
        <v/>
      </c>
      <c r="S621" s="5"/>
      <c r="U621" s="10"/>
      <c r="V621" s="11" t="str">
        <f t="shared" si="161"/>
        <v/>
      </c>
      <c r="W621" s="6"/>
      <c r="Y621" s="10"/>
      <c r="Z621" s="11" t="str">
        <f t="shared" si="162"/>
        <v/>
      </c>
      <c r="AA621" s="6"/>
      <c r="AB621" s="1">
        <v>1.2</v>
      </c>
      <c r="AC621" s="21" t="str">
        <f t="shared" si="172"/>
        <v/>
      </c>
      <c r="AD621" s="27" t="str">
        <f t="shared" si="165"/>
        <v/>
      </c>
      <c r="AE621" s="27" t="str">
        <f t="shared" si="163"/>
        <v/>
      </c>
      <c r="AF621" s="14">
        <f t="shared" si="173"/>
        <v>0</v>
      </c>
      <c r="AG621" s="12">
        <f t="shared" si="168"/>
        <v>0</v>
      </c>
      <c r="AH621" s="24">
        <f t="shared" si="174"/>
        <v>0</v>
      </c>
      <c r="AI621" s="49" t="e">
        <f t="shared" si="164"/>
        <v>#VALUE!</v>
      </c>
      <c r="AK621" s="50" t="e">
        <f t="shared" si="169"/>
        <v>#VALUE!</v>
      </c>
    </row>
    <row r="622" spans="1:37" x14ac:dyDescent="0.4">
      <c r="A622" s="2">
        <v>1775</v>
      </c>
      <c r="B622" s="16"/>
      <c r="C622" s="22">
        <f t="shared" si="166"/>
        <v>0</v>
      </c>
      <c r="D622" s="23">
        <f t="shared" si="170"/>
        <v>0</v>
      </c>
      <c r="E622" s="14"/>
      <c r="F622" s="12">
        <f t="shared" si="167"/>
        <v>0</v>
      </c>
      <c r="G622" s="24">
        <f t="shared" si="171"/>
        <v>0</v>
      </c>
      <c r="H622" s="14"/>
      <c r="I622" s="14"/>
      <c r="J622" s="29"/>
      <c r="K622" s="30"/>
      <c r="M622" s="17"/>
      <c r="N622" s="7" t="str">
        <f t="shared" si="159"/>
        <v/>
      </c>
      <c r="O622" s="5"/>
      <c r="P622" s="3"/>
      <c r="Q622" s="5"/>
      <c r="R622" s="7" t="str">
        <f t="shared" si="160"/>
        <v/>
      </c>
      <c r="S622" s="5"/>
      <c r="U622" s="10"/>
      <c r="V622" s="11" t="str">
        <f t="shared" si="161"/>
        <v/>
      </c>
      <c r="W622" s="6"/>
      <c r="Y622" s="10"/>
      <c r="Z622" s="11" t="str">
        <f t="shared" si="162"/>
        <v/>
      </c>
      <c r="AA622" s="6"/>
      <c r="AB622" s="1">
        <v>1.2</v>
      </c>
      <c r="AC622" s="21" t="str">
        <f t="shared" si="172"/>
        <v/>
      </c>
      <c r="AD622" s="27" t="str">
        <f t="shared" si="165"/>
        <v/>
      </c>
      <c r="AE622" s="27" t="str">
        <f t="shared" si="163"/>
        <v/>
      </c>
      <c r="AF622" s="14">
        <f t="shared" si="173"/>
        <v>0</v>
      </c>
      <c r="AG622" s="12">
        <f t="shared" si="168"/>
        <v>0</v>
      </c>
      <c r="AH622" s="24">
        <f t="shared" si="174"/>
        <v>0</v>
      </c>
      <c r="AI622" s="49" t="e">
        <f t="shared" si="164"/>
        <v>#VALUE!</v>
      </c>
      <c r="AK622" s="50" t="e">
        <f t="shared" si="169"/>
        <v>#VALUE!</v>
      </c>
    </row>
    <row r="623" spans="1:37" x14ac:dyDescent="0.4">
      <c r="A623" s="2">
        <v>1776</v>
      </c>
      <c r="B623" s="16"/>
      <c r="C623" s="22">
        <f t="shared" si="166"/>
        <v>0</v>
      </c>
      <c r="D623" s="23">
        <f t="shared" si="170"/>
        <v>0</v>
      </c>
      <c r="E623" s="14"/>
      <c r="F623" s="12">
        <f t="shared" si="167"/>
        <v>0</v>
      </c>
      <c r="G623" s="24">
        <f t="shared" si="171"/>
        <v>0</v>
      </c>
      <c r="H623" s="14"/>
      <c r="I623" s="14"/>
      <c r="J623" s="29"/>
      <c r="K623" s="30"/>
      <c r="M623" s="17"/>
      <c r="N623" s="7" t="str">
        <f t="shared" si="159"/>
        <v/>
      </c>
      <c r="O623" s="5"/>
      <c r="P623" s="3"/>
      <c r="Q623" s="5"/>
      <c r="R623" s="7" t="str">
        <f t="shared" si="160"/>
        <v/>
      </c>
      <c r="S623" s="5"/>
      <c r="U623" s="10"/>
      <c r="V623" s="11" t="str">
        <f t="shared" si="161"/>
        <v/>
      </c>
      <c r="W623" s="6"/>
      <c r="Y623" s="10"/>
      <c r="Z623" s="11" t="str">
        <f t="shared" si="162"/>
        <v/>
      </c>
      <c r="AA623" s="6"/>
      <c r="AB623" s="1">
        <v>1.2</v>
      </c>
      <c r="AC623" s="21" t="str">
        <f t="shared" si="172"/>
        <v/>
      </c>
      <c r="AD623" s="27" t="str">
        <f t="shared" si="165"/>
        <v/>
      </c>
      <c r="AE623" s="27" t="str">
        <f t="shared" si="163"/>
        <v/>
      </c>
      <c r="AF623" s="14">
        <f t="shared" si="173"/>
        <v>0</v>
      </c>
      <c r="AG623" s="12">
        <f t="shared" si="168"/>
        <v>0</v>
      </c>
      <c r="AH623" s="24">
        <f t="shared" si="174"/>
        <v>0</v>
      </c>
      <c r="AI623" s="49" t="e">
        <f t="shared" si="164"/>
        <v>#VALUE!</v>
      </c>
      <c r="AK623" s="50" t="e">
        <f t="shared" si="169"/>
        <v>#VALUE!</v>
      </c>
    </row>
    <row r="624" spans="1:37" x14ac:dyDescent="0.4">
      <c r="A624" s="2">
        <v>1777</v>
      </c>
      <c r="B624" s="16"/>
      <c r="C624" s="22">
        <f t="shared" si="166"/>
        <v>0</v>
      </c>
      <c r="D624" s="23">
        <f t="shared" si="170"/>
        <v>0</v>
      </c>
      <c r="E624" s="14"/>
      <c r="F624" s="12">
        <f t="shared" si="167"/>
        <v>0</v>
      </c>
      <c r="G624" s="24">
        <f t="shared" si="171"/>
        <v>0</v>
      </c>
      <c r="H624" s="14"/>
      <c r="I624" s="14"/>
      <c r="J624" s="29"/>
      <c r="K624" s="30"/>
      <c r="M624" s="17"/>
      <c r="N624" s="7" t="str">
        <f t="shared" si="159"/>
        <v/>
      </c>
      <c r="O624" s="5"/>
      <c r="P624" s="3"/>
      <c r="Q624" s="5"/>
      <c r="R624" s="7" t="str">
        <f t="shared" si="160"/>
        <v/>
      </c>
      <c r="S624" s="5"/>
      <c r="U624" s="10"/>
      <c r="V624" s="11" t="str">
        <f t="shared" si="161"/>
        <v/>
      </c>
      <c r="W624" s="6"/>
      <c r="Y624" s="10"/>
      <c r="Z624" s="11" t="str">
        <f t="shared" si="162"/>
        <v/>
      </c>
      <c r="AA624" s="6"/>
      <c r="AB624" s="1">
        <v>1.2</v>
      </c>
      <c r="AC624" s="21" t="str">
        <f t="shared" si="172"/>
        <v/>
      </c>
      <c r="AD624" s="27" t="str">
        <f t="shared" si="165"/>
        <v/>
      </c>
      <c r="AE624" s="27" t="str">
        <f t="shared" si="163"/>
        <v/>
      </c>
      <c r="AF624" s="14">
        <f t="shared" si="173"/>
        <v>0</v>
      </c>
      <c r="AG624" s="12">
        <f t="shared" si="168"/>
        <v>0</v>
      </c>
      <c r="AH624" s="24">
        <f t="shared" si="174"/>
        <v>0</v>
      </c>
      <c r="AI624" s="49" t="e">
        <f t="shared" si="164"/>
        <v>#VALUE!</v>
      </c>
      <c r="AK624" s="50" t="e">
        <f t="shared" si="169"/>
        <v>#VALUE!</v>
      </c>
    </row>
    <row r="625" spans="1:37" x14ac:dyDescent="0.4">
      <c r="A625" s="2">
        <v>1778</v>
      </c>
      <c r="B625" s="16"/>
      <c r="C625" s="22">
        <f t="shared" si="166"/>
        <v>0</v>
      </c>
      <c r="D625" s="23">
        <f t="shared" si="170"/>
        <v>0</v>
      </c>
      <c r="E625" s="14"/>
      <c r="F625" s="12">
        <f t="shared" si="167"/>
        <v>0</v>
      </c>
      <c r="G625" s="24">
        <f t="shared" si="171"/>
        <v>0</v>
      </c>
      <c r="H625" s="14"/>
      <c r="I625" s="14"/>
      <c r="J625" s="29"/>
      <c r="K625" s="30"/>
      <c r="M625" s="17"/>
      <c r="N625" s="7" t="str">
        <f t="shared" si="159"/>
        <v/>
      </c>
      <c r="O625" s="5"/>
      <c r="P625" s="3"/>
      <c r="Q625" s="5"/>
      <c r="R625" s="7" t="str">
        <f t="shared" si="160"/>
        <v/>
      </c>
      <c r="S625" s="5"/>
      <c r="U625" s="10"/>
      <c r="V625" s="11" t="str">
        <f t="shared" si="161"/>
        <v/>
      </c>
      <c r="W625" s="6"/>
      <c r="Y625" s="10"/>
      <c r="Z625" s="11" t="str">
        <f t="shared" si="162"/>
        <v/>
      </c>
      <c r="AA625" s="6"/>
      <c r="AB625" s="1">
        <v>1.2</v>
      </c>
      <c r="AC625" s="21" t="str">
        <f t="shared" si="172"/>
        <v/>
      </c>
      <c r="AD625" s="27" t="str">
        <f t="shared" si="165"/>
        <v/>
      </c>
      <c r="AE625" s="27" t="str">
        <f t="shared" si="163"/>
        <v/>
      </c>
      <c r="AF625" s="14">
        <f t="shared" si="173"/>
        <v>0</v>
      </c>
      <c r="AG625" s="12">
        <f t="shared" si="168"/>
        <v>0</v>
      </c>
      <c r="AH625" s="24">
        <f t="shared" si="174"/>
        <v>0</v>
      </c>
      <c r="AI625" s="49" t="e">
        <f t="shared" si="164"/>
        <v>#VALUE!</v>
      </c>
      <c r="AK625" s="50" t="e">
        <f t="shared" si="169"/>
        <v>#VALUE!</v>
      </c>
    </row>
    <row r="626" spans="1:37" x14ac:dyDescent="0.4">
      <c r="A626" s="2">
        <v>1779</v>
      </c>
      <c r="B626" s="16"/>
      <c r="C626" s="22">
        <f t="shared" si="166"/>
        <v>0</v>
      </c>
      <c r="D626" s="23">
        <f t="shared" si="170"/>
        <v>0</v>
      </c>
      <c r="E626" s="14"/>
      <c r="F626" s="12">
        <f t="shared" si="167"/>
        <v>0</v>
      </c>
      <c r="G626" s="24">
        <f t="shared" si="171"/>
        <v>0</v>
      </c>
      <c r="H626" s="14"/>
      <c r="I626" s="14"/>
      <c r="J626" s="29"/>
      <c r="K626" s="30"/>
      <c r="M626" s="17"/>
      <c r="N626" s="7" t="str">
        <f t="shared" si="159"/>
        <v/>
      </c>
      <c r="O626" s="5"/>
      <c r="P626" s="3"/>
      <c r="Q626" s="5"/>
      <c r="R626" s="7" t="str">
        <f t="shared" si="160"/>
        <v/>
      </c>
      <c r="S626" s="5"/>
      <c r="U626" s="10"/>
      <c r="V626" s="11" t="str">
        <f t="shared" si="161"/>
        <v/>
      </c>
      <c r="W626" s="6"/>
      <c r="Y626" s="10"/>
      <c r="Z626" s="11" t="str">
        <f t="shared" si="162"/>
        <v/>
      </c>
      <c r="AA626" s="6"/>
      <c r="AB626" s="1">
        <v>1.2</v>
      </c>
      <c r="AC626" s="21" t="str">
        <f t="shared" si="172"/>
        <v/>
      </c>
      <c r="AD626" s="27" t="str">
        <f t="shared" si="165"/>
        <v/>
      </c>
      <c r="AE626" s="27" t="str">
        <f t="shared" si="163"/>
        <v/>
      </c>
      <c r="AF626" s="14">
        <f t="shared" si="173"/>
        <v>0</v>
      </c>
      <c r="AG626" s="12">
        <f t="shared" si="168"/>
        <v>0</v>
      </c>
      <c r="AH626" s="24">
        <f t="shared" si="174"/>
        <v>0</v>
      </c>
      <c r="AI626" s="49" t="e">
        <f t="shared" si="164"/>
        <v>#VALUE!</v>
      </c>
      <c r="AK626" s="50" t="e">
        <f t="shared" si="169"/>
        <v>#VALUE!</v>
      </c>
    </row>
    <row r="627" spans="1:37" x14ac:dyDescent="0.4">
      <c r="A627" s="2">
        <v>1780</v>
      </c>
      <c r="B627" s="16"/>
      <c r="C627" s="22">
        <f t="shared" si="166"/>
        <v>0</v>
      </c>
      <c r="D627" s="23">
        <f t="shared" si="170"/>
        <v>0</v>
      </c>
      <c r="E627" s="14"/>
      <c r="F627" s="12">
        <f t="shared" si="167"/>
        <v>0</v>
      </c>
      <c r="G627" s="24">
        <f t="shared" si="171"/>
        <v>0</v>
      </c>
      <c r="H627" s="14"/>
      <c r="I627" s="14"/>
      <c r="J627" s="29"/>
      <c r="K627" s="30"/>
      <c r="M627" s="17"/>
      <c r="N627" s="7" t="str">
        <f t="shared" si="159"/>
        <v/>
      </c>
      <c r="O627" s="5"/>
      <c r="P627" s="3"/>
      <c r="Q627" s="5"/>
      <c r="R627" s="7" t="str">
        <f t="shared" si="160"/>
        <v/>
      </c>
      <c r="S627" s="5"/>
      <c r="U627" s="10"/>
      <c r="V627" s="11" t="str">
        <f t="shared" si="161"/>
        <v/>
      </c>
      <c r="W627" s="6"/>
      <c r="Y627" s="10"/>
      <c r="Z627" s="11" t="str">
        <f t="shared" si="162"/>
        <v/>
      </c>
      <c r="AA627" s="6"/>
      <c r="AB627" s="1">
        <v>1.2</v>
      </c>
      <c r="AC627" s="21" t="str">
        <f t="shared" si="172"/>
        <v/>
      </c>
      <c r="AD627" s="27" t="str">
        <f t="shared" si="165"/>
        <v/>
      </c>
      <c r="AE627" s="27" t="str">
        <f t="shared" si="163"/>
        <v/>
      </c>
      <c r="AF627" s="14">
        <f t="shared" si="173"/>
        <v>0</v>
      </c>
      <c r="AG627" s="12">
        <f t="shared" si="168"/>
        <v>0</v>
      </c>
      <c r="AH627" s="24">
        <f t="shared" si="174"/>
        <v>0</v>
      </c>
      <c r="AI627" s="49" t="e">
        <f t="shared" si="164"/>
        <v>#VALUE!</v>
      </c>
      <c r="AK627" s="50" t="e">
        <f t="shared" si="169"/>
        <v>#VALUE!</v>
      </c>
    </row>
    <row r="628" spans="1:37" x14ac:dyDescent="0.4">
      <c r="A628" s="2">
        <v>1781</v>
      </c>
      <c r="B628" s="16"/>
      <c r="C628" s="22">
        <f t="shared" si="166"/>
        <v>0</v>
      </c>
      <c r="D628" s="23">
        <f t="shared" si="170"/>
        <v>0</v>
      </c>
      <c r="E628" s="14"/>
      <c r="F628" s="12">
        <f t="shared" si="167"/>
        <v>0</v>
      </c>
      <c r="G628" s="24">
        <f t="shared" si="171"/>
        <v>0</v>
      </c>
      <c r="H628" s="14"/>
      <c r="I628" s="14"/>
      <c r="J628" s="29"/>
      <c r="K628" s="30"/>
      <c r="M628" s="17"/>
      <c r="N628" s="7" t="str">
        <f t="shared" si="159"/>
        <v/>
      </c>
      <c r="O628" s="5"/>
      <c r="P628" s="3"/>
      <c r="Q628" s="5"/>
      <c r="R628" s="7" t="str">
        <f t="shared" si="160"/>
        <v/>
      </c>
      <c r="S628" s="5"/>
      <c r="U628" s="10"/>
      <c r="V628" s="11" t="str">
        <f t="shared" si="161"/>
        <v/>
      </c>
      <c r="W628" s="6"/>
      <c r="Y628" s="10"/>
      <c r="Z628" s="11" t="str">
        <f t="shared" si="162"/>
        <v/>
      </c>
      <c r="AA628" s="6"/>
      <c r="AB628" s="1">
        <v>1.2</v>
      </c>
      <c r="AC628" s="21" t="str">
        <f t="shared" si="172"/>
        <v/>
      </c>
      <c r="AD628" s="27" t="str">
        <f t="shared" si="165"/>
        <v/>
      </c>
      <c r="AE628" s="27" t="str">
        <f t="shared" si="163"/>
        <v/>
      </c>
      <c r="AF628" s="14">
        <f t="shared" si="173"/>
        <v>0</v>
      </c>
      <c r="AG628" s="12">
        <f t="shared" si="168"/>
        <v>0</v>
      </c>
      <c r="AH628" s="24">
        <f t="shared" si="174"/>
        <v>0</v>
      </c>
      <c r="AI628" s="49" t="e">
        <f t="shared" si="164"/>
        <v>#VALUE!</v>
      </c>
      <c r="AK628" s="50" t="e">
        <f t="shared" si="169"/>
        <v>#VALUE!</v>
      </c>
    </row>
    <row r="629" spans="1:37" x14ac:dyDescent="0.4">
      <c r="A629" s="2">
        <v>1782</v>
      </c>
      <c r="B629" s="16"/>
      <c r="C629" s="22">
        <f t="shared" si="166"/>
        <v>0</v>
      </c>
      <c r="D629" s="23">
        <f t="shared" si="170"/>
        <v>0</v>
      </c>
      <c r="E629" s="14"/>
      <c r="F629" s="12">
        <f t="shared" si="167"/>
        <v>0</v>
      </c>
      <c r="G629" s="24">
        <f t="shared" si="171"/>
        <v>0</v>
      </c>
      <c r="H629" s="14"/>
      <c r="I629" s="14"/>
      <c r="J629" s="29"/>
      <c r="K629" s="30"/>
      <c r="M629" s="17"/>
      <c r="N629" s="7" t="str">
        <f t="shared" si="159"/>
        <v/>
      </c>
      <c r="O629" s="5"/>
      <c r="P629" s="3"/>
      <c r="Q629" s="5"/>
      <c r="R629" s="7" t="str">
        <f t="shared" si="160"/>
        <v/>
      </c>
      <c r="S629" s="5"/>
      <c r="U629" s="10"/>
      <c r="V629" s="11" t="str">
        <f t="shared" si="161"/>
        <v/>
      </c>
      <c r="W629" s="6"/>
      <c r="Y629" s="10"/>
      <c r="Z629" s="11" t="str">
        <f t="shared" si="162"/>
        <v/>
      </c>
      <c r="AA629" s="6"/>
      <c r="AB629" s="1">
        <v>1.2</v>
      </c>
      <c r="AC629" s="21" t="str">
        <f t="shared" si="172"/>
        <v/>
      </c>
      <c r="AD629" s="27" t="str">
        <f t="shared" si="165"/>
        <v/>
      </c>
      <c r="AE629" s="27" t="str">
        <f t="shared" si="163"/>
        <v/>
      </c>
      <c r="AF629" s="14">
        <f t="shared" si="173"/>
        <v>0</v>
      </c>
      <c r="AG629" s="12">
        <f t="shared" si="168"/>
        <v>0</v>
      </c>
      <c r="AH629" s="24">
        <f t="shared" si="174"/>
        <v>0</v>
      </c>
      <c r="AI629" s="49" t="e">
        <f t="shared" si="164"/>
        <v>#VALUE!</v>
      </c>
      <c r="AK629" s="50" t="e">
        <f t="shared" si="169"/>
        <v>#VALUE!</v>
      </c>
    </row>
    <row r="630" spans="1:37" x14ac:dyDescent="0.4">
      <c r="A630" s="2">
        <v>1783</v>
      </c>
      <c r="B630" s="16"/>
      <c r="C630" s="22">
        <f t="shared" si="166"/>
        <v>0</v>
      </c>
      <c r="D630" s="23">
        <f t="shared" si="170"/>
        <v>0</v>
      </c>
      <c r="E630" s="14"/>
      <c r="F630" s="12">
        <f t="shared" si="167"/>
        <v>0</v>
      </c>
      <c r="G630" s="24">
        <f t="shared" si="171"/>
        <v>0</v>
      </c>
      <c r="H630" s="14"/>
      <c r="I630" s="14"/>
      <c r="J630" s="29"/>
      <c r="K630" s="30"/>
      <c r="M630" s="17"/>
      <c r="N630" s="7" t="str">
        <f t="shared" si="159"/>
        <v/>
      </c>
      <c r="O630" s="5"/>
      <c r="P630" s="3"/>
      <c r="Q630" s="5"/>
      <c r="R630" s="7" t="str">
        <f t="shared" si="160"/>
        <v/>
      </c>
      <c r="S630" s="5"/>
      <c r="U630" s="10"/>
      <c r="V630" s="11" t="str">
        <f t="shared" si="161"/>
        <v/>
      </c>
      <c r="W630" s="6"/>
      <c r="Y630" s="10"/>
      <c r="Z630" s="11" t="str">
        <f t="shared" si="162"/>
        <v/>
      </c>
      <c r="AA630" s="6"/>
      <c r="AB630" s="1">
        <v>1.2</v>
      </c>
      <c r="AC630" s="21" t="str">
        <f t="shared" si="172"/>
        <v/>
      </c>
      <c r="AD630" s="27" t="str">
        <f t="shared" si="165"/>
        <v/>
      </c>
      <c r="AE630" s="27" t="str">
        <f t="shared" si="163"/>
        <v/>
      </c>
      <c r="AF630" s="14">
        <f t="shared" si="173"/>
        <v>0</v>
      </c>
      <c r="AG630" s="12">
        <f t="shared" si="168"/>
        <v>0</v>
      </c>
      <c r="AH630" s="24">
        <f t="shared" si="174"/>
        <v>0</v>
      </c>
      <c r="AI630" s="49" t="e">
        <f t="shared" si="164"/>
        <v>#VALUE!</v>
      </c>
      <c r="AK630" s="50" t="e">
        <f t="shared" si="169"/>
        <v>#VALUE!</v>
      </c>
    </row>
    <row r="631" spans="1:37" x14ac:dyDescent="0.4">
      <c r="A631" s="2">
        <v>1784</v>
      </c>
      <c r="B631" s="16"/>
      <c r="C631" s="22">
        <f t="shared" si="166"/>
        <v>0</v>
      </c>
      <c r="D631" s="23">
        <f t="shared" si="170"/>
        <v>0</v>
      </c>
      <c r="E631" s="14"/>
      <c r="F631" s="12">
        <f t="shared" si="167"/>
        <v>0</v>
      </c>
      <c r="G631" s="24">
        <f t="shared" si="171"/>
        <v>0</v>
      </c>
      <c r="H631" s="14"/>
      <c r="I631" s="14"/>
      <c r="J631" s="29"/>
      <c r="K631" s="30"/>
      <c r="M631" s="17"/>
      <c r="N631" s="7" t="str">
        <f t="shared" si="159"/>
        <v/>
      </c>
      <c r="O631" s="5"/>
      <c r="P631" s="3"/>
      <c r="Q631" s="5"/>
      <c r="R631" s="7" t="str">
        <f t="shared" si="160"/>
        <v/>
      </c>
      <c r="S631" s="5"/>
      <c r="U631" s="10"/>
      <c r="V631" s="11" t="str">
        <f t="shared" si="161"/>
        <v/>
      </c>
      <c r="W631" s="6"/>
      <c r="Y631" s="10"/>
      <c r="Z631" s="11" t="str">
        <f t="shared" si="162"/>
        <v/>
      </c>
      <c r="AA631" s="6"/>
      <c r="AB631" s="1">
        <v>1.2</v>
      </c>
      <c r="AC631" s="21" t="str">
        <f t="shared" si="172"/>
        <v/>
      </c>
      <c r="AD631" s="27" t="str">
        <f t="shared" si="165"/>
        <v/>
      </c>
      <c r="AE631" s="27" t="str">
        <f t="shared" si="163"/>
        <v/>
      </c>
      <c r="AF631" s="14">
        <f t="shared" si="173"/>
        <v>0</v>
      </c>
      <c r="AG631" s="12">
        <f t="shared" si="168"/>
        <v>0</v>
      </c>
      <c r="AH631" s="24">
        <f t="shared" si="174"/>
        <v>0</v>
      </c>
      <c r="AI631" s="49" t="e">
        <f t="shared" si="164"/>
        <v>#VALUE!</v>
      </c>
      <c r="AK631" s="50" t="e">
        <f t="shared" si="169"/>
        <v>#VALUE!</v>
      </c>
    </row>
    <row r="632" spans="1:37" x14ac:dyDescent="0.4">
      <c r="A632" s="2">
        <v>1785</v>
      </c>
      <c r="B632" s="16"/>
      <c r="C632" s="22">
        <f t="shared" si="166"/>
        <v>0</v>
      </c>
      <c r="D632" s="23">
        <f t="shared" si="170"/>
        <v>0</v>
      </c>
      <c r="E632" s="14"/>
      <c r="F632" s="12">
        <f t="shared" si="167"/>
        <v>0</v>
      </c>
      <c r="G632" s="24">
        <f t="shared" si="171"/>
        <v>0</v>
      </c>
      <c r="H632" s="14"/>
      <c r="I632" s="14"/>
      <c r="J632" s="29"/>
      <c r="K632" s="30"/>
      <c r="M632" s="17"/>
      <c r="N632" s="7" t="str">
        <f t="shared" si="159"/>
        <v/>
      </c>
      <c r="O632" s="5"/>
      <c r="P632" s="3"/>
      <c r="Q632" s="5"/>
      <c r="R632" s="7" t="str">
        <f t="shared" si="160"/>
        <v/>
      </c>
      <c r="S632" s="5"/>
      <c r="U632" s="10"/>
      <c r="V632" s="11" t="str">
        <f t="shared" si="161"/>
        <v/>
      </c>
      <c r="W632" s="6"/>
      <c r="Y632" s="10"/>
      <c r="Z632" s="11" t="str">
        <f t="shared" si="162"/>
        <v/>
      </c>
      <c r="AA632" s="6"/>
      <c r="AB632" s="1">
        <v>1.2</v>
      </c>
      <c r="AC632" s="21" t="str">
        <f t="shared" si="172"/>
        <v/>
      </c>
      <c r="AD632" s="27" t="str">
        <f t="shared" si="165"/>
        <v/>
      </c>
      <c r="AE632" s="27" t="str">
        <f t="shared" si="163"/>
        <v/>
      </c>
      <c r="AF632" s="14">
        <f t="shared" si="173"/>
        <v>0</v>
      </c>
      <c r="AG632" s="12">
        <f t="shared" si="168"/>
        <v>0</v>
      </c>
      <c r="AH632" s="24">
        <f t="shared" si="174"/>
        <v>0</v>
      </c>
      <c r="AI632" s="49" t="e">
        <f t="shared" si="164"/>
        <v>#VALUE!</v>
      </c>
      <c r="AK632" s="50" t="e">
        <f t="shared" si="169"/>
        <v>#VALUE!</v>
      </c>
    </row>
    <row r="633" spans="1:37" x14ac:dyDescent="0.4">
      <c r="A633" s="2">
        <v>1786</v>
      </c>
      <c r="B633" s="16"/>
      <c r="C633" s="22">
        <f t="shared" si="166"/>
        <v>0</v>
      </c>
      <c r="D633" s="23">
        <f t="shared" si="170"/>
        <v>0</v>
      </c>
      <c r="E633" s="14"/>
      <c r="F633" s="12">
        <f t="shared" si="167"/>
        <v>0</v>
      </c>
      <c r="G633" s="24">
        <f t="shared" si="171"/>
        <v>0</v>
      </c>
      <c r="H633" s="14"/>
      <c r="I633" s="14"/>
      <c r="J633" s="29"/>
      <c r="K633" s="30"/>
      <c r="M633" s="17"/>
      <c r="N633" s="7" t="str">
        <f t="shared" si="159"/>
        <v/>
      </c>
      <c r="O633" s="5"/>
      <c r="P633" s="3"/>
      <c r="Q633" s="5"/>
      <c r="R633" s="7" t="str">
        <f t="shared" si="160"/>
        <v/>
      </c>
      <c r="S633" s="5"/>
      <c r="U633" s="10"/>
      <c r="V633" s="11" t="str">
        <f t="shared" si="161"/>
        <v/>
      </c>
      <c r="W633" s="6"/>
      <c r="Y633" s="10"/>
      <c r="Z633" s="11" t="str">
        <f t="shared" si="162"/>
        <v/>
      </c>
      <c r="AA633" s="6"/>
      <c r="AB633" s="1">
        <v>1.2</v>
      </c>
      <c r="AC633" s="21" t="str">
        <f t="shared" si="172"/>
        <v/>
      </c>
      <c r="AD633" s="27" t="str">
        <f t="shared" si="165"/>
        <v/>
      </c>
      <c r="AE633" s="27" t="str">
        <f t="shared" si="163"/>
        <v/>
      </c>
      <c r="AF633" s="14">
        <f t="shared" si="173"/>
        <v>0</v>
      </c>
      <c r="AG633" s="12">
        <f t="shared" si="168"/>
        <v>0</v>
      </c>
      <c r="AH633" s="24">
        <f t="shared" si="174"/>
        <v>0</v>
      </c>
      <c r="AI633" s="49" t="e">
        <f t="shared" si="164"/>
        <v>#VALUE!</v>
      </c>
      <c r="AK633" s="50" t="e">
        <f t="shared" si="169"/>
        <v>#VALUE!</v>
      </c>
    </row>
    <row r="634" spans="1:37" x14ac:dyDescent="0.4">
      <c r="A634" s="2">
        <v>1787</v>
      </c>
      <c r="B634" s="16"/>
      <c r="C634" s="22">
        <f t="shared" si="166"/>
        <v>0</v>
      </c>
      <c r="D634" s="23">
        <f t="shared" si="170"/>
        <v>0</v>
      </c>
      <c r="E634" s="14"/>
      <c r="F634" s="12">
        <f t="shared" si="167"/>
        <v>0</v>
      </c>
      <c r="G634" s="24">
        <f t="shared" si="171"/>
        <v>0</v>
      </c>
      <c r="H634" s="14"/>
      <c r="I634" s="14"/>
      <c r="J634" s="29"/>
      <c r="K634" s="30"/>
      <c r="M634" s="17"/>
      <c r="N634" s="7" t="str">
        <f t="shared" si="159"/>
        <v/>
      </c>
      <c r="O634" s="5"/>
      <c r="P634" s="3"/>
      <c r="Q634" s="5"/>
      <c r="R634" s="7" t="str">
        <f t="shared" si="160"/>
        <v/>
      </c>
      <c r="S634" s="5"/>
      <c r="U634" s="10"/>
      <c r="V634" s="11" t="str">
        <f t="shared" si="161"/>
        <v/>
      </c>
      <c r="W634" s="6"/>
      <c r="Y634" s="10"/>
      <c r="Z634" s="11" t="str">
        <f t="shared" si="162"/>
        <v/>
      </c>
      <c r="AA634" s="6"/>
      <c r="AB634" s="1">
        <v>1.2</v>
      </c>
      <c r="AC634" s="21" t="str">
        <f t="shared" si="172"/>
        <v/>
      </c>
      <c r="AD634" s="27" t="str">
        <f t="shared" si="165"/>
        <v/>
      </c>
      <c r="AE634" s="27" t="str">
        <f t="shared" si="163"/>
        <v/>
      </c>
      <c r="AF634" s="14">
        <f t="shared" si="173"/>
        <v>0</v>
      </c>
      <c r="AG634" s="12">
        <f t="shared" si="168"/>
        <v>0</v>
      </c>
      <c r="AH634" s="24">
        <f t="shared" si="174"/>
        <v>0</v>
      </c>
      <c r="AI634" s="49" t="e">
        <f t="shared" si="164"/>
        <v>#VALUE!</v>
      </c>
      <c r="AK634" s="50" t="e">
        <f t="shared" si="169"/>
        <v>#VALUE!</v>
      </c>
    </row>
    <row r="635" spans="1:37" x14ac:dyDescent="0.4">
      <c r="A635" s="2">
        <v>1788</v>
      </c>
      <c r="B635" s="16"/>
      <c r="C635" s="22">
        <f t="shared" si="166"/>
        <v>0</v>
      </c>
      <c r="D635" s="23">
        <f t="shared" si="170"/>
        <v>0</v>
      </c>
      <c r="E635" s="14"/>
      <c r="F635" s="12">
        <f t="shared" si="167"/>
        <v>0</v>
      </c>
      <c r="G635" s="24">
        <f t="shared" si="171"/>
        <v>0</v>
      </c>
      <c r="H635" s="14"/>
      <c r="I635" s="14"/>
      <c r="J635" s="29"/>
      <c r="K635" s="30"/>
      <c r="M635" s="17"/>
      <c r="N635" s="7" t="str">
        <f t="shared" si="159"/>
        <v/>
      </c>
      <c r="O635" s="5"/>
      <c r="P635" s="3"/>
      <c r="Q635" s="5"/>
      <c r="R635" s="7" t="str">
        <f t="shared" si="160"/>
        <v/>
      </c>
      <c r="S635" s="5"/>
      <c r="U635" s="10"/>
      <c r="V635" s="11" t="str">
        <f t="shared" si="161"/>
        <v/>
      </c>
      <c r="W635" s="6"/>
      <c r="Y635" s="10"/>
      <c r="Z635" s="11" t="str">
        <f t="shared" si="162"/>
        <v/>
      </c>
      <c r="AA635" s="6"/>
      <c r="AB635" s="1">
        <v>1.2</v>
      </c>
      <c r="AC635" s="21" t="str">
        <f t="shared" si="172"/>
        <v/>
      </c>
      <c r="AD635" s="27" t="str">
        <f t="shared" si="165"/>
        <v/>
      </c>
      <c r="AE635" s="27" t="str">
        <f t="shared" si="163"/>
        <v/>
      </c>
      <c r="AF635" s="14">
        <f t="shared" si="173"/>
        <v>0</v>
      </c>
      <c r="AG635" s="12">
        <f t="shared" si="168"/>
        <v>0</v>
      </c>
      <c r="AH635" s="24">
        <f t="shared" si="174"/>
        <v>0</v>
      </c>
      <c r="AI635" s="49" t="e">
        <f t="shared" si="164"/>
        <v>#VALUE!</v>
      </c>
      <c r="AK635" s="50" t="e">
        <f t="shared" si="169"/>
        <v>#VALUE!</v>
      </c>
    </row>
    <row r="636" spans="1:37" x14ac:dyDescent="0.4">
      <c r="A636" s="2">
        <v>1789</v>
      </c>
      <c r="B636" s="16"/>
      <c r="C636" s="22">
        <f t="shared" si="166"/>
        <v>0</v>
      </c>
      <c r="D636" s="23">
        <f t="shared" si="170"/>
        <v>0</v>
      </c>
      <c r="E636" s="14"/>
      <c r="F636" s="12">
        <f t="shared" si="167"/>
        <v>0</v>
      </c>
      <c r="G636" s="24">
        <f t="shared" si="171"/>
        <v>0</v>
      </c>
      <c r="H636" s="14"/>
      <c r="I636" s="14"/>
      <c r="J636" s="29"/>
      <c r="K636" s="30"/>
      <c r="M636" s="17"/>
      <c r="N636" s="7" t="str">
        <f t="shared" si="159"/>
        <v/>
      </c>
      <c r="O636" s="5"/>
      <c r="P636" s="3"/>
      <c r="Q636" s="5"/>
      <c r="R636" s="7" t="str">
        <f t="shared" si="160"/>
        <v/>
      </c>
      <c r="S636" s="5"/>
      <c r="U636" s="10"/>
      <c r="V636" s="11" t="str">
        <f t="shared" si="161"/>
        <v/>
      </c>
      <c r="W636" s="6"/>
      <c r="Y636" s="10"/>
      <c r="Z636" s="11" t="str">
        <f t="shared" si="162"/>
        <v/>
      </c>
      <c r="AA636" s="6"/>
      <c r="AB636" s="1">
        <v>1.2</v>
      </c>
      <c r="AC636" s="21" t="str">
        <f t="shared" si="172"/>
        <v/>
      </c>
      <c r="AD636" s="27" t="str">
        <f t="shared" si="165"/>
        <v/>
      </c>
      <c r="AE636" s="27" t="str">
        <f t="shared" si="163"/>
        <v/>
      </c>
      <c r="AF636" s="14">
        <f t="shared" si="173"/>
        <v>0</v>
      </c>
      <c r="AG636" s="12">
        <f t="shared" si="168"/>
        <v>0</v>
      </c>
      <c r="AH636" s="24">
        <f t="shared" si="174"/>
        <v>0</v>
      </c>
      <c r="AI636" s="49" t="e">
        <f t="shared" si="164"/>
        <v>#VALUE!</v>
      </c>
      <c r="AK636" s="50" t="e">
        <f t="shared" si="169"/>
        <v>#VALUE!</v>
      </c>
    </row>
    <row r="637" spans="1:37" x14ac:dyDescent="0.4">
      <c r="A637" s="2">
        <v>1790</v>
      </c>
      <c r="B637" s="16"/>
      <c r="C637" s="22">
        <f t="shared" si="166"/>
        <v>0</v>
      </c>
      <c r="D637" s="23">
        <f t="shared" si="170"/>
        <v>0</v>
      </c>
      <c r="E637" s="14"/>
      <c r="F637" s="12">
        <f t="shared" si="167"/>
        <v>0</v>
      </c>
      <c r="G637" s="24">
        <f t="shared" si="171"/>
        <v>0</v>
      </c>
      <c r="H637" s="14"/>
      <c r="I637" s="14"/>
      <c r="J637" s="29"/>
      <c r="K637" s="30"/>
      <c r="M637" s="17"/>
      <c r="N637" s="7" t="str">
        <f t="shared" si="159"/>
        <v/>
      </c>
      <c r="O637" s="5"/>
      <c r="P637" s="3"/>
      <c r="Q637" s="5"/>
      <c r="R637" s="7" t="str">
        <f t="shared" si="160"/>
        <v/>
      </c>
      <c r="S637" s="5"/>
      <c r="U637" s="10"/>
      <c r="V637" s="11" t="str">
        <f t="shared" si="161"/>
        <v/>
      </c>
      <c r="W637" s="6"/>
      <c r="Y637" s="10"/>
      <c r="Z637" s="11" t="str">
        <f t="shared" si="162"/>
        <v/>
      </c>
      <c r="AA637" s="6"/>
      <c r="AB637" s="1">
        <v>1.2</v>
      </c>
      <c r="AC637" s="21" t="str">
        <f t="shared" si="172"/>
        <v/>
      </c>
      <c r="AD637" s="27" t="str">
        <f t="shared" si="165"/>
        <v/>
      </c>
      <c r="AE637" s="27" t="str">
        <f t="shared" si="163"/>
        <v/>
      </c>
      <c r="AF637" s="14">
        <f t="shared" si="173"/>
        <v>0</v>
      </c>
      <c r="AG637" s="12">
        <f t="shared" si="168"/>
        <v>0</v>
      </c>
      <c r="AH637" s="24">
        <f t="shared" si="174"/>
        <v>0</v>
      </c>
      <c r="AI637" s="49" t="e">
        <f t="shared" si="164"/>
        <v>#VALUE!</v>
      </c>
      <c r="AK637" s="50" t="e">
        <f t="shared" si="169"/>
        <v>#VALUE!</v>
      </c>
    </row>
    <row r="638" spans="1:37" x14ac:dyDescent="0.4">
      <c r="A638" s="2">
        <v>1791</v>
      </c>
      <c r="B638" s="16"/>
      <c r="C638" s="22">
        <f t="shared" si="166"/>
        <v>0</v>
      </c>
      <c r="D638" s="23">
        <f t="shared" si="170"/>
        <v>0</v>
      </c>
      <c r="E638" s="14"/>
      <c r="F638" s="12">
        <f t="shared" si="167"/>
        <v>0</v>
      </c>
      <c r="G638" s="24">
        <f t="shared" si="171"/>
        <v>0</v>
      </c>
      <c r="H638" s="14"/>
      <c r="I638" s="14"/>
      <c r="J638" s="29"/>
      <c r="K638" s="30"/>
      <c r="M638" s="17"/>
      <c r="N638" s="7" t="str">
        <f t="shared" si="159"/>
        <v/>
      </c>
      <c r="O638" s="5"/>
      <c r="P638" s="3"/>
      <c r="Q638" s="5"/>
      <c r="R638" s="7" t="str">
        <f t="shared" si="160"/>
        <v/>
      </c>
      <c r="S638" s="5"/>
      <c r="U638" s="10"/>
      <c r="V638" s="11" t="str">
        <f t="shared" si="161"/>
        <v/>
      </c>
      <c r="W638" s="6"/>
      <c r="Y638" s="10"/>
      <c r="Z638" s="11" t="str">
        <f t="shared" si="162"/>
        <v/>
      </c>
      <c r="AA638" s="6"/>
      <c r="AB638" s="1">
        <v>1.2</v>
      </c>
      <c r="AC638" s="21" t="str">
        <f t="shared" si="172"/>
        <v/>
      </c>
      <c r="AD638" s="27" t="str">
        <f t="shared" si="165"/>
        <v/>
      </c>
      <c r="AE638" s="27" t="str">
        <f t="shared" si="163"/>
        <v/>
      </c>
      <c r="AF638" s="14">
        <f t="shared" si="173"/>
        <v>0</v>
      </c>
      <c r="AG638" s="12">
        <f t="shared" si="168"/>
        <v>0</v>
      </c>
      <c r="AH638" s="24">
        <f t="shared" si="174"/>
        <v>0</v>
      </c>
      <c r="AI638" s="49" t="e">
        <f t="shared" si="164"/>
        <v>#VALUE!</v>
      </c>
      <c r="AK638" s="50" t="e">
        <f t="shared" si="169"/>
        <v>#VALUE!</v>
      </c>
    </row>
    <row r="639" spans="1:37" x14ac:dyDescent="0.4">
      <c r="A639" s="2">
        <v>1792</v>
      </c>
      <c r="B639" s="16"/>
      <c r="C639" s="22">
        <f t="shared" si="166"/>
        <v>0</v>
      </c>
      <c r="D639" s="23">
        <f t="shared" si="170"/>
        <v>0</v>
      </c>
      <c r="E639" s="14"/>
      <c r="F639" s="12">
        <f t="shared" si="167"/>
        <v>0</v>
      </c>
      <c r="G639" s="24">
        <f t="shared" si="171"/>
        <v>0</v>
      </c>
      <c r="H639" s="14"/>
      <c r="I639" s="14"/>
      <c r="J639" s="29"/>
      <c r="K639" s="30"/>
      <c r="M639" s="17"/>
      <c r="N639" s="7" t="str">
        <f t="shared" si="159"/>
        <v/>
      </c>
      <c r="O639" s="5"/>
      <c r="P639" s="3"/>
      <c r="Q639" s="5"/>
      <c r="R639" s="7" t="str">
        <f t="shared" si="160"/>
        <v/>
      </c>
      <c r="S639" s="5"/>
      <c r="U639" s="10"/>
      <c r="V639" s="11" t="str">
        <f t="shared" si="161"/>
        <v/>
      </c>
      <c r="W639" s="6"/>
      <c r="Y639" s="10"/>
      <c r="Z639" s="11" t="str">
        <f t="shared" si="162"/>
        <v/>
      </c>
      <c r="AA639" s="6"/>
      <c r="AB639" s="1">
        <v>1.2</v>
      </c>
      <c r="AC639" s="21" t="str">
        <f t="shared" si="172"/>
        <v/>
      </c>
      <c r="AD639" s="27" t="str">
        <f t="shared" si="165"/>
        <v/>
      </c>
      <c r="AE639" s="27" t="str">
        <f t="shared" si="163"/>
        <v/>
      </c>
      <c r="AF639" s="14">
        <f t="shared" si="173"/>
        <v>0</v>
      </c>
      <c r="AG639" s="12">
        <f t="shared" si="168"/>
        <v>0</v>
      </c>
      <c r="AH639" s="24">
        <f t="shared" si="174"/>
        <v>0</v>
      </c>
      <c r="AI639" s="49" t="e">
        <f t="shared" si="164"/>
        <v>#VALUE!</v>
      </c>
      <c r="AK639" s="50" t="e">
        <f t="shared" si="169"/>
        <v>#VALUE!</v>
      </c>
    </row>
    <row r="640" spans="1:37" x14ac:dyDescent="0.4">
      <c r="A640" s="2">
        <v>1793</v>
      </c>
      <c r="B640" s="16"/>
      <c r="C640" s="22">
        <f t="shared" si="166"/>
        <v>0</v>
      </c>
      <c r="D640" s="23">
        <f t="shared" si="170"/>
        <v>0</v>
      </c>
      <c r="E640" s="14"/>
      <c r="F640" s="12">
        <f t="shared" si="167"/>
        <v>0</v>
      </c>
      <c r="G640" s="24">
        <f t="shared" si="171"/>
        <v>0</v>
      </c>
      <c r="H640" s="14"/>
      <c r="I640" s="14"/>
      <c r="J640" s="29"/>
      <c r="K640" s="30"/>
      <c r="M640" s="17"/>
      <c r="N640" s="7" t="str">
        <f t="shared" si="159"/>
        <v/>
      </c>
      <c r="O640" s="5"/>
      <c r="P640" s="3"/>
      <c r="Q640" s="5"/>
      <c r="R640" s="7" t="str">
        <f t="shared" si="160"/>
        <v/>
      </c>
      <c r="S640" s="5"/>
      <c r="U640" s="10"/>
      <c r="V640" s="11" t="str">
        <f t="shared" si="161"/>
        <v/>
      </c>
      <c r="W640" s="6"/>
      <c r="Y640" s="10"/>
      <c r="Z640" s="11" t="str">
        <f t="shared" si="162"/>
        <v/>
      </c>
      <c r="AA640" s="6"/>
      <c r="AB640" s="1">
        <v>1.2</v>
      </c>
      <c r="AC640" s="21" t="str">
        <f t="shared" si="172"/>
        <v/>
      </c>
      <c r="AD640" s="27" t="str">
        <f t="shared" si="165"/>
        <v/>
      </c>
      <c r="AE640" s="27" t="str">
        <f t="shared" si="163"/>
        <v/>
      </c>
      <c r="AF640" s="14">
        <f t="shared" si="173"/>
        <v>0</v>
      </c>
      <c r="AG640" s="12">
        <f t="shared" si="168"/>
        <v>0</v>
      </c>
      <c r="AH640" s="24">
        <f t="shared" si="174"/>
        <v>0</v>
      </c>
      <c r="AI640" s="49" t="e">
        <f t="shared" si="164"/>
        <v>#VALUE!</v>
      </c>
      <c r="AK640" s="50" t="e">
        <f t="shared" si="169"/>
        <v>#VALUE!</v>
      </c>
    </row>
    <row r="641" spans="1:37" x14ac:dyDescent="0.4">
      <c r="A641" s="2">
        <v>1794</v>
      </c>
      <c r="B641" s="16"/>
      <c r="C641" s="22">
        <f t="shared" si="166"/>
        <v>0</v>
      </c>
      <c r="D641" s="23">
        <f t="shared" si="170"/>
        <v>0</v>
      </c>
      <c r="E641" s="14"/>
      <c r="F641" s="12">
        <f t="shared" si="167"/>
        <v>0</v>
      </c>
      <c r="G641" s="24">
        <f t="shared" si="171"/>
        <v>0</v>
      </c>
      <c r="H641" s="14"/>
      <c r="I641" s="14"/>
      <c r="J641" s="29"/>
      <c r="K641" s="30"/>
      <c r="M641" s="17"/>
      <c r="N641" s="7" t="str">
        <f t="shared" si="159"/>
        <v/>
      </c>
      <c r="O641" s="5"/>
      <c r="P641" s="3"/>
      <c r="Q641" s="5"/>
      <c r="R641" s="7" t="str">
        <f t="shared" si="160"/>
        <v/>
      </c>
      <c r="S641" s="5"/>
      <c r="U641" s="10"/>
      <c r="V641" s="11" t="str">
        <f t="shared" si="161"/>
        <v/>
      </c>
      <c r="W641" s="6"/>
      <c r="Y641" s="10"/>
      <c r="Z641" s="11" t="str">
        <f t="shared" si="162"/>
        <v/>
      </c>
      <c r="AA641" s="6"/>
      <c r="AB641" s="1">
        <v>1.2</v>
      </c>
      <c r="AC641" s="21" t="str">
        <f t="shared" si="172"/>
        <v/>
      </c>
      <c r="AD641" s="27" t="str">
        <f t="shared" si="165"/>
        <v/>
      </c>
      <c r="AE641" s="27" t="str">
        <f t="shared" si="163"/>
        <v/>
      </c>
      <c r="AF641" s="14">
        <f t="shared" si="173"/>
        <v>0</v>
      </c>
      <c r="AG641" s="12">
        <f t="shared" si="168"/>
        <v>0</v>
      </c>
      <c r="AH641" s="24">
        <f t="shared" si="174"/>
        <v>0</v>
      </c>
      <c r="AI641" s="49" t="e">
        <f t="shared" si="164"/>
        <v>#VALUE!</v>
      </c>
      <c r="AK641" s="50" t="e">
        <f t="shared" si="169"/>
        <v>#VALUE!</v>
      </c>
    </row>
    <row r="642" spans="1:37" x14ac:dyDescent="0.4">
      <c r="A642" s="2">
        <v>1795</v>
      </c>
      <c r="B642" s="16"/>
      <c r="C642" s="22">
        <f t="shared" si="166"/>
        <v>0</v>
      </c>
      <c r="D642" s="23">
        <f t="shared" si="170"/>
        <v>0</v>
      </c>
      <c r="E642" s="14"/>
      <c r="F642" s="12">
        <f t="shared" si="167"/>
        <v>0</v>
      </c>
      <c r="G642" s="24">
        <f t="shared" si="171"/>
        <v>0</v>
      </c>
      <c r="H642" s="14"/>
      <c r="I642" s="14"/>
      <c r="J642" s="29"/>
      <c r="K642" s="30"/>
      <c r="M642" s="17"/>
      <c r="N642" s="7" t="str">
        <f t="shared" si="159"/>
        <v/>
      </c>
      <c r="O642" s="5"/>
      <c r="P642" s="3"/>
      <c r="Q642" s="5"/>
      <c r="R642" s="7" t="str">
        <f t="shared" si="160"/>
        <v/>
      </c>
      <c r="S642" s="5"/>
      <c r="U642" s="10"/>
      <c r="V642" s="11" t="str">
        <f t="shared" si="161"/>
        <v/>
      </c>
      <c r="W642" s="6"/>
      <c r="Y642" s="10"/>
      <c r="Z642" s="11" t="str">
        <f t="shared" si="162"/>
        <v/>
      </c>
      <c r="AA642" s="6"/>
      <c r="AB642" s="1">
        <v>1.2</v>
      </c>
      <c r="AC642" s="21" t="str">
        <f t="shared" si="172"/>
        <v/>
      </c>
      <c r="AD642" s="27" t="str">
        <f t="shared" si="165"/>
        <v/>
      </c>
      <c r="AE642" s="27" t="str">
        <f t="shared" si="163"/>
        <v/>
      </c>
      <c r="AF642" s="14">
        <f t="shared" si="173"/>
        <v>0</v>
      </c>
      <c r="AG642" s="12">
        <f t="shared" si="168"/>
        <v>0</v>
      </c>
      <c r="AH642" s="24">
        <f t="shared" si="174"/>
        <v>0</v>
      </c>
      <c r="AI642" s="49" t="e">
        <f t="shared" si="164"/>
        <v>#VALUE!</v>
      </c>
      <c r="AK642" s="50" t="e">
        <f t="shared" si="169"/>
        <v>#VALUE!</v>
      </c>
    </row>
    <row r="643" spans="1:37" x14ac:dyDescent="0.4">
      <c r="A643" s="2">
        <v>1796</v>
      </c>
      <c r="B643" s="16"/>
      <c r="C643" s="22">
        <f t="shared" si="166"/>
        <v>0</v>
      </c>
      <c r="D643" s="23">
        <f t="shared" si="170"/>
        <v>0</v>
      </c>
      <c r="E643" s="14"/>
      <c r="F643" s="12">
        <f t="shared" si="167"/>
        <v>0</v>
      </c>
      <c r="G643" s="24">
        <f t="shared" si="171"/>
        <v>0</v>
      </c>
      <c r="H643" s="14"/>
      <c r="I643" s="14"/>
      <c r="J643" s="29"/>
      <c r="K643" s="30"/>
      <c r="M643" s="17"/>
      <c r="N643" s="7" t="str">
        <f t="shared" si="159"/>
        <v/>
      </c>
      <c r="O643" s="5"/>
      <c r="P643" s="3"/>
      <c r="Q643" s="5"/>
      <c r="R643" s="7" t="str">
        <f t="shared" si="160"/>
        <v/>
      </c>
      <c r="S643" s="5"/>
      <c r="U643" s="10"/>
      <c r="V643" s="11" t="str">
        <f t="shared" si="161"/>
        <v/>
      </c>
      <c r="W643" s="6"/>
      <c r="Y643" s="10"/>
      <c r="Z643" s="11" t="str">
        <f t="shared" si="162"/>
        <v/>
      </c>
      <c r="AA643" s="6"/>
      <c r="AB643" s="1">
        <v>1.2</v>
      </c>
      <c r="AC643" s="21" t="str">
        <f t="shared" si="172"/>
        <v/>
      </c>
      <c r="AD643" s="27" t="str">
        <f t="shared" si="165"/>
        <v/>
      </c>
      <c r="AE643" s="27" t="str">
        <f t="shared" si="163"/>
        <v/>
      </c>
      <c r="AF643" s="14">
        <f t="shared" si="173"/>
        <v>0</v>
      </c>
      <c r="AG643" s="12">
        <f t="shared" si="168"/>
        <v>0</v>
      </c>
      <c r="AH643" s="24">
        <f t="shared" si="174"/>
        <v>0</v>
      </c>
      <c r="AI643" s="49" t="e">
        <f t="shared" si="164"/>
        <v>#VALUE!</v>
      </c>
      <c r="AK643" s="50" t="e">
        <f t="shared" si="169"/>
        <v>#VALUE!</v>
      </c>
    </row>
    <row r="644" spans="1:37" x14ac:dyDescent="0.4">
      <c r="A644" s="2">
        <v>1797</v>
      </c>
      <c r="B644" s="16"/>
      <c r="C644" s="22">
        <f t="shared" si="166"/>
        <v>0</v>
      </c>
      <c r="D644" s="23">
        <f t="shared" si="170"/>
        <v>0</v>
      </c>
      <c r="E644" s="14"/>
      <c r="F644" s="12">
        <f t="shared" si="167"/>
        <v>0</v>
      </c>
      <c r="G644" s="24">
        <f t="shared" si="171"/>
        <v>0</v>
      </c>
      <c r="H644" s="14"/>
      <c r="I644" s="14"/>
      <c r="J644" s="29"/>
      <c r="K644" s="30"/>
      <c r="M644" s="17"/>
      <c r="N644" s="7" t="str">
        <f t="shared" si="159"/>
        <v/>
      </c>
      <c r="O644" s="5"/>
      <c r="P644" s="3"/>
      <c r="Q644" s="5"/>
      <c r="R644" s="7" t="str">
        <f t="shared" si="160"/>
        <v/>
      </c>
      <c r="S644" s="5"/>
      <c r="U644" s="10"/>
      <c r="V644" s="11" t="str">
        <f t="shared" si="161"/>
        <v/>
      </c>
      <c r="W644" s="6"/>
      <c r="Y644" s="10"/>
      <c r="Z644" s="11" t="str">
        <f t="shared" si="162"/>
        <v/>
      </c>
      <c r="AA644" s="6"/>
      <c r="AB644" s="1">
        <v>1.2</v>
      </c>
      <c r="AC644" s="21" t="str">
        <f t="shared" si="172"/>
        <v/>
      </c>
      <c r="AD644" s="27" t="str">
        <f t="shared" si="165"/>
        <v/>
      </c>
      <c r="AE644" s="27" t="str">
        <f t="shared" si="163"/>
        <v/>
      </c>
      <c r="AF644" s="14">
        <f t="shared" si="173"/>
        <v>0</v>
      </c>
      <c r="AG644" s="12">
        <f t="shared" si="168"/>
        <v>0</v>
      </c>
      <c r="AH644" s="24">
        <f t="shared" si="174"/>
        <v>0</v>
      </c>
      <c r="AI644" s="49" t="e">
        <f t="shared" si="164"/>
        <v>#VALUE!</v>
      </c>
      <c r="AK644" s="50" t="e">
        <f t="shared" si="169"/>
        <v>#VALUE!</v>
      </c>
    </row>
    <row r="645" spans="1:37" x14ac:dyDescent="0.4">
      <c r="A645" s="2">
        <v>1798</v>
      </c>
      <c r="B645" s="16"/>
      <c r="C645" s="22">
        <f t="shared" si="166"/>
        <v>0</v>
      </c>
      <c r="D645" s="23">
        <f t="shared" si="170"/>
        <v>0</v>
      </c>
      <c r="E645" s="14"/>
      <c r="F645" s="12">
        <f t="shared" si="167"/>
        <v>0</v>
      </c>
      <c r="G645" s="24">
        <f t="shared" si="171"/>
        <v>0</v>
      </c>
      <c r="H645" s="14"/>
      <c r="I645" s="14"/>
      <c r="J645" s="29"/>
      <c r="K645" s="30"/>
      <c r="M645" s="17"/>
      <c r="N645" s="7" t="str">
        <f t="shared" si="159"/>
        <v/>
      </c>
      <c r="O645" s="5"/>
      <c r="P645" s="3"/>
      <c r="Q645" s="5"/>
      <c r="R645" s="7" t="str">
        <f t="shared" si="160"/>
        <v/>
      </c>
      <c r="S645" s="5"/>
      <c r="U645" s="10"/>
      <c r="V645" s="11" t="str">
        <f t="shared" si="161"/>
        <v/>
      </c>
      <c r="W645" s="6"/>
      <c r="Y645" s="10"/>
      <c r="Z645" s="11" t="str">
        <f t="shared" si="162"/>
        <v/>
      </c>
      <c r="AA645" s="6"/>
      <c r="AB645" s="1">
        <v>1.2</v>
      </c>
      <c r="AC645" s="21" t="str">
        <f t="shared" si="172"/>
        <v/>
      </c>
      <c r="AD645" s="27" t="str">
        <f t="shared" si="165"/>
        <v/>
      </c>
      <c r="AE645" s="27" t="str">
        <f t="shared" si="163"/>
        <v/>
      </c>
      <c r="AF645" s="14">
        <f t="shared" si="173"/>
        <v>0</v>
      </c>
      <c r="AG645" s="12">
        <f t="shared" si="168"/>
        <v>0</v>
      </c>
      <c r="AH645" s="24">
        <f t="shared" si="174"/>
        <v>0</v>
      </c>
      <c r="AI645" s="49" t="e">
        <f t="shared" si="164"/>
        <v>#VALUE!</v>
      </c>
      <c r="AK645" s="50" t="e">
        <f t="shared" si="169"/>
        <v>#VALUE!</v>
      </c>
    </row>
    <row r="646" spans="1:37" x14ac:dyDescent="0.4">
      <c r="A646" s="2">
        <v>1799</v>
      </c>
      <c r="B646" s="16"/>
      <c r="C646" s="22">
        <f t="shared" si="166"/>
        <v>0</v>
      </c>
      <c r="D646" s="23">
        <f t="shared" si="170"/>
        <v>0</v>
      </c>
      <c r="E646" s="14"/>
      <c r="F646" s="12">
        <f t="shared" si="167"/>
        <v>0</v>
      </c>
      <c r="G646" s="24">
        <f t="shared" si="171"/>
        <v>0</v>
      </c>
      <c r="H646" s="14"/>
      <c r="I646" s="14"/>
      <c r="J646" s="29"/>
      <c r="K646" s="30"/>
      <c r="M646" s="17"/>
      <c r="N646" s="7" t="str">
        <f t="shared" si="159"/>
        <v/>
      </c>
      <c r="O646" s="5"/>
      <c r="P646" s="3"/>
      <c r="Q646" s="5"/>
      <c r="R646" s="7" t="str">
        <f t="shared" si="160"/>
        <v/>
      </c>
      <c r="S646" s="5"/>
      <c r="U646" s="10"/>
      <c r="V646" s="11" t="str">
        <f t="shared" si="161"/>
        <v/>
      </c>
      <c r="W646" s="6"/>
      <c r="Y646" s="10"/>
      <c r="Z646" s="11" t="str">
        <f t="shared" si="162"/>
        <v/>
      </c>
      <c r="AA646" s="6"/>
      <c r="AB646" s="1">
        <v>1.2</v>
      </c>
      <c r="AC646" s="21" t="str">
        <f t="shared" si="172"/>
        <v/>
      </c>
      <c r="AD646" s="27" t="str">
        <f t="shared" si="165"/>
        <v/>
      </c>
      <c r="AE646" s="27" t="str">
        <f t="shared" si="163"/>
        <v/>
      </c>
      <c r="AF646" s="14">
        <f t="shared" si="173"/>
        <v>0</v>
      </c>
      <c r="AG646" s="12">
        <f t="shared" si="168"/>
        <v>0</v>
      </c>
      <c r="AH646" s="24">
        <f t="shared" si="174"/>
        <v>0</v>
      </c>
      <c r="AI646" s="49" t="e">
        <f t="shared" si="164"/>
        <v>#VALUE!</v>
      </c>
      <c r="AK646" s="50" t="e">
        <f t="shared" si="169"/>
        <v>#VALUE!</v>
      </c>
    </row>
    <row r="647" spans="1:37" x14ac:dyDescent="0.4">
      <c r="A647" s="2">
        <v>1800</v>
      </c>
      <c r="B647" s="16"/>
      <c r="C647" s="22">
        <f t="shared" si="166"/>
        <v>0</v>
      </c>
      <c r="D647" s="23">
        <f t="shared" si="170"/>
        <v>0</v>
      </c>
      <c r="E647" s="14"/>
      <c r="F647" s="12">
        <f t="shared" si="167"/>
        <v>0</v>
      </c>
      <c r="G647" s="24">
        <f t="shared" si="171"/>
        <v>0</v>
      </c>
      <c r="H647" s="14"/>
      <c r="I647" s="14"/>
      <c r="J647" s="29"/>
      <c r="K647" s="30"/>
      <c r="M647" s="17"/>
      <c r="N647" s="7" t="str">
        <f t="shared" si="159"/>
        <v/>
      </c>
      <c r="O647" s="5"/>
      <c r="P647" s="3"/>
      <c r="Q647" s="5"/>
      <c r="R647" s="7" t="str">
        <f t="shared" si="160"/>
        <v/>
      </c>
      <c r="S647" s="5"/>
      <c r="U647" s="10"/>
      <c r="V647" s="11" t="str">
        <f t="shared" si="161"/>
        <v/>
      </c>
      <c r="W647" s="6"/>
      <c r="Y647" s="10"/>
      <c r="Z647" s="11" t="str">
        <f t="shared" si="162"/>
        <v/>
      </c>
      <c r="AA647" s="6"/>
      <c r="AB647" s="1">
        <v>1.2</v>
      </c>
      <c r="AC647" s="21" t="str">
        <f t="shared" si="172"/>
        <v/>
      </c>
      <c r="AD647" s="27" t="str">
        <f t="shared" si="165"/>
        <v/>
      </c>
      <c r="AE647" s="27" t="str">
        <f t="shared" si="163"/>
        <v/>
      </c>
      <c r="AF647" s="14">
        <f t="shared" si="173"/>
        <v>0</v>
      </c>
      <c r="AG647" s="12">
        <f t="shared" si="168"/>
        <v>0</v>
      </c>
      <c r="AH647" s="24">
        <f t="shared" si="174"/>
        <v>0</v>
      </c>
      <c r="AI647" s="49" t="e">
        <f t="shared" si="164"/>
        <v>#VALUE!</v>
      </c>
      <c r="AK647" s="50" t="e">
        <f t="shared" si="169"/>
        <v>#VALUE!</v>
      </c>
    </row>
    <row r="648" spans="1:37" x14ac:dyDescent="0.4">
      <c r="A648" s="2">
        <v>1801</v>
      </c>
      <c r="B648" s="16"/>
      <c r="C648" s="22">
        <f t="shared" si="166"/>
        <v>0</v>
      </c>
      <c r="D648" s="23">
        <f t="shared" si="170"/>
        <v>0</v>
      </c>
      <c r="E648" s="14"/>
      <c r="F648" s="12">
        <f t="shared" si="167"/>
        <v>0</v>
      </c>
      <c r="G648" s="24">
        <f t="shared" si="171"/>
        <v>0</v>
      </c>
      <c r="H648" s="14"/>
      <c r="I648" s="14"/>
      <c r="J648" s="29"/>
      <c r="K648" s="30"/>
      <c r="M648" s="17"/>
      <c r="N648" s="7" t="str">
        <f t="shared" ref="N648:N711" si="175">IF(M648="","",M648*AB648)</f>
        <v/>
      </c>
      <c r="O648" s="5"/>
      <c r="P648" s="3"/>
      <c r="Q648" s="5"/>
      <c r="R648" s="7" t="str">
        <f t="shared" ref="R648:R711" si="176">IF(Q648="","",Q648*AB648)</f>
        <v/>
      </c>
      <c r="S648" s="5"/>
      <c r="U648" s="10"/>
      <c r="V648" s="11" t="str">
        <f t="shared" ref="V648:V711" si="177">IF(U648="","",U648*AB648)</f>
        <v/>
      </c>
      <c r="W648" s="6"/>
      <c r="Y648" s="10"/>
      <c r="Z648" s="11" t="str">
        <f t="shared" ref="Z648:Z711" si="178">IF(Y648="","",Y648*AB648)</f>
        <v/>
      </c>
      <c r="AA648" s="6"/>
      <c r="AB648" s="1">
        <v>1.2</v>
      </c>
      <c r="AC648" s="21" t="str">
        <f t="shared" si="172"/>
        <v/>
      </c>
      <c r="AD648" s="27" t="str">
        <f t="shared" si="165"/>
        <v/>
      </c>
      <c r="AE648" s="27" t="str">
        <f t="shared" si="163"/>
        <v/>
      </c>
      <c r="AF648" s="14">
        <f t="shared" si="173"/>
        <v>0</v>
      </c>
      <c r="AG648" s="12">
        <f t="shared" si="168"/>
        <v>0</v>
      </c>
      <c r="AH648" s="24">
        <f t="shared" si="174"/>
        <v>0</v>
      </c>
      <c r="AI648" s="49" t="e">
        <f t="shared" si="164"/>
        <v>#VALUE!</v>
      </c>
      <c r="AK648" s="50" t="e">
        <f t="shared" si="169"/>
        <v>#VALUE!</v>
      </c>
    </row>
    <row r="649" spans="1:37" x14ac:dyDescent="0.4">
      <c r="A649" s="2">
        <v>1802</v>
      </c>
      <c r="B649" s="16"/>
      <c r="C649" s="22">
        <f t="shared" si="166"/>
        <v>0</v>
      </c>
      <c r="D649" s="23">
        <f t="shared" si="170"/>
        <v>0</v>
      </c>
      <c r="E649" s="14"/>
      <c r="F649" s="12">
        <f t="shared" si="167"/>
        <v>0</v>
      </c>
      <c r="G649" s="24">
        <f t="shared" si="171"/>
        <v>0</v>
      </c>
      <c r="H649" s="14"/>
      <c r="I649" s="14"/>
      <c r="J649" s="29"/>
      <c r="K649" s="30"/>
      <c r="M649" s="17"/>
      <c r="N649" s="7" t="str">
        <f t="shared" si="175"/>
        <v/>
      </c>
      <c r="O649" s="5"/>
      <c r="P649" s="3"/>
      <c r="Q649" s="5"/>
      <c r="R649" s="7" t="str">
        <f t="shared" si="176"/>
        <v/>
      </c>
      <c r="S649" s="5"/>
      <c r="U649" s="10"/>
      <c r="V649" s="11" t="str">
        <f t="shared" si="177"/>
        <v/>
      </c>
      <c r="W649" s="6"/>
      <c r="Y649" s="10"/>
      <c r="Z649" s="11" t="str">
        <f t="shared" si="178"/>
        <v/>
      </c>
      <c r="AA649" s="6"/>
      <c r="AB649" s="1">
        <v>1.2</v>
      </c>
      <c r="AC649" s="21" t="str">
        <f t="shared" si="172"/>
        <v/>
      </c>
      <c r="AD649" s="27" t="str">
        <f t="shared" si="165"/>
        <v/>
      </c>
      <c r="AE649" s="27" t="str">
        <f t="shared" si="163"/>
        <v/>
      </c>
      <c r="AF649" s="14">
        <f t="shared" si="173"/>
        <v>0</v>
      </c>
      <c r="AG649" s="12">
        <f t="shared" si="168"/>
        <v>0</v>
      </c>
      <c r="AH649" s="24">
        <f t="shared" si="174"/>
        <v>0</v>
      </c>
      <c r="AI649" s="49" t="e">
        <f t="shared" si="164"/>
        <v>#VALUE!</v>
      </c>
      <c r="AK649" s="50" t="e">
        <f t="shared" si="169"/>
        <v>#VALUE!</v>
      </c>
    </row>
    <row r="650" spans="1:37" x14ac:dyDescent="0.4">
      <c r="A650" s="2">
        <v>1803</v>
      </c>
      <c r="B650" s="16"/>
      <c r="C650" s="22">
        <f t="shared" si="166"/>
        <v>0</v>
      </c>
      <c r="D650" s="23">
        <f t="shared" si="170"/>
        <v>0</v>
      </c>
      <c r="E650" s="14"/>
      <c r="F650" s="12">
        <f t="shared" si="167"/>
        <v>0</v>
      </c>
      <c r="G650" s="24">
        <f t="shared" si="171"/>
        <v>0</v>
      </c>
      <c r="H650" s="14"/>
      <c r="I650" s="14"/>
      <c r="J650" s="29"/>
      <c r="K650" s="30"/>
      <c r="M650" s="17"/>
      <c r="N650" s="7" t="str">
        <f t="shared" si="175"/>
        <v/>
      </c>
      <c r="O650" s="5"/>
      <c r="P650" s="3"/>
      <c r="Q650" s="5"/>
      <c r="R650" s="7" t="str">
        <f t="shared" si="176"/>
        <v/>
      </c>
      <c r="S650" s="5"/>
      <c r="U650" s="10"/>
      <c r="V650" s="11" t="str">
        <f t="shared" si="177"/>
        <v/>
      </c>
      <c r="W650" s="6"/>
      <c r="Y650" s="10"/>
      <c r="Z650" s="11" t="str">
        <f t="shared" si="178"/>
        <v/>
      </c>
      <c r="AA650" s="6"/>
      <c r="AB650" s="1">
        <v>1.2</v>
      </c>
      <c r="AC650" s="21" t="str">
        <f t="shared" si="172"/>
        <v/>
      </c>
      <c r="AD650" s="27" t="str">
        <f t="shared" si="165"/>
        <v/>
      </c>
      <c r="AE650" s="27" t="str">
        <f t="shared" si="163"/>
        <v/>
      </c>
      <c r="AF650" s="14">
        <f t="shared" si="173"/>
        <v>0</v>
      </c>
      <c r="AG650" s="12">
        <f t="shared" si="168"/>
        <v>0</v>
      </c>
      <c r="AH650" s="24">
        <f t="shared" si="174"/>
        <v>0</v>
      </c>
      <c r="AI650" s="49" t="e">
        <f t="shared" si="164"/>
        <v>#VALUE!</v>
      </c>
      <c r="AK650" s="50" t="e">
        <f t="shared" si="169"/>
        <v>#VALUE!</v>
      </c>
    </row>
    <row r="651" spans="1:37" x14ac:dyDescent="0.4">
      <c r="A651" s="2">
        <v>1804</v>
      </c>
      <c r="B651" s="16"/>
      <c r="C651" s="22">
        <f t="shared" si="166"/>
        <v>0</v>
      </c>
      <c r="D651" s="23">
        <f t="shared" si="170"/>
        <v>0</v>
      </c>
      <c r="E651" s="14"/>
      <c r="F651" s="12">
        <f t="shared" si="167"/>
        <v>0</v>
      </c>
      <c r="G651" s="24">
        <f t="shared" si="171"/>
        <v>0</v>
      </c>
      <c r="H651" s="14"/>
      <c r="I651" s="14"/>
      <c r="J651" s="29"/>
      <c r="K651" s="30"/>
      <c r="M651" s="17"/>
      <c r="N651" s="7" t="str">
        <f t="shared" si="175"/>
        <v/>
      </c>
      <c r="O651" s="5"/>
      <c r="P651" s="3"/>
      <c r="Q651" s="5"/>
      <c r="R651" s="7" t="str">
        <f t="shared" si="176"/>
        <v/>
      </c>
      <c r="S651" s="5"/>
      <c r="U651" s="10"/>
      <c r="V651" s="11" t="str">
        <f t="shared" si="177"/>
        <v/>
      </c>
      <c r="W651" s="6"/>
      <c r="Y651" s="10"/>
      <c r="Z651" s="11" t="str">
        <f t="shared" si="178"/>
        <v/>
      </c>
      <c r="AA651" s="6"/>
      <c r="AB651" s="1">
        <v>1.2</v>
      </c>
      <c r="AC651" s="21" t="str">
        <f t="shared" si="172"/>
        <v/>
      </c>
      <c r="AD651" s="27" t="str">
        <f t="shared" si="165"/>
        <v/>
      </c>
      <c r="AE651" s="27" t="str">
        <f t="shared" si="163"/>
        <v/>
      </c>
      <c r="AF651" s="14">
        <f t="shared" si="173"/>
        <v>0</v>
      </c>
      <c r="AG651" s="12">
        <f t="shared" si="168"/>
        <v>0</v>
      </c>
      <c r="AH651" s="24">
        <f t="shared" si="174"/>
        <v>0</v>
      </c>
      <c r="AI651" s="49" t="e">
        <f t="shared" si="164"/>
        <v>#VALUE!</v>
      </c>
      <c r="AK651" s="50" t="e">
        <f t="shared" si="169"/>
        <v>#VALUE!</v>
      </c>
    </row>
    <row r="652" spans="1:37" x14ac:dyDescent="0.4">
      <c r="A652" s="2">
        <v>1805</v>
      </c>
      <c r="B652" s="16"/>
      <c r="C652" s="22">
        <f t="shared" si="166"/>
        <v>0</v>
      </c>
      <c r="D652" s="23">
        <f t="shared" si="170"/>
        <v>0</v>
      </c>
      <c r="E652" s="14"/>
      <c r="F652" s="12">
        <f t="shared" si="167"/>
        <v>0</v>
      </c>
      <c r="G652" s="24">
        <f t="shared" si="171"/>
        <v>0</v>
      </c>
      <c r="H652" s="14"/>
      <c r="I652" s="14"/>
      <c r="J652" s="29"/>
      <c r="K652" s="30"/>
      <c r="M652" s="17"/>
      <c r="N652" s="7" t="str">
        <f t="shared" si="175"/>
        <v/>
      </c>
      <c r="O652" s="5"/>
      <c r="P652" s="3"/>
      <c r="Q652" s="5"/>
      <c r="R652" s="7" t="str">
        <f t="shared" si="176"/>
        <v/>
      </c>
      <c r="S652" s="5"/>
      <c r="U652" s="10"/>
      <c r="V652" s="11" t="str">
        <f t="shared" si="177"/>
        <v/>
      </c>
      <c r="W652" s="6"/>
      <c r="Y652" s="10"/>
      <c r="Z652" s="11" t="str">
        <f t="shared" si="178"/>
        <v/>
      </c>
      <c r="AA652" s="6"/>
      <c r="AB652" s="1">
        <v>1.2</v>
      </c>
      <c r="AC652" s="21" t="str">
        <f t="shared" si="172"/>
        <v/>
      </c>
      <c r="AD652" s="27" t="str">
        <f t="shared" si="165"/>
        <v/>
      </c>
      <c r="AE652" s="27" t="str">
        <f t="shared" si="163"/>
        <v/>
      </c>
      <c r="AF652" s="14">
        <f t="shared" si="173"/>
        <v>0</v>
      </c>
      <c r="AG652" s="12">
        <f t="shared" si="168"/>
        <v>0</v>
      </c>
      <c r="AH652" s="24">
        <f t="shared" si="174"/>
        <v>0</v>
      </c>
      <c r="AI652" s="49" t="e">
        <f t="shared" si="164"/>
        <v>#VALUE!</v>
      </c>
      <c r="AK652" s="50" t="e">
        <f t="shared" si="169"/>
        <v>#VALUE!</v>
      </c>
    </row>
    <row r="653" spans="1:37" x14ac:dyDescent="0.4">
      <c r="A653" s="2">
        <v>1806</v>
      </c>
      <c r="B653" s="16"/>
      <c r="C653" s="22">
        <f t="shared" si="166"/>
        <v>0</v>
      </c>
      <c r="D653" s="23">
        <f t="shared" si="170"/>
        <v>0</v>
      </c>
      <c r="E653" s="14"/>
      <c r="F653" s="12">
        <f t="shared" si="167"/>
        <v>0</v>
      </c>
      <c r="G653" s="24">
        <f t="shared" si="171"/>
        <v>0</v>
      </c>
      <c r="H653" s="14"/>
      <c r="I653" s="14"/>
      <c r="J653" s="29"/>
      <c r="K653" s="30"/>
      <c r="M653" s="17"/>
      <c r="N653" s="7" t="str">
        <f t="shared" si="175"/>
        <v/>
      </c>
      <c r="O653" s="5"/>
      <c r="P653" s="3"/>
      <c r="Q653" s="5"/>
      <c r="R653" s="7" t="str">
        <f t="shared" si="176"/>
        <v/>
      </c>
      <c r="S653" s="5"/>
      <c r="U653" s="10"/>
      <c r="V653" s="11" t="str">
        <f t="shared" si="177"/>
        <v/>
      </c>
      <c r="W653" s="6"/>
      <c r="Y653" s="10"/>
      <c r="Z653" s="11" t="str">
        <f t="shared" si="178"/>
        <v/>
      </c>
      <c r="AA653" s="6"/>
      <c r="AB653" s="1">
        <v>1.2</v>
      </c>
      <c r="AC653" s="21" t="str">
        <f t="shared" si="172"/>
        <v/>
      </c>
      <c r="AD653" s="27" t="str">
        <f t="shared" si="165"/>
        <v/>
      </c>
      <c r="AE653" s="27" t="str">
        <f t="shared" ref="AE653:AE716" si="179">IF(I653="","",TEXT(I653-B653,"[hh]:mm"))</f>
        <v/>
      </c>
      <c r="AF653" s="14">
        <f t="shared" si="173"/>
        <v>0</v>
      </c>
      <c r="AG653" s="12">
        <f t="shared" si="168"/>
        <v>0</v>
      </c>
      <c r="AH653" s="24">
        <f t="shared" si="174"/>
        <v>0</v>
      </c>
      <c r="AI653" s="49" t="e">
        <f t="shared" ref="AI653:AI716" si="180">MAX(VALUE(AC653),VALUE(AD653),VALUE(AE653))</f>
        <v>#VALUE!</v>
      </c>
      <c r="AK653" s="50" t="e">
        <f t="shared" si="169"/>
        <v>#VALUE!</v>
      </c>
    </row>
    <row r="654" spans="1:37" x14ac:dyDescent="0.4">
      <c r="A654" s="2">
        <v>1807</v>
      </c>
      <c r="B654" s="16"/>
      <c r="C654" s="22">
        <f t="shared" si="166"/>
        <v>0</v>
      </c>
      <c r="D654" s="23">
        <f t="shared" si="170"/>
        <v>0</v>
      </c>
      <c r="E654" s="14"/>
      <c r="F654" s="12">
        <f t="shared" si="167"/>
        <v>0</v>
      </c>
      <c r="G654" s="24">
        <f t="shared" si="171"/>
        <v>0</v>
      </c>
      <c r="H654" s="14"/>
      <c r="I654" s="14"/>
      <c r="J654" s="29"/>
      <c r="K654" s="30"/>
      <c r="M654" s="17"/>
      <c r="N654" s="7" t="str">
        <f t="shared" si="175"/>
        <v/>
      </c>
      <c r="O654" s="5"/>
      <c r="P654" s="3"/>
      <c r="Q654" s="5"/>
      <c r="R654" s="7" t="str">
        <f t="shared" si="176"/>
        <v/>
      </c>
      <c r="S654" s="5"/>
      <c r="U654" s="10"/>
      <c r="V654" s="11" t="str">
        <f t="shared" si="177"/>
        <v/>
      </c>
      <c r="W654" s="6"/>
      <c r="Y654" s="10"/>
      <c r="Z654" s="11" t="str">
        <f t="shared" si="178"/>
        <v/>
      </c>
      <c r="AA654" s="6"/>
      <c r="AB654" s="1">
        <v>1.2</v>
      </c>
      <c r="AC654" s="21" t="str">
        <f t="shared" si="172"/>
        <v/>
      </c>
      <c r="AD654" s="27" t="str">
        <f t="shared" si="165"/>
        <v/>
      </c>
      <c r="AE654" s="27" t="str">
        <f t="shared" si="179"/>
        <v/>
      </c>
      <c r="AF654" s="14">
        <f t="shared" si="173"/>
        <v>0</v>
      </c>
      <c r="AG654" s="12">
        <f t="shared" si="168"/>
        <v>0</v>
      </c>
      <c r="AH654" s="24">
        <f t="shared" si="174"/>
        <v>0</v>
      </c>
      <c r="AI654" s="49" t="e">
        <f t="shared" si="180"/>
        <v>#VALUE!</v>
      </c>
      <c r="AK654" s="50" t="e">
        <f t="shared" si="169"/>
        <v>#VALUE!</v>
      </c>
    </row>
    <row r="655" spans="1:37" x14ac:dyDescent="0.4">
      <c r="A655" s="2">
        <v>1808</v>
      </c>
      <c r="B655" s="16"/>
      <c r="C655" s="22">
        <f t="shared" si="166"/>
        <v>0</v>
      </c>
      <c r="D655" s="23">
        <f t="shared" si="170"/>
        <v>0</v>
      </c>
      <c r="E655" s="14"/>
      <c r="F655" s="12">
        <f t="shared" si="167"/>
        <v>0</v>
      </c>
      <c r="G655" s="24">
        <f t="shared" si="171"/>
        <v>0</v>
      </c>
      <c r="H655" s="14"/>
      <c r="I655" s="14"/>
      <c r="J655" s="29"/>
      <c r="K655" s="30"/>
      <c r="M655" s="17"/>
      <c r="N655" s="7" t="str">
        <f t="shared" si="175"/>
        <v/>
      </c>
      <c r="O655" s="5"/>
      <c r="P655" s="3"/>
      <c r="Q655" s="5"/>
      <c r="R655" s="7" t="str">
        <f t="shared" si="176"/>
        <v/>
      </c>
      <c r="S655" s="5"/>
      <c r="U655" s="10"/>
      <c r="V655" s="11" t="str">
        <f t="shared" si="177"/>
        <v/>
      </c>
      <c r="W655" s="6"/>
      <c r="Y655" s="10"/>
      <c r="Z655" s="11" t="str">
        <f t="shared" si="178"/>
        <v/>
      </c>
      <c r="AA655" s="6"/>
      <c r="AB655" s="1">
        <v>1.2</v>
      </c>
      <c r="AC655" s="21" t="str">
        <f t="shared" si="172"/>
        <v/>
      </c>
      <c r="AD655" s="27" t="str">
        <f t="shared" si="165"/>
        <v/>
      </c>
      <c r="AE655" s="27" t="str">
        <f t="shared" si="179"/>
        <v/>
      </c>
      <c r="AF655" s="14">
        <f t="shared" si="173"/>
        <v>0</v>
      </c>
      <c r="AG655" s="12">
        <f t="shared" si="168"/>
        <v>0</v>
      </c>
      <c r="AH655" s="24">
        <f t="shared" si="174"/>
        <v>0</v>
      </c>
      <c r="AI655" s="49" t="e">
        <f t="shared" si="180"/>
        <v>#VALUE!</v>
      </c>
      <c r="AK655" s="50" t="e">
        <f t="shared" si="169"/>
        <v>#VALUE!</v>
      </c>
    </row>
    <row r="656" spans="1:37" x14ac:dyDescent="0.4">
      <c r="A656" s="2">
        <v>1809</v>
      </c>
      <c r="B656" s="16"/>
      <c r="C656" s="22">
        <f t="shared" si="166"/>
        <v>0</v>
      </c>
      <c r="D656" s="23">
        <f t="shared" si="170"/>
        <v>0</v>
      </c>
      <c r="E656" s="14"/>
      <c r="F656" s="12">
        <f t="shared" si="167"/>
        <v>0</v>
      </c>
      <c r="G656" s="24">
        <f t="shared" si="171"/>
        <v>0</v>
      </c>
      <c r="H656" s="14"/>
      <c r="I656" s="14"/>
      <c r="J656" s="29"/>
      <c r="K656" s="30"/>
      <c r="M656" s="17"/>
      <c r="N656" s="7" t="str">
        <f t="shared" si="175"/>
        <v/>
      </c>
      <c r="O656" s="5"/>
      <c r="P656" s="3"/>
      <c r="Q656" s="5"/>
      <c r="R656" s="7" t="str">
        <f t="shared" si="176"/>
        <v/>
      </c>
      <c r="S656" s="5"/>
      <c r="U656" s="10"/>
      <c r="V656" s="11" t="str">
        <f t="shared" si="177"/>
        <v/>
      </c>
      <c r="W656" s="6"/>
      <c r="Y656" s="10"/>
      <c r="Z656" s="11" t="str">
        <f t="shared" si="178"/>
        <v/>
      </c>
      <c r="AA656" s="6"/>
      <c r="AB656" s="1">
        <v>1.2</v>
      </c>
      <c r="AC656" s="21" t="str">
        <f t="shared" si="172"/>
        <v/>
      </c>
      <c r="AD656" s="27" t="str">
        <f t="shared" si="165"/>
        <v/>
      </c>
      <c r="AE656" s="27" t="str">
        <f t="shared" si="179"/>
        <v/>
      </c>
      <c r="AF656" s="14">
        <f t="shared" si="173"/>
        <v>0</v>
      </c>
      <c r="AG656" s="12">
        <f t="shared" si="168"/>
        <v>0</v>
      </c>
      <c r="AH656" s="24">
        <f t="shared" si="174"/>
        <v>0</v>
      </c>
      <c r="AI656" s="49" t="e">
        <f t="shared" si="180"/>
        <v>#VALUE!</v>
      </c>
      <c r="AK656" s="50" t="e">
        <f t="shared" si="169"/>
        <v>#VALUE!</v>
      </c>
    </row>
    <row r="657" spans="1:37" x14ac:dyDescent="0.4">
      <c r="A657" s="2">
        <v>1810</v>
      </c>
      <c r="B657" s="16"/>
      <c r="C657" s="22">
        <f t="shared" si="166"/>
        <v>0</v>
      </c>
      <c r="D657" s="23">
        <f t="shared" si="170"/>
        <v>0</v>
      </c>
      <c r="E657" s="14"/>
      <c r="F657" s="12">
        <f t="shared" si="167"/>
        <v>0</v>
      </c>
      <c r="G657" s="24">
        <f t="shared" si="171"/>
        <v>0</v>
      </c>
      <c r="H657" s="14"/>
      <c r="I657" s="14"/>
      <c r="J657" s="29"/>
      <c r="K657" s="30"/>
      <c r="M657" s="17"/>
      <c r="N657" s="7" t="str">
        <f t="shared" si="175"/>
        <v/>
      </c>
      <c r="O657" s="5"/>
      <c r="P657" s="3"/>
      <c r="Q657" s="5"/>
      <c r="R657" s="7" t="str">
        <f t="shared" si="176"/>
        <v/>
      </c>
      <c r="S657" s="5"/>
      <c r="U657" s="10"/>
      <c r="V657" s="11" t="str">
        <f t="shared" si="177"/>
        <v/>
      </c>
      <c r="W657" s="6"/>
      <c r="Y657" s="10"/>
      <c r="Z657" s="11" t="str">
        <f t="shared" si="178"/>
        <v/>
      </c>
      <c r="AA657" s="6"/>
      <c r="AB657" s="1">
        <v>1.2</v>
      </c>
      <c r="AC657" s="21" t="str">
        <f t="shared" si="172"/>
        <v/>
      </c>
      <c r="AD657" s="27" t="str">
        <f t="shared" si="165"/>
        <v/>
      </c>
      <c r="AE657" s="27" t="str">
        <f t="shared" si="179"/>
        <v/>
      </c>
      <c r="AF657" s="14">
        <f t="shared" si="173"/>
        <v>0</v>
      </c>
      <c r="AG657" s="12">
        <f t="shared" si="168"/>
        <v>0</v>
      </c>
      <c r="AH657" s="24">
        <f t="shared" si="174"/>
        <v>0</v>
      </c>
      <c r="AI657" s="49" t="e">
        <f t="shared" si="180"/>
        <v>#VALUE!</v>
      </c>
      <c r="AK657" s="50" t="e">
        <f t="shared" si="169"/>
        <v>#VALUE!</v>
      </c>
    </row>
    <row r="658" spans="1:37" x14ac:dyDescent="0.4">
      <c r="A658" s="2">
        <v>1811</v>
      </c>
      <c r="B658" s="16"/>
      <c r="C658" s="22">
        <f t="shared" si="166"/>
        <v>0</v>
      </c>
      <c r="D658" s="23">
        <f t="shared" si="170"/>
        <v>0</v>
      </c>
      <c r="E658" s="14"/>
      <c r="F658" s="12">
        <f t="shared" si="167"/>
        <v>0</v>
      </c>
      <c r="G658" s="24">
        <f t="shared" si="171"/>
        <v>0</v>
      </c>
      <c r="H658" s="14"/>
      <c r="I658" s="14"/>
      <c r="J658" s="29"/>
      <c r="K658" s="30"/>
      <c r="M658" s="17"/>
      <c r="N658" s="7" t="str">
        <f t="shared" si="175"/>
        <v/>
      </c>
      <c r="O658" s="5"/>
      <c r="P658" s="3"/>
      <c r="Q658" s="5"/>
      <c r="R658" s="7" t="str">
        <f t="shared" si="176"/>
        <v/>
      </c>
      <c r="S658" s="5"/>
      <c r="U658" s="10"/>
      <c r="V658" s="11" t="str">
        <f t="shared" si="177"/>
        <v/>
      </c>
      <c r="W658" s="6"/>
      <c r="Y658" s="10"/>
      <c r="Z658" s="11" t="str">
        <f t="shared" si="178"/>
        <v/>
      </c>
      <c r="AA658" s="6"/>
      <c r="AB658" s="1">
        <v>1.2</v>
      </c>
      <c r="AC658" s="21" t="str">
        <f t="shared" si="172"/>
        <v/>
      </c>
      <c r="AD658" s="27" t="str">
        <f t="shared" si="165"/>
        <v/>
      </c>
      <c r="AE658" s="27" t="str">
        <f t="shared" si="179"/>
        <v/>
      </c>
      <c r="AF658" s="14">
        <f t="shared" si="173"/>
        <v>0</v>
      </c>
      <c r="AG658" s="12">
        <f t="shared" si="168"/>
        <v>0</v>
      </c>
      <c r="AH658" s="24">
        <f t="shared" si="174"/>
        <v>0</v>
      </c>
      <c r="AI658" s="49" t="e">
        <f t="shared" si="180"/>
        <v>#VALUE!</v>
      </c>
      <c r="AK658" s="50" t="e">
        <f t="shared" si="169"/>
        <v>#VALUE!</v>
      </c>
    </row>
    <row r="659" spans="1:37" x14ac:dyDescent="0.4">
      <c r="A659" s="2">
        <v>1812</v>
      </c>
      <c r="B659" s="16"/>
      <c r="C659" s="22">
        <f t="shared" si="166"/>
        <v>0</v>
      </c>
      <c r="D659" s="23">
        <f t="shared" si="170"/>
        <v>0</v>
      </c>
      <c r="E659" s="14"/>
      <c r="F659" s="12">
        <f t="shared" si="167"/>
        <v>0</v>
      </c>
      <c r="G659" s="24">
        <f t="shared" si="171"/>
        <v>0</v>
      </c>
      <c r="H659" s="14"/>
      <c r="I659" s="14"/>
      <c r="J659" s="29"/>
      <c r="K659" s="30"/>
      <c r="M659" s="17"/>
      <c r="N659" s="7" t="str">
        <f t="shared" si="175"/>
        <v/>
      </c>
      <c r="O659" s="5"/>
      <c r="P659" s="3"/>
      <c r="Q659" s="5"/>
      <c r="R659" s="7" t="str">
        <f t="shared" si="176"/>
        <v/>
      </c>
      <c r="S659" s="5"/>
      <c r="U659" s="10"/>
      <c r="V659" s="11" t="str">
        <f t="shared" si="177"/>
        <v/>
      </c>
      <c r="W659" s="6"/>
      <c r="Y659" s="10"/>
      <c r="Z659" s="11" t="str">
        <f t="shared" si="178"/>
        <v/>
      </c>
      <c r="AA659" s="6"/>
      <c r="AB659" s="1">
        <v>1.2</v>
      </c>
      <c r="AC659" s="21" t="str">
        <f t="shared" si="172"/>
        <v/>
      </c>
      <c r="AD659" s="27" t="str">
        <f t="shared" si="165"/>
        <v/>
      </c>
      <c r="AE659" s="27" t="str">
        <f t="shared" si="179"/>
        <v/>
      </c>
      <c r="AF659" s="14">
        <f t="shared" si="173"/>
        <v>0</v>
      </c>
      <c r="AG659" s="12">
        <f t="shared" si="168"/>
        <v>0</v>
      </c>
      <c r="AH659" s="24">
        <f t="shared" si="174"/>
        <v>0</v>
      </c>
      <c r="AI659" s="49" t="e">
        <f t="shared" si="180"/>
        <v>#VALUE!</v>
      </c>
      <c r="AK659" s="50" t="e">
        <f t="shared" si="169"/>
        <v>#VALUE!</v>
      </c>
    </row>
    <row r="660" spans="1:37" x14ac:dyDescent="0.4">
      <c r="A660" s="2">
        <v>1813</v>
      </c>
      <c r="B660" s="16"/>
      <c r="C660" s="22">
        <f t="shared" si="166"/>
        <v>0</v>
      </c>
      <c r="D660" s="23">
        <f t="shared" si="170"/>
        <v>0</v>
      </c>
      <c r="E660" s="14"/>
      <c r="F660" s="12">
        <f t="shared" si="167"/>
        <v>0</v>
      </c>
      <c r="G660" s="24">
        <f t="shared" si="171"/>
        <v>0</v>
      </c>
      <c r="H660" s="14"/>
      <c r="I660" s="14"/>
      <c r="J660" s="29"/>
      <c r="K660" s="30"/>
      <c r="M660" s="17"/>
      <c r="N660" s="7" t="str">
        <f t="shared" si="175"/>
        <v/>
      </c>
      <c r="O660" s="5"/>
      <c r="P660" s="3"/>
      <c r="Q660" s="5"/>
      <c r="R660" s="7" t="str">
        <f t="shared" si="176"/>
        <v/>
      </c>
      <c r="S660" s="5"/>
      <c r="U660" s="10"/>
      <c r="V660" s="11" t="str">
        <f t="shared" si="177"/>
        <v/>
      </c>
      <c r="W660" s="6"/>
      <c r="Y660" s="10"/>
      <c r="Z660" s="11" t="str">
        <f t="shared" si="178"/>
        <v/>
      </c>
      <c r="AA660" s="6"/>
      <c r="AB660" s="1">
        <v>1.2</v>
      </c>
      <c r="AC660" s="21" t="str">
        <f t="shared" si="172"/>
        <v/>
      </c>
      <c r="AD660" s="27" t="str">
        <f t="shared" si="165"/>
        <v/>
      </c>
      <c r="AE660" s="27" t="str">
        <f t="shared" si="179"/>
        <v/>
      </c>
      <c r="AF660" s="14">
        <f t="shared" si="173"/>
        <v>0</v>
      </c>
      <c r="AG660" s="12">
        <f t="shared" si="168"/>
        <v>0</v>
      </c>
      <c r="AH660" s="24">
        <f t="shared" si="174"/>
        <v>0</v>
      </c>
      <c r="AI660" s="49" t="e">
        <f t="shared" si="180"/>
        <v>#VALUE!</v>
      </c>
      <c r="AK660" s="50" t="e">
        <f t="shared" si="169"/>
        <v>#VALUE!</v>
      </c>
    </row>
    <row r="661" spans="1:37" x14ac:dyDescent="0.4">
      <c r="A661" s="2">
        <v>1814</v>
      </c>
      <c r="B661" s="16"/>
      <c r="C661" s="22">
        <f t="shared" si="166"/>
        <v>0</v>
      </c>
      <c r="D661" s="23">
        <f t="shared" si="170"/>
        <v>0</v>
      </c>
      <c r="E661" s="14"/>
      <c r="F661" s="12">
        <f t="shared" si="167"/>
        <v>0</v>
      </c>
      <c r="G661" s="24">
        <f t="shared" si="171"/>
        <v>0</v>
      </c>
      <c r="H661" s="14"/>
      <c r="I661" s="14"/>
      <c r="J661" s="29"/>
      <c r="K661" s="30"/>
      <c r="M661" s="17"/>
      <c r="N661" s="7" t="str">
        <f t="shared" si="175"/>
        <v/>
      </c>
      <c r="O661" s="5"/>
      <c r="P661" s="3"/>
      <c r="Q661" s="5"/>
      <c r="R661" s="7" t="str">
        <f t="shared" si="176"/>
        <v/>
      </c>
      <c r="S661" s="5"/>
      <c r="U661" s="10"/>
      <c r="V661" s="11" t="str">
        <f t="shared" si="177"/>
        <v/>
      </c>
      <c r="W661" s="6"/>
      <c r="Y661" s="10"/>
      <c r="Z661" s="11" t="str">
        <f t="shared" si="178"/>
        <v/>
      </c>
      <c r="AA661" s="6"/>
      <c r="AB661" s="1">
        <v>1.2</v>
      </c>
      <c r="AC661" s="21" t="str">
        <f t="shared" si="172"/>
        <v/>
      </c>
      <c r="AD661" s="27" t="str">
        <f t="shared" si="165"/>
        <v/>
      </c>
      <c r="AE661" s="27" t="str">
        <f t="shared" si="179"/>
        <v/>
      </c>
      <c r="AF661" s="14">
        <f t="shared" si="173"/>
        <v>0</v>
      </c>
      <c r="AG661" s="12">
        <f t="shared" si="168"/>
        <v>0</v>
      </c>
      <c r="AH661" s="24">
        <f t="shared" si="174"/>
        <v>0</v>
      </c>
      <c r="AI661" s="49" t="e">
        <f t="shared" si="180"/>
        <v>#VALUE!</v>
      </c>
      <c r="AK661" s="50" t="e">
        <f t="shared" si="169"/>
        <v>#VALUE!</v>
      </c>
    </row>
    <row r="662" spans="1:37" x14ac:dyDescent="0.4">
      <c r="A662" s="2">
        <v>1815</v>
      </c>
      <c r="B662" s="16"/>
      <c r="C662" s="22">
        <f t="shared" si="166"/>
        <v>0</v>
      </c>
      <c r="D662" s="23">
        <f t="shared" si="170"/>
        <v>0</v>
      </c>
      <c r="E662" s="14"/>
      <c r="F662" s="12">
        <f t="shared" si="167"/>
        <v>0</v>
      </c>
      <c r="G662" s="24">
        <f t="shared" si="171"/>
        <v>0</v>
      </c>
      <c r="H662" s="14"/>
      <c r="I662" s="14"/>
      <c r="J662" s="29"/>
      <c r="K662" s="30"/>
      <c r="M662" s="17"/>
      <c r="N662" s="7" t="str">
        <f t="shared" si="175"/>
        <v/>
      </c>
      <c r="O662" s="5"/>
      <c r="P662" s="3"/>
      <c r="Q662" s="5"/>
      <c r="R662" s="7" t="str">
        <f t="shared" si="176"/>
        <v/>
      </c>
      <c r="S662" s="5"/>
      <c r="U662" s="10"/>
      <c r="V662" s="11" t="str">
        <f t="shared" si="177"/>
        <v/>
      </c>
      <c r="W662" s="6"/>
      <c r="Y662" s="10"/>
      <c r="Z662" s="11" t="str">
        <f t="shared" si="178"/>
        <v/>
      </c>
      <c r="AA662" s="6"/>
      <c r="AB662" s="1">
        <v>1.2</v>
      </c>
      <c r="AC662" s="21" t="str">
        <f t="shared" si="172"/>
        <v/>
      </c>
      <c r="AD662" s="27" t="str">
        <f t="shared" ref="AD662:AD725" si="181">IF(H662="","",TEXT(H662-B662,"[hh]:mm"))</f>
        <v/>
      </c>
      <c r="AE662" s="27" t="str">
        <f t="shared" si="179"/>
        <v/>
      </c>
      <c r="AF662" s="14">
        <f t="shared" si="173"/>
        <v>0</v>
      </c>
      <c r="AG662" s="12">
        <f t="shared" si="168"/>
        <v>0</v>
      </c>
      <c r="AH662" s="24">
        <f t="shared" si="174"/>
        <v>0</v>
      </c>
      <c r="AI662" s="49" t="e">
        <f t="shared" si="180"/>
        <v>#VALUE!</v>
      </c>
      <c r="AK662" s="50" t="e">
        <f t="shared" si="169"/>
        <v>#VALUE!</v>
      </c>
    </row>
    <row r="663" spans="1:37" x14ac:dyDescent="0.4">
      <c r="A663" s="2">
        <v>1816</v>
      </c>
      <c r="B663" s="16"/>
      <c r="C663" s="22">
        <f t="shared" ref="C663:C726" si="182">INT(B663)</f>
        <v>0</v>
      </c>
      <c r="D663" s="23">
        <f t="shared" si="170"/>
        <v>0</v>
      </c>
      <c r="E663" s="14"/>
      <c r="F663" s="12">
        <f t="shared" ref="F663:F726" si="183">INT(E663)</f>
        <v>0</v>
      </c>
      <c r="G663" s="24">
        <f t="shared" si="171"/>
        <v>0</v>
      </c>
      <c r="H663" s="14"/>
      <c r="I663" s="14"/>
      <c r="J663" s="29"/>
      <c r="K663" s="30"/>
      <c r="M663" s="17"/>
      <c r="N663" s="7" t="str">
        <f t="shared" si="175"/>
        <v/>
      </c>
      <c r="O663" s="5"/>
      <c r="P663" s="3"/>
      <c r="Q663" s="5"/>
      <c r="R663" s="7" t="str">
        <f t="shared" si="176"/>
        <v/>
      </c>
      <c r="S663" s="5"/>
      <c r="U663" s="10"/>
      <c r="V663" s="11" t="str">
        <f t="shared" si="177"/>
        <v/>
      </c>
      <c r="W663" s="6"/>
      <c r="Y663" s="10"/>
      <c r="Z663" s="11" t="str">
        <f t="shared" si="178"/>
        <v/>
      </c>
      <c r="AA663" s="6"/>
      <c r="AB663" s="1">
        <v>1.2</v>
      </c>
      <c r="AC663" s="21" t="str">
        <f t="shared" si="172"/>
        <v/>
      </c>
      <c r="AD663" s="27" t="str">
        <f t="shared" si="181"/>
        <v/>
      </c>
      <c r="AE663" s="27" t="str">
        <f t="shared" si="179"/>
        <v/>
      </c>
      <c r="AF663" s="14">
        <f t="shared" si="173"/>
        <v>0</v>
      </c>
      <c r="AG663" s="12">
        <f t="shared" ref="AG663:AG726" si="184">INT(AF663)</f>
        <v>0</v>
      </c>
      <c r="AH663" s="24">
        <f t="shared" si="174"/>
        <v>0</v>
      </c>
      <c r="AI663" s="49" t="e">
        <f t="shared" si="180"/>
        <v>#VALUE!</v>
      </c>
      <c r="AK663" s="50" t="e">
        <f t="shared" ref="AK663:AK726" si="185">IF(VALUE(AI663)&lt;=VALUE($AK$3),"BOM","RUIM")</f>
        <v>#VALUE!</v>
      </c>
    </row>
    <row r="664" spans="1:37" x14ac:dyDescent="0.4">
      <c r="A664" s="2">
        <v>1817</v>
      </c>
      <c r="B664" s="16"/>
      <c r="C664" s="22">
        <f t="shared" si="182"/>
        <v>0</v>
      </c>
      <c r="D664" s="23">
        <f t="shared" si="170"/>
        <v>0</v>
      </c>
      <c r="E664" s="14"/>
      <c r="F664" s="12">
        <f t="shared" si="183"/>
        <v>0</v>
      </c>
      <c r="G664" s="24">
        <f t="shared" si="171"/>
        <v>0</v>
      </c>
      <c r="H664" s="14"/>
      <c r="I664" s="14"/>
      <c r="J664" s="29"/>
      <c r="K664" s="30"/>
      <c r="M664" s="17"/>
      <c r="N664" s="7" t="str">
        <f t="shared" si="175"/>
        <v/>
      </c>
      <c r="O664" s="5"/>
      <c r="P664" s="3"/>
      <c r="Q664" s="5"/>
      <c r="R664" s="7" t="str">
        <f t="shared" si="176"/>
        <v/>
      </c>
      <c r="S664" s="5"/>
      <c r="U664" s="10"/>
      <c r="V664" s="11" t="str">
        <f t="shared" si="177"/>
        <v/>
      </c>
      <c r="W664" s="6"/>
      <c r="Y664" s="10"/>
      <c r="Z664" s="11" t="str">
        <f t="shared" si="178"/>
        <v/>
      </c>
      <c r="AA664" s="6"/>
      <c r="AB664" s="1">
        <v>1.2</v>
      </c>
      <c r="AC664" s="21" t="str">
        <f t="shared" si="172"/>
        <v/>
      </c>
      <c r="AD664" s="27" t="str">
        <f t="shared" si="181"/>
        <v/>
      </c>
      <c r="AE664" s="27" t="str">
        <f t="shared" si="179"/>
        <v/>
      </c>
      <c r="AF664" s="14">
        <f t="shared" si="173"/>
        <v>0</v>
      </c>
      <c r="AG664" s="12">
        <f t="shared" si="184"/>
        <v>0</v>
      </c>
      <c r="AH664" s="24">
        <f t="shared" si="174"/>
        <v>0</v>
      </c>
      <c r="AI664" s="49" t="e">
        <f t="shared" si="180"/>
        <v>#VALUE!</v>
      </c>
      <c r="AK664" s="50" t="e">
        <f t="shared" si="185"/>
        <v>#VALUE!</v>
      </c>
    </row>
    <row r="665" spans="1:37" x14ac:dyDescent="0.4">
      <c r="A665" s="2">
        <v>1818</v>
      </c>
      <c r="B665" s="16"/>
      <c r="C665" s="22">
        <f t="shared" si="182"/>
        <v>0</v>
      </c>
      <c r="D665" s="23">
        <f t="shared" si="170"/>
        <v>0</v>
      </c>
      <c r="E665" s="14"/>
      <c r="F665" s="12">
        <f t="shared" si="183"/>
        <v>0</v>
      </c>
      <c r="G665" s="24">
        <f t="shared" si="171"/>
        <v>0</v>
      </c>
      <c r="H665" s="14"/>
      <c r="I665" s="14"/>
      <c r="J665" s="29"/>
      <c r="K665" s="30"/>
      <c r="M665" s="17"/>
      <c r="N665" s="7" t="str">
        <f t="shared" si="175"/>
        <v/>
      </c>
      <c r="O665" s="5"/>
      <c r="P665" s="3"/>
      <c r="Q665" s="5"/>
      <c r="R665" s="7" t="str">
        <f t="shared" si="176"/>
        <v/>
      </c>
      <c r="S665" s="5"/>
      <c r="U665" s="10"/>
      <c r="V665" s="11" t="str">
        <f t="shared" si="177"/>
        <v/>
      </c>
      <c r="W665" s="6"/>
      <c r="Y665" s="10"/>
      <c r="Z665" s="11" t="str">
        <f t="shared" si="178"/>
        <v/>
      </c>
      <c r="AA665" s="6"/>
      <c r="AB665" s="1">
        <v>1.2</v>
      </c>
      <c r="AC665" s="21" t="str">
        <f t="shared" si="172"/>
        <v/>
      </c>
      <c r="AD665" s="27" t="str">
        <f t="shared" si="181"/>
        <v/>
      </c>
      <c r="AE665" s="27" t="str">
        <f t="shared" si="179"/>
        <v/>
      </c>
      <c r="AF665" s="14">
        <f t="shared" si="173"/>
        <v>0</v>
      </c>
      <c r="AG665" s="12">
        <f t="shared" si="184"/>
        <v>0</v>
      </c>
      <c r="AH665" s="24">
        <f t="shared" si="174"/>
        <v>0</v>
      </c>
      <c r="AI665" s="49" t="e">
        <f t="shared" si="180"/>
        <v>#VALUE!</v>
      </c>
      <c r="AK665" s="50" t="e">
        <f t="shared" si="185"/>
        <v>#VALUE!</v>
      </c>
    </row>
    <row r="666" spans="1:37" x14ac:dyDescent="0.4">
      <c r="A666" s="2">
        <v>1819</v>
      </c>
      <c r="B666" s="16"/>
      <c r="C666" s="22">
        <f t="shared" si="182"/>
        <v>0</v>
      </c>
      <c r="D666" s="23">
        <f t="shared" si="170"/>
        <v>0</v>
      </c>
      <c r="E666" s="14"/>
      <c r="F666" s="12">
        <f t="shared" si="183"/>
        <v>0</v>
      </c>
      <c r="G666" s="24">
        <f t="shared" si="171"/>
        <v>0</v>
      </c>
      <c r="H666" s="14"/>
      <c r="I666" s="14"/>
      <c r="J666" s="29"/>
      <c r="K666" s="30"/>
      <c r="M666" s="17"/>
      <c r="N666" s="7" t="str">
        <f t="shared" si="175"/>
        <v/>
      </c>
      <c r="O666" s="5"/>
      <c r="P666" s="3"/>
      <c r="Q666" s="5"/>
      <c r="R666" s="7" t="str">
        <f t="shared" si="176"/>
        <v/>
      </c>
      <c r="S666" s="5"/>
      <c r="U666" s="10"/>
      <c r="V666" s="11" t="str">
        <f t="shared" si="177"/>
        <v/>
      </c>
      <c r="W666" s="6"/>
      <c r="Y666" s="10"/>
      <c r="Z666" s="11" t="str">
        <f t="shared" si="178"/>
        <v/>
      </c>
      <c r="AA666" s="6"/>
      <c r="AB666" s="1">
        <v>1.2</v>
      </c>
      <c r="AC666" s="21" t="str">
        <f t="shared" si="172"/>
        <v/>
      </c>
      <c r="AD666" s="27" t="str">
        <f t="shared" si="181"/>
        <v/>
      </c>
      <c r="AE666" s="27" t="str">
        <f t="shared" si="179"/>
        <v/>
      </c>
      <c r="AF666" s="14">
        <f t="shared" si="173"/>
        <v>0</v>
      </c>
      <c r="AG666" s="12">
        <f t="shared" si="184"/>
        <v>0</v>
      </c>
      <c r="AH666" s="24">
        <f t="shared" si="174"/>
        <v>0</v>
      </c>
      <c r="AI666" s="49" t="e">
        <f t="shared" si="180"/>
        <v>#VALUE!</v>
      </c>
      <c r="AK666" s="50" t="e">
        <f t="shared" si="185"/>
        <v>#VALUE!</v>
      </c>
    </row>
    <row r="667" spans="1:37" x14ac:dyDescent="0.4">
      <c r="A667" s="2">
        <v>1820</v>
      </c>
      <c r="B667" s="16"/>
      <c r="C667" s="22">
        <f t="shared" si="182"/>
        <v>0</v>
      </c>
      <c r="D667" s="23">
        <f t="shared" si="170"/>
        <v>0</v>
      </c>
      <c r="E667" s="14"/>
      <c r="F667" s="12">
        <f t="shared" si="183"/>
        <v>0</v>
      </c>
      <c r="G667" s="24">
        <f t="shared" si="171"/>
        <v>0</v>
      </c>
      <c r="H667" s="14"/>
      <c r="I667" s="14"/>
      <c r="J667" s="29"/>
      <c r="K667" s="30"/>
      <c r="M667" s="17"/>
      <c r="N667" s="7" t="str">
        <f t="shared" si="175"/>
        <v/>
      </c>
      <c r="O667" s="5"/>
      <c r="P667" s="3"/>
      <c r="Q667" s="5"/>
      <c r="R667" s="7" t="str">
        <f t="shared" si="176"/>
        <v/>
      </c>
      <c r="S667" s="5"/>
      <c r="U667" s="10"/>
      <c r="V667" s="11" t="str">
        <f t="shared" si="177"/>
        <v/>
      </c>
      <c r="W667" s="6"/>
      <c r="Y667" s="10"/>
      <c r="Z667" s="11" t="str">
        <f t="shared" si="178"/>
        <v/>
      </c>
      <c r="AA667" s="6"/>
      <c r="AB667" s="1">
        <v>1.2</v>
      </c>
      <c r="AC667" s="21" t="str">
        <f t="shared" si="172"/>
        <v/>
      </c>
      <c r="AD667" s="27" t="str">
        <f t="shared" si="181"/>
        <v/>
      </c>
      <c r="AE667" s="27" t="str">
        <f t="shared" si="179"/>
        <v/>
      </c>
      <c r="AF667" s="14">
        <f t="shared" si="173"/>
        <v>0</v>
      </c>
      <c r="AG667" s="12">
        <f t="shared" si="184"/>
        <v>0</v>
      </c>
      <c r="AH667" s="24">
        <f t="shared" si="174"/>
        <v>0</v>
      </c>
      <c r="AI667" s="49" t="e">
        <f t="shared" si="180"/>
        <v>#VALUE!</v>
      </c>
      <c r="AK667" s="50" t="e">
        <f t="shared" si="185"/>
        <v>#VALUE!</v>
      </c>
    </row>
    <row r="668" spans="1:37" x14ac:dyDescent="0.4">
      <c r="A668" s="2">
        <v>1821</v>
      </c>
      <c r="B668" s="16"/>
      <c r="C668" s="22">
        <f t="shared" si="182"/>
        <v>0</v>
      </c>
      <c r="D668" s="23">
        <f t="shared" si="170"/>
        <v>0</v>
      </c>
      <c r="E668" s="14"/>
      <c r="F668" s="12">
        <f t="shared" si="183"/>
        <v>0</v>
      </c>
      <c r="G668" s="24">
        <f t="shared" si="171"/>
        <v>0</v>
      </c>
      <c r="H668" s="14"/>
      <c r="I668" s="14"/>
      <c r="J668" s="29"/>
      <c r="K668" s="30"/>
      <c r="M668" s="17"/>
      <c r="N668" s="7" t="str">
        <f t="shared" si="175"/>
        <v/>
      </c>
      <c r="O668" s="5"/>
      <c r="P668" s="3"/>
      <c r="Q668" s="5"/>
      <c r="R668" s="7" t="str">
        <f t="shared" si="176"/>
        <v/>
      </c>
      <c r="S668" s="5"/>
      <c r="U668" s="10"/>
      <c r="V668" s="11" t="str">
        <f t="shared" si="177"/>
        <v/>
      </c>
      <c r="W668" s="6"/>
      <c r="Y668" s="10"/>
      <c r="Z668" s="11" t="str">
        <f t="shared" si="178"/>
        <v/>
      </c>
      <c r="AA668" s="6"/>
      <c r="AB668" s="1">
        <v>1.2</v>
      </c>
      <c r="AC668" s="21" t="str">
        <f t="shared" si="172"/>
        <v/>
      </c>
      <c r="AD668" s="27" t="str">
        <f t="shared" si="181"/>
        <v/>
      </c>
      <c r="AE668" s="27" t="str">
        <f t="shared" si="179"/>
        <v/>
      </c>
      <c r="AF668" s="14">
        <f t="shared" si="173"/>
        <v>0</v>
      </c>
      <c r="AG668" s="12">
        <f t="shared" si="184"/>
        <v>0</v>
      </c>
      <c r="AH668" s="24">
        <f t="shared" si="174"/>
        <v>0</v>
      </c>
      <c r="AI668" s="49" t="e">
        <f t="shared" si="180"/>
        <v>#VALUE!</v>
      </c>
      <c r="AK668" s="50" t="e">
        <f t="shared" si="185"/>
        <v>#VALUE!</v>
      </c>
    </row>
    <row r="669" spans="1:37" x14ac:dyDescent="0.4">
      <c r="A669" s="2">
        <v>1822</v>
      </c>
      <c r="B669" s="16"/>
      <c r="C669" s="22">
        <f t="shared" si="182"/>
        <v>0</v>
      </c>
      <c r="D669" s="23">
        <f t="shared" si="170"/>
        <v>0</v>
      </c>
      <c r="E669" s="14"/>
      <c r="F669" s="12">
        <f t="shared" si="183"/>
        <v>0</v>
      </c>
      <c r="G669" s="24">
        <f t="shared" si="171"/>
        <v>0</v>
      </c>
      <c r="H669" s="14"/>
      <c r="I669" s="14"/>
      <c r="J669" s="29"/>
      <c r="K669" s="30"/>
      <c r="M669" s="17"/>
      <c r="N669" s="7" t="str">
        <f t="shared" si="175"/>
        <v/>
      </c>
      <c r="O669" s="5"/>
      <c r="P669" s="3"/>
      <c r="Q669" s="5"/>
      <c r="R669" s="7" t="str">
        <f t="shared" si="176"/>
        <v/>
      </c>
      <c r="S669" s="5"/>
      <c r="U669" s="10"/>
      <c r="V669" s="11" t="str">
        <f t="shared" si="177"/>
        <v/>
      </c>
      <c r="W669" s="6"/>
      <c r="Y669" s="10"/>
      <c r="Z669" s="11" t="str">
        <f t="shared" si="178"/>
        <v/>
      </c>
      <c r="AA669" s="6"/>
      <c r="AB669" s="1">
        <v>1.2</v>
      </c>
      <c r="AC669" s="21" t="str">
        <f t="shared" si="172"/>
        <v/>
      </c>
      <c r="AD669" s="27" t="str">
        <f t="shared" si="181"/>
        <v/>
      </c>
      <c r="AE669" s="27" t="str">
        <f t="shared" si="179"/>
        <v/>
      </c>
      <c r="AF669" s="14">
        <f t="shared" si="173"/>
        <v>0</v>
      </c>
      <c r="AG669" s="12">
        <f t="shared" si="184"/>
        <v>0</v>
      </c>
      <c r="AH669" s="24">
        <f t="shared" si="174"/>
        <v>0</v>
      </c>
      <c r="AI669" s="49" t="e">
        <f t="shared" si="180"/>
        <v>#VALUE!</v>
      </c>
      <c r="AK669" s="50" t="e">
        <f t="shared" si="185"/>
        <v>#VALUE!</v>
      </c>
    </row>
    <row r="670" spans="1:37" x14ac:dyDescent="0.4">
      <c r="A670" s="2">
        <v>1823</v>
      </c>
      <c r="B670" s="16"/>
      <c r="C670" s="22">
        <f t="shared" si="182"/>
        <v>0</v>
      </c>
      <c r="D670" s="23">
        <f t="shared" si="170"/>
        <v>0</v>
      </c>
      <c r="E670" s="14"/>
      <c r="F670" s="12">
        <f t="shared" si="183"/>
        <v>0</v>
      </c>
      <c r="G670" s="24">
        <f t="shared" si="171"/>
        <v>0</v>
      </c>
      <c r="H670" s="14"/>
      <c r="I670" s="14"/>
      <c r="J670" s="29"/>
      <c r="K670" s="30"/>
      <c r="M670" s="17"/>
      <c r="N670" s="7" t="str">
        <f t="shared" si="175"/>
        <v/>
      </c>
      <c r="O670" s="5"/>
      <c r="P670" s="3"/>
      <c r="Q670" s="5"/>
      <c r="R670" s="7" t="str">
        <f t="shared" si="176"/>
        <v/>
      </c>
      <c r="S670" s="5"/>
      <c r="U670" s="10"/>
      <c r="V670" s="11" t="str">
        <f t="shared" si="177"/>
        <v/>
      </c>
      <c r="W670" s="6"/>
      <c r="Y670" s="10"/>
      <c r="Z670" s="11" t="str">
        <f t="shared" si="178"/>
        <v/>
      </c>
      <c r="AA670" s="6"/>
      <c r="AB670" s="1">
        <v>1.2</v>
      </c>
      <c r="AC670" s="21" t="str">
        <f t="shared" si="172"/>
        <v/>
      </c>
      <c r="AD670" s="27" t="str">
        <f t="shared" si="181"/>
        <v/>
      </c>
      <c r="AE670" s="27" t="str">
        <f t="shared" si="179"/>
        <v/>
      </c>
      <c r="AF670" s="14">
        <f t="shared" si="173"/>
        <v>0</v>
      </c>
      <c r="AG670" s="12">
        <f t="shared" si="184"/>
        <v>0</v>
      </c>
      <c r="AH670" s="24">
        <f t="shared" si="174"/>
        <v>0</v>
      </c>
      <c r="AI670" s="49" t="e">
        <f t="shared" si="180"/>
        <v>#VALUE!</v>
      </c>
      <c r="AK670" s="50" t="e">
        <f t="shared" si="185"/>
        <v>#VALUE!</v>
      </c>
    </row>
    <row r="671" spans="1:37" x14ac:dyDescent="0.4">
      <c r="A671" s="2">
        <v>1824</v>
      </c>
      <c r="B671" s="16"/>
      <c r="C671" s="22">
        <f t="shared" si="182"/>
        <v>0</v>
      </c>
      <c r="D671" s="23">
        <f t="shared" si="170"/>
        <v>0</v>
      </c>
      <c r="E671" s="14"/>
      <c r="F671" s="12">
        <f t="shared" si="183"/>
        <v>0</v>
      </c>
      <c r="G671" s="24">
        <f t="shared" si="171"/>
        <v>0</v>
      </c>
      <c r="H671" s="14"/>
      <c r="I671" s="14"/>
      <c r="J671" s="29"/>
      <c r="K671" s="30"/>
      <c r="M671" s="17"/>
      <c r="N671" s="7" t="str">
        <f t="shared" si="175"/>
        <v/>
      </c>
      <c r="O671" s="5"/>
      <c r="P671" s="3"/>
      <c r="Q671" s="5"/>
      <c r="R671" s="7" t="str">
        <f t="shared" si="176"/>
        <v/>
      </c>
      <c r="S671" s="5"/>
      <c r="U671" s="10"/>
      <c r="V671" s="11" t="str">
        <f t="shared" si="177"/>
        <v/>
      </c>
      <c r="W671" s="6"/>
      <c r="Y671" s="10"/>
      <c r="Z671" s="11" t="str">
        <f t="shared" si="178"/>
        <v/>
      </c>
      <c r="AA671" s="6"/>
      <c r="AB671" s="1">
        <v>1.2</v>
      </c>
      <c r="AC671" s="21" t="str">
        <f t="shared" si="172"/>
        <v/>
      </c>
      <c r="AD671" s="27" t="str">
        <f t="shared" si="181"/>
        <v/>
      </c>
      <c r="AE671" s="27" t="str">
        <f t="shared" si="179"/>
        <v/>
      </c>
      <c r="AF671" s="14">
        <f t="shared" si="173"/>
        <v>0</v>
      </c>
      <c r="AG671" s="12">
        <f t="shared" si="184"/>
        <v>0</v>
      </c>
      <c r="AH671" s="24">
        <f t="shared" si="174"/>
        <v>0</v>
      </c>
      <c r="AI671" s="49" t="e">
        <f t="shared" si="180"/>
        <v>#VALUE!</v>
      </c>
      <c r="AK671" s="50" t="e">
        <f t="shared" si="185"/>
        <v>#VALUE!</v>
      </c>
    </row>
    <row r="672" spans="1:37" x14ac:dyDescent="0.4">
      <c r="A672" s="2">
        <v>1825</v>
      </c>
      <c r="B672" s="16"/>
      <c r="C672" s="22">
        <f t="shared" si="182"/>
        <v>0</v>
      </c>
      <c r="D672" s="23">
        <f t="shared" si="170"/>
        <v>0</v>
      </c>
      <c r="E672" s="14"/>
      <c r="F672" s="12">
        <f t="shared" si="183"/>
        <v>0</v>
      </c>
      <c r="G672" s="24">
        <f t="shared" si="171"/>
        <v>0</v>
      </c>
      <c r="H672" s="14"/>
      <c r="I672" s="14"/>
      <c r="J672" s="29"/>
      <c r="K672" s="30"/>
      <c r="M672" s="17"/>
      <c r="N672" s="7" t="str">
        <f t="shared" si="175"/>
        <v/>
      </c>
      <c r="O672" s="5"/>
      <c r="P672" s="3"/>
      <c r="Q672" s="5"/>
      <c r="R672" s="7" t="str">
        <f t="shared" si="176"/>
        <v/>
      </c>
      <c r="S672" s="5"/>
      <c r="U672" s="10"/>
      <c r="V672" s="11" t="str">
        <f t="shared" si="177"/>
        <v/>
      </c>
      <c r="W672" s="6"/>
      <c r="Y672" s="10"/>
      <c r="Z672" s="11" t="str">
        <f t="shared" si="178"/>
        <v/>
      </c>
      <c r="AA672" s="6"/>
      <c r="AB672" s="1">
        <v>1.2</v>
      </c>
      <c r="AC672" s="21" t="str">
        <f t="shared" si="172"/>
        <v/>
      </c>
      <c r="AD672" s="27" t="str">
        <f t="shared" si="181"/>
        <v/>
      </c>
      <c r="AE672" s="27" t="str">
        <f t="shared" si="179"/>
        <v/>
      </c>
      <c r="AF672" s="14">
        <f t="shared" si="173"/>
        <v>0</v>
      </c>
      <c r="AG672" s="12">
        <f t="shared" si="184"/>
        <v>0</v>
      </c>
      <c r="AH672" s="24">
        <f t="shared" si="174"/>
        <v>0</v>
      </c>
      <c r="AI672" s="49" t="e">
        <f t="shared" si="180"/>
        <v>#VALUE!</v>
      </c>
      <c r="AK672" s="50" t="e">
        <f t="shared" si="185"/>
        <v>#VALUE!</v>
      </c>
    </row>
    <row r="673" spans="1:37" x14ac:dyDescent="0.4">
      <c r="A673" s="2">
        <v>1826</v>
      </c>
      <c r="B673" s="16"/>
      <c r="C673" s="22">
        <f t="shared" si="182"/>
        <v>0</v>
      </c>
      <c r="D673" s="23">
        <f t="shared" si="170"/>
        <v>0</v>
      </c>
      <c r="E673" s="14"/>
      <c r="F673" s="12">
        <f t="shared" si="183"/>
        <v>0</v>
      </c>
      <c r="G673" s="24">
        <f t="shared" si="171"/>
        <v>0</v>
      </c>
      <c r="H673" s="14"/>
      <c r="I673" s="14"/>
      <c r="J673" s="29"/>
      <c r="K673" s="30"/>
      <c r="M673" s="17"/>
      <c r="N673" s="7" t="str">
        <f t="shared" si="175"/>
        <v/>
      </c>
      <c r="O673" s="5"/>
      <c r="P673" s="3"/>
      <c r="Q673" s="5"/>
      <c r="R673" s="7" t="str">
        <f t="shared" si="176"/>
        <v/>
      </c>
      <c r="S673" s="5"/>
      <c r="U673" s="10"/>
      <c r="V673" s="11" t="str">
        <f t="shared" si="177"/>
        <v/>
      </c>
      <c r="W673" s="6"/>
      <c r="Y673" s="10"/>
      <c r="Z673" s="11" t="str">
        <f t="shared" si="178"/>
        <v/>
      </c>
      <c r="AA673" s="6"/>
      <c r="AB673" s="1">
        <v>1.2</v>
      </c>
      <c r="AC673" s="21" t="str">
        <f t="shared" si="172"/>
        <v/>
      </c>
      <c r="AD673" s="27" t="str">
        <f t="shared" si="181"/>
        <v/>
      </c>
      <c r="AE673" s="27" t="str">
        <f t="shared" si="179"/>
        <v/>
      </c>
      <c r="AF673" s="14">
        <f t="shared" si="173"/>
        <v>0</v>
      </c>
      <c r="AG673" s="12">
        <f t="shared" si="184"/>
        <v>0</v>
      </c>
      <c r="AH673" s="24">
        <f t="shared" si="174"/>
        <v>0</v>
      </c>
      <c r="AI673" s="49" t="e">
        <f t="shared" si="180"/>
        <v>#VALUE!</v>
      </c>
      <c r="AK673" s="50" t="e">
        <f t="shared" si="185"/>
        <v>#VALUE!</v>
      </c>
    </row>
    <row r="674" spans="1:37" x14ac:dyDescent="0.4">
      <c r="A674" s="2">
        <v>1827</v>
      </c>
      <c r="B674" s="16"/>
      <c r="C674" s="22">
        <f t="shared" si="182"/>
        <v>0</v>
      </c>
      <c r="D674" s="23">
        <f t="shared" si="170"/>
        <v>0</v>
      </c>
      <c r="E674" s="14"/>
      <c r="F674" s="12">
        <f t="shared" si="183"/>
        <v>0</v>
      </c>
      <c r="G674" s="24">
        <f t="shared" si="171"/>
        <v>0</v>
      </c>
      <c r="H674" s="14"/>
      <c r="I674" s="14"/>
      <c r="J674" s="29"/>
      <c r="K674" s="30"/>
      <c r="M674" s="17"/>
      <c r="N674" s="7" t="str">
        <f t="shared" si="175"/>
        <v/>
      </c>
      <c r="O674" s="5"/>
      <c r="P674" s="3"/>
      <c r="Q674" s="5"/>
      <c r="R674" s="7" t="str">
        <f t="shared" si="176"/>
        <v/>
      </c>
      <c r="S674" s="5"/>
      <c r="U674" s="10"/>
      <c r="V674" s="11" t="str">
        <f t="shared" si="177"/>
        <v/>
      </c>
      <c r="W674" s="6"/>
      <c r="Y674" s="10"/>
      <c r="Z674" s="11" t="str">
        <f t="shared" si="178"/>
        <v/>
      </c>
      <c r="AA674" s="6"/>
      <c r="AB674" s="1">
        <v>1.2</v>
      </c>
      <c r="AC674" s="21" t="str">
        <f t="shared" si="172"/>
        <v/>
      </c>
      <c r="AD674" s="27" t="str">
        <f t="shared" si="181"/>
        <v/>
      </c>
      <c r="AE674" s="27" t="str">
        <f t="shared" si="179"/>
        <v/>
      </c>
      <c r="AF674" s="14">
        <f t="shared" si="173"/>
        <v>0</v>
      </c>
      <c r="AG674" s="12">
        <f t="shared" si="184"/>
        <v>0</v>
      </c>
      <c r="AH674" s="24">
        <f t="shared" si="174"/>
        <v>0</v>
      </c>
      <c r="AI674" s="49" t="e">
        <f t="shared" si="180"/>
        <v>#VALUE!</v>
      </c>
      <c r="AK674" s="50" t="e">
        <f t="shared" si="185"/>
        <v>#VALUE!</v>
      </c>
    </row>
    <row r="675" spans="1:37" x14ac:dyDescent="0.4">
      <c r="A675" s="2">
        <v>1828</v>
      </c>
      <c r="B675" s="16"/>
      <c r="C675" s="22">
        <f t="shared" si="182"/>
        <v>0</v>
      </c>
      <c r="D675" s="23">
        <f t="shared" si="170"/>
        <v>0</v>
      </c>
      <c r="E675" s="14"/>
      <c r="F675" s="12">
        <f t="shared" si="183"/>
        <v>0</v>
      </c>
      <c r="G675" s="24">
        <f t="shared" si="171"/>
        <v>0</v>
      </c>
      <c r="H675" s="14"/>
      <c r="I675" s="14"/>
      <c r="J675" s="29"/>
      <c r="K675" s="30"/>
      <c r="M675" s="17"/>
      <c r="N675" s="7" t="str">
        <f t="shared" si="175"/>
        <v/>
      </c>
      <c r="O675" s="5"/>
      <c r="P675" s="3"/>
      <c r="Q675" s="5"/>
      <c r="R675" s="7" t="str">
        <f t="shared" si="176"/>
        <v/>
      </c>
      <c r="S675" s="5"/>
      <c r="U675" s="10"/>
      <c r="V675" s="11" t="str">
        <f t="shared" si="177"/>
        <v/>
      </c>
      <c r="W675" s="6"/>
      <c r="Y675" s="10"/>
      <c r="Z675" s="11" t="str">
        <f t="shared" si="178"/>
        <v/>
      </c>
      <c r="AA675" s="6"/>
      <c r="AB675" s="1">
        <v>1.2</v>
      </c>
      <c r="AC675" s="21" t="str">
        <f t="shared" si="172"/>
        <v/>
      </c>
      <c r="AD675" s="27" t="str">
        <f t="shared" si="181"/>
        <v/>
      </c>
      <c r="AE675" s="27" t="str">
        <f t="shared" si="179"/>
        <v/>
      </c>
      <c r="AF675" s="14">
        <f t="shared" si="173"/>
        <v>0</v>
      </c>
      <c r="AG675" s="12">
        <f t="shared" si="184"/>
        <v>0</v>
      </c>
      <c r="AH675" s="24">
        <f t="shared" si="174"/>
        <v>0</v>
      </c>
      <c r="AI675" s="49" t="e">
        <f t="shared" si="180"/>
        <v>#VALUE!</v>
      </c>
      <c r="AK675" s="50" t="e">
        <f t="shared" si="185"/>
        <v>#VALUE!</v>
      </c>
    </row>
    <row r="676" spans="1:37" x14ac:dyDescent="0.4">
      <c r="A676" s="2">
        <v>1829</v>
      </c>
      <c r="B676" s="16"/>
      <c r="C676" s="22">
        <f t="shared" si="182"/>
        <v>0</v>
      </c>
      <c r="D676" s="23">
        <f t="shared" si="170"/>
        <v>0</v>
      </c>
      <c r="E676" s="14"/>
      <c r="F676" s="12">
        <f t="shared" si="183"/>
        <v>0</v>
      </c>
      <c r="G676" s="24">
        <f t="shared" si="171"/>
        <v>0</v>
      </c>
      <c r="H676" s="14"/>
      <c r="I676" s="14"/>
      <c r="J676" s="29"/>
      <c r="K676" s="30"/>
      <c r="M676" s="17"/>
      <c r="N676" s="7" t="str">
        <f t="shared" si="175"/>
        <v/>
      </c>
      <c r="O676" s="5"/>
      <c r="P676" s="3"/>
      <c r="Q676" s="5"/>
      <c r="R676" s="7" t="str">
        <f t="shared" si="176"/>
        <v/>
      </c>
      <c r="S676" s="5"/>
      <c r="U676" s="10"/>
      <c r="V676" s="11" t="str">
        <f t="shared" si="177"/>
        <v/>
      </c>
      <c r="W676" s="6"/>
      <c r="Y676" s="10"/>
      <c r="Z676" s="11" t="str">
        <f t="shared" si="178"/>
        <v/>
      </c>
      <c r="AA676" s="6"/>
      <c r="AB676" s="1">
        <v>1.2</v>
      </c>
      <c r="AC676" s="21" t="str">
        <f t="shared" si="172"/>
        <v/>
      </c>
      <c r="AD676" s="27" t="str">
        <f t="shared" si="181"/>
        <v/>
      </c>
      <c r="AE676" s="27" t="str">
        <f t="shared" si="179"/>
        <v/>
      </c>
      <c r="AF676" s="14">
        <f t="shared" si="173"/>
        <v>0</v>
      </c>
      <c r="AG676" s="12">
        <f t="shared" si="184"/>
        <v>0</v>
      </c>
      <c r="AH676" s="24">
        <f t="shared" si="174"/>
        <v>0</v>
      </c>
      <c r="AI676" s="49" t="e">
        <f t="shared" si="180"/>
        <v>#VALUE!</v>
      </c>
      <c r="AK676" s="50" t="e">
        <f t="shared" si="185"/>
        <v>#VALUE!</v>
      </c>
    </row>
    <row r="677" spans="1:37" x14ac:dyDescent="0.4">
      <c r="A677" s="2">
        <v>1830</v>
      </c>
      <c r="B677" s="16"/>
      <c r="C677" s="22">
        <f t="shared" si="182"/>
        <v>0</v>
      </c>
      <c r="D677" s="23">
        <f t="shared" si="170"/>
        <v>0</v>
      </c>
      <c r="E677" s="14"/>
      <c r="F677" s="12">
        <f t="shared" si="183"/>
        <v>0</v>
      </c>
      <c r="G677" s="24">
        <f t="shared" si="171"/>
        <v>0</v>
      </c>
      <c r="H677" s="14"/>
      <c r="I677" s="14"/>
      <c r="J677" s="29"/>
      <c r="K677" s="30"/>
      <c r="M677" s="17"/>
      <c r="N677" s="7" t="str">
        <f t="shared" si="175"/>
        <v/>
      </c>
      <c r="O677" s="5"/>
      <c r="P677" s="3"/>
      <c r="Q677" s="5"/>
      <c r="R677" s="7" t="str">
        <f t="shared" si="176"/>
        <v/>
      </c>
      <c r="S677" s="5"/>
      <c r="U677" s="10"/>
      <c r="V677" s="11" t="str">
        <f t="shared" si="177"/>
        <v/>
      </c>
      <c r="W677" s="6"/>
      <c r="Y677" s="10"/>
      <c r="Z677" s="11" t="str">
        <f t="shared" si="178"/>
        <v/>
      </c>
      <c r="AA677" s="6"/>
      <c r="AB677" s="1">
        <v>1.2</v>
      </c>
      <c r="AC677" s="21" t="str">
        <f t="shared" si="172"/>
        <v/>
      </c>
      <c r="AD677" s="27" t="str">
        <f t="shared" si="181"/>
        <v/>
      </c>
      <c r="AE677" s="27" t="str">
        <f t="shared" si="179"/>
        <v/>
      </c>
      <c r="AF677" s="14">
        <f t="shared" si="173"/>
        <v>0</v>
      </c>
      <c r="AG677" s="12">
        <f t="shared" si="184"/>
        <v>0</v>
      </c>
      <c r="AH677" s="24">
        <f t="shared" si="174"/>
        <v>0</v>
      </c>
      <c r="AI677" s="49" t="e">
        <f t="shared" si="180"/>
        <v>#VALUE!</v>
      </c>
      <c r="AK677" s="50" t="e">
        <f t="shared" si="185"/>
        <v>#VALUE!</v>
      </c>
    </row>
    <row r="678" spans="1:37" x14ac:dyDescent="0.4">
      <c r="A678" s="2">
        <v>1831</v>
      </c>
      <c r="B678" s="16"/>
      <c r="C678" s="22">
        <f t="shared" si="182"/>
        <v>0</v>
      </c>
      <c r="D678" s="23">
        <f t="shared" si="170"/>
        <v>0</v>
      </c>
      <c r="E678" s="14"/>
      <c r="F678" s="12">
        <f t="shared" si="183"/>
        <v>0</v>
      </c>
      <c r="G678" s="24">
        <f t="shared" si="171"/>
        <v>0</v>
      </c>
      <c r="H678" s="14"/>
      <c r="I678" s="14"/>
      <c r="J678" s="29"/>
      <c r="K678" s="30"/>
      <c r="M678" s="17"/>
      <c r="N678" s="7" t="str">
        <f t="shared" si="175"/>
        <v/>
      </c>
      <c r="O678" s="5"/>
      <c r="P678" s="3"/>
      <c r="Q678" s="5"/>
      <c r="R678" s="7" t="str">
        <f t="shared" si="176"/>
        <v/>
      </c>
      <c r="S678" s="5"/>
      <c r="U678" s="10"/>
      <c r="V678" s="11" t="str">
        <f t="shared" si="177"/>
        <v/>
      </c>
      <c r="W678" s="6"/>
      <c r="Y678" s="10"/>
      <c r="Z678" s="11" t="str">
        <f t="shared" si="178"/>
        <v/>
      </c>
      <c r="AA678" s="6"/>
      <c r="AB678" s="1">
        <v>1.2</v>
      </c>
      <c r="AC678" s="21" t="str">
        <f t="shared" si="172"/>
        <v/>
      </c>
      <c r="AD678" s="27" t="str">
        <f t="shared" si="181"/>
        <v/>
      </c>
      <c r="AE678" s="27" t="str">
        <f t="shared" si="179"/>
        <v/>
      </c>
      <c r="AF678" s="14">
        <f t="shared" si="173"/>
        <v>0</v>
      </c>
      <c r="AG678" s="12">
        <f t="shared" si="184"/>
        <v>0</v>
      </c>
      <c r="AH678" s="24">
        <f t="shared" si="174"/>
        <v>0</v>
      </c>
      <c r="AI678" s="49" t="e">
        <f t="shared" si="180"/>
        <v>#VALUE!</v>
      </c>
      <c r="AK678" s="50" t="e">
        <f t="shared" si="185"/>
        <v>#VALUE!</v>
      </c>
    </row>
    <row r="679" spans="1:37" x14ac:dyDescent="0.4">
      <c r="A679" s="2">
        <v>1832</v>
      </c>
      <c r="B679" s="16"/>
      <c r="C679" s="22">
        <f t="shared" si="182"/>
        <v>0</v>
      </c>
      <c r="D679" s="23">
        <f t="shared" si="170"/>
        <v>0</v>
      </c>
      <c r="E679" s="14"/>
      <c r="F679" s="12">
        <f t="shared" si="183"/>
        <v>0</v>
      </c>
      <c r="G679" s="24">
        <f t="shared" si="171"/>
        <v>0</v>
      </c>
      <c r="H679" s="14"/>
      <c r="I679" s="14"/>
      <c r="J679" s="29"/>
      <c r="K679" s="30"/>
      <c r="M679" s="17"/>
      <c r="N679" s="7" t="str">
        <f t="shared" si="175"/>
        <v/>
      </c>
      <c r="O679" s="5"/>
      <c r="P679" s="3"/>
      <c r="Q679" s="5"/>
      <c r="R679" s="7" t="str">
        <f t="shared" si="176"/>
        <v/>
      </c>
      <c r="S679" s="5"/>
      <c r="U679" s="10"/>
      <c r="V679" s="11" t="str">
        <f t="shared" si="177"/>
        <v/>
      </c>
      <c r="W679" s="6"/>
      <c r="Y679" s="10"/>
      <c r="Z679" s="11" t="str">
        <f t="shared" si="178"/>
        <v/>
      </c>
      <c r="AA679" s="6"/>
      <c r="AB679" s="1">
        <v>1.2</v>
      </c>
      <c r="AC679" s="21" t="str">
        <f t="shared" si="172"/>
        <v/>
      </c>
      <c r="AD679" s="27" t="str">
        <f t="shared" si="181"/>
        <v/>
      </c>
      <c r="AE679" s="27" t="str">
        <f t="shared" si="179"/>
        <v/>
      </c>
      <c r="AF679" s="14">
        <f t="shared" si="173"/>
        <v>0</v>
      </c>
      <c r="AG679" s="12">
        <f t="shared" si="184"/>
        <v>0</v>
      </c>
      <c r="AH679" s="24">
        <f t="shared" si="174"/>
        <v>0</v>
      </c>
      <c r="AI679" s="49" t="e">
        <f t="shared" si="180"/>
        <v>#VALUE!</v>
      </c>
      <c r="AK679" s="50" t="e">
        <f t="shared" si="185"/>
        <v>#VALUE!</v>
      </c>
    </row>
    <row r="680" spans="1:37" x14ac:dyDescent="0.4">
      <c r="A680" s="2">
        <v>1833</v>
      </c>
      <c r="B680" s="16"/>
      <c r="C680" s="22">
        <f t="shared" si="182"/>
        <v>0</v>
      </c>
      <c r="D680" s="23">
        <f t="shared" ref="D680:D743" si="186">B680-INT(B680)</f>
        <v>0</v>
      </c>
      <c r="E680" s="14"/>
      <c r="F680" s="12">
        <f t="shared" si="183"/>
        <v>0</v>
      </c>
      <c r="G680" s="24">
        <f t="shared" ref="G680:G743" si="187">E680-INT(E680)</f>
        <v>0</v>
      </c>
      <c r="H680" s="14"/>
      <c r="I680" s="14"/>
      <c r="J680" s="29"/>
      <c r="K680" s="30"/>
      <c r="M680" s="17"/>
      <c r="N680" s="7" t="str">
        <f t="shared" si="175"/>
        <v/>
      </c>
      <c r="O680" s="5"/>
      <c r="P680" s="3"/>
      <c r="Q680" s="5"/>
      <c r="R680" s="7" t="str">
        <f t="shared" si="176"/>
        <v/>
      </c>
      <c r="S680" s="5"/>
      <c r="U680" s="10"/>
      <c r="V680" s="11" t="str">
        <f t="shared" si="177"/>
        <v/>
      </c>
      <c r="W680" s="6"/>
      <c r="Y680" s="10"/>
      <c r="Z680" s="11" t="str">
        <f t="shared" si="178"/>
        <v/>
      </c>
      <c r="AA680" s="6"/>
      <c r="AB680" s="1">
        <v>1.2</v>
      </c>
      <c r="AC680" s="21" t="str">
        <f t="shared" ref="AC680:AC743" si="188">IF(B680="","",TEXT(E680-B680,"[hh]:mm"))</f>
        <v/>
      </c>
      <c r="AD680" s="27" t="str">
        <f t="shared" si="181"/>
        <v/>
      </c>
      <c r="AE680" s="27" t="str">
        <f t="shared" si="179"/>
        <v/>
      </c>
      <c r="AF680" s="14">
        <f t="shared" ref="AF680:AF743" si="189">MAX(E680,H680,I680)</f>
        <v>0</v>
      </c>
      <c r="AG680" s="12">
        <f t="shared" si="184"/>
        <v>0</v>
      </c>
      <c r="AH680" s="24">
        <f t="shared" ref="AH680:AH743" si="190">AF680-INT(AF680)</f>
        <v>0</v>
      </c>
      <c r="AI680" s="49" t="e">
        <f t="shared" si="180"/>
        <v>#VALUE!</v>
      </c>
      <c r="AK680" s="50" t="e">
        <f t="shared" si="185"/>
        <v>#VALUE!</v>
      </c>
    </row>
    <row r="681" spans="1:37" x14ac:dyDescent="0.4">
      <c r="A681" s="2">
        <v>1834</v>
      </c>
      <c r="B681" s="16"/>
      <c r="C681" s="22">
        <f t="shared" si="182"/>
        <v>0</v>
      </c>
      <c r="D681" s="23">
        <f t="shared" si="186"/>
        <v>0</v>
      </c>
      <c r="E681" s="14"/>
      <c r="F681" s="12">
        <f t="shared" si="183"/>
        <v>0</v>
      </c>
      <c r="G681" s="24">
        <f t="shared" si="187"/>
        <v>0</v>
      </c>
      <c r="H681" s="14"/>
      <c r="I681" s="14"/>
      <c r="J681" s="29"/>
      <c r="K681" s="30"/>
      <c r="M681" s="17"/>
      <c r="N681" s="7" t="str">
        <f t="shared" si="175"/>
        <v/>
      </c>
      <c r="O681" s="5"/>
      <c r="P681" s="3"/>
      <c r="Q681" s="5"/>
      <c r="R681" s="7" t="str">
        <f t="shared" si="176"/>
        <v/>
      </c>
      <c r="S681" s="5"/>
      <c r="U681" s="10"/>
      <c r="V681" s="11" t="str">
        <f t="shared" si="177"/>
        <v/>
      </c>
      <c r="W681" s="6"/>
      <c r="Y681" s="10"/>
      <c r="Z681" s="11" t="str">
        <f t="shared" si="178"/>
        <v/>
      </c>
      <c r="AA681" s="6"/>
      <c r="AB681" s="1">
        <v>1.2</v>
      </c>
      <c r="AC681" s="21" t="str">
        <f t="shared" si="188"/>
        <v/>
      </c>
      <c r="AD681" s="27" t="str">
        <f t="shared" si="181"/>
        <v/>
      </c>
      <c r="AE681" s="27" t="str">
        <f t="shared" si="179"/>
        <v/>
      </c>
      <c r="AF681" s="14">
        <f t="shared" si="189"/>
        <v>0</v>
      </c>
      <c r="AG681" s="12">
        <f t="shared" si="184"/>
        <v>0</v>
      </c>
      <c r="AH681" s="24">
        <f t="shared" si="190"/>
        <v>0</v>
      </c>
      <c r="AI681" s="49" t="e">
        <f t="shared" si="180"/>
        <v>#VALUE!</v>
      </c>
      <c r="AK681" s="50" t="e">
        <f t="shared" si="185"/>
        <v>#VALUE!</v>
      </c>
    </row>
    <row r="682" spans="1:37" x14ac:dyDescent="0.4">
      <c r="A682" s="2">
        <v>1835</v>
      </c>
      <c r="B682" s="16"/>
      <c r="C682" s="22">
        <f t="shared" si="182"/>
        <v>0</v>
      </c>
      <c r="D682" s="23">
        <f t="shared" si="186"/>
        <v>0</v>
      </c>
      <c r="E682" s="14"/>
      <c r="F682" s="12">
        <f t="shared" si="183"/>
        <v>0</v>
      </c>
      <c r="G682" s="24">
        <f t="shared" si="187"/>
        <v>0</v>
      </c>
      <c r="H682" s="14"/>
      <c r="I682" s="14"/>
      <c r="J682" s="29"/>
      <c r="K682" s="30"/>
      <c r="M682" s="17"/>
      <c r="N682" s="7" t="str">
        <f t="shared" si="175"/>
        <v/>
      </c>
      <c r="O682" s="5"/>
      <c r="P682" s="3"/>
      <c r="Q682" s="5"/>
      <c r="R682" s="7" t="str">
        <f t="shared" si="176"/>
        <v/>
      </c>
      <c r="S682" s="5"/>
      <c r="U682" s="10"/>
      <c r="V682" s="11" t="str">
        <f t="shared" si="177"/>
        <v/>
      </c>
      <c r="W682" s="6"/>
      <c r="Y682" s="10"/>
      <c r="Z682" s="11" t="str">
        <f t="shared" si="178"/>
        <v/>
      </c>
      <c r="AA682" s="6"/>
      <c r="AB682" s="1">
        <v>1.2</v>
      </c>
      <c r="AC682" s="21" t="str">
        <f t="shared" si="188"/>
        <v/>
      </c>
      <c r="AD682" s="27" t="str">
        <f t="shared" si="181"/>
        <v/>
      </c>
      <c r="AE682" s="27" t="str">
        <f t="shared" si="179"/>
        <v/>
      </c>
      <c r="AF682" s="14">
        <f t="shared" si="189"/>
        <v>0</v>
      </c>
      <c r="AG682" s="12">
        <f t="shared" si="184"/>
        <v>0</v>
      </c>
      <c r="AH682" s="24">
        <f t="shared" si="190"/>
        <v>0</v>
      </c>
      <c r="AI682" s="49" t="e">
        <f t="shared" si="180"/>
        <v>#VALUE!</v>
      </c>
      <c r="AK682" s="50" t="e">
        <f t="shared" si="185"/>
        <v>#VALUE!</v>
      </c>
    </row>
    <row r="683" spans="1:37" x14ac:dyDescent="0.4">
      <c r="A683" s="2">
        <v>1836</v>
      </c>
      <c r="B683" s="16"/>
      <c r="C683" s="22">
        <f t="shared" si="182"/>
        <v>0</v>
      </c>
      <c r="D683" s="23">
        <f t="shared" si="186"/>
        <v>0</v>
      </c>
      <c r="E683" s="14"/>
      <c r="F683" s="12">
        <f t="shared" si="183"/>
        <v>0</v>
      </c>
      <c r="G683" s="24">
        <f t="shared" si="187"/>
        <v>0</v>
      </c>
      <c r="H683" s="14"/>
      <c r="I683" s="14"/>
      <c r="J683" s="29"/>
      <c r="K683" s="30"/>
      <c r="M683" s="17"/>
      <c r="N683" s="7" t="str">
        <f t="shared" si="175"/>
        <v/>
      </c>
      <c r="O683" s="5"/>
      <c r="P683" s="3"/>
      <c r="Q683" s="5"/>
      <c r="R683" s="7" t="str">
        <f t="shared" si="176"/>
        <v/>
      </c>
      <c r="S683" s="5"/>
      <c r="U683" s="10"/>
      <c r="V683" s="11" t="str">
        <f t="shared" si="177"/>
        <v/>
      </c>
      <c r="W683" s="6"/>
      <c r="Y683" s="10"/>
      <c r="Z683" s="11" t="str">
        <f t="shared" si="178"/>
        <v/>
      </c>
      <c r="AA683" s="6"/>
      <c r="AB683" s="1">
        <v>1.2</v>
      </c>
      <c r="AC683" s="21" t="str">
        <f t="shared" si="188"/>
        <v/>
      </c>
      <c r="AD683" s="27" t="str">
        <f t="shared" si="181"/>
        <v/>
      </c>
      <c r="AE683" s="27" t="str">
        <f t="shared" si="179"/>
        <v/>
      </c>
      <c r="AF683" s="14">
        <f t="shared" si="189"/>
        <v>0</v>
      </c>
      <c r="AG683" s="12">
        <f t="shared" si="184"/>
        <v>0</v>
      </c>
      <c r="AH683" s="24">
        <f t="shared" si="190"/>
        <v>0</v>
      </c>
      <c r="AI683" s="49" t="e">
        <f t="shared" si="180"/>
        <v>#VALUE!</v>
      </c>
      <c r="AK683" s="50" t="e">
        <f t="shared" si="185"/>
        <v>#VALUE!</v>
      </c>
    </row>
    <row r="684" spans="1:37" x14ac:dyDescent="0.4">
      <c r="A684" s="2">
        <v>1837</v>
      </c>
      <c r="B684" s="16"/>
      <c r="C684" s="22">
        <f t="shared" si="182"/>
        <v>0</v>
      </c>
      <c r="D684" s="23">
        <f t="shared" si="186"/>
        <v>0</v>
      </c>
      <c r="E684" s="14"/>
      <c r="F684" s="12">
        <f t="shared" si="183"/>
        <v>0</v>
      </c>
      <c r="G684" s="24">
        <f t="shared" si="187"/>
        <v>0</v>
      </c>
      <c r="H684" s="14"/>
      <c r="I684" s="14"/>
      <c r="J684" s="29"/>
      <c r="K684" s="30"/>
      <c r="M684" s="17"/>
      <c r="N684" s="7" t="str">
        <f t="shared" si="175"/>
        <v/>
      </c>
      <c r="O684" s="5"/>
      <c r="P684" s="3"/>
      <c r="Q684" s="5"/>
      <c r="R684" s="7" t="str">
        <f t="shared" si="176"/>
        <v/>
      </c>
      <c r="S684" s="5"/>
      <c r="U684" s="10"/>
      <c r="V684" s="11" t="str">
        <f t="shared" si="177"/>
        <v/>
      </c>
      <c r="W684" s="6"/>
      <c r="Y684" s="10"/>
      <c r="Z684" s="11" t="str">
        <f t="shared" si="178"/>
        <v/>
      </c>
      <c r="AA684" s="6"/>
      <c r="AB684" s="1">
        <v>1.2</v>
      </c>
      <c r="AC684" s="21" t="str">
        <f t="shared" si="188"/>
        <v/>
      </c>
      <c r="AD684" s="27" t="str">
        <f t="shared" si="181"/>
        <v/>
      </c>
      <c r="AE684" s="27" t="str">
        <f t="shared" si="179"/>
        <v/>
      </c>
      <c r="AF684" s="14">
        <f t="shared" si="189"/>
        <v>0</v>
      </c>
      <c r="AG684" s="12">
        <f t="shared" si="184"/>
        <v>0</v>
      </c>
      <c r="AH684" s="24">
        <f t="shared" si="190"/>
        <v>0</v>
      </c>
      <c r="AI684" s="49" t="e">
        <f t="shared" si="180"/>
        <v>#VALUE!</v>
      </c>
      <c r="AK684" s="50" t="e">
        <f t="shared" si="185"/>
        <v>#VALUE!</v>
      </c>
    </row>
    <row r="685" spans="1:37" x14ac:dyDescent="0.4">
      <c r="A685" s="2">
        <v>1838</v>
      </c>
      <c r="B685" s="16"/>
      <c r="C685" s="22">
        <f t="shared" si="182"/>
        <v>0</v>
      </c>
      <c r="D685" s="23">
        <f t="shared" si="186"/>
        <v>0</v>
      </c>
      <c r="E685" s="14"/>
      <c r="F685" s="12">
        <f t="shared" si="183"/>
        <v>0</v>
      </c>
      <c r="G685" s="24">
        <f t="shared" si="187"/>
        <v>0</v>
      </c>
      <c r="H685" s="14"/>
      <c r="I685" s="14"/>
      <c r="J685" s="29"/>
      <c r="K685" s="30"/>
      <c r="M685" s="17"/>
      <c r="N685" s="7" t="str">
        <f t="shared" si="175"/>
        <v/>
      </c>
      <c r="O685" s="5"/>
      <c r="P685" s="3"/>
      <c r="Q685" s="5"/>
      <c r="R685" s="7" t="str">
        <f t="shared" si="176"/>
        <v/>
      </c>
      <c r="S685" s="5"/>
      <c r="U685" s="10"/>
      <c r="V685" s="11" t="str">
        <f t="shared" si="177"/>
        <v/>
      </c>
      <c r="W685" s="6"/>
      <c r="Y685" s="10"/>
      <c r="Z685" s="11" t="str">
        <f t="shared" si="178"/>
        <v/>
      </c>
      <c r="AA685" s="6"/>
      <c r="AB685" s="1">
        <v>1.2</v>
      </c>
      <c r="AC685" s="21" t="str">
        <f t="shared" si="188"/>
        <v/>
      </c>
      <c r="AD685" s="27" t="str">
        <f t="shared" si="181"/>
        <v/>
      </c>
      <c r="AE685" s="27" t="str">
        <f t="shared" si="179"/>
        <v/>
      </c>
      <c r="AF685" s="14">
        <f t="shared" si="189"/>
        <v>0</v>
      </c>
      <c r="AG685" s="12">
        <f t="shared" si="184"/>
        <v>0</v>
      </c>
      <c r="AH685" s="24">
        <f t="shared" si="190"/>
        <v>0</v>
      </c>
      <c r="AI685" s="49" t="e">
        <f t="shared" si="180"/>
        <v>#VALUE!</v>
      </c>
      <c r="AK685" s="50" t="e">
        <f t="shared" si="185"/>
        <v>#VALUE!</v>
      </c>
    </row>
    <row r="686" spans="1:37" x14ac:dyDescent="0.4">
      <c r="A686" s="2">
        <v>1839</v>
      </c>
      <c r="B686" s="16"/>
      <c r="C686" s="22">
        <f t="shared" si="182"/>
        <v>0</v>
      </c>
      <c r="D686" s="23">
        <f t="shared" si="186"/>
        <v>0</v>
      </c>
      <c r="E686" s="14"/>
      <c r="F686" s="12">
        <f t="shared" si="183"/>
        <v>0</v>
      </c>
      <c r="G686" s="24">
        <f t="shared" si="187"/>
        <v>0</v>
      </c>
      <c r="H686" s="14"/>
      <c r="I686" s="14"/>
      <c r="J686" s="29"/>
      <c r="K686" s="30"/>
      <c r="M686" s="17"/>
      <c r="N686" s="7" t="str">
        <f t="shared" si="175"/>
        <v/>
      </c>
      <c r="O686" s="5"/>
      <c r="P686" s="3"/>
      <c r="Q686" s="5"/>
      <c r="R686" s="7" t="str">
        <f t="shared" si="176"/>
        <v/>
      </c>
      <c r="S686" s="5"/>
      <c r="U686" s="10"/>
      <c r="V686" s="11" t="str">
        <f t="shared" si="177"/>
        <v/>
      </c>
      <c r="W686" s="6"/>
      <c r="Y686" s="10"/>
      <c r="Z686" s="11" t="str">
        <f t="shared" si="178"/>
        <v/>
      </c>
      <c r="AA686" s="6"/>
      <c r="AB686" s="1">
        <v>1.2</v>
      </c>
      <c r="AC686" s="21" t="str">
        <f t="shared" si="188"/>
        <v/>
      </c>
      <c r="AD686" s="27" t="str">
        <f t="shared" si="181"/>
        <v/>
      </c>
      <c r="AE686" s="27" t="str">
        <f t="shared" si="179"/>
        <v/>
      </c>
      <c r="AF686" s="14">
        <f t="shared" si="189"/>
        <v>0</v>
      </c>
      <c r="AG686" s="12">
        <f t="shared" si="184"/>
        <v>0</v>
      </c>
      <c r="AH686" s="24">
        <f t="shared" si="190"/>
        <v>0</v>
      </c>
      <c r="AI686" s="49" t="e">
        <f t="shared" si="180"/>
        <v>#VALUE!</v>
      </c>
      <c r="AK686" s="50" t="e">
        <f t="shared" si="185"/>
        <v>#VALUE!</v>
      </c>
    </row>
    <row r="687" spans="1:37" x14ac:dyDescent="0.4">
      <c r="A687" s="2">
        <v>1840</v>
      </c>
      <c r="B687" s="16"/>
      <c r="C687" s="22">
        <f t="shared" si="182"/>
        <v>0</v>
      </c>
      <c r="D687" s="23">
        <f t="shared" si="186"/>
        <v>0</v>
      </c>
      <c r="E687" s="14"/>
      <c r="F687" s="12">
        <f t="shared" si="183"/>
        <v>0</v>
      </c>
      <c r="G687" s="24">
        <f t="shared" si="187"/>
        <v>0</v>
      </c>
      <c r="H687" s="14"/>
      <c r="I687" s="14"/>
      <c r="J687" s="29"/>
      <c r="K687" s="30"/>
      <c r="M687" s="17"/>
      <c r="N687" s="7" t="str">
        <f t="shared" si="175"/>
        <v/>
      </c>
      <c r="O687" s="5"/>
      <c r="P687" s="3"/>
      <c r="Q687" s="5"/>
      <c r="R687" s="7" t="str">
        <f t="shared" si="176"/>
        <v/>
      </c>
      <c r="S687" s="5"/>
      <c r="U687" s="10"/>
      <c r="V687" s="11" t="str">
        <f t="shared" si="177"/>
        <v/>
      </c>
      <c r="W687" s="6"/>
      <c r="Y687" s="10"/>
      <c r="Z687" s="11" t="str">
        <f t="shared" si="178"/>
        <v/>
      </c>
      <c r="AA687" s="6"/>
      <c r="AB687" s="1">
        <v>1.2</v>
      </c>
      <c r="AC687" s="21" t="str">
        <f t="shared" si="188"/>
        <v/>
      </c>
      <c r="AD687" s="27" t="str">
        <f t="shared" si="181"/>
        <v/>
      </c>
      <c r="AE687" s="27" t="str">
        <f t="shared" si="179"/>
        <v/>
      </c>
      <c r="AF687" s="14">
        <f t="shared" si="189"/>
        <v>0</v>
      </c>
      <c r="AG687" s="12">
        <f t="shared" si="184"/>
        <v>0</v>
      </c>
      <c r="AH687" s="24">
        <f t="shared" si="190"/>
        <v>0</v>
      </c>
      <c r="AI687" s="49" t="e">
        <f t="shared" si="180"/>
        <v>#VALUE!</v>
      </c>
      <c r="AK687" s="50" t="e">
        <f t="shared" si="185"/>
        <v>#VALUE!</v>
      </c>
    </row>
    <row r="688" spans="1:37" x14ac:dyDescent="0.4">
      <c r="A688" s="2">
        <v>1841</v>
      </c>
      <c r="B688" s="16"/>
      <c r="C688" s="22">
        <f t="shared" si="182"/>
        <v>0</v>
      </c>
      <c r="D688" s="23">
        <f t="shared" si="186"/>
        <v>0</v>
      </c>
      <c r="E688" s="14"/>
      <c r="F688" s="12">
        <f t="shared" si="183"/>
        <v>0</v>
      </c>
      <c r="G688" s="24">
        <f t="shared" si="187"/>
        <v>0</v>
      </c>
      <c r="H688" s="14"/>
      <c r="I688" s="14"/>
      <c r="J688" s="29"/>
      <c r="K688" s="30"/>
      <c r="M688" s="17"/>
      <c r="N688" s="7" t="str">
        <f t="shared" si="175"/>
        <v/>
      </c>
      <c r="O688" s="5"/>
      <c r="P688" s="3"/>
      <c r="Q688" s="5"/>
      <c r="R688" s="7" t="str">
        <f t="shared" si="176"/>
        <v/>
      </c>
      <c r="S688" s="5"/>
      <c r="U688" s="10"/>
      <c r="V688" s="11" t="str">
        <f t="shared" si="177"/>
        <v/>
      </c>
      <c r="W688" s="6"/>
      <c r="Y688" s="10"/>
      <c r="Z688" s="11" t="str">
        <f t="shared" si="178"/>
        <v/>
      </c>
      <c r="AA688" s="6"/>
      <c r="AB688" s="1">
        <v>1.2</v>
      </c>
      <c r="AC688" s="21" t="str">
        <f t="shared" si="188"/>
        <v/>
      </c>
      <c r="AD688" s="27" t="str">
        <f t="shared" si="181"/>
        <v/>
      </c>
      <c r="AE688" s="27" t="str">
        <f t="shared" si="179"/>
        <v/>
      </c>
      <c r="AF688" s="14">
        <f t="shared" si="189"/>
        <v>0</v>
      </c>
      <c r="AG688" s="12">
        <f t="shared" si="184"/>
        <v>0</v>
      </c>
      <c r="AH688" s="24">
        <f t="shared" si="190"/>
        <v>0</v>
      </c>
      <c r="AI688" s="49" t="e">
        <f t="shared" si="180"/>
        <v>#VALUE!</v>
      </c>
      <c r="AK688" s="50" t="e">
        <f t="shared" si="185"/>
        <v>#VALUE!</v>
      </c>
    </row>
    <row r="689" spans="1:37" x14ac:dyDescent="0.4">
      <c r="A689" s="2">
        <v>1842</v>
      </c>
      <c r="B689" s="16"/>
      <c r="C689" s="22">
        <f t="shared" si="182"/>
        <v>0</v>
      </c>
      <c r="D689" s="23">
        <f t="shared" si="186"/>
        <v>0</v>
      </c>
      <c r="E689" s="14"/>
      <c r="F689" s="12">
        <f t="shared" si="183"/>
        <v>0</v>
      </c>
      <c r="G689" s="24">
        <f t="shared" si="187"/>
        <v>0</v>
      </c>
      <c r="H689" s="14"/>
      <c r="I689" s="14"/>
      <c r="J689" s="29"/>
      <c r="K689" s="30"/>
      <c r="M689" s="17"/>
      <c r="N689" s="7" t="str">
        <f t="shared" si="175"/>
        <v/>
      </c>
      <c r="O689" s="5"/>
      <c r="P689" s="3"/>
      <c r="Q689" s="5"/>
      <c r="R689" s="7" t="str">
        <f t="shared" si="176"/>
        <v/>
      </c>
      <c r="S689" s="5"/>
      <c r="U689" s="10"/>
      <c r="V689" s="11" t="str">
        <f t="shared" si="177"/>
        <v/>
      </c>
      <c r="W689" s="6"/>
      <c r="Y689" s="10"/>
      <c r="Z689" s="11" t="str">
        <f t="shared" si="178"/>
        <v/>
      </c>
      <c r="AA689" s="6"/>
      <c r="AB689" s="1">
        <v>1.2</v>
      </c>
      <c r="AC689" s="21" t="str">
        <f t="shared" si="188"/>
        <v/>
      </c>
      <c r="AD689" s="27" t="str">
        <f t="shared" si="181"/>
        <v/>
      </c>
      <c r="AE689" s="27" t="str">
        <f t="shared" si="179"/>
        <v/>
      </c>
      <c r="AF689" s="14">
        <f t="shared" si="189"/>
        <v>0</v>
      </c>
      <c r="AG689" s="12">
        <f t="shared" si="184"/>
        <v>0</v>
      </c>
      <c r="AH689" s="24">
        <f t="shared" si="190"/>
        <v>0</v>
      </c>
      <c r="AI689" s="49" t="e">
        <f t="shared" si="180"/>
        <v>#VALUE!</v>
      </c>
      <c r="AK689" s="50" t="e">
        <f t="shared" si="185"/>
        <v>#VALUE!</v>
      </c>
    </row>
    <row r="690" spans="1:37" x14ac:dyDescent="0.4">
      <c r="A690" s="2">
        <v>1843</v>
      </c>
      <c r="B690" s="16"/>
      <c r="C690" s="22">
        <f t="shared" si="182"/>
        <v>0</v>
      </c>
      <c r="D690" s="23">
        <f t="shared" si="186"/>
        <v>0</v>
      </c>
      <c r="E690" s="14"/>
      <c r="F690" s="12">
        <f t="shared" si="183"/>
        <v>0</v>
      </c>
      <c r="G690" s="24">
        <f t="shared" si="187"/>
        <v>0</v>
      </c>
      <c r="H690" s="14"/>
      <c r="I690" s="14"/>
      <c r="J690" s="29"/>
      <c r="K690" s="30"/>
      <c r="M690" s="17"/>
      <c r="N690" s="7" t="str">
        <f t="shared" si="175"/>
        <v/>
      </c>
      <c r="O690" s="5"/>
      <c r="P690" s="3"/>
      <c r="Q690" s="5"/>
      <c r="R690" s="7" t="str">
        <f t="shared" si="176"/>
        <v/>
      </c>
      <c r="S690" s="5"/>
      <c r="U690" s="10"/>
      <c r="V690" s="11" t="str">
        <f t="shared" si="177"/>
        <v/>
      </c>
      <c r="W690" s="6"/>
      <c r="Y690" s="10"/>
      <c r="Z690" s="11" t="str">
        <f t="shared" si="178"/>
        <v/>
      </c>
      <c r="AA690" s="6"/>
      <c r="AB690" s="1">
        <v>1.2</v>
      </c>
      <c r="AC690" s="21" t="str">
        <f t="shared" si="188"/>
        <v/>
      </c>
      <c r="AD690" s="27" t="str">
        <f t="shared" si="181"/>
        <v/>
      </c>
      <c r="AE690" s="27" t="str">
        <f t="shared" si="179"/>
        <v/>
      </c>
      <c r="AF690" s="14">
        <f t="shared" si="189"/>
        <v>0</v>
      </c>
      <c r="AG690" s="12">
        <f t="shared" si="184"/>
        <v>0</v>
      </c>
      <c r="AH690" s="24">
        <f t="shared" si="190"/>
        <v>0</v>
      </c>
      <c r="AI690" s="49" t="e">
        <f t="shared" si="180"/>
        <v>#VALUE!</v>
      </c>
      <c r="AK690" s="50" t="e">
        <f t="shared" si="185"/>
        <v>#VALUE!</v>
      </c>
    </row>
    <row r="691" spans="1:37" x14ac:dyDescent="0.4">
      <c r="A691" s="2">
        <v>1844</v>
      </c>
      <c r="B691" s="16"/>
      <c r="C691" s="22">
        <f t="shared" si="182"/>
        <v>0</v>
      </c>
      <c r="D691" s="23">
        <f t="shared" si="186"/>
        <v>0</v>
      </c>
      <c r="E691" s="14"/>
      <c r="F691" s="12">
        <f t="shared" si="183"/>
        <v>0</v>
      </c>
      <c r="G691" s="24">
        <f t="shared" si="187"/>
        <v>0</v>
      </c>
      <c r="H691" s="14"/>
      <c r="I691" s="14"/>
      <c r="J691" s="29"/>
      <c r="K691" s="30"/>
      <c r="M691" s="17"/>
      <c r="N691" s="7" t="str">
        <f t="shared" si="175"/>
        <v/>
      </c>
      <c r="O691" s="5"/>
      <c r="P691" s="3"/>
      <c r="Q691" s="5"/>
      <c r="R691" s="7" t="str">
        <f t="shared" si="176"/>
        <v/>
      </c>
      <c r="S691" s="5"/>
      <c r="U691" s="10"/>
      <c r="V691" s="11" t="str">
        <f t="shared" si="177"/>
        <v/>
      </c>
      <c r="W691" s="6"/>
      <c r="Y691" s="10"/>
      <c r="Z691" s="11" t="str">
        <f t="shared" si="178"/>
        <v/>
      </c>
      <c r="AA691" s="6"/>
      <c r="AB691" s="1">
        <v>1.2</v>
      </c>
      <c r="AC691" s="21" t="str">
        <f t="shared" si="188"/>
        <v/>
      </c>
      <c r="AD691" s="27" t="str">
        <f t="shared" si="181"/>
        <v/>
      </c>
      <c r="AE691" s="27" t="str">
        <f t="shared" si="179"/>
        <v/>
      </c>
      <c r="AF691" s="14">
        <f t="shared" si="189"/>
        <v>0</v>
      </c>
      <c r="AG691" s="12">
        <f t="shared" si="184"/>
        <v>0</v>
      </c>
      <c r="AH691" s="24">
        <f t="shared" si="190"/>
        <v>0</v>
      </c>
      <c r="AI691" s="49" t="e">
        <f t="shared" si="180"/>
        <v>#VALUE!</v>
      </c>
      <c r="AK691" s="50" t="e">
        <f t="shared" si="185"/>
        <v>#VALUE!</v>
      </c>
    </row>
    <row r="692" spans="1:37" x14ac:dyDescent="0.4">
      <c r="A692" s="2">
        <v>1845</v>
      </c>
      <c r="B692" s="16"/>
      <c r="C692" s="22">
        <f t="shared" si="182"/>
        <v>0</v>
      </c>
      <c r="D692" s="23">
        <f t="shared" si="186"/>
        <v>0</v>
      </c>
      <c r="E692" s="14"/>
      <c r="F692" s="12">
        <f t="shared" si="183"/>
        <v>0</v>
      </c>
      <c r="G692" s="24">
        <f t="shared" si="187"/>
        <v>0</v>
      </c>
      <c r="H692" s="14"/>
      <c r="I692" s="14"/>
      <c r="J692" s="29"/>
      <c r="K692" s="30"/>
      <c r="M692" s="17"/>
      <c r="N692" s="7" t="str">
        <f t="shared" si="175"/>
        <v/>
      </c>
      <c r="O692" s="5"/>
      <c r="P692" s="3"/>
      <c r="Q692" s="5"/>
      <c r="R692" s="7" t="str">
        <f t="shared" si="176"/>
        <v/>
      </c>
      <c r="S692" s="5"/>
      <c r="U692" s="10"/>
      <c r="V692" s="11" t="str">
        <f t="shared" si="177"/>
        <v/>
      </c>
      <c r="W692" s="6"/>
      <c r="Y692" s="10"/>
      <c r="Z692" s="11" t="str">
        <f t="shared" si="178"/>
        <v/>
      </c>
      <c r="AA692" s="6"/>
      <c r="AB692" s="1">
        <v>1.2</v>
      </c>
      <c r="AC692" s="21" t="str">
        <f t="shared" si="188"/>
        <v/>
      </c>
      <c r="AD692" s="27" t="str">
        <f t="shared" si="181"/>
        <v/>
      </c>
      <c r="AE692" s="27" t="str">
        <f t="shared" si="179"/>
        <v/>
      </c>
      <c r="AF692" s="14">
        <f t="shared" si="189"/>
        <v>0</v>
      </c>
      <c r="AG692" s="12">
        <f t="shared" si="184"/>
        <v>0</v>
      </c>
      <c r="AH692" s="24">
        <f t="shared" si="190"/>
        <v>0</v>
      </c>
      <c r="AI692" s="49" t="e">
        <f t="shared" si="180"/>
        <v>#VALUE!</v>
      </c>
      <c r="AK692" s="50" t="e">
        <f t="shared" si="185"/>
        <v>#VALUE!</v>
      </c>
    </row>
    <row r="693" spans="1:37" x14ac:dyDescent="0.4">
      <c r="A693" s="2">
        <v>1846</v>
      </c>
      <c r="B693" s="16"/>
      <c r="C693" s="22">
        <f t="shared" si="182"/>
        <v>0</v>
      </c>
      <c r="D693" s="23">
        <f t="shared" si="186"/>
        <v>0</v>
      </c>
      <c r="E693" s="14"/>
      <c r="F693" s="12">
        <f t="shared" si="183"/>
        <v>0</v>
      </c>
      <c r="G693" s="24">
        <f t="shared" si="187"/>
        <v>0</v>
      </c>
      <c r="H693" s="14"/>
      <c r="I693" s="14"/>
      <c r="J693" s="29"/>
      <c r="K693" s="30"/>
      <c r="M693" s="17"/>
      <c r="N693" s="7" t="str">
        <f t="shared" si="175"/>
        <v/>
      </c>
      <c r="O693" s="5"/>
      <c r="P693" s="3"/>
      <c r="Q693" s="5"/>
      <c r="R693" s="7" t="str">
        <f t="shared" si="176"/>
        <v/>
      </c>
      <c r="S693" s="5"/>
      <c r="U693" s="10"/>
      <c r="V693" s="11" t="str">
        <f t="shared" si="177"/>
        <v/>
      </c>
      <c r="W693" s="6"/>
      <c r="Y693" s="10"/>
      <c r="Z693" s="11" t="str">
        <f t="shared" si="178"/>
        <v/>
      </c>
      <c r="AA693" s="6"/>
      <c r="AB693" s="1">
        <v>1.2</v>
      </c>
      <c r="AC693" s="21" t="str">
        <f t="shared" si="188"/>
        <v/>
      </c>
      <c r="AD693" s="27" t="str">
        <f t="shared" si="181"/>
        <v/>
      </c>
      <c r="AE693" s="27" t="str">
        <f t="shared" si="179"/>
        <v/>
      </c>
      <c r="AF693" s="14">
        <f t="shared" si="189"/>
        <v>0</v>
      </c>
      <c r="AG693" s="12">
        <f t="shared" si="184"/>
        <v>0</v>
      </c>
      <c r="AH693" s="24">
        <f t="shared" si="190"/>
        <v>0</v>
      </c>
      <c r="AI693" s="49" t="e">
        <f t="shared" si="180"/>
        <v>#VALUE!</v>
      </c>
      <c r="AK693" s="50" t="e">
        <f t="shared" si="185"/>
        <v>#VALUE!</v>
      </c>
    </row>
    <row r="694" spans="1:37" x14ac:dyDescent="0.4">
      <c r="A694" s="2">
        <v>1847</v>
      </c>
      <c r="B694" s="16"/>
      <c r="C694" s="22">
        <f t="shared" si="182"/>
        <v>0</v>
      </c>
      <c r="D694" s="23">
        <f t="shared" si="186"/>
        <v>0</v>
      </c>
      <c r="E694" s="14"/>
      <c r="F694" s="12">
        <f t="shared" si="183"/>
        <v>0</v>
      </c>
      <c r="G694" s="24">
        <f t="shared" si="187"/>
        <v>0</v>
      </c>
      <c r="H694" s="14"/>
      <c r="I694" s="14"/>
      <c r="J694" s="29"/>
      <c r="K694" s="30"/>
      <c r="M694" s="17"/>
      <c r="N694" s="7" t="str">
        <f t="shared" si="175"/>
        <v/>
      </c>
      <c r="O694" s="5"/>
      <c r="P694" s="3"/>
      <c r="Q694" s="5"/>
      <c r="R694" s="7" t="str">
        <f t="shared" si="176"/>
        <v/>
      </c>
      <c r="S694" s="5"/>
      <c r="U694" s="10"/>
      <c r="V694" s="11" t="str">
        <f t="shared" si="177"/>
        <v/>
      </c>
      <c r="W694" s="6"/>
      <c r="Y694" s="10"/>
      <c r="Z694" s="11" t="str">
        <f t="shared" si="178"/>
        <v/>
      </c>
      <c r="AA694" s="6"/>
      <c r="AB694" s="1">
        <v>1.2</v>
      </c>
      <c r="AC694" s="21" t="str">
        <f t="shared" si="188"/>
        <v/>
      </c>
      <c r="AD694" s="27" t="str">
        <f t="shared" si="181"/>
        <v/>
      </c>
      <c r="AE694" s="27" t="str">
        <f t="shared" si="179"/>
        <v/>
      </c>
      <c r="AF694" s="14">
        <f t="shared" si="189"/>
        <v>0</v>
      </c>
      <c r="AG694" s="12">
        <f t="shared" si="184"/>
        <v>0</v>
      </c>
      <c r="AH694" s="24">
        <f t="shared" si="190"/>
        <v>0</v>
      </c>
      <c r="AI694" s="49" t="e">
        <f t="shared" si="180"/>
        <v>#VALUE!</v>
      </c>
      <c r="AK694" s="50" t="e">
        <f t="shared" si="185"/>
        <v>#VALUE!</v>
      </c>
    </row>
    <row r="695" spans="1:37" x14ac:dyDescent="0.4">
      <c r="A695" s="2">
        <v>1848</v>
      </c>
      <c r="B695" s="16"/>
      <c r="C695" s="22">
        <f t="shared" si="182"/>
        <v>0</v>
      </c>
      <c r="D695" s="23">
        <f t="shared" si="186"/>
        <v>0</v>
      </c>
      <c r="E695" s="14"/>
      <c r="F695" s="12">
        <f t="shared" si="183"/>
        <v>0</v>
      </c>
      <c r="G695" s="24">
        <f t="shared" si="187"/>
        <v>0</v>
      </c>
      <c r="H695" s="14"/>
      <c r="I695" s="14"/>
      <c r="J695" s="29"/>
      <c r="K695" s="30"/>
      <c r="M695" s="17"/>
      <c r="N695" s="7" t="str">
        <f t="shared" si="175"/>
        <v/>
      </c>
      <c r="O695" s="5"/>
      <c r="P695" s="3"/>
      <c r="Q695" s="5"/>
      <c r="R695" s="7" t="str">
        <f t="shared" si="176"/>
        <v/>
      </c>
      <c r="S695" s="5"/>
      <c r="U695" s="10"/>
      <c r="V695" s="11" t="str">
        <f t="shared" si="177"/>
        <v/>
      </c>
      <c r="W695" s="6"/>
      <c r="Y695" s="10"/>
      <c r="Z695" s="11" t="str">
        <f t="shared" si="178"/>
        <v/>
      </c>
      <c r="AA695" s="6"/>
      <c r="AB695" s="1">
        <v>1.2</v>
      </c>
      <c r="AC695" s="21" t="str">
        <f t="shared" si="188"/>
        <v/>
      </c>
      <c r="AD695" s="27" t="str">
        <f t="shared" si="181"/>
        <v/>
      </c>
      <c r="AE695" s="27" t="str">
        <f t="shared" si="179"/>
        <v/>
      </c>
      <c r="AF695" s="14">
        <f t="shared" si="189"/>
        <v>0</v>
      </c>
      <c r="AG695" s="12">
        <f t="shared" si="184"/>
        <v>0</v>
      </c>
      <c r="AH695" s="24">
        <f t="shared" si="190"/>
        <v>0</v>
      </c>
      <c r="AI695" s="49" t="e">
        <f t="shared" si="180"/>
        <v>#VALUE!</v>
      </c>
      <c r="AK695" s="50" t="e">
        <f t="shared" si="185"/>
        <v>#VALUE!</v>
      </c>
    </row>
    <row r="696" spans="1:37" x14ac:dyDescent="0.4">
      <c r="A696" s="2">
        <v>1849</v>
      </c>
      <c r="B696" s="16"/>
      <c r="C696" s="22">
        <f t="shared" si="182"/>
        <v>0</v>
      </c>
      <c r="D696" s="23">
        <f t="shared" si="186"/>
        <v>0</v>
      </c>
      <c r="E696" s="14"/>
      <c r="F696" s="12">
        <f t="shared" si="183"/>
        <v>0</v>
      </c>
      <c r="G696" s="24">
        <f t="shared" si="187"/>
        <v>0</v>
      </c>
      <c r="H696" s="14"/>
      <c r="I696" s="14"/>
      <c r="J696" s="29"/>
      <c r="K696" s="30"/>
      <c r="M696" s="17"/>
      <c r="N696" s="7" t="str">
        <f t="shared" si="175"/>
        <v/>
      </c>
      <c r="O696" s="5"/>
      <c r="P696" s="3"/>
      <c r="Q696" s="5"/>
      <c r="R696" s="7" t="str">
        <f t="shared" si="176"/>
        <v/>
      </c>
      <c r="S696" s="5"/>
      <c r="U696" s="10"/>
      <c r="V696" s="11" t="str">
        <f t="shared" si="177"/>
        <v/>
      </c>
      <c r="W696" s="6"/>
      <c r="Y696" s="10"/>
      <c r="Z696" s="11" t="str">
        <f t="shared" si="178"/>
        <v/>
      </c>
      <c r="AA696" s="6"/>
      <c r="AB696" s="1">
        <v>1.2</v>
      </c>
      <c r="AC696" s="21" t="str">
        <f t="shared" si="188"/>
        <v/>
      </c>
      <c r="AD696" s="27" t="str">
        <f t="shared" si="181"/>
        <v/>
      </c>
      <c r="AE696" s="27" t="str">
        <f t="shared" si="179"/>
        <v/>
      </c>
      <c r="AF696" s="14">
        <f t="shared" si="189"/>
        <v>0</v>
      </c>
      <c r="AG696" s="12">
        <f t="shared" si="184"/>
        <v>0</v>
      </c>
      <c r="AH696" s="24">
        <f t="shared" si="190"/>
        <v>0</v>
      </c>
      <c r="AI696" s="49" t="e">
        <f t="shared" si="180"/>
        <v>#VALUE!</v>
      </c>
      <c r="AK696" s="50" t="e">
        <f t="shared" si="185"/>
        <v>#VALUE!</v>
      </c>
    </row>
    <row r="697" spans="1:37" x14ac:dyDescent="0.4">
      <c r="A697" s="2">
        <v>1850</v>
      </c>
      <c r="B697" s="16"/>
      <c r="C697" s="22">
        <f t="shared" si="182"/>
        <v>0</v>
      </c>
      <c r="D697" s="23">
        <f t="shared" si="186"/>
        <v>0</v>
      </c>
      <c r="E697" s="14"/>
      <c r="F697" s="12">
        <f t="shared" si="183"/>
        <v>0</v>
      </c>
      <c r="G697" s="24">
        <f t="shared" si="187"/>
        <v>0</v>
      </c>
      <c r="H697" s="14"/>
      <c r="I697" s="14"/>
      <c r="J697" s="29"/>
      <c r="K697" s="30"/>
      <c r="M697" s="17"/>
      <c r="N697" s="7" t="str">
        <f t="shared" si="175"/>
        <v/>
      </c>
      <c r="O697" s="5"/>
      <c r="P697" s="3"/>
      <c r="Q697" s="5"/>
      <c r="R697" s="7" t="str">
        <f t="shared" si="176"/>
        <v/>
      </c>
      <c r="S697" s="5"/>
      <c r="U697" s="10"/>
      <c r="V697" s="11" t="str">
        <f t="shared" si="177"/>
        <v/>
      </c>
      <c r="W697" s="6"/>
      <c r="Y697" s="10"/>
      <c r="Z697" s="11" t="str">
        <f t="shared" si="178"/>
        <v/>
      </c>
      <c r="AA697" s="6"/>
      <c r="AB697" s="1">
        <v>1.2</v>
      </c>
      <c r="AC697" s="21" t="str">
        <f t="shared" si="188"/>
        <v/>
      </c>
      <c r="AD697" s="27" t="str">
        <f t="shared" si="181"/>
        <v/>
      </c>
      <c r="AE697" s="27" t="str">
        <f t="shared" si="179"/>
        <v/>
      </c>
      <c r="AF697" s="14">
        <f t="shared" si="189"/>
        <v>0</v>
      </c>
      <c r="AG697" s="12">
        <f t="shared" si="184"/>
        <v>0</v>
      </c>
      <c r="AH697" s="24">
        <f t="shared" si="190"/>
        <v>0</v>
      </c>
      <c r="AI697" s="49" t="e">
        <f t="shared" si="180"/>
        <v>#VALUE!</v>
      </c>
      <c r="AK697" s="50" t="e">
        <f t="shared" si="185"/>
        <v>#VALUE!</v>
      </c>
    </row>
    <row r="698" spans="1:37" x14ac:dyDescent="0.4">
      <c r="A698" s="2">
        <v>1851</v>
      </c>
      <c r="B698" s="16"/>
      <c r="C698" s="22">
        <f t="shared" si="182"/>
        <v>0</v>
      </c>
      <c r="D698" s="23">
        <f t="shared" si="186"/>
        <v>0</v>
      </c>
      <c r="E698" s="14"/>
      <c r="F698" s="12">
        <f t="shared" si="183"/>
        <v>0</v>
      </c>
      <c r="G698" s="24">
        <f t="shared" si="187"/>
        <v>0</v>
      </c>
      <c r="H698" s="14"/>
      <c r="I698" s="14"/>
      <c r="J698" s="29"/>
      <c r="K698" s="30"/>
      <c r="M698" s="17"/>
      <c r="N698" s="7" t="str">
        <f t="shared" si="175"/>
        <v/>
      </c>
      <c r="O698" s="5"/>
      <c r="P698" s="3"/>
      <c r="Q698" s="5"/>
      <c r="R698" s="7" t="str">
        <f t="shared" si="176"/>
        <v/>
      </c>
      <c r="S698" s="5"/>
      <c r="U698" s="10"/>
      <c r="V698" s="11" t="str">
        <f t="shared" si="177"/>
        <v/>
      </c>
      <c r="W698" s="6"/>
      <c r="Y698" s="10"/>
      <c r="Z698" s="11" t="str">
        <f t="shared" si="178"/>
        <v/>
      </c>
      <c r="AA698" s="6"/>
      <c r="AB698" s="1">
        <v>1.2</v>
      </c>
      <c r="AC698" s="21" t="str">
        <f t="shared" si="188"/>
        <v/>
      </c>
      <c r="AD698" s="27" t="str">
        <f t="shared" si="181"/>
        <v/>
      </c>
      <c r="AE698" s="27" t="str">
        <f t="shared" si="179"/>
        <v/>
      </c>
      <c r="AF698" s="14">
        <f t="shared" si="189"/>
        <v>0</v>
      </c>
      <c r="AG698" s="12">
        <f t="shared" si="184"/>
        <v>0</v>
      </c>
      <c r="AH698" s="24">
        <f t="shared" si="190"/>
        <v>0</v>
      </c>
      <c r="AI698" s="49" t="e">
        <f t="shared" si="180"/>
        <v>#VALUE!</v>
      </c>
      <c r="AK698" s="50" t="e">
        <f t="shared" si="185"/>
        <v>#VALUE!</v>
      </c>
    </row>
    <row r="699" spans="1:37" x14ac:dyDescent="0.4">
      <c r="A699" s="2">
        <v>1852</v>
      </c>
      <c r="B699" s="16"/>
      <c r="C699" s="22">
        <f t="shared" si="182"/>
        <v>0</v>
      </c>
      <c r="D699" s="23">
        <f t="shared" si="186"/>
        <v>0</v>
      </c>
      <c r="E699" s="14"/>
      <c r="F699" s="12">
        <f t="shared" si="183"/>
        <v>0</v>
      </c>
      <c r="G699" s="24">
        <f t="shared" si="187"/>
        <v>0</v>
      </c>
      <c r="H699" s="14"/>
      <c r="I699" s="14"/>
      <c r="J699" s="29"/>
      <c r="K699" s="30"/>
      <c r="M699" s="17"/>
      <c r="N699" s="7" t="str">
        <f t="shared" si="175"/>
        <v/>
      </c>
      <c r="O699" s="5"/>
      <c r="P699" s="3"/>
      <c r="Q699" s="5"/>
      <c r="R699" s="7" t="str">
        <f t="shared" si="176"/>
        <v/>
      </c>
      <c r="S699" s="5"/>
      <c r="U699" s="10"/>
      <c r="V699" s="11" t="str">
        <f t="shared" si="177"/>
        <v/>
      </c>
      <c r="W699" s="6"/>
      <c r="Y699" s="10"/>
      <c r="Z699" s="11" t="str">
        <f t="shared" si="178"/>
        <v/>
      </c>
      <c r="AA699" s="6"/>
      <c r="AB699" s="1">
        <v>1.2</v>
      </c>
      <c r="AC699" s="21" t="str">
        <f t="shared" si="188"/>
        <v/>
      </c>
      <c r="AD699" s="27" t="str">
        <f t="shared" si="181"/>
        <v/>
      </c>
      <c r="AE699" s="27" t="str">
        <f t="shared" si="179"/>
        <v/>
      </c>
      <c r="AF699" s="14">
        <f t="shared" si="189"/>
        <v>0</v>
      </c>
      <c r="AG699" s="12">
        <f t="shared" si="184"/>
        <v>0</v>
      </c>
      <c r="AH699" s="24">
        <f t="shared" si="190"/>
        <v>0</v>
      </c>
      <c r="AI699" s="49" t="e">
        <f t="shared" si="180"/>
        <v>#VALUE!</v>
      </c>
      <c r="AK699" s="50" t="e">
        <f t="shared" si="185"/>
        <v>#VALUE!</v>
      </c>
    </row>
    <row r="700" spans="1:37" x14ac:dyDescent="0.4">
      <c r="A700" s="2">
        <v>1853</v>
      </c>
      <c r="B700" s="16"/>
      <c r="C700" s="22">
        <f t="shared" si="182"/>
        <v>0</v>
      </c>
      <c r="D700" s="23">
        <f t="shared" si="186"/>
        <v>0</v>
      </c>
      <c r="E700" s="14"/>
      <c r="F700" s="12">
        <f t="shared" si="183"/>
        <v>0</v>
      </c>
      <c r="G700" s="24">
        <f t="shared" si="187"/>
        <v>0</v>
      </c>
      <c r="H700" s="14"/>
      <c r="I700" s="14"/>
      <c r="J700" s="29"/>
      <c r="K700" s="30"/>
      <c r="M700" s="17"/>
      <c r="N700" s="7" t="str">
        <f t="shared" si="175"/>
        <v/>
      </c>
      <c r="O700" s="5"/>
      <c r="P700" s="3"/>
      <c r="Q700" s="5"/>
      <c r="R700" s="7" t="str">
        <f t="shared" si="176"/>
        <v/>
      </c>
      <c r="S700" s="5"/>
      <c r="U700" s="10"/>
      <c r="V700" s="11" t="str">
        <f t="shared" si="177"/>
        <v/>
      </c>
      <c r="W700" s="6"/>
      <c r="Y700" s="10"/>
      <c r="Z700" s="11" t="str">
        <f t="shared" si="178"/>
        <v/>
      </c>
      <c r="AA700" s="6"/>
      <c r="AB700" s="1">
        <v>1.2</v>
      </c>
      <c r="AC700" s="21" t="str">
        <f t="shared" si="188"/>
        <v/>
      </c>
      <c r="AD700" s="27" t="str">
        <f t="shared" si="181"/>
        <v/>
      </c>
      <c r="AE700" s="27" t="str">
        <f t="shared" si="179"/>
        <v/>
      </c>
      <c r="AF700" s="14">
        <f t="shared" si="189"/>
        <v>0</v>
      </c>
      <c r="AG700" s="12">
        <f t="shared" si="184"/>
        <v>0</v>
      </c>
      <c r="AH700" s="24">
        <f t="shared" si="190"/>
        <v>0</v>
      </c>
      <c r="AI700" s="49" t="e">
        <f t="shared" si="180"/>
        <v>#VALUE!</v>
      </c>
      <c r="AK700" s="50" t="e">
        <f t="shared" si="185"/>
        <v>#VALUE!</v>
      </c>
    </row>
    <row r="701" spans="1:37" x14ac:dyDescent="0.4">
      <c r="A701" s="2">
        <v>1854</v>
      </c>
      <c r="B701" s="16"/>
      <c r="C701" s="22">
        <f t="shared" si="182"/>
        <v>0</v>
      </c>
      <c r="D701" s="23">
        <f t="shared" si="186"/>
        <v>0</v>
      </c>
      <c r="E701" s="14"/>
      <c r="F701" s="12">
        <f t="shared" si="183"/>
        <v>0</v>
      </c>
      <c r="G701" s="24">
        <f t="shared" si="187"/>
        <v>0</v>
      </c>
      <c r="H701" s="14"/>
      <c r="I701" s="14"/>
      <c r="J701" s="29"/>
      <c r="K701" s="30"/>
      <c r="M701" s="17"/>
      <c r="N701" s="7" t="str">
        <f t="shared" si="175"/>
        <v/>
      </c>
      <c r="O701" s="5"/>
      <c r="P701" s="3"/>
      <c r="Q701" s="5"/>
      <c r="R701" s="7" t="str">
        <f t="shared" si="176"/>
        <v/>
      </c>
      <c r="S701" s="5"/>
      <c r="U701" s="10"/>
      <c r="V701" s="11" t="str">
        <f t="shared" si="177"/>
        <v/>
      </c>
      <c r="W701" s="6"/>
      <c r="Y701" s="10"/>
      <c r="Z701" s="11" t="str">
        <f t="shared" si="178"/>
        <v/>
      </c>
      <c r="AA701" s="6"/>
      <c r="AB701" s="1">
        <v>1.2</v>
      </c>
      <c r="AC701" s="21" t="str">
        <f t="shared" si="188"/>
        <v/>
      </c>
      <c r="AD701" s="27" t="str">
        <f t="shared" si="181"/>
        <v/>
      </c>
      <c r="AE701" s="27" t="str">
        <f t="shared" si="179"/>
        <v/>
      </c>
      <c r="AF701" s="14">
        <f t="shared" si="189"/>
        <v>0</v>
      </c>
      <c r="AG701" s="12">
        <f t="shared" si="184"/>
        <v>0</v>
      </c>
      <c r="AH701" s="24">
        <f t="shared" si="190"/>
        <v>0</v>
      </c>
      <c r="AI701" s="49" t="e">
        <f t="shared" si="180"/>
        <v>#VALUE!</v>
      </c>
      <c r="AK701" s="50" t="e">
        <f t="shared" si="185"/>
        <v>#VALUE!</v>
      </c>
    </row>
    <row r="702" spans="1:37" x14ac:dyDescent="0.4">
      <c r="A702" s="2">
        <v>1855</v>
      </c>
      <c r="B702" s="16"/>
      <c r="C702" s="22">
        <f t="shared" si="182"/>
        <v>0</v>
      </c>
      <c r="D702" s="23">
        <f t="shared" si="186"/>
        <v>0</v>
      </c>
      <c r="E702" s="14"/>
      <c r="F702" s="12">
        <f t="shared" si="183"/>
        <v>0</v>
      </c>
      <c r="G702" s="24">
        <f t="shared" si="187"/>
        <v>0</v>
      </c>
      <c r="H702" s="14"/>
      <c r="I702" s="14"/>
      <c r="J702" s="29"/>
      <c r="K702" s="30"/>
      <c r="M702" s="17"/>
      <c r="N702" s="7" t="str">
        <f t="shared" si="175"/>
        <v/>
      </c>
      <c r="O702" s="5"/>
      <c r="P702" s="3"/>
      <c r="Q702" s="5"/>
      <c r="R702" s="7" t="str">
        <f t="shared" si="176"/>
        <v/>
      </c>
      <c r="S702" s="5"/>
      <c r="U702" s="10"/>
      <c r="V702" s="11" t="str">
        <f t="shared" si="177"/>
        <v/>
      </c>
      <c r="W702" s="6"/>
      <c r="Y702" s="10"/>
      <c r="Z702" s="11" t="str">
        <f t="shared" si="178"/>
        <v/>
      </c>
      <c r="AA702" s="6"/>
      <c r="AB702" s="1">
        <v>1.2</v>
      </c>
      <c r="AC702" s="21" t="str">
        <f t="shared" si="188"/>
        <v/>
      </c>
      <c r="AD702" s="27" t="str">
        <f t="shared" si="181"/>
        <v/>
      </c>
      <c r="AE702" s="27" t="str">
        <f t="shared" si="179"/>
        <v/>
      </c>
      <c r="AF702" s="14">
        <f t="shared" si="189"/>
        <v>0</v>
      </c>
      <c r="AG702" s="12">
        <f t="shared" si="184"/>
        <v>0</v>
      </c>
      <c r="AH702" s="24">
        <f t="shared" si="190"/>
        <v>0</v>
      </c>
      <c r="AI702" s="49" t="e">
        <f t="shared" si="180"/>
        <v>#VALUE!</v>
      </c>
      <c r="AK702" s="50" t="e">
        <f t="shared" si="185"/>
        <v>#VALUE!</v>
      </c>
    </row>
    <row r="703" spans="1:37" x14ac:dyDescent="0.4">
      <c r="A703" s="2">
        <v>1856</v>
      </c>
      <c r="B703" s="16"/>
      <c r="C703" s="22">
        <f t="shared" si="182"/>
        <v>0</v>
      </c>
      <c r="D703" s="23">
        <f t="shared" si="186"/>
        <v>0</v>
      </c>
      <c r="E703" s="14"/>
      <c r="F703" s="12">
        <f t="shared" si="183"/>
        <v>0</v>
      </c>
      <c r="G703" s="24">
        <f t="shared" si="187"/>
        <v>0</v>
      </c>
      <c r="H703" s="14"/>
      <c r="I703" s="14"/>
      <c r="J703" s="29"/>
      <c r="K703" s="30"/>
      <c r="M703" s="17"/>
      <c r="N703" s="7" t="str">
        <f t="shared" si="175"/>
        <v/>
      </c>
      <c r="O703" s="5"/>
      <c r="P703" s="3"/>
      <c r="Q703" s="5"/>
      <c r="R703" s="7" t="str">
        <f t="shared" si="176"/>
        <v/>
      </c>
      <c r="S703" s="5"/>
      <c r="U703" s="10"/>
      <c r="V703" s="11" t="str">
        <f t="shared" si="177"/>
        <v/>
      </c>
      <c r="W703" s="6"/>
      <c r="Y703" s="10"/>
      <c r="Z703" s="11" t="str">
        <f t="shared" si="178"/>
        <v/>
      </c>
      <c r="AA703" s="6"/>
      <c r="AB703" s="1">
        <v>1.2</v>
      </c>
      <c r="AC703" s="21" t="str">
        <f t="shared" si="188"/>
        <v/>
      </c>
      <c r="AD703" s="27" t="str">
        <f t="shared" si="181"/>
        <v/>
      </c>
      <c r="AE703" s="27" t="str">
        <f t="shared" si="179"/>
        <v/>
      </c>
      <c r="AF703" s="14">
        <f t="shared" si="189"/>
        <v>0</v>
      </c>
      <c r="AG703" s="12">
        <f t="shared" si="184"/>
        <v>0</v>
      </c>
      <c r="AH703" s="24">
        <f t="shared" si="190"/>
        <v>0</v>
      </c>
      <c r="AI703" s="49" t="e">
        <f t="shared" si="180"/>
        <v>#VALUE!</v>
      </c>
      <c r="AK703" s="50" t="e">
        <f t="shared" si="185"/>
        <v>#VALUE!</v>
      </c>
    </row>
    <row r="704" spans="1:37" x14ac:dyDescent="0.4">
      <c r="A704" s="2">
        <v>1857</v>
      </c>
      <c r="B704" s="16"/>
      <c r="C704" s="22">
        <f t="shared" si="182"/>
        <v>0</v>
      </c>
      <c r="D704" s="23">
        <f t="shared" si="186"/>
        <v>0</v>
      </c>
      <c r="E704" s="14"/>
      <c r="F704" s="12">
        <f t="shared" si="183"/>
        <v>0</v>
      </c>
      <c r="G704" s="24">
        <f t="shared" si="187"/>
        <v>0</v>
      </c>
      <c r="H704" s="14"/>
      <c r="I704" s="14"/>
      <c r="J704" s="29"/>
      <c r="K704" s="30"/>
      <c r="M704" s="17"/>
      <c r="N704" s="7" t="str">
        <f t="shared" si="175"/>
        <v/>
      </c>
      <c r="O704" s="5"/>
      <c r="P704" s="3"/>
      <c r="Q704" s="5"/>
      <c r="R704" s="7" t="str">
        <f t="shared" si="176"/>
        <v/>
      </c>
      <c r="S704" s="5"/>
      <c r="U704" s="10"/>
      <c r="V704" s="11" t="str">
        <f t="shared" si="177"/>
        <v/>
      </c>
      <c r="W704" s="6"/>
      <c r="Y704" s="10"/>
      <c r="Z704" s="11" t="str">
        <f t="shared" si="178"/>
        <v/>
      </c>
      <c r="AA704" s="6"/>
      <c r="AB704" s="1">
        <v>1.2</v>
      </c>
      <c r="AC704" s="21" t="str">
        <f t="shared" si="188"/>
        <v/>
      </c>
      <c r="AD704" s="27" t="str">
        <f t="shared" si="181"/>
        <v/>
      </c>
      <c r="AE704" s="27" t="str">
        <f t="shared" si="179"/>
        <v/>
      </c>
      <c r="AF704" s="14">
        <f t="shared" si="189"/>
        <v>0</v>
      </c>
      <c r="AG704" s="12">
        <f t="shared" si="184"/>
        <v>0</v>
      </c>
      <c r="AH704" s="24">
        <f t="shared" si="190"/>
        <v>0</v>
      </c>
      <c r="AI704" s="49" t="e">
        <f t="shared" si="180"/>
        <v>#VALUE!</v>
      </c>
      <c r="AK704" s="50" t="e">
        <f t="shared" si="185"/>
        <v>#VALUE!</v>
      </c>
    </row>
    <row r="705" spans="1:37" x14ac:dyDescent="0.4">
      <c r="A705" s="2">
        <v>1858</v>
      </c>
      <c r="B705" s="16"/>
      <c r="C705" s="22">
        <f t="shared" si="182"/>
        <v>0</v>
      </c>
      <c r="D705" s="23">
        <f t="shared" si="186"/>
        <v>0</v>
      </c>
      <c r="E705" s="14"/>
      <c r="F705" s="12">
        <f t="shared" si="183"/>
        <v>0</v>
      </c>
      <c r="G705" s="24">
        <f t="shared" si="187"/>
        <v>0</v>
      </c>
      <c r="H705" s="14"/>
      <c r="I705" s="14"/>
      <c r="J705" s="29"/>
      <c r="K705" s="30"/>
      <c r="M705" s="17"/>
      <c r="N705" s="7" t="str">
        <f t="shared" si="175"/>
        <v/>
      </c>
      <c r="O705" s="5"/>
      <c r="P705" s="3"/>
      <c r="Q705" s="5"/>
      <c r="R705" s="7" t="str">
        <f t="shared" si="176"/>
        <v/>
      </c>
      <c r="S705" s="5"/>
      <c r="U705" s="10"/>
      <c r="V705" s="11" t="str">
        <f t="shared" si="177"/>
        <v/>
      </c>
      <c r="W705" s="6"/>
      <c r="Y705" s="10"/>
      <c r="Z705" s="11" t="str">
        <f t="shared" si="178"/>
        <v/>
      </c>
      <c r="AA705" s="6"/>
      <c r="AB705" s="1">
        <v>1.2</v>
      </c>
      <c r="AC705" s="21" t="str">
        <f t="shared" si="188"/>
        <v/>
      </c>
      <c r="AD705" s="27" t="str">
        <f t="shared" si="181"/>
        <v/>
      </c>
      <c r="AE705" s="27" t="str">
        <f t="shared" si="179"/>
        <v/>
      </c>
      <c r="AF705" s="14">
        <f t="shared" si="189"/>
        <v>0</v>
      </c>
      <c r="AG705" s="12">
        <f t="shared" si="184"/>
        <v>0</v>
      </c>
      <c r="AH705" s="24">
        <f t="shared" si="190"/>
        <v>0</v>
      </c>
      <c r="AI705" s="49" t="e">
        <f t="shared" si="180"/>
        <v>#VALUE!</v>
      </c>
      <c r="AK705" s="50" t="e">
        <f t="shared" si="185"/>
        <v>#VALUE!</v>
      </c>
    </row>
    <row r="706" spans="1:37" x14ac:dyDescent="0.4">
      <c r="A706" s="2">
        <v>1859</v>
      </c>
      <c r="B706" s="16"/>
      <c r="C706" s="22">
        <f t="shared" si="182"/>
        <v>0</v>
      </c>
      <c r="D706" s="23">
        <f t="shared" si="186"/>
        <v>0</v>
      </c>
      <c r="E706" s="14"/>
      <c r="F706" s="12">
        <f t="shared" si="183"/>
        <v>0</v>
      </c>
      <c r="G706" s="24">
        <f t="shared" si="187"/>
        <v>0</v>
      </c>
      <c r="H706" s="14"/>
      <c r="I706" s="14"/>
      <c r="J706" s="29"/>
      <c r="K706" s="30"/>
      <c r="M706" s="17"/>
      <c r="N706" s="7" t="str">
        <f t="shared" si="175"/>
        <v/>
      </c>
      <c r="O706" s="5"/>
      <c r="P706" s="3"/>
      <c r="Q706" s="5"/>
      <c r="R706" s="7" t="str">
        <f t="shared" si="176"/>
        <v/>
      </c>
      <c r="S706" s="5"/>
      <c r="U706" s="10"/>
      <c r="V706" s="11" t="str">
        <f t="shared" si="177"/>
        <v/>
      </c>
      <c r="W706" s="6"/>
      <c r="Y706" s="10"/>
      <c r="Z706" s="11" t="str">
        <f t="shared" si="178"/>
        <v/>
      </c>
      <c r="AA706" s="6"/>
      <c r="AB706" s="1">
        <v>1.2</v>
      </c>
      <c r="AC706" s="21" t="str">
        <f t="shared" si="188"/>
        <v/>
      </c>
      <c r="AD706" s="27" t="str">
        <f t="shared" si="181"/>
        <v/>
      </c>
      <c r="AE706" s="27" t="str">
        <f t="shared" si="179"/>
        <v/>
      </c>
      <c r="AF706" s="14">
        <f t="shared" si="189"/>
        <v>0</v>
      </c>
      <c r="AG706" s="12">
        <f t="shared" si="184"/>
        <v>0</v>
      </c>
      <c r="AH706" s="24">
        <f t="shared" si="190"/>
        <v>0</v>
      </c>
      <c r="AI706" s="49" t="e">
        <f t="shared" si="180"/>
        <v>#VALUE!</v>
      </c>
      <c r="AK706" s="50" t="e">
        <f t="shared" si="185"/>
        <v>#VALUE!</v>
      </c>
    </row>
    <row r="707" spans="1:37" x14ac:dyDescent="0.4">
      <c r="A707" s="2">
        <v>1860</v>
      </c>
      <c r="B707" s="16"/>
      <c r="C707" s="22">
        <f t="shared" si="182"/>
        <v>0</v>
      </c>
      <c r="D707" s="23">
        <f t="shared" si="186"/>
        <v>0</v>
      </c>
      <c r="E707" s="14"/>
      <c r="F707" s="12">
        <f t="shared" si="183"/>
        <v>0</v>
      </c>
      <c r="G707" s="24">
        <f t="shared" si="187"/>
        <v>0</v>
      </c>
      <c r="H707" s="14"/>
      <c r="I707" s="14"/>
      <c r="J707" s="29"/>
      <c r="K707" s="30"/>
      <c r="M707" s="17"/>
      <c r="N707" s="7" t="str">
        <f t="shared" si="175"/>
        <v/>
      </c>
      <c r="O707" s="5"/>
      <c r="P707" s="3"/>
      <c r="Q707" s="5"/>
      <c r="R707" s="7" t="str">
        <f t="shared" si="176"/>
        <v/>
      </c>
      <c r="S707" s="5"/>
      <c r="U707" s="10"/>
      <c r="V707" s="11" t="str">
        <f t="shared" si="177"/>
        <v/>
      </c>
      <c r="W707" s="6"/>
      <c r="Y707" s="10"/>
      <c r="Z707" s="11" t="str">
        <f t="shared" si="178"/>
        <v/>
      </c>
      <c r="AA707" s="6"/>
      <c r="AB707" s="1">
        <v>1.2</v>
      </c>
      <c r="AC707" s="21" t="str">
        <f t="shared" si="188"/>
        <v/>
      </c>
      <c r="AD707" s="27" t="str">
        <f t="shared" si="181"/>
        <v/>
      </c>
      <c r="AE707" s="27" t="str">
        <f t="shared" si="179"/>
        <v/>
      </c>
      <c r="AF707" s="14">
        <f t="shared" si="189"/>
        <v>0</v>
      </c>
      <c r="AG707" s="12">
        <f t="shared" si="184"/>
        <v>0</v>
      </c>
      <c r="AH707" s="24">
        <f t="shared" si="190"/>
        <v>0</v>
      </c>
      <c r="AI707" s="49" t="e">
        <f t="shared" si="180"/>
        <v>#VALUE!</v>
      </c>
      <c r="AK707" s="50" t="e">
        <f t="shared" si="185"/>
        <v>#VALUE!</v>
      </c>
    </row>
    <row r="708" spans="1:37" x14ac:dyDescent="0.4">
      <c r="A708" s="2">
        <v>1861</v>
      </c>
      <c r="B708" s="16"/>
      <c r="C708" s="22">
        <f t="shared" si="182"/>
        <v>0</v>
      </c>
      <c r="D708" s="23">
        <f t="shared" si="186"/>
        <v>0</v>
      </c>
      <c r="E708" s="14"/>
      <c r="F708" s="12">
        <f t="shared" si="183"/>
        <v>0</v>
      </c>
      <c r="G708" s="24">
        <f t="shared" si="187"/>
        <v>0</v>
      </c>
      <c r="H708" s="14"/>
      <c r="I708" s="14"/>
      <c r="J708" s="29"/>
      <c r="K708" s="30"/>
      <c r="M708" s="17"/>
      <c r="N708" s="7" t="str">
        <f t="shared" si="175"/>
        <v/>
      </c>
      <c r="O708" s="5"/>
      <c r="P708" s="3"/>
      <c r="Q708" s="5"/>
      <c r="R708" s="7" t="str">
        <f t="shared" si="176"/>
        <v/>
      </c>
      <c r="S708" s="5"/>
      <c r="U708" s="10"/>
      <c r="V708" s="11" t="str">
        <f t="shared" si="177"/>
        <v/>
      </c>
      <c r="W708" s="6"/>
      <c r="Y708" s="10"/>
      <c r="Z708" s="11" t="str">
        <f t="shared" si="178"/>
        <v/>
      </c>
      <c r="AA708" s="6"/>
      <c r="AB708" s="1">
        <v>1.2</v>
      </c>
      <c r="AC708" s="21" t="str">
        <f t="shared" si="188"/>
        <v/>
      </c>
      <c r="AD708" s="27" t="str">
        <f t="shared" si="181"/>
        <v/>
      </c>
      <c r="AE708" s="27" t="str">
        <f t="shared" si="179"/>
        <v/>
      </c>
      <c r="AF708" s="14">
        <f t="shared" si="189"/>
        <v>0</v>
      </c>
      <c r="AG708" s="12">
        <f t="shared" si="184"/>
        <v>0</v>
      </c>
      <c r="AH708" s="24">
        <f t="shared" si="190"/>
        <v>0</v>
      </c>
      <c r="AI708" s="49" t="e">
        <f t="shared" si="180"/>
        <v>#VALUE!</v>
      </c>
      <c r="AK708" s="50" t="e">
        <f t="shared" si="185"/>
        <v>#VALUE!</v>
      </c>
    </row>
    <row r="709" spans="1:37" x14ac:dyDescent="0.4">
      <c r="A709" s="2">
        <v>1862</v>
      </c>
      <c r="B709" s="16"/>
      <c r="C709" s="22">
        <f t="shared" si="182"/>
        <v>0</v>
      </c>
      <c r="D709" s="23">
        <f t="shared" si="186"/>
        <v>0</v>
      </c>
      <c r="E709" s="14"/>
      <c r="F709" s="12">
        <f t="shared" si="183"/>
        <v>0</v>
      </c>
      <c r="G709" s="24">
        <f t="shared" si="187"/>
        <v>0</v>
      </c>
      <c r="H709" s="14"/>
      <c r="I709" s="14"/>
      <c r="J709" s="29"/>
      <c r="K709" s="30"/>
      <c r="M709" s="17"/>
      <c r="N709" s="7" t="str">
        <f t="shared" si="175"/>
        <v/>
      </c>
      <c r="O709" s="5"/>
      <c r="P709" s="3"/>
      <c r="Q709" s="5"/>
      <c r="R709" s="7" t="str">
        <f t="shared" si="176"/>
        <v/>
      </c>
      <c r="S709" s="5"/>
      <c r="U709" s="10"/>
      <c r="V709" s="11" t="str">
        <f t="shared" si="177"/>
        <v/>
      </c>
      <c r="W709" s="6"/>
      <c r="Y709" s="10"/>
      <c r="Z709" s="11" t="str">
        <f t="shared" si="178"/>
        <v/>
      </c>
      <c r="AA709" s="6"/>
      <c r="AB709" s="1">
        <v>1.2</v>
      </c>
      <c r="AC709" s="21" t="str">
        <f t="shared" si="188"/>
        <v/>
      </c>
      <c r="AD709" s="27" t="str">
        <f t="shared" si="181"/>
        <v/>
      </c>
      <c r="AE709" s="27" t="str">
        <f t="shared" si="179"/>
        <v/>
      </c>
      <c r="AF709" s="14">
        <f t="shared" si="189"/>
        <v>0</v>
      </c>
      <c r="AG709" s="12">
        <f t="shared" si="184"/>
        <v>0</v>
      </c>
      <c r="AH709" s="24">
        <f t="shared" si="190"/>
        <v>0</v>
      </c>
      <c r="AI709" s="49" t="e">
        <f t="shared" si="180"/>
        <v>#VALUE!</v>
      </c>
      <c r="AK709" s="50" t="e">
        <f t="shared" si="185"/>
        <v>#VALUE!</v>
      </c>
    </row>
    <row r="710" spans="1:37" x14ac:dyDescent="0.4">
      <c r="A710" s="2">
        <v>1863</v>
      </c>
      <c r="B710" s="16"/>
      <c r="C710" s="22">
        <f t="shared" si="182"/>
        <v>0</v>
      </c>
      <c r="D710" s="23">
        <f t="shared" si="186"/>
        <v>0</v>
      </c>
      <c r="E710" s="14"/>
      <c r="F710" s="12">
        <f t="shared" si="183"/>
        <v>0</v>
      </c>
      <c r="G710" s="24">
        <f t="shared" si="187"/>
        <v>0</v>
      </c>
      <c r="H710" s="14"/>
      <c r="I710" s="14"/>
      <c r="J710" s="29"/>
      <c r="K710" s="30"/>
      <c r="M710" s="17"/>
      <c r="N710" s="7" t="str">
        <f t="shared" si="175"/>
        <v/>
      </c>
      <c r="O710" s="5"/>
      <c r="P710" s="3"/>
      <c r="Q710" s="5"/>
      <c r="R710" s="7" t="str">
        <f t="shared" si="176"/>
        <v/>
      </c>
      <c r="S710" s="5"/>
      <c r="U710" s="10"/>
      <c r="V710" s="11" t="str">
        <f t="shared" si="177"/>
        <v/>
      </c>
      <c r="W710" s="6"/>
      <c r="Y710" s="10"/>
      <c r="Z710" s="11" t="str">
        <f t="shared" si="178"/>
        <v/>
      </c>
      <c r="AA710" s="6"/>
      <c r="AB710" s="1">
        <v>1.2</v>
      </c>
      <c r="AC710" s="21" t="str">
        <f t="shared" si="188"/>
        <v/>
      </c>
      <c r="AD710" s="27" t="str">
        <f t="shared" si="181"/>
        <v/>
      </c>
      <c r="AE710" s="27" t="str">
        <f t="shared" si="179"/>
        <v/>
      </c>
      <c r="AF710" s="14">
        <f t="shared" si="189"/>
        <v>0</v>
      </c>
      <c r="AG710" s="12">
        <f t="shared" si="184"/>
        <v>0</v>
      </c>
      <c r="AH710" s="24">
        <f t="shared" si="190"/>
        <v>0</v>
      </c>
      <c r="AI710" s="49" t="e">
        <f t="shared" si="180"/>
        <v>#VALUE!</v>
      </c>
      <c r="AK710" s="50" t="e">
        <f t="shared" si="185"/>
        <v>#VALUE!</v>
      </c>
    </row>
    <row r="711" spans="1:37" x14ac:dyDescent="0.4">
      <c r="A711" s="2">
        <v>1864</v>
      </c>
      <c r="B711" s="16"/>
      <c r="C711" s="22">
        <f t="shared" si="182"/>
        <v>0</v>
      </c>
      <c r="D711" s="23">
        <f t="shared" si="186"/>
        <v>0</v>
      </c>
      <c r="E711" s="14"/>
      <c r="F711" s="12">
        <f t="shared" si="183"/>
        <v>0</v>
      </c>
      <c r="G711" s="24">
        <f t="shared" si="187"/>
        <v>0</v>
      </c>
      <c r="H711" s="14"/>
      <c r="I711" s="14"/>
      <c r="J711" s="29"/>
      <c r="K711" s="30"/>
      <c r="M711" s="17"/>
      <c r="N711" s="7" t="str">
        <f t="shared" si="175"/>
        <v/>
      </c>
      <c r="O711" s="5"/>
      <c r="P711" s="3"/>
      <c r="Q711" s="5"/>
      <c r="R711" s="7" t="str">
        <f t="shared" si="176"/>
        <v/>
      </c>
      <c r="S711" s="5"/>
      <c r="U711" s="10"/>
      <c r="V711" s="11" t="str">
        <f t="shared" si="177"/>
        <v/>
      </c>
      <c r="W711" s="6"/>
      <c r="Y711" s="10"/>
      <c r="Z711" s="11" t="str">
        <f t="shared" si="178"/>
        <v/>
      </c>
      <c r="AA711" s="6"/>
      <c r="AB711" s="1">
        <v>1.2</v>
      </c>
      <c r="AC711" s="21" t="str">
        <f t="shared" si="188"/>
        <v/>
      </c>
      <c r="AD711" s="27" t="str">
        <f t="shared" si="181"/>
        <v/>
      </c>
      <c r="AE711" s="27" t="str">
        <f t="shared" si="179"/>
        <v/>
      </c>
      <c r="AF711" s="14">
        <f t="shared" si="189"/>
        <v>0</v>
      </c>
      <c r="AG711" s="12">
        <f t="shared" si="184"/>
        <v>0</v>
      </c>
      <c r="AH711" s="24">
        <f t="shared" si="190"/>
        <v>0</v>
      </c>
      <c r="AI711" s="49" t="e">
        <f t="shared" si="180"/>
        <v>#VALUE!</v>
      </c>
      <c r="AK711" s="50" t="e">
        <f t="shared" si="185"/>
        <v>#VALUE!</v>
      </c>
    </row>
    <row r="712" spans="1:37" x14ac:dyDescent="0.4">
      <c r="A712" s="2">
        <v>1865</v>
      </c>
      <c r="B712" s="16"/>
      <c r="C712" s="22">
        <f t="shared" si="182"/>
        <v>0</v>
      </c>
      <c r="D712" s="23">
        <f t="shared" si="186"/>
        <v>0</v>
      </c>
      <c r="E712" s="14"/>
      <c r="F712" s="12">
        <f t="shared" si="183"/>
        <v>0</v>
      </c>
      <c r="G712" s="24">
        <f t="shared" si="187"/>
        <v>0</v>
      </c>
      <c r="H712" s="14"/>
      <c r="I712" s="14"/>
      <c r="J712" s="29"/>
      <c r="K712" s="30"/>
      <c r="M712" s="17"/>
      <c r="N712" s="7" t="str">
        <f t="shared" ref="N712:N775" si="191">IF(M712="","",M712*AB712)</f>
        <v/>
      </c>
      <c r="O712" s="5"/>
      <c r="P712" s="3"/>
      <c r="Q712" s="5"/>
      <c r="R712" s="7" t="str">
        <f t="shared" ref="R712:R775" si="192">IF(Q712="","",Q712*AB712)</f>
        <v/>
      </c>
      <c r="S712" s="5"/>
      <c r="U712" s="10"/>
      <c r="V712" s="11" t="str">
        <f t="shared" ref="V712:V775" si="193">IF(U712="","",U712*AB712)</f>
        <v/>
      </c>
      <c r="W712" s="6"/>
      <c r="Y712" s="10"/>
      <c r="Z712" s="11" t="str">
        <f t="shared" ref="Z712:Z775" si="194">IF(Y712="","",Y712*AB712)</f>
        <v/>
      </c>
      <c r="AA712" s="6"/>
      <c r="AB712" s="1">
        <v>1.2</v>
      </c>
      <c r="AC712" s="21" t="str">
        <f t="shared" si="188"/>
        <v/>
      </c>
      <c r="AD712" s="27" t="str">
        <f t="shared" si="181"/>
        <v/>
      </c>
      <c r="AE712" s="27" t="str">
        <f t="shared" si="179"/>
        <v/>
      </c>
      <c r="AF712" s="14">
        <f t="shared" si="189"/>
        <v>0</v>
      </c>
      <c r="AG712" s="12">
        <f t="shared" si="184"/>
        <v>0</v>
      </c>
      <c r="AH712" s="24">
        <f t="shared" si="190"/>
        <v>0</v>
      </c>
      <c r="AI712" s="49" t="e">
        <f t="shared" si="180"/>
        <v>#VALUE!</v>
      </c>
      <c r="AK712" s="50" t="e">
        <f t="shared" si="185"/>
        <v>#VALUE!</v>
      </c>
    </row>
    <row r="713" spans="1:37" x14ac:dyDescent="0.4">
      <c r="A713" s="2">
        <v>1866</v>
      </c>
      <c r="B713" s="16"/>
      <c r="C713" s="22">
        <f t="shared" si="182"/>
        <v>0</v>
      </c>
      <c r="D713" s="23">
        <f t="shared" si="186"/>
        <v>0</v>
      </c>
      <c r="E713" s="14"/>
      <c r="F713" s="12">
        <f t="shared" si="183"/>
        <v>0</v>
      </c>
      <c r="G713" s="24">
        <f t="shared" si="187"/>
        <v>0</v>
      </c>
      <c r="H713" s="14"/>
      <c r="I713" s="14"/>
      <c r="J713" s="29"/>
      <c r="K713" s="30"/>
      <c r="M713" s="17"/>
      <c r="N713" s="7" t="str">
        <f t="shared" si="191"/>
        <v/>
      </c>
      <c r="O713" s="5"/>
      <c r="P713" s="3"/>
      <c r="Q713" s="5"/>
      <c r="R713" s="7" t="str">
        <f t="shared" si="192"/>
        <v/>
      </c>
      <c r="S713" s="5"/>
      <c r="U713" s="10"/>
      <c r="V713" s="11" t="str">
        <f t="shared" si="193"/>
        <v/>
      </c>
      <c r="W713" s="6"/>
      <c r="Y713" s="10"/>
      <c r="Z713" s="11" t="str">
        <f t="shared" si="194"/>
        <v/>
      </c>
      <c r="AA713" s="6"/>
      <c r="AB713" s="1">
        <v>1.2</v>
      </c>
      <c r="AC713" s="21" t="str">
        <f t="shared" si="188"/>
        <v/>
      </c>
      <c r="AD713" s="27" t="str">
        <f t="shared" si="181"/>
        <v/>
      </c>
      <c r="AE713" s="27" t="str">
        <f t="shared" si="179"/>
        <v/>
      </c>
      <c r="AF713" s="14">
        <f t="shared" si="189"/>
        <v>0</v>
      </c>
      <c r="AG713" s="12">
        <f t="shared" si="184"/>
        <v>0</v>
      </c>
      <c r="AH713" s="24">
        <f t="shared" si="190"/>
        <v>0</v>
      </c>
      <c r="AI713" s="49" t="e">
        <f t="shared" si="180"/>
        <v>#VALUE!</v>
      </c>
      <c r="AK713" s="50" t="e">
        <f t="shared" si="185"/>
        <v>#VALUE!</v>
      </c>
    </row>
    <row r="714" spans="1:37" x14ac:dyDescent="0.4">
      <c r="A714" s="2">
        <v>1867</v>
      </c>
      <c r="B714" s="16"/>
      <c r="C714" s="22">
        <f t="shared" si="182"/>
        <v>0</v>
      </c>
      <c r="D714" s="23">
        <f t="shared" si="186"/>
        <v>0</v>
      </c>
      <c r="E714" s="14"/>
      <c r="F714" s="12">
        <f t="shared" si="183"/>
        <v>0</v>
      </c>
      <c r="G714" s="24">
        <f t="shared" si="187"/>
        <v>0</v>
      </c>
      <c r="H714" s="14"/>
      <c r="I714" s="14"/>
      <c r="J714" s="29"/>
      <c r="K714" s="30"/>
      <c r="M714" s="17"/>
      <c r="N714" s="7" t="str">
        <f t="shared" si="191"/>
        <v/>
      </c>
      <c r="O714" s="5"/>
      <c r="P714" s="3"/>
      <c r="Q714" s="5"/>
      <c r="R714" s="7" t="str">
        <f t="shared" si="192"/>
        <v/>
      </c>
      <c r="S714" s="5"/>
      <c r="U714" s="10"/>
      <c r="V714" s="11" t="str">
        <f t="shared" si="193"/>
        <v/>
      </c>
      <c r="W714" s="6"/>
      <c r="Y714" s="10"/>
      <c r="Z714" s="11" t="str">
        <f t="shared" si="194"/>
        <v/>
      </c>
      <c r="AA714" s="6"/>
      <c r="AB714" s="1">
        <v>1.2</v>
      </c>
      <c r="AC714" s="21" t="str">
        <f t="shared" si="188"/>
        <v/>
      </c>
      <c r="AD714" s="27" t="str">
        <f t="shared" si="181"/>
        <v/>
      </c>
      <c r="AE714" s="27" t="str">
        <f t="shared" si="179"/>
        <v/>
      </c>
      <c r="AF714" s="14">
        <f t="shared" si="189"/>
        <v>0</v>
      </c>
      <c r="AG714" s="12">
        <f t="shared" si="184"/>
        <v>0</v>
      </c>
      <c r="AH714" s="24">
        <f t="shared" si="190"/>
        <v>0</v>
      </c>
      <c r="AI714" s="49" t="e">
        <f t="shared" si="180"/>
        <v>#VALUE!</v>
      </c>
      <c r="AK714" s="50" t="e">
        <f t="shared" si="185"/>
        <v>#VALUE!</v>
      </c>
    </row>
    <row r="715" spans="1:37" x14ac:dyDescent="0.4">
      <c r="A715" s="2">
        <v>1868</v>
      </c>
      <c r="B715" s="16"/>
      <c r="C715" s="22">
        <f t="shared" si="182"/>
        <v>0</v>
      </c>
      <c r="D715" s="23">
        <f t="shared" si="186"/>
        <v>0</v>
      </c>
      <c r="E715" s="14"/>
      <c r="F715" s="12">
        <f t="shared" si="183"/>
        <v>0</v>
      </c>
      <c r="G715" s="24">
        <f t="shared" si="187"/>
        <v>0</v>
      </c>
      <c r="H715" s="14"/>
      <c r="I715" s="14"/>
      <c r="J715" s="29"/>
      <c r="K715" s="30"/>
      <c r="M715" s="17"/>
      <c r="N715" s="7" t="str">
        <f t="shared" si="191"/>
        <v/>
      </c>
      <c r="O715" s="5"/>
      <c r="P715" s="3"/>
      <c r="Q715" s="5"/>
      <c r="R715" s="7" t="str">
        <f t="shared" si="192"/>
        <v/>
      </c>
      <c r="S715" s="5"/>
      <c r="U715" s="10"/>
      <c r="V715" s="11" t="str">
        <f t="shared" si="193"/>
        <v/>
      </c>
      <c r="W715" s="6"/>
      <c r="Y715" s="10"/>
      <c r="Z715" s="11" t="str">
        <f t="shared" si="194"/>
        <v/>
      </c>
      <c r="AA715" s="6"/>
      <c r="AB715" s="1">
        <v>1.2</v>
      </c>
      <c r="AC715" s="21" t="str">
        <f t="shared" si="188"/>
        <v/>
      </c>
      <c r="AD715" s="27" t="str">
        <f t="shared" si="181"/>
        <v/>
      </c>
      <c r="AE715" s="27" t="str">
        <f t="shared" si="179"/>
        <v/>
      </c>
      <c r="AF715" s="14">
        <f t="shared" si="189"/>
        <v>0</v>
      </c>
      <c r="AG715" s="12">
        <f t="shared" si="184"/>
        <v>0</v>
      </c>
      <c r="AH715" s="24">
        <f t="shared" si="190"/>
        <v>0</v>
      </c>
      <c r="AI715" s="49" t="e">
        <f t="shared" si="180"/>
        <v>#VALUE!</v>
      </c>
      <c r="AK715" s="50" t="e">
        <f t="shared" si="185"/>
        <v>#VALUE!</v>
      </c>
    </row>
    <row r="716" spans="1:37" x14ac:dyDescent="0.4">
      <c r="A716" s="2">
        <v>1869</v>
      </c>
      <c r="B716" s="16"/>
      <c r="C716" s="22">
        <f t="shared" si="182"/>
        <v>0</v>
      </c>
      <c r="D716" s="23">
        <f t="shared" si="186"/>
        <v>0</v>
      </c>
      <c r="E716" s="14"/>
      <c r="F716" s="12">
        <f t="shared" si="183"/>
        <v>0</v>
      </c>
      <c r="G716" s="24">
        <f t="shared" si="187"/>
        <v>0</v>
      </c>
      <c r="H716" s="14"/>
      <c r="I716" s="14"/>
      <c r="J716" s="29"/>
      <c r="K716" s="30"/>
      <c r="M716" s="17"/>
      <c r="N716" s="7" t="str">
        <f t="shared" si="191"/>
        <v/>
      </c>
      <c r="O716" s="5"/>
      <c r="P716" s="3"/>
      <c r="Q716" s="5"/>
      <c r="R716" s="7" t="str">
        <f t="shared" si="192"/>
        <v/>
      </c>
      <c r="S716" s="5"/>
      <c r="U716" s="10"/>
      <c r="V716" s="11" t="str">
        <f t="shared" si="193"/>
        <v/>
      </c>
      <c r="W716" s="6"/>
      <c r="Y716" s="10"/>
      <c r="Z716" s="11" t="str">
        <f t="shared" si="194"/>
        <v/>
      </c>
      <c r="AA716" s="6"/>
      <c r="AB716" s="1">
        <v>1.2</v>
      </c>
      <c r="AC716" s="21" t="str">
        <f t="shared" si="188"/>
        <v/>
      </c>
      <c r="AD716" s="27" t="str">
        <f t="shared" si="181"/>
        <v/>
      </c>
      <c r="AE716" s="27" t="str">
        <f t="shared" si="179"/>
        <v/>
      </c>
      <c r="AF716" s="14">
        <f t="shared" si="189"/>
        <v>0</v>
      </c>
      <c r="AG716" s="12">
        <f t="shared" si="184"/>
        <v>0</v>
      </c>
      <c r="AH716" s="24">
        <f t="shared" si="190"/>
        <v>0</v>
      </c>
      <c r="AI716" s="49" t="e">
        <f t="shared" si="180"/>
        <v>#VALUE!</v>
      </c>
      <c r="AK716" s="50" t="e">
        <f t="shared" si="185"/>
        <v>#VALUE!</v>
      </c>
    </row>
    <row r="717" spans="1:37" x14ac:dyDescent="0.4">
      <c r="A717" s="2">
        <v>1870</v>
      </c>
      <c r="B717" s="16"/>
      <c r="C717" s="22">
        <f t="shared" si="182"/>
        <v>0</v>
      </c>
      <c r="D717" s="23">
        <f t="shared" si="186"/>
        <v>0</v>
      </c>
      <c r="E717" s="14"/>
      <c r="F717" s="12">
        <f t="shared" si="183"/>
        <v>0</v>
      </c>
      <c r="G717" s="24">
        <f t="shared" si="187"/>
        <v>0</v>
      </c>
      <c r="H717" s="14"/>
      <c r="I717" s="14"/>
      <c r="J717" s="29"/>
      <c r="K717" s="30"/>
      <c r="M717" s="17"/>
      <c r="N717" s="7" t="str">
        <f t="shared" si="191"/>
        <v/>
      </c>
      <c r="O717" s="5"/>
      <c r="P717" s="3"/>
      <c r="Q717" s="5"/>
      <c r="R717" s="7" t="str">
        <f t="shared" si="192"/>
        <v/>
      </c>
      <c r="S717" s="5"/>
      <c r="U717" s="10"/>
      <c r="V717" s="11" t="str">
        <f t="shared" si="193"/>
        <v/>
      </c>
      <c r="W717" s="6"/>
      <c r="Y717" s="10"/>
      <c r="Z717" s="11" t="str">
        <f t="shared" si="194"/>
        <v/>
      </c>
      <c r="AA717" s="6"/>
      <c r="AB717" s="1">
        <v>1.2</v>
      </c>
      <c r="AC717" s="21" t="str">
        <f t="shared" si="188"/>
        <v/>
      </c>
      <c r="AD717" s="27" t="str">
        <f t="shared" si="181"/>
        <v/>
      </c>
      <c r="AE717" s="27" t="str">
        <f t="shared" ref="AE717:AE780" si="195">IF(I717="","",TEXT(I717-B717,"[hh]:mm"))</f>
        <v/>
      </c>
      <c r="AF717" s="14">
        <f t="shared" si="189"/>
        <v>0</v>
      </c>
      <c r="AG717" s="12">
        <f t="shared" si="184"/>
        <v>0</v>
      </c>
      <c r="AH717" s="24">
        <f t="shared" si="190"/>
        <v>0</v>
      </c>
      <c r="AI717" s="49" t="e">
        <f t="shared" ref="AI717:AI780" si="196">MAX(VALUE(AC717),VALUE(AD717),VALUE(AE717))</f>
        <v>#VALUE!</v>
      </c>
      <c r="AK717" s="50" t="e">
        <f t="shared" si="185"/>
        <v>#VALUE!</v>
      </c>
    </row>
    <row r="718" spans="1:37" x14ac:dyDescent="0.4">
      <c r="A718" s="2">
        <v>1871</v>
      </c>
      <c r="B718" s="16"/>
      <c r="C718" s="22">
        <f t="shared" si="182"/>
        <v>0</v>
      </c>
      <c r="D718" s="23">
        <f t="shared" si="186"/>
        <v>0</v>
      </c>
      <c r="E718" s="14"/>
      <c r="F718" s="12">
        <f t="shared" si="183"/>
        <v>0</v>
      </c>
      <c r="G718" s="24">
        <f t="shared" si="187"/>
        <v>0</v>
      </c>
      <c r="H718" s="14"/>
      <c r="I718" s="14"/>
      <c r="J718" s="29"/>
      <c r="K718" s="30"/>
      <c r="M718" s="17"/>
      <c r="N718" s="7" t="str">
        <f t="shared" si="191"/>
        <v/>
      </c>
      <c r="O718" s="5"/>
      <c r="P718" s="3"/>
      <c r="Q718" s="5"/>
      <c r="R718" s="7" t="str">
        <f t="shared" si="192"/>
        <v/>
      </c>
      <c r="S718" s="5"/>
      <c r="U718" s="10"/>
      <c r="V718" s="11" t="str">
        <f t="shared" si="193"/>
        <v/>
      </c>
      <c r="W718" s="6"/>
      <c r="Y718" s="10"/>
      <c r="Z718" s="11" t="str">
        <f t="shared" si="194"/>
        <v/>
      </c>
      <c r="AA718" s="6"/>
      <c r="AB718" s="1">
        <v>1.2</v>
      </c>
      <c r="AC718" s="21" t="str">
        <f t="shared" si="188"/>
        <v/>
      </c>
      <c r="AD718" s="27" t="str">
        <f t="shared" si="181"/>
        <v/>
      </c>
      <c r="AE718" s="27" t="str">
        <f t="shared" si="195"/>
        <v/>
      </c>
      <c r="AF718" s="14">
        <f t="shared" si="189"/>
        <v>0</v>
      </c>
      <c r="AG718" s="12">
        <f t="shared" si="184"/>
        <v>0</v>
      </c>
      <c r="AH718" s="24">
        <f t="shared" si="190"/>
        <v>0</v>
      </c>
      <c r="AI718" s="49" t="e">
        <f t="shared" si="196"/>
        <v>#VALUE!</v>
      </c>
      <c r="AK718" s="50" t="e">
        <f t="shared" si="185"/>
        <v>#VALUE!</v>
      </c>
    </row>
    <row r="719" spans="1:37" x14ac:dyDescent="0.4">
      <c r="A719" s="2">
        <v>1872</v>
      </c>
      <c r="B719" s="16"/>
      <c r="C719" s="22">
        <f t="shared" si="182"/>
        <v>0</v>
      </c>
      <c r="D719" s="23">
        <f t="shared" si="186"/>
        <v>0</v>
      </c>
      <c r="E719" s="14"/>
      <c r="F719" s="12">
        <f t="shared" si="183"/>
        <v>0</v>
      </c>
      <c r="G719" s="24">
        <f t="shared" si="187"/>
        <v>0</v>
      </c>
      <c r="H719" s="14"/>
      <c r="I719" s="14"/>
      <c r="J719" s="29"/>
      <c r="K719" s="30"/>
      <c r="M719" s="17"/>
      <c r="N719" s="7" t="str">
        <f t="shared" si="191"/>
        <v/>
      </c>
      <c r="O719" s="5"/>
      <c r="P719" s="3"/>
      <c r="Q719" s="5"/>
      <c r="R719" s="7" t="str">
        <f t="shared" si="192"/>
        <v/>
      </c>
      <c r="S719" s="5"/>
      <c r="U719" s="10"/>
      <c r="V719" s="11" t="str">
        <f t="shared" si="193"/>
        <v/>
      </c>
      <c r="W719" s="6"/>
      <c r="Y719" s="10"/>
      <c r="Z719" s="11" t="str">
        <f t="shared" si="194"/>
        <v/>
      </c>
      <c r="AA719" s="6"/>
      <c r="AB719" s="1">
        <v>1.2</v>
      </c>
      <c r="AC719" s="21" t="str">
        <f t="shared" si="188"/>
        <v/>
      </c>
      <c r="AD719" s="27" t="str">
        <f t="shared" si="181"/>
        <v/>
      </c>
      <c r="AE719" s="27" t="str">
        <f t="shared" si="195"/>
        <v/>
      </c>
      <c r="AF719" s="14">
        <f t="shared" si="189"/>
        <v>0</v>
      </c>
      <c r="AG719" s="12">
        <f t="shared" si="184"/>
        <v>0</v>
      </c>
      <c r="AH719" s="24">
        <f t="shared" si="190"/>
        <v>0</v>
      </c>
      <c r="AI719" s="49" t="e">
        <f t="shared" si="196"/>
        <v>#VALUE!</v>
      </c>
      <c r="AK719" s="50" t="e">
        <f t="shared" si="185"/>
        <v>#VALUE!</v>
      </c>
    </row>
    <row r="720" spans="1:37" x14ac:dyDescent="0.4">
      <c r="A720" s="2">
        <v>1873</v>
      </c>
      <c r="B720" s="16"/>
      <c r="C720" s="22">
        <f t="shared" si="182"/>
        <v>0</v>
      </c>
      <c r="D720" s="23">
        <f t="shared" si="186"/>
        <v>0</v>
      </c>
      <c r="E720" s="14"/>
      <c r="F720" s="12">
        <f t="shared" si="183"/>
        <v>0</v>
      </c>
      <c r="G720" s="24">
        <f t="shared" si="187"/>
        <v>0</v>
      </c>
      <c r="H720" s="14"/>
      <c r="I720" s="14"/>
      <c r="J720" s="29"/>
      <c r="K720" s="30"/>
      <c r="M720" s="17"/>
      <c r="N720" s="7" t="str">
        <f t="shared" si="191"/>
        <v/>
      </c>
      <c r="O720" s="5"/>
      <c r="P720" s="3"/>
      <c r="Q720" s="5"/>
      <c r="R720" s="7" t="str">
        <f t="shared" si="192"/>
        <v/>
      </c>
      <c r="S720" s="5"/>
      <c r="U720" s="10"/>
      <c r="V720" s="11" t="str">
        <f t="shared" si="193"/>
        <v/>
      </c>
      <c r="W720" s="6"/>
      <c r="Y720" s="10"/>
      <c r="Z720" s="11" t="str">
        <f t="shared" si="194"/>
        <v/>
      </c>
      <c r="AA720" s="6"/>
      <c r="AB720" s="1">
        <v>1.2</v>
      </c>
      <c r="AC720" s="21" t="str">
        <f t="shared" si="188"/>
        <v/>
      </c>
      <c r="AD720" s="27" t="str">
        <f t="shared" si="181"/>
        <v/>
      </c>
      <c r="AE720" s="27" t="str">
        <f t="shared" si="195"/>
        <v/>
      </c>
      <c r="AF720" s="14">
        <f t="shared" si="189"/>
        <v>0</v>
      </c>
      <c r="AG720" s="12">
        <f t="shared" si="184"/>
        <v>0</v>
      </c>
      <c r="AH720" s="24">
        <f t="shared" si="190"/>
        <v>0</v>
      </c>
      <c r="AI720" s="49" t="e">
        <f t="shared" si="196"/>
        <v>#VALUE!</v>
      </c>
      <c r="AK720" s="50" t="e">
        <f t="shared" si="185"/>
        <v>#VALUE!</v>
      </c>
    </row>
    <row r="721" spans="1:37" x14ac:dyDescent="0.4">
      <c r="A721" s="2">
        <v>1874</v>
      </c>
      <c r="B721" s="16"/>
      <c r="C721" s="22">
        <f t="shared" si="182"/>
        <v>0</v>
      </c>
      <c r="D721" s="23">
        <f t="shared" si="186"/>
        <v>0</v>
      </c>
      <c r="E721" s="14"/>
      <c r="F721" s="12">
        <f t="shared" si="183"/>
        <v>0</v>
      </c>
      <c r="G721" s="24">
        <f t="shared" si="187"/>
        <v>0</v>
      </c>
      <c r="H721" s="14"/>
      <c r="I721" s="14"/>
      <c r="J721" s="29"/>
      <c r="K721" s="30"/>
      <c r="M721" s="17"/>
      <c r="N721" s="7" t="str">
        <f t="shared" si="191"/>
        <v/>
      </c>
      <c r="O721" s="5"/>
      <c r="P721" s="3"/>
      <c r="Q721" s="5"/>
      <c r="R721" s="7" t="str">
        <f t="shared" si="192"/>
        <v/>
      </c>
      <c r="S721" s="5"/>
      <c r="U721" s="10"/>
      <c r="V721" s="11" t="str">
        <f t="shared" si="193"/>
        <v/>
      </c>
      <c r="W721" s="6"/>
      <c r="Y721" s="10"/>
      <c r="Z721" s="11" t="str">
        <f t="shared" si="194"/>
        <v/>
      </c>
      <c r="AA721" s="6"/>
      <c r="AB721" s="1">
        <v>1.2</v>
      </c>
      <c r="AC721" s="21" t="str">
        <f t="shared" si="188"/>
        <v/>
      </c>
      <c r="AD721" s="27" t="str">
        <f t="shared" si="181"/>
        <v/>
      </c>
      <c r="AE721" s="27" t="str">
        <f t="shared" si="195"/>
        <v/>
      </c>
      <c r="AF721" s="14">
        <f t="shared" si="189"/>
        <v>0</v>
      </c>
      <c r="AG721" s="12">
        <f t="shared" si="184"/>
        <v>0</v>
      </c>
      <c r="AH721" s="24">
        <f t="shared" si="190"/>
        <v>0</v>
      </c>
      <c r="AI721" s="49" t="e">
        <f t="shared" si="196"/>
        <v>#VALUE!</v>
      </c>
      <c r="AK721" s="50" t="e">
        <f t="shared" si="185"/>
        <v>#VALUE!</v>
      </c>
    </row>
    <row r="722" spans="1:37" x14ac:dyDescent="0.4">
      <c r="A722" s="2">
        <v>1875</v>
      </c>
      <c r="B722" s="16"/>
      <c r="C722" s="22">
        <f t="shared" si="182"/>
        <v>0</v>
      </c>
      <c r="D722" s="23">
        <f t="shared" si="186"/>
        <v>0</v>
      </c>
      <c r="E722" s="14"/>
      <c r="F722" s="12">
        <f t="shared" si="183"/>
        <v>0</v>
      </c>
      <c r="G722" s="24">
        <f t="shared" si="187"/>
        <v>0</v>
      </c>
      <c r="H722" s="14"/>
      <c r="I722" s="14"/>
      <c r="J722" s="29"/>
      <c r="K722" s="30"/>
      <c r="M722" s="17"/>
      <c r="N722" s="7" t="str">
        <f t="shared" si="191"/>
        <v/>
      </c>
      <c r="O722" s="5"/>
      <c r="P722" s="3"/>
      <c r="Q722" s="5"/>
      <c r="R722" s="7" t="str">
        <f t="shared" si="192"/>
        <v/>
      </c>
      <c r="S722" s="5"/>
      <c r="U722" s="10"/>
      <c r="V722" s="11" t="str">
        <f t="shared" si="193"/>
        <v/>
      </c>
      <c r="W722" s="6"/>
      <c r="Y722" s="10"/>
      <c r="Z722" s="11" t="str">
        <f t="shared" si="194"/>
        <v/>
      </c>
      <c r="AA722" s="6"/>
      <c r="AB722" s="1">
        <v>1.2</v>
      </c>
      <c r="AC722" s="21" t="str">
        <f t="shared" si="188"/>
        <v/>
      </c>
      <c r="AD722" s="27" t="str">
        <f t="shared" si="181"/>
        <v/>
      </c>
      <c r="AE722" s="27" t="str">
        <f t="shared" si="195"/>
        <v/>
      </c>
      <c r="AF722" s="14">
        <f t="shared" si="189"/>
        <v>0</v>
      </c>
      <c r="AG722" s="12">
        <f t="shared" si="184"/>
        <v>0</v>
      </c>
      <c r="AH722" s="24">
        <f t="shared" si="190"/>
        <v>0</v>
      </c>
      <c r="AI722" s="49" t="e">
        <f t="shared" si="196"/>
        <v>#VALUE!</v>
      </c>
      <c r="AK722" s="50" t="e">
        <f t="shared" si="185"/>
        <v>#VALUE!</v>
      </c>
    </row>
    <row r="723" spans="1:37" x14ac:dyDescent="0.4">
      <c r="A723" s="2">
        <v>1876</v>
      </c>
      <c r="B723" s="16"/>
      <c r="C723" s="22">
        <f t="shared" si="182"/>
        <v>0</v>
      </c>
      <c r="D723" s="23">
        <f t="shared" si="186"/>
        <v>0</v>
      </c>
      <c r="E723" s="14"/>
      <c r="F723" s="12">
        <f t="shared" si="183"/>
        <v>0</v>
      </c>
      <c r="G723" s="24">
        <f t="shared" si="187"/>
        <v>0</v>
      </c>
      <c r="H723" s="14"/>
      <c r="I723" s="14"/>
      <c r="J723" s="29"/>
      <c r="K723" s="30"/>
      <c r="M723" s="17"/>
      <c r="N723" s="7" t="str">
        <f t="shared" si="191"/>
        <v/>
      </c>
      <c r="O723" s="5"/>
      <c r="P723" s="3"/>
      <c r="Q723" s="5"/>
      <c r="R723" s="7" t="str">
        <f t="shared" si="192"/>
        <v/>
      </c>
      <c r="S723" s="5"/>
      <c r="U723" s="10"/>
      <c r="V723" s="11" t="str">
        <f t="shared" si="193"/>
        <v/>
      </c>
      <c r="W723" s="6"/>
      <c r="Y723" s="10"/>
      <c r="Z723" s="11" t="str">
        <f t="shared" si="194"/>
        <v/>
      </c>
      <c r="AA723" s="6"/>
      <c r="AB723" s="1">
        <v>1.2</v>
      </c>
      <c r="AC723" s="21" t="str">
        <f t="shared" si="188"/>
        <v/>
      </c>
      <c r="AD723" s="27" t="str">
        <f t="shared" si="181"/>
        <v/>
      </c>
      <c r="AE723" s="27" t="str">
        <f t="shared" si="195"/>
        <v/>
      </c>
      <c r="AF723" s="14">
        <f t="shared" si="189"/>
        <v>0</v>
      </c>
      <c r="AG723" s="12">
        <f t="shared" si="184"/>
        <v>0</v>
      </c>
      <c r="AH723" s="24">
        <f t="shared" si="190"/>
        <v>0</v>
      </c>
      <c r="AI723" s="49" t="e">
        <f t="shared" si="196"/>
        <v>#VALUE!</v>
      </c>
      <c r="AK723" s="50" t="e">
        <f t="shared" si="185"/>
        <v>#VALUE!</v>
      </c>
    </row>
    <row r="724" spans="1:37" x14ac:dyDescent="0.4">
      <c r="A724" s="2">
        <v>1877</v>
      </c>
      <c r="B724" s="16"/>
      <c r="C724" s="22">
        <f t="shared" si="182"/>
        <v>0</v>
      </c>
      <c r="D724" s="23">
        <f t="shared" si="186"/>
        <v>0</v>
      </c>
      <c r="E724" s="14"/>
      <c r="F724" s="12">
        <f t="shared" si="183"/>
        <v>0</v>
      </c>
      <c r="G724" s="24">
        <f t="shared" si="187"/>
        <v>0</v>
      </c>
      <c r="H724" s="14"/>
      <c r="I724" s="14"/>
      <c r="J724" s="29"/>
      <c r="K724" s="30"/>
      <c r="M724" s="17"/>
      <c r="N724" s="7" t="str">
        <f t="shared" si="191"/>
        <v/>
      </c>
      <c r="O724" s="5"/>
      <c r="P724" s="3"/>
      <c r="Q724" s="5"/>
      <c r="R724" s="7" t="str">
        <f t="shared" si="192"/>
        <v/>
      </c>
      <c r="S724" s="5"/>
      <c r="U724" s="10"/>
      <c r="V724" s="11" t="str">
        <f t="shared" si="193"/>
        <v/>
      </c>
      <c r="W724" s="6"/>
      <c r="Y724" s="10"/>
      <c r="Z724" s="11" t="str">
        <f t="shared" si="194"/>
        <v/>
      </c>
      <c r="AA724" s="6"/>
      <c r="AB724" s="1">
        <v>1.2</v>
      </c>
      <c r="AC724" s="21" t="str">
        <f t="shared" si="188"/>
        <v/>
      </c>
      <c r="AD724" s="27" t="str">
        <f t="shared" si="181"/>
        <v/>
      </c>
      <c r="AE724" s="27" t="str">
        <f t="shared" si="195"/>
        <v/>
      </c>
      <c r="AF724" s="14">
        <f t="shared" si="189"/>
        <v>0</v>
      </c>
      <c r="AG724" s="12">
        <f t="shared" si="184"/>
        <v>0</v>
      </c>
      <c r="AH724" s="24">
        <f t="shared" si="190"/>
        <v>0</v>
      </c>
      <c r="AI724" s="49" t="e">
        <f t="shared" si="196"/>
        <v>#VALUE!</v>
      </c>
      <c r="AK724" s="50" t="e">
        <f t="shared" si="185"/>
        <v>#VALUE!</v>
      </c>
    </row>
    <row r="725" spans="1:37" x14ac:dyDescent="0.4">
      <c r="A725" s="2">
        <v>1878</v>
      </c>
      <c r="B725" s="16"/>
      <c r="C725" s="22">
        <f t="shared" si="182"/>
        <v>0</v>
      </c>
      <c r="D725" s="23">
        <f t="shared" si="186"/>
        <v>0</v>
      </c>
      <c r="E725" s="14"/>
      <c r="F725" s="12">
        <f t="shared" si="183"/>
        <v>0</v>
      </c>
      <c r="G725" s="24">
        <f t="shared" si="187"/>
        <v>0</v>
      </c>
      <c r="H725" s="14"/>
      <c r="I725" s="14"/>
      <c r="J725" s="29"/>
      <c r="K725" s="30"/>
      <c r="M725" s="17"/>
      <c r="N725" s="7" t="str">
        <f t="shared" si="191"/>
        <v/>
      </c>
      <c r="O725" s="5"/>
      <c r="P725" s="3"/>
      <c r="Q725" s="5"/>
      <c r="R725" s="7" t="str">
        <f t="shared" si="192"/>
        <v/>
      </c>
      <c r="S725" s="5"/>
      <c r="U725" s="10"/>
      <c r="V725" s="11" t="str">
        <f t="shared" si="193"/>
        <v/>
      </c>
      <c r="W725" s="6"/>
      <c r="Y725" s="10"/>
      <c r="Z725" s="11" t="str">
        <f t="shared" si="194"/>
        <v/>
      </c>
      <c r="AA725" s="6"/>
      <c r="AB725" s="1">
        <v>1.2</v>
      </c>
      <c r="AC725" s="21" t="str">
        <f t="shared" si="188"/>
        <v/>
      </c>
      <c r="AD725" s="27" t="str">
        <f t="shared" si="181"/>
        <v/>
      </c>
      <c r="AE725" s="27" t="str">
        <f t="shared" si="195"/>
        <v/>
      </c>
      <c r="AF725" s="14">
        <f t="shared" si="189"/>
        <v>0</v>
      </c>
      <c r="AG725" s="12">
        <f t="shared" si="184"/>
        <v>0</v>
      </c>
      <c r="AH725" s="24">
        <f t="shared" si="190"/>
        <v>0</v>
      </c>
      <c r="AI725" s="49" t="e">
        <f t="shared" si="196"/>
        <v>#VALUE!</v>
      </c>
      <c r="AK725" s="50" t="e">
        <f t="shared" si="185"/>
        <v>#VALUE!</v>
      </c>
    </row>
    <row r="726" spans="1:37" x14ac:dyDescent="0.4">
      <c r="A726" s="2">
        <v>1879</v>
      </c>
      <c r="B726" s="16"/>
      <c r="C726" s="22">
        <f t="shared" si="182"/>
        <v>0</v>
      </c>
      <c r="D726" s="23">
        <f t="shared" si="186"/>
        <v>0</v>
      </c>
      <c r="E726" s="14"/>
      <c r="F726" s="12">
        <f t="shared" si="183"/>
        <v>0</v>
      </c>
      <c r="G726" s="24">
        <f t="shared" si="187"/>
        <v>0</v>
      </c>
      <c r="H726" s="14"/>
      <c r="I726" s="14"/>
      <c r="J726" s="29"/>
      <c r="K726" s="30"/>
      <c r="M726" s="17"/>
      <c r="N726" s="7" t="str">
        <f t="shared" si="191"/>
        <v/>
      </c>
      <c r="O726" s="5"/>
      <c r="P726" s="3"/>
      <c r="Q726" s="5"/>
      <c r="R726" s="7" t="str">
        <f t="shared" si="192"/>
        <v/>
      </c>
      <c r="S726" s="5"/>
      <c r="U726" s="10"/>
      <c r="V726" s="11" t="str">
        <f t="shared" si="193"/>
        <v/>
      </c>
      <c r="W726" s="6"/>
      <c r="Y726" s="10"/>
      <c r="Z726" s="11" t="str">
        <f t="shared" si="194"/>
        <v/>
      </c>
      <c r="AA726" s="6"/>
      <c r="AB726" s="1">
        <v>1.2</v>
      </c>
      <c r="AC726" s="21" t="str">
        <f t="shared" si="188"/>
        <v/>
      </c>
      <c r="AD726" s="27" t="str">
        <f t="shared" ref="AD726:AD789" si="197">IF(H726="","",TEXT(H726-B726,"[hh]:mm"))</f>
        <v/>
      </c>
      <c r="AE726" s="27" t="str">
        <f t="shared" si="195"/>
        <v/>
      </c>
      <c r="AF726" s="14">
        <f t="shared" si="189"/>
        <v>0</v>
      </c>
      <c r="AG726" s="12">
        <f t="shared" si="184"/>
        <v>0</v>
      </c>
      <c r="AH726" s="24">
        <f t="shared" si="190"/>
        <v>0</v>
      </c>
      <c r="AI726" s="49" t="e">
        <f t="shared" si="196"/>
        <v>#VALUE!</v>
      </c>
      <c r="AK726" s="50" t="e">
        <f t="shared" si="185"/>
        <v>#VALUE!</v>
      </c>
    </row>
    <row r="727" spans="1:37" x14ac:dyDescent="0.4">
      <c r="A727" s="2">
        <v>1880</v>
      </c>
      <c r="B727" s="16"/>
      <c r="C727" s="22">
        <f t="shared" ref="C727:C790" si="198">INT(B727)</f>
        <v>0</v>
      </c>
      <c r="D727" s="23">
        <f t="shared" si="186"/>
        <v>0</v>
      </c>
      <c r="E727" s="14"/>
      <c r="F727" s="12">
        <f t="shared" ref="F727:F790" si="199">INT(E727)</f>
        <v>0</v>
      </c>
      <c r="G727" s="24">
        <f t="shared" si="187"/>
        <v>0</v>
      </c>
      <c r="H727" s="14"/>
      <c r="I727" s="14"/>
      <c r="J727" s="29"/>
      <c r="K727" s="30"/>
      <c r="M727" s="17"/>
      <c r="N727" s="7" t="str">
        <f t="shared" si="191"/>
        <v/>
      </c>
      <c r="O727" s="5"/>
      <c r="P727" s="3"/>
      <c r="Q727" s="5"/>
      <c r="R727" s="7" t="str">
        <f t="shared" si="192"/>
        <v/>
      </c>
      <c r="S727" s="5"/>
      <c r="U727" s="10"/>
      <c r="V727" s="11" t="str">
        <f t="shared" si="193"/>
        <v/>
      </c>
      <c r="W727" s="6"/>
      <c r="Y727" s="10"/>
      <c r="Z727" s="11" t="str">
        <f t="shared" si="194"/>
        <v/>
      </c>
      <c r="AA727" s="6"/>
      <c r="AB727" s="1">
        <v>1.2</v>
      </c>
      <c r="AC727" s="21" t="str">
        <f t="shared" si="188"/>
        <v/>
      </c>
      <c r="AD727" s="27" t="str">
        <f t="shared" si="197"/>
        <v/>
      </c>
      <c r="AE727" s="27" t="str">
        <f t="shared" si="195"/>
        <v/>
      </c>
      <c r="AF727" s="14">
        <f t="shared" si="189"/>
        <v>0</v>
      </c>
      <c r="AG727" s="12">
        <f t="shared" ref="AG727:AG790" si="200">INT(AF727)</f>
        <v>0</v>
      </c>
      <c r="AH727" s="24">
        <f t="shared" si="190"/>
        <v>0</v>
      </c>
      <c r="AI727" s="49" t="e">
        <f t="shared" si="196"/>
        <v>#VALUE!</v>
      </c>
      <c r="AK727" s="50" t="e">
        <f t="shared" ref="AK727:AK790" si="201">IF(VALUE(AI727)&lt;=VALUE($AK$3),"BOM","RUIM")</f>
        <v>#VALUE!</v>
      </c>
    </row>
    <row r="728" spans="1:37" x14ac:dyDescent="0.4">
      <c r="A728" s="2">
        <v>1881</v>
      </c>
      <c r="B728" s="16"/>
      <c r="C728" s="22">
        <f t="shared" si="198"/>
        <v>0</v>
      </c>
      <c r="D728" s="23">
        <f t="shared" si="186"/>
        <v>0</v>
      </c>
      <c r="E728" s="14"/>
      <c r="F728" s="12">
        <f t="shared" si="199"/>
        <v>0</v>
      </c>
      <c r="G728" s="24">
        <f t="shared" si="187"/>
        <v>0</v>
      </c>
      <c r="H728" s="14"/>
      <c r="I728" s="14"/>
      <c r="J728" s="29"/>
      <c r="K728" s="30"/>
      <c r="M728" s="17"/>
      <c r="N728" s="7" t="str">
        <f t="shared" si="191"/>
        <v/>
      </c>
      <c r="O728" s="5"/>
      <c r="P728" s="3"/>
      <c r="Q728" s="5"/>
      <c r="R728" s="7" t="str">
        <f t="shared" si="192"/>
        <v/>
      </c>
      <c r="S728" s="5"/>
      <c r="U728" s="10"/>
      <c r="V728" s="11" t="str">
        <f t="shared" si="193"/>
        <v/>
      </c>
      <c r="W728" s="6"/>
      <c r="Y728" s="10"/>
      <c r="Z728" s="11" t="str">
        <f t="shared" si="194"/>
        <v/>
      </c>
      <c r="AA728" s="6"/>
      <c r="AB728" s="1">
        <v>1.2</v>
      </c>
      <c r="AC728" s="21" t="str">
        <f t="shared" si="188"/>
        <v/>
      </c>
      <c r="AD728" s="27" t="str">
        <f t="shared" si="197"/>
        <v/>
      </c>
      <c r="AE728" s="27" t="str">
        <f t="shared" si="195"/>
        <v/>
      </c>
      <c r="AF728" s="14">
        <f t="shared" si="189"/>
        <v>0</v>
      </c>
      <c r="AG728" s="12">
        <f t="shared" si="200"/>
        <v>0</v>
      </c>
      <c r="AH728" s="24">
        <f t="shared" si="190"/>
        <v>0</v>
      </c>
      <c r="AI728" s="49" t="e">
        <f t="shared" si="196"/>
        <v>#VALUE!</v>
      </c>
      <c r="AK728" s="50" t="e">
        <f t="shared" si="201"/>
        <v>#VALUE!</v>
      </c>
    </row>
    <row r="729" spans="1:37" x14ac:dyDescent="0.4">
      <c r="A729" s="2">
        <v>1882</v>
      </c>
      <c r="B729" s="16"/>
      <c r="C729" s="22">
        <f t="shared" si="198"/>
        <v>0</v>
      </c>
      <c r="D729" s="23">
        <f t="shared" si="186"/>
        <v>0</v>
      </c>
      <c r="E729" s="14"/>
      <c r="F729" s="12">
        <f t="shared" si="199"/>
        <v>0</v>
      </c>
      <c r="G729" s="24">
        <f t="shared" si="187"/>
        <v>0</v>
      </c>
      <c r="H729" s="14"/>
      <c r="I729" s="14"/>
      <c r="J729" s="29"/>
      <c r="K729" s="30"/>
      <c r="M729" s="17"/>
      <c r="N729" s="7" t="str">
        <f t="shared" si="191"/>
        <v/>
      </c>
      <c r="O729" s="5"/>
      <c r="P729" s="3"/>
      <c r="Q729" s="5"/>
      <c r="R729" s="7" t="str">
        <f t="shared" si="192"/>
        <v/>
      </c>
      <c r="S729" s="5"/>
      <c r="U729" s="10"/>
      <c r="V729" s="11" t="str">
        <f t="shared" si="193"/>
        <v/>
      </c>
      <c r="W729" s="6"/>
      <c r="Y729" s="10"/>
      <c r="Z729" s="11" t="str">
        <f t="shared" si="194"/>
        <v/>
      </c>
      <c r="AA729" s="6"/>
      <c r="AB729" s="1">
        <v>1.2</v>
      </c>
      <c r="AC729" s="21" t="str">
        <f t="shared" si="188"/>
        <v/>
      </c>
      <c r="AD729" s="27" t="str">
        <f t="shared" si="197"/>
        <v/>
      </c>
      <c r="AE729" s="27" t="str">
        <f t="shared" si="195"/>
        <v/>
      </c>
      <c r="AF729" s="14">
        <f t="shared" si="189"/>
        <v>0</v>
      </c>
      <c r="AG729" s="12">
        <f t="shared" si="200"/>
        <v>0</v>
      </c>
      <c r="AH729" s="24">
        <f t="shared" si="190"/>
        <v>0</v>
      </c>
      <c r="AI729" s="49" t="e">
        <f t="shared" si="196"/>
        <v>#VALUE!</v>
      </c>
      <c r="AK729" s="50" t="e">
        <f t="shared" si="201"/>
        <v>#VALUE!</v>
      </c>
    </row>
    <row r="730" spans="1:37" x14ac:dyDescent="0.4">
      <c r="A730" s="2">
        <v>1883</v>
      </c>
      <c r="B730" s="16"/>
      <c r="C730" s="22">
        <f t="shared" si="198"/>
        <v>0</v>
      </c>
      <c r="D730" s="23">
        <f t="shared" si="186"/>
        <v>0</v>
      </c>
      <c r="E730" s="14"/>
      <c r="F730" s="12">
        <f t="shared" si="199"/>
        <v>0</v>
      </c>
      <c r="G730" s="24">
        <f t="shared" si="187"/>
        <v>0</v>
      </c>
      <c r="H730" s="14"/>
      <c r="I730" s="14"/>
      <c r="J730" s="29"/>
      <c r="K730" s="30"/>
      <c r="M730" s="17"/>
      <c r="N730" s="7" t="str">
        <f t="shared" si="191"/>
        <v/>
      </c>
      <c r="O730" s="5"/>
      <c r="P730" s="3"/>
      <c r="Q730" s="5"/>
      <c r="R730" s="7" t="str">
        <f t="shared" si="192"/>
        <v/>
      </c>
      <c r="S730" s="5"/>
      <c r="U730" s="10"/>
      <c r="V730" s="11" t="str">
        <f t="shared" si="193"/>
        <v/>
      </c>
      <c r="W730" s="6"/>
      <c r="Y730" s="10"/>
      <c r="Z730" s="11" t="str">
        <f t="shared" si="194"/>
        <v/>
      </c>
      <c r="AA730" s="6"/>
      <c r="AB730" s="1">
        <v>1.2</v>
      </c>
      <c r="AC730" s="21" t="str">
        <f t="shared" si="188"/>
        <v/>
      </c>
      <c r="AD730" s="27" t="str">
        <f t="shared" si="197"/>
        <v/>
      </c>
      <c r="AE730" s="27" t="str">
        <f t="shared" si="195"/>
        <v/>
      </c>
      <c r="AF730" s="14">
        <f t="shared" si="189"/>
        <v>0</v>
      </c>
      <c r="AG730" s="12">
        <f t="shared" si="200"/>
        <v>0</v>
      </c>
      <c r="AH730" s="24">
        <f t="shared" si="190"/>
        <v>0</v>
      </c>
      <c r="AI730" s="49" t="e">
        <f t="shared" si="196"/>
        <v>#VALUE!</v>
      </c>
      <c r="AK730" s="50" t="e">
        <f t="shared" si="201"/>
        <v>#VALUE!</v>
      </c>
    </row>
    <row r="731" spans="1:37" x14ac:dyDescent="0.4">
      <c r="A731" s="2">
        <v>1884</v>
      </c>
      <c r="B731" s="16"/>
      <c r="C731" s="22">
        <f t="shared" si="198"/>
        <v>0</v>
      </c>
      <c r="D731" s="23">
        <f t="shared" si="186"/>
        <v>0</v>
      </c>
      <c r="E731" s="14"/>
      <c r="F731" s="12">
        <f t="shared" si="199"/>
        <v>0</v>
      </c>
      <c r="G731" s="24">
        <f t="shared" si="187"/>
        <v>0</v>
      </c>
      <c r="H731" s="14"/>
      <c r="I731" s="14"/>
      <c r="J731" s="29"/>
      <c r="K731" s="30"/>
      <c r="M731" s="17"/>
      <c r="N731" s="7" t="str">
        <f t="shared" si="191"/>
        <v/>
      </c>
      <c r="O731" s="5"/>
      <c r="P731" s="3"/>
      <c r="Q731" s="5"/>
      <c r="R731" s="7" t="str">
        <f t="shared" si="192"/>
        <v/>
      </c>
      <c r="S731" s="5"/>
      <c r="U731" s="10"/>
      <c r="V731" s="11" t="str">
        <f t="shared" si="193"/>
        <v/>
      </c>
      <c r="W731" s="6"/>
      <c r="Y731" s="10"/>
      <c r="Z731" s="11" t="str">
        <f t="shared" si="194"/>
        <v/>
      </c>
      <c r="AA731" s="6"/>
      <c r="AB731" s="1">
        <v>1.2</v>
      </c>
      <c r="AC731" s="21" t="str">
        <f t="shared" si="188"/>
        <v/>
      </c>
      <c r="AD731" s="27" t="str">
        <f t="shared" si="197"/>
        <v/>
      </c>
      <c r="AE731" s="27" t="str">
        <f t="shared" si="195"/>
        <v/>
      </c>
      <c r="AF731" s="14">
        <f t="shared" si="189"/>
        <v>0</v>
      </c>
      <c r="AG731" s="12">
        <f t="shared" si="200"/>
        <v>0</v>
      </c>
      <c r="AH731" s="24">
        <f t="shared" si="190"/>
        <v>0</v>
      </c>
      <c r="AI731" s="49" t="e">
        <f t="shared" si="196"/>
        <v>#VALUE!</v>
      </c>
      <c r="AK731" s="50" t="e">
        <f t="shared" si="201"/>
        <v>#VALUE!</v>
      </c>
    </row>
    <row r="732" spans="1:37" x14ac:dyDescent="0.4">
      <c r="A732" s="2">
        <v>1885</v>
      </c>
      <c r="B732" s="16"/>
      <c r="C732" s="22">
        <f t="shared" si="198"/>
        <v>0</v>
      </c>
      <c r="D732" s="23">
        <f t="shared" si="186"/>
        <v>0</v>
      </c>
      <c r="E732" s="14"/>
      <c r="F732" s="12">
        <f t="shared" si="199"/>
        <v>0</v>
      </c>
      <c r="G732" s="24">
        <f t="shared" si="187"/>
        <v>0</v>
      </c>
      <c r="H732" s="14"/>
      <c r="I732" s="14"/>
      <c r="J732" s="29"/>
      <c r="K732" s="30"/>
      <c r="M732" s="17"/>
      <c r="N732" s="7" t="str">
        <f t="shared" si="191"/>
        <v/>
      </c>
      <c r="O732" s="5"/>
      <c r="P732" s="3"/>
      <c r="Q732" s="5"/>
      <c r="R732" s="7" t="str">
        <f t="shared" si="192"/>
        <v/>
      </c>
      <c r="S732" s="5"/>
      <c r="U732" s="10"/>
      <c r="V732" s="11" t="str">
        <f t="shared" si="193"/>
        <v/>
      </c>
      <c r="W732" s="6"/>
      <c r="Y732" s="10"/>
      <c r="Z732" s="11" t="str">
        <f t="shared" si="194"/>
        <v/>
      </c>
      <c r="AA732" s="6"/>
      <c r="AB732" s="1">
        <v>1.2</v>
      </c>
      <c r="AC732" s="21" t="str">
        <f t="shared" si="188"/>
        <v/>
      </c>
      <c r="AD732" s="27" t="str">
        <f t="shared" si="197"/>
        <v/>
      </c>
      <c r="AE732" s="27" t="str">
        <f t="shared" si="195"/>
        <v/>
      </c>
      <c r="AF732" s="14">
        <f t="shared" si="189"/>
        <v>0</v>
      </c>
      <c r="AG732" s="12">
        <f t="shared" si="200"/>
        <v>0</v>
      </c>
      <c r="AH732" s="24">
        <f t="shared" si="190"/>
        <v>0</v>
      </c>
      <c r="AI732" s="49" t="e">
        <f t="shared" si="196"/>
        <v>#VALUE!</v>
      </c>
      <c r="AK732" s="50" t="e">
        <f t="shared" si="201"/>
        <v>#VALUE!</v>
      </c>
    </row>
    <row r="733" spans="1:37" x14ac:dyDescent="0.4">
      <c r="A733" s="2">
        <v>1886</v>
      </c>
      <c r="B733" s="16"/>
      <c r="C733" s="22">
        <f t="shared" si="198"/>
        <v>0</v>
      </c>
      <c r="D733" s="23">
        <f t="shared" si="186"/>
        <v>0</v>
      </c>
      <c r="E733" s="14"/>
      <c r="F733" s="12">
        <f t="shared" si="199"/>
        <v>0</v>
      </c>
      <c r="G733" s="24">
        <f t="shared" si="187"/>
        <v>0</v>
      </c>
      <c r="H733" s="14"/>
      <c r="I733" s="14"/>
      <c r="J733" s="29"/>
      <c r="K733" s="30"/>
      <c r="M733" s="17"/>
      <c r="N733" s="7" t="str">
        <f t="shared" si="191"/>
        <v/>
      </c>
      <c r="O733" s="5"/>
      <c r="P733" s="3"/>
      <c r="Q733" s="5"/>
      <c r="R733" s="7" t="str">
        <f t="shared" si="192"/>
        <v/>
      </c>
      <c r="S733" s="5"/>
      <c r="U733" s="10"/>
      <c r="V733" s="11" t="str">
        <f t="shared" si="193"/>
        <v/>
      </c>
      <c r="W733" s="6"/>
      <c r="Y733" s="10"/>
      <c r="Z733" s="11" t="str">
        <f t="shared" si="194"/>
        <v/>
      </c>
      <c r="AA733" s="6"/>
      <c r="AB733" s="1">
        <v>1.2</v>
      </c>
      <c r="AC733" s="21" t="str">
        <f t="shared" si="188"/>
        <v/>
      </c>
      <c r="AD733" s="27" t="str">
        <f t="shared" si="197"/>
        <v/>
      </c>
      <c r="AE733" s="27" t="str">
        <f t="shared" si="195"/>
        <v/>
      </c>
      <c r="AF733" s="14">
        <f t="shared" si="189"/>
        <v>0</v>
      </c>
      <c r="AG733" s="12">
        <f t="shared" si="200"/>
        <v>0</v>
      </c>
      <c r="AH733" s="24">
        <f t="shared" si="190"/>
        <v>0</v>
      </c>
      <c r="AI733" s="49" t="e">
        <f t="shared" si="196"/>
        <v>#VALUE!</v>
      </c>
      <c r="AK733" s="50" t="e">
        <f t="shared" si="201"/>
        <v>#VALUE!</v>
      </c>
    </row>
    <row r="734" spans="1:37" x14ac:dyDescent="0.4">
      <c r="A734" s="2">
        <v>1887</v>
      </c>
      <c r="B734" s="16"/>
      <c r="C734" s="22">
        <f t="shared" si="198"/>
        <v>0</v>
      </c>
      <c r="D734" s="23">
        <f t="shared" si="186"/>
        <v>0</v>
      </c>
      <c r="E734" s="14"/>
      <c r="F734" s="12">
        <f t="shared" si="199"/>
        <v>0</v>
      </c>
      <c r="G734" s="24">
        <f t="shared" si="187"/>
        <v>0</v>
      </c>
      <c r="H734" s="14"/>
      <c r="I734" s="14"/>
      <c r="J734" s="29"/>
      <c r="K734" s="30"/>
      <c r="M734" s="17"/>
      <c r="N734" s="7" t="str">
        <f t="shared" si="191"/>
        <v/>
      </c>
      <c r="O734" s="5"/>
      <c r="P734" s="3"/>
      <c r="Q734" s="5"/>
      <c r="R734" s="7" t="str">
        <f t="shared" si="192"/>
        <v/>
      </c>
      <c r="S734" s="5"/>
      <c r="U734" s="10"/>
      <c r="V734" s="11" t="str">
        <f t="shared" si="193"/>
        <v/>
      </c>
      <c r="W734" s="6"/>
      <c r="Y734" s="10"/>
      <c r="Z734" s="11" t="str">
        <f t="shared" si="194"/>
        <v/>
      </c>
      <c r="AA734" s="6"/>
      <c r="AB734" s="1">
        <v>1.2</v>
      </c>
      <c r="AC734" s="21" t="str">
        <f t="shared" si="188"/>
        <v/>
      </c>
      <c r="AD734" s="27" t="str">
        <f t="shared" si="197"/>
        <v/>
      </c>
      <c r="AE734" s="27" t="str">
        <f t="shared" si="195"/>
        <v/>
      </c>
      <c r="AF734" s="14">
        <f t="shared" si="189"/>
        <v>0</v>
      </c>
      <c r="AG734" s="12">
        <f t="shared" si="200"/>
        <v>0</v>
      </c>
      <c r="AH734" s="24">
        <f t="shared" si="190"/>
        <v>0</v>
      </c>
      <c r="AI734" s="49" t="e">
        <f t="shared" si="196"/>
        <v>#VALUE!</v>
      </c>
      <c r="AK734" s="50" t="e">
        <f t="shared" si="201"/>
        <v>#VALUE!</v>
      </c>
    </row>
    <row r="735" spans="1:37" x14ac:dyDescent="0.4">
      <c r="A735" s="2">
        <v>1888</v>
      </c>
      <c r="B735" s="16"/>
      <c r="C735" s="22">
        <f t="shared" si="198"/>
        <v>0</v>
      </c>
      <c r="D735" s="23">
        <f t="shared" si="186"/>
        <v>0</v>
      </c>
      <c r="E735" s="14"/>
      <c r="F735" s="12">
        <f t="shared" si="199"/>
        <v>0</v>
      </c>
      <c r="G735" s="24">
        <f t="shared" si="187"/>
        <v>0</v>
      </c>
      <c r="H735" s="14"/>
      <c r="I735" s="14"/>
      <c r="J735" s="29"/>
      <c r="K735" s="30"/>
      <c r="M735" s="17"/>
      <c r="N735" s="7" t="str">
        <f t="shared" si="191"/>
        <v/>
      </c>
      <c r="O735" s="5"/>
      <c r="P735" s="3"/>
      <c r="Q735" s="5"/>
      <c r="R735" s="7" t="str">
        <f t="shared" si="192"/>
        <v/>
      </c>
      <c r="S735" s="5"/>
      <c r="U735" s="10"/>
      <c r="V735" s="11" t="str">
        <f t="shared" si="193"/>
        <v/>
      </c>
      <c r="W735" s="6"/>
      <c r="Y735" s="10"/>
      <c r="Z735" s="11" t="str">
        <f t="shared" si="194"/>
        <v/>
      </c>
      <c r="AA735" s="6"/>
      <c r="AB735" s="1">
        <v>1.2</v>
      </c>
      <c r="AC735" s="21" t="str">
        <f t="shared" si="188"/>
        <v/>
      </c>
      <c r="AD735" s="27" t="str">
        <f t="shared" si="197"/>
        <v/>
      </c>
      <c r="AE735" s="27" t="str">
        <f t="shared" si="195"/>
        <v/>
      </c>
      <c r="AF735" s="14">
        <f t="shared" si="189"/>
        <v>0</v>
      </c>
      <c r="AG735" s="12">
        <f t="shared" si="200"/>
        <v>0</v>
      </c>
      <c r="AH735" s="24">
        <f t="shared" si="190"/>
        <v>0</v>
      </c>
      <c r="AI735" s="49" t="e">
        <f t="shared" si="196"/>
        <v>#VALUE!</v>
      </c>
      <c r="AK735" s="50" t="e">
        <f t="shared" si="201"/>
        <v>#VALUE!</v>
      </c>
    </row>
    <row r="736" spans="1:37" x14ac:dyDescent="0.4">
      <c r="A736" s="2">
        <v>1889</v>
      </c>
      <c r="B736" s="16"/>
      <c r="C736" s="22">
        <f t="shared" si="198"/>
        <v>0</v>
      </c>
      <c r="D736" s="23">
        <f t="shared" si="186"/>
        <v>0</v>
      </c>
      <c r="E736" s="14"/>
      <c r="F736" s="12">
        <f t="shared" si="199"/>
        <v>0</v>
      </c>
      <c r="G736" s="24">
        <f t="shared" si="187"/>
        <v>0</v>
      </c>
      <c r="H736" s="14"/>
      <c r="I736" s="14"/>
      <c r="J736" s="29"/>
      <c r="K736" s="30"/>
      <c r="M736" s="17"/>
      <c r="N736" s="7" t="str">
        <f t="shared" si="191"/>
        <v/>
      </c>
      <c r="O736" s="5"/>
      <c r="P736" s="3"/>
      <c r="Q736" s="5"/>
      <c r="R736" s="7" t="str">
        <f t="shared" si="192"/>
        <v/>
      </c>
      <c r="S736" s="5"/>
      <c r="U736" s="10"/>
      <c r="V736" s="11" t="str">
        <f t="shared" si="193"/>
        <v/>
      </c>
      <c r="W736" s="6"/>
      <c r="Y736" s="10"/>
      <c r="Z736" s="11" t="str">
        <f t="shared" si="194"/>
        <v/>
      </c>
      <c r="AA736" s="6"/>
      <c r="AB736" s="1">
        <v>1.2</v>
      </c>
      <c r="AC736" s="21" t="str">
        <f t="shared" si="188"/>
        <v/>
      </c>
      <c r="AD736" s="27" t="str">
        <f t="shared" si="197"/>
        <v/>
      </c>
      <c r="AE736" s="27" t="str">
        <f t="shared" si="195"/>
        <v/>
      </c>
      <c r="AF736" s="14">
        <f t="shared" si="189"/>
        <v>0</v>
      </c>
      <c r="AG736" s="12">
        <f t="shared" si="200"/>
        <v>0</v>
      </c>
      <c r="AH736" s="24">
        <f t="shared" si="190"/>
        <v>0</v>
      </c>
      <c r="AI736" s="49" t="e">
        <f t="shared" si="196"/>
        <v>#VALUE!</v>
      </c>
      <c r="AK736" s="50" t="e">
        <f t="shared" si="201"/>
        <v>#VALUE!</v>
      </c>
    </row>
    <row r="737" spans="1:37" x14ac:dyDescent="0.4">
      <c r="A737" s="2">
        <v>1890</v>
      </c>
      <c r="B737" s="16"/>
      <c r="C737" s="22">
        <f t="shared" si="198"/>
        <v>0</v>
      </c>
      <c r="D737" s="23">
        <f t="shared" si="186"/>
        <v>0</v>
      </c>
      <c r="E737" s="14"/>
      <c r="F737" s="12">
        <f t="shared" si="199"/>
        <v>0</v>
      </c>
      <c r="G737" s="24">
        <f t="shared" si="187"/>
        <v>0</v>
      </c>
      <c r="H737" s="14"/>
      <c r="I737" s="14"/>
      <c r="J737" s="29"/>
      <c r="K737" s="30"/>
      <c r="M737" s="17"/>
      <c r="N737" s="7" t="str">
        <f t="shared" si="191"/>
        <v/>
      </c>
      <c r="O737" s="5"/>
      <c r="P737" s="3"/>
      <c r="Q737" s="5"/>
      <c r="R737" s="7" t="str">
        <f t="shared" si="192"/>
        <v/>
      </c>
      <c r="S737" s="5"/>
      <c r="U737" s="10"/>
      <c r="V737" s="11" t="str">
        <f t="shared" si="193"/>
        <v/>
      </c>
      <c r="W737" s="6"/>
      <c r="Y737" s="10"/>
      <c r="Z737" s="11" t="str">
        <f t="shared" si="194"/>
        <v/>
      </c>
      <c r="AA737" s="6"/>
      <c r="AB737" s="1">
        <v>1.2</v>
      </c>
      <c r="AC737" s="21" t="str">
        <f t="shared" si="188"/>
        <v/>
      </c>
      <c r="AD737" s="27" t="str">
        <f t="shared" si="197"/>
        <v/>
      </c>
      <c r="AE737" s="27" t="str">
        <f t="shared" si="195"/>
        <v/>
      </c>
      <c r="AF737" s="14">
        <f t="shared" si="189"/>
        <v>0</v>
      </c>
      <c r="AG737" s="12">
        <f t="shared" si="200"/>
        <v>0</v>
      </c>
      <c r="AH737" s="24">
        <f t="shared" si="190"/>
        <v>0</v>
      </c>
      <c r="AI737" s="49" t="e">
        <f t="shared" si="196"/>
        <v>#VALUE!</v>
      </c>
      <c r="AK737" s="50" t="e">
        <f t="shared" si="201"/>
        <v>#VALUE!</v>
      </c>
    </row>
    <row r="738" spans="1:37" x14ac:dyDescent="0.4">
      <c r="A738" s="2">
        <v>1891</v>
      </c>
      <c r="B738" s="16"/>
      <c r="C738" s="22">
        <f t="shared" si="198"/>
        <v>0</v>
      </c>
      <c r="D738" s="23">
        <f t="shared" si="186"/>
        <v>0</v>
      </c>
      <c r="E738" s="14"/>
      <c r="F738" s="12">
        <f t="shared" si="199"/>
        <v>0</v>
      </c>
      <c r="G738" s="24">
        <f t="shared" si="187"/>
        <v>0</v>
      </c>
      <c r="H738" s="14"/>
      <c r="I738" s="14"/>
      <c r="J738" s="29"/>
      <c r="K738" s="30"/>
      <c r="M738" s="17"/>
      <c r="N738" s="7" t="str">
        <f t="shared" si="191"/>
        <v/>
      </c>
      <c r="O738" s="5"/>
      <c r="P738" s="3"/>
      <c r="Q738" s="5"/>
      <c r="R738" s="7" t="str">
        <f t="shared" si="192"/>
        <v/>
      </c>
      <c r="S738" s="5"/>
      <c r="U738" s="10"/>
      <c r="V738" s="11" t="str">
        <f t="shared" si="193"/>
        <v/>
      </c>
      <c r="W738" s="6"/>
      <c r="Y738" s="10"/>
      <c r="Z738" s="11" t="str">
        <f t="shared" si="194"/>
        <v/>
      </c>
      <c r="AA738" s="6"/>
      <c r="AB738" s="1">
        <v>1.2</v>
      </c>
      <c r="AC738" s="21" t="str">
        <f t="shared" si="188"/>
        <v/>
      </c>
      <c r="AD738" s="27" t="str">
        <f t="shared" si="197"/>
        <v/>
      </c>
      <c r="AE738" s="27" t="str">
        <f t="shared" si="195"/>
        <v/>
      </c>
      <c r="AF738" s="14">
        <f t="shared" si="189"/>
        <v>0</v>
      </c>
      <c r="AG738" s="12">
        <f t="shared" si="200"/>
        <v>0</v>
      </c>
      <c r="AH738" s="24">
        <f t="shared" si="190"/>
        <v>0</v>
      </c>
      <c r="AI738" s="49" t="e">
        <f t="shared" si="196"/>
        <v>#VALUE!</v>
      </c>
      <c r="AK738" s="50" t="e">
        <f t="shared" si="201"/>
        <v>#VALUE!</v>
      </c>
    </row>
    <row r="739" spans="1:37" x14ac:dyDescent="0.4">
      <c r="A739" s="2">
        <v>1892</v>
      </c>
      <c r="B739" s="16"/>
      <c r="C739" s="22">
        <f t="shared" si="198"/>
        <v>0</v>
      </c>
      <c r="D739" s="23">
        <f t="shared" si="186"/>
        <v>0</v>
      </c>
      <c r="E739" s="14"/>
      <c r="F739" s="12">
        <f t="shared" si="199"/>
        <v>0</v>
      </c>
      <c r="G739" s="24">
        <f t="shared" si="187"/>
        <v>0</v>
      </c>
      <c r="H739" s="14"/>
      <c r="I739" s="14"/>
      <c r="J739" s="29"/>
      <c r="K739" s="30"/>
      <c r="M739" s="17"/>
      <c r="N739" s="7" t="str">
        <f t="shared" si="191"/>
        <v/>
      </c>
      <c r="O739" s="5"/>
      <c r="P739" s="3"/>
      <c r="Q739" s="5"/>
      <c r="R739" s="7" t="str">
        <f t="shared" si="192"/>
        <v/>
      </c>
      <c r="S739" s="5"/>
      <c r="U739" s="10"/>
      <c r="V739" s="11" t="str">
        <f t="shared" si="193"/>
        <v/>
      </c>
      <c r="W739" s="6"/>
      <c r="Y739" s="10"/>
      <c r="Z739" s="11" t="str">
        <f t="shared" si="194"/>
        <v/>
      </c>
      <c r="AA739" s="6"/>
      <c r="AB739" s="1">
        <v>1.2</v>
      </c>
      <c r="AC739" s="21" t="str">
        <f t="shared" si="188"/>
        <v/>
      </c>
      <c r="AD739" s="27" t="str">
        <f t="shared" si="197"/>
        <v/>
      </c>
      <c r="AE739" s="27" t="str">
        <f t="shared" si="195"/>
        <v/>
      </c>
      <c r="AF739" s="14">
        <f t="shared" si="189"/>
        <v>0</v>
      </c>
      <c r="AG739" s="12">
        <f t="shared" si="200"/>
        <v>0</v>
      </c>
      <c r="AH739" s="24">
        <f t="shared" si="190"/>
        <v>0</v>
      </c>
      <c r="AI739" s="49" t="e">
        <f t="shared" si="196"/>
        <v>#VALUE!</v>
      </c>
      <c r="AK739" s="50" t="e">
        <f t="shared" si="201"/>
        <v>#VALUE!</v>
      </c>
    </row>
    <row r="740" spans="1:37" x14ac:dyDescent="0.4">
      <c r="A740" s="2">
        <v>1893</v>
      </c>
      <c r="B740" s="16"/>
      <c r="C740" s="22">
        <f t="shared" si="198"/>
        <v>0</v>
      </c>
      <c r="D740" s="23">
        <f t="shared" si="186"/>
        <v>0</v>
      </c>
      <c r="E740" s="14"/>
      <c r="F740" s="12">
        <f t="shared" si="199"/>
        <v>0</v>
      </c>
      <c r="G740" s="24">
        <f t="shared" si="187"/>
        <v>0</v>
      </c>
      <c r="H740" s="14"/>
      <c r="I740" s="14"/>
      <c r="J740" s="29"/>
      <c r="K740" s="30"/>
      <c r="M740" s="17"/>
      <c r="N740" s="7" t="str">
        <f t="shared" si="191"/>
        <v/>
      </c>
      <c r="O740" s="5"/>
      <c r="P740" s="3"/>
      <c r="Q740" s="5"/>
      <c r="R740" s="7" t="str">
        <f t="shared" si="192"/>
        <v/>
      </c>
      <c r="S740" s="5"/>
      <c r="U740" s="10"/>
      <c r="V740" s="11" t="str">
        <f t="shared" si="193"/>
        <v/>
      </c>
      <c r="W740" s="6"/>
      <c r="Y740" s="10"/>
      <c r="Z740" s="11" t="str">
        <f t="shared" si="194"/>
        <v/>
      </c>
      <c r="AA740" s="6"/>
      <c r="AB740" s="1">
        <v>1.2</v>
      </c>
      <c r="AC740" s="21" t="str">
        <f t="shared" si="188"/>
        <v/>
      </c>
      <c r="AD740" s="27" t="str">
        <f t="shared" si="197"/>
        <v/>
      </c>
      <c r="AE740" s="27" t="str">
        <f t="shared" si="195"/>
        <v/>
      </c>
      <c r="AF740" s="14">
        <f t="shared" si="189"/>
        <v>0</v>
      </c>
      <c r="AG740" s="12">
        <f t="shared" si="200"/>
        <v>0</v>
      </c>
      <c r="AH740" s="24">
        <f t="shared" si="190"/>
        <v>0</v>
      </c>
      <c r="AI740" s="49" t="e">
        <f t="shared" si="196"/>
        <v>#VALUE!</v>
      </c>
      <c r="AK740" s="50" t="e">
        <f t="shared" si="201"/>
        <v>#VALUE!</v>
      </c>
    </row>
    <row r="741" spans="1:37" x14ac:dyDescent="0.4">
      <c r="A741" s="2">
        <v>1894</v>
      </c>
      <c r="B741" s="16"/>
      <c r="C741" s="22">
        <f t="shared" si="198"/>
        <v>0</v>
      </c>
      <c r="D741" s="23">
        <f t="shared" si="186"/>
        <v>0</v>
      </c>
      <c r="E741" s="14"/>
      <c r="F741" s="12">
        <f t="shared" si="199"/>
        <v>0</v>
      </c>
      <c r="G741" s="24">
        <f t="shared" si="187"/>
        <v>0</v>
      </c>
      <c r="H741" s="14"/>
      <c r="I741" s="14"/>
      <c r="J741" s="29"/>
      <c r="K741" s="30"/>
      <c r="M741" s="17"/>
      <c r="N741" s="7" t="str">
        <f t="shared" si="191"/>
        <v/>
      </c>
      <c r="O741" s="5"/>
      <c r="P741" s="3"/>
      <c r="Q741" s="5"/>
      <c r="R741" s="7" t="str">
        <f t="shared" si="192"/>
        <v/>
      </c>
      <c r="S741" s="5"/>
      <c r="U741" s="10"/>
      <c r="V741" s="11" t="str">
        <f t="shared" si="193"/>
        <v/>
      </c>
      <c r="W741" s="6"/>
      <c r="Y741" s="10"/>
      <c r="Z741" s="11" t="str">
        <f t="shared" si="194"/>
        <v/>
      </c>
      <c r="AA741" s="6"/>
      <c r="AB741" s="1">
        <v>1.2</v>
      </c>
      <c r="AC741" s="21" t="str">
        <f t="shared" si="188"/>
        <v/>
      </c>
      <c r="AD741" s="27" t="str">
        <f t="shared" si="197"/>
        <v/>
      </c>
      <c r="AE741" s="27" t="str">
        <f t="shared" si="195"/>
        <v/>
      </c>
      <c r="AF741" s="14">
        <f t="shared" si="189"/>
        <v>0</v>
      </c>
      <c r="AG741" s="12">
        <f t="shared" si="200"/>
        <v>0</v>
      </c>
      <c r="AH741" s="24">
        <f t="shared" si="190"/>
        <v>0</v>
      </c>
      <c r="AI741" s="49" t="e">
        <f t="shared" si="196"/>
        <v>#VALUE!</v>
      </c>
      <c r="AK741" s="50" t="e">
        <f t="shared" si="201"/>
        <v>#VALUE!</v>
      </c>
    </row>
    <row r="742" spans="1:37" x14ac:dyDescent="0.4">
      <c r="A742" s="2">
        <v>1895</v>
      </c>
      <c r="B742" s="16"/>
      <c r="C742" s="22">
        <f t="shared" si="198"/>
        <v>0</v>
      </c>
      <c r="D742" s="23">
        <f t="shared" si="186"/>
        <v>0</v>
      </c>
      <c r="E742" s="14"/>
      <c r="F742" s="12">
        <f t="shared" si="199"/>
        <v>0</v>
      </c>
      <c r="G742" s="24">
        <f t="shared" si="187"/>
        <v>0</v>
      </c>
      <c r="H742" s="14"/>
      <c r="I742" s="14"/>
      <c r="J742" s="29"/>
      <c r="K742" s="30"/>
      <c r="M742" s="17"/>
      <c r="N742" s="7" t="str">
        <f t="shared" si="191"/>
        <v/>
      </c>
      <c r="O742" s="5"/>
      <c r="P742" s="3"/>
      <c r="Q742" s="5"/>
      <c r="R742" s="7" t="str">
        <f t="shared" si="192"/>
        <v/>
      </c>
      <c r="S742" s="5"/>
      <c r="U742" s="10"/>
      <c r="V742" s="11" t="str">
        <f t="shared" si="193"/>
        <v/>
      </c>
      <c r="W742" s="6"/>
      <c r="Y742" s="10"/>
      <c r="Z742" s="11" t="str">
        <f t="shared" si="194"/>
        <v/>
      </c>
      <c r="AA742" s="6"/>
      <c r="AB742" s="1">
        <v>1.2</v>
      </c>
      <c r="AC742" s="21" t="str">
        <f t="shared" si="188"/>
        <v/>
      </c>
      <c r="AD742" s="27" t="str">
        <f t="shared" si="197"/>
        <v/>
      </c>
      <c r="AE742" s="27" t="str">
        <f t="shared" si="195"/>
        <v/>
      </c>
      <c r="AF742" s="14">
        <f t="shared" si="189"/>
        <v>0</v>
      </c>
      <c r="AG742" s="12">
        <f t="shared" si="200"/>
        <v>0</v>
      </c>
      <c r="AH742" s="24">
        <f t="shared" si="190"/>
        <v>0</v>
      </c>
      <c r="AI742" s="49" t="e">
        <f t="shared" si="196"/>
        <v>#VALUE!</v>
      </c>
      <c r="AK742" s="50" t="e">
        <f t="shared" si="201"/>
        <v>#VALUE!</v>
      </c>
    </row>
    <row r="743" spans="1:37" x14ac:dyDescent="0.4">
      <c r="A743" s="2">
        <v>1896</v>
      </c>
      <c r="B743" s="16"/>
      <c r="C743" s="22">
        <f t="shared" si="198"/>
        <v>0</v>
      </c>
      <c r="D743" s="23">
        <f t="shared" si="186"/>
        <v>0</v>
      </c>
      <c r="E743" s="14"/>
      <c r="F743" s="12">
        <f t="shared" si="199"/>
        <v>0</v>
      </c>
      <c r="G743" s="24">
        <f t="shared" si="187"/>
        <v>0</v>
      </c>
      <c r="H743" s="14"/>
      <c r="I743" s="14"/>
      <c r="J743" s="29"/>
      <c r="K743" s="30"/>
      <c r="M743" s="17"/>
      <c r="N743" s="7" t="str">
        <f t="shared" si="191"/>
        <v/>
      </c>
      <c r="O743" s="5"/>
      <c r="P743" s="3"/>
      <c r="Q743" s="5"/>
      <c r="R743" s="7" t="str">
        <f t="shared" si="192"/>
        <v/>
      </c>
      <c r="S743" s="5"/>
      <c r="U743" s="10"/>
      <c r="V743" s="11" t="str">
        <f t="shared" si="193"/>
        <v/>
      </c>
      <c r="W743" s="6"/>
      <c r="Y743" s="10"/>
      <c r="Z743" s="11" t="str">
        <f t="shared" si="194"/>
        <v/>
      </c>
      <c r="AA743" s="6"/>
      <c r="AB743" s="1">
        <v>1.2</v>
      </c>
      <c r="AC743" s="21" t="str">
        <f t="shared" si="188"/>
        <v/>
      </c>
      <c r="AD743" s="27" t="str">
        <f t="shared" si="197"/>
        <v/>
      </c>
      <c r="AE743" s="27" t="str">
        <f t="shared" si="195"/>
        <v/>
      </c>
      <c r="AF743" s="14">
        <f t="shared" si="189"/>
        <v>0</v>
      </c>
      <c r="AG743" s="12">
        <f t="shared" si="200"/>
        <v>0</v>
      </c>
      <c r="AH743" s="24">
        <f t="shared" si="190"/>
        <v>0</v>
      </c>
      <c r="AI743" s="49" t="e">
        <f t="shared" si="196"/>
        <v>#VALUE!</v>
      </c>
      <c r="AK743" s="50" t="e">
        <f t="shared" si="201"/>
        <v>#VALUE!</v>
      </c>
    </row>
    <row r="744" spans="1:37" x14ac:dyDescent="0.4">
      <c r="A744" s="2">
        <v>1897</v>
      </c>
      <c r="B744" s="16"/>
      <c r="C744" s="22">
        <f t="shared" si="198"/>
        <v>0</v>
      </c>
      <c r="D744" s="23">
        <f t="shared" ref="D744:D807" si="202">B744-INT(B744)</f>
        <v>0</v>
      </c>
      <c r="E744" s="14"/>
      <c r="F744" s="12">
        <f t="shared" si="199"/>
        <v>0</v>
      </c>
      <c r="G744" s="24">
        <f t="shared" ref="G744:G807" si="203">E744-INT(E744)</f>
        <v>0</v>
      </c>
      <c r="H744" s="14"/>
      <c r="I744" s="14"/>
      <c r="J744" s="29"/>
      <c r="K744" s="30"/>
      <c r="M744" s="17"/>
      <c r="N744" s="7" t="str">
        <f t="shared" si="191"/>
        <v/>
      </c>
      <c r="O744" s="5"/>
      <c r="P744" s="3"/>
      <c r="Q744" s="5"/>
      <c r="R744" s="7" t="str">
        <f t="shared" si="192"/>
        <v/>
      </c>
      <c r="S744" s="5"/>
      <c r="U744" s="10"/>
      <c r="V744" s="11" t="str">
        <f t="shared" si="193"/>
        <v/>
      </c>
      <c r="W744" s="6"/>
      <c r="Y744" s="10"/>
      <c r="Z744" s="11" t="str">
        <f t="shared" si="194"/>
        <v/>
      </c>
      <c r="AA744" s="6"/>
      <c r="AB744" s="1">
        <v>1.2</v>
      </c>
      <c r="AC744" s="21" t="str">
        <f t="shared" ref="AC744:AC807" si="204">IF(B744="","",TEXT(E744-B744,"[hh]:mm"))</f>
        <v/>
      </c>
      <c r="AD744" s="27" t="str">
        <f t="shared" si="197"/>
        <v/>
      </c>
      <c r="AE744" s="27" t="str">
        <f t="shared" si="195"/>
        <v/>
      </c>
      <c r="AF744" s="14">
        <f t="shared" ref="AF744:AF807" si="205">MAX(E744,H744,I744)</f>
        <v>0</v>
      </c>
      <c r="AG744" s="12">
        <f t="shared" si="200"/>
        <v>0</v>
      </c>
      <c r="AH744" s="24">
        <f t="shared" ref="AH744:AH807" si="206">AF744-INT(AF744)</f>
        <v>0</v>
      </c>
      <c r="AI744" s="49" t="e">
        <f t="shared" si="196"/>
        <v>#VALUE!</v>
      </c>
      <c r="AK744" s="50" t="e">
        <f t="shared" si="201"/>
        <v>#VALUE!</v>
      </c>
    </row>
    <row r="745" spans="1:37" x14ac:dyDescent="0.4">
      <c r="A745" s="2">
        <v>1898</v>
      </c>
      <c r="B745" s="16"/>
      <c r="C745" s="22">
        <f t="shared" si="198"/>
        <v>0</v>
      </c>
      <c r="D745" s="23">
        <f t="shared" si="202"/>
        <v>0</v>
      </c>
      <c r="E745" s="14"/>
      <c r="F745" s="12">
        <f t="shared" si="199"/>
        <v>0</v>
      </c>
      <c r="G745" s="24">
        <f t="shared" si="203"/>
        <v>0</v>
      </c>
      <c r="H745" s="14"/>
      <c r="I745" s="14"/>
      <c r="J745" s="29"/>
      <c r="K745" s="30"/>
      <c r="M745" s="17"/>
      <c r="N745" s="7" t="str">
        <f t="shared" si="191"/>
        <v/>
      </c>
      <c r="O745" s="5"/>
      <c r="P745" s="3"/>
      <c r="Q745" s="5"/>
      <c r="R745" s="7" t="str">
        <f t="shared" si="192"/>
        <v/>
      </c>
      <c r="S745" s="5"/>
      <c r="U745" s="10"/>
      <c r="V745" s="11" t="str">
        <f t="shared" si="193"/>
        <v/>
      </c>
      <c r="W745" s="6"/>
      <c r="Y745" s="10"/>
      <c r="Z745" s="11" t="str">
        <f t="shared" si="194"/>
        <v/>
      </c>
      <c r="AA745" s="6"/>
      <c r="AB745" s="1">
        <v>1.2</v>
      </c>
      <c r="AC745" s="21" t="str">
        <f t="shared" si="204"/>
        <v/>
      </c>
      <c r="AD745" s="27" t="str">
        <f t="shared" si="197"/>
        <v/>
      </c>
      <c r="AE745" s="27" t="str">
        <f t="shared" si="195"/>
        <v/>
      </c>
      <c r="AF745" s="14">
        <f t="shared" si="205"/>
        <v>0</v>
      </c>
      <c r="AG745" s="12">
        <f t="shared" si="200"/>
        <v>0</v>
      </c>
      <c r="AH745" s="24">
        <f t="shared" si="206"/>
        <v>0</v>
      </c>
      <c r="AI745" s="49" t="e">
        <f t="shared" si="196"/>
        <v>#VALUE!</v>
      </c>
      <c r="AK745" s="50" t="e">
        <f t="shared" si="201"/>
        <v>#VALUE!</v>
      </c>
    </row>
    <row r="746" spans="1:37" x14ac:dyDescent="0.4">
      <c r="A746" s="2">
        <v>1899</v>
      </c>
      <c r="B746" s="16"/>
      <c r="C746" s="22">
        <f t="shared" si="198"/>
        <v>0</v>
      </c>
      <c r="D746" s="23">
        <f t="shared" si="202"/>
        <v>0</v>
      </c>
      <c r="E746" s="14"/>
      <c r="F746" s="12">
        <f t="shared" si="199"/>
        <v>0</v>
      </c>
      <c r="G746" s="24">
        <f t="shared" si="203"/>
        <v>0</v>
      </c>
      <c r="H746" s="14"/>
      <c r="I746" s="14"/>
      <c r="J746" s="29"/>
      <c r="K746" s="30"/>
      <c r="M746" s="17"/>
      <c r="N746" s="7" t="str">
        <f t="shared" si="191"/>
        <v/>
      </c>
      <c r="O746" s="5"/>
      <c r="P746" s="3"/>
      <c r="Q746" s="5"/>
      <c r="R746" s="7" t="str">
        <f t="shared" si="192"/>
        <v/>
      </c>
      <c r="S746" s="5"/>
      <c r="U746" s="10"/>
      <c r="V746" s="11" t="str">
        <f t="shared" si="193"/>
        <v/>
      </c>
      <c r="W746" s="6"/>
      <c r="Y746" s="10"/>
      <c r="Z746" s="11" t="str">
        <f t="shared" si="194"/>
        <v/>
      </c>
      <c r="AA746" s="6"/>
      <c r="AB746" s="1">
        <v>1.2</v>
      </c>
      <c r="AC746" s="21" t="str">
        <f t="shared" si="204"/>
        <v/>
      </c>
      <c r="AD746" s="27" t="str">
        <f t="shared" si="197"/>
        <v/>
      </c>
      <c r="AE746" s="27" t="str">
        <f t="shared" si="195"/>
        <v/>
      </c>
      <c r="AF746" s="14">
        <f t="shared" si="205"/>
        <v>0</v>
      </c>
      <c r="AG746" s="12">
        <f t="shared" si="200"/>
        <v>0</v>
      </c>
      <c r="AH746" s="24">
        <f t="shared" si="206"/>
        <v>0</v>
      </c>
      <c r="AI746" s="49" t="e">
        <f t="shared" si="196"/>
        <v>#VALUE!</v>
      </c>
      <c r="AK746" s="50" t="e">
        <f t="shared" si="201"/>
        <v>#VALUE!</v>
      </c>
    </row>
    <row r="747" spans="1:37" x14ac:dyDescent="0.4">
      <c r="A747" s="2">
        <v>1900</v>
      </c>
      <c r="B747" s="16"/>
      <c r="C747" s="22">
        <f t="shared" si="198"/>
        <v>0</v>
      </c>
      <c r="D747" s="23">
        <f t="shared" si="202"/>
        <v>0</v>
      </c>
      <c r="E747" s="14"/>
      <c r="F747" s="12">
        <f t="shared" si="199"/>
        <v>0</v>
      </c>
      <c r="G747" s="24">
        <f t="shared" si="203"/>
        <v>0</v>
      </c>
      <c r="H747" s="14"/>
      <c r="I747" s="14"/>
      <c r="J747" s="29"/>
      <c r="K747" s="30"/>
      <c r="M747" s="17"/>
      <c r="N747" s="7" t="str">
        <f t="shared" si="191"/>
        <v/>
      </c>
      <c r="O747" s="5"/>
      <c r="P747" s="3"/>
      <c r="Q747" s="5"/>
      <c r="R747" s="7" t="str">
        <f t="shared" si="192"/>
        <v/>
      </c>
      <c r="S747" s="5"/>
      <c r="U747" s="10"/>
      <c r="V747" s="11" t="str">
        <f t="shared" si="193"/>
        <v/>
      </c>
      <c r="W747" s="6"/>
      <c r="Y747" s="10"/>
      <c r="Z747" s="11" t="str">
        <f t="shared" si="194"/>
        <v/>
      </c>
      <c r="AA747" s="6"/>
      <c r="AB747" s="1">
        <v>1.2</v>
      </c>
      <c r="AC747" s="21" t="str">
        <f t="shared" si="204"/>
        <v/>
      </c>
      <c r="AD747" s="27" t="str">
        <f t="shared" si="197"/>
        <v/>
      </c>
      <c r="AE747" s="27" t="str">
        <f t="shared" si="195"/>
        <v/>
      </c>
      <c r="AF747" s="14">
        <f t="shared" si="205"/>
        <v>0</v>
      </c>
      <c r="AG747" s="12">
        <f t="shared" si="200"/>
        <v>0</v>
      </c>
      <c r="AH747" s="24">
        <f t="shared" si="206"/>
        <v>0</v>
      </c>
      <c r="AI747" s="49" t="e">
        <f t="shared" si="196"/>
        <v>#VALUE!</v>
      </c>
      <c r="AK747" s="50" t="e">
        <f t="shared" si="201"/>
        <v>#VALUE!</v>
      </c>
    </row>
    <row r="748" spans="1:37" x14ac:dyDescent="0.4">
      <c r="A748" s="2">
        <v>1901</v>
      </c>
      <c r="B748" s="16"/>
      <c r="C748" s="22">
        <f t="shared" si="198"/>
        <v>0</v>
      </c>
      <c r="D748" s="23">
        <f t="shared" si="202"/>
        <v>0</v>
      </c>
      <c r="E748" s="14"/>
      <c r="F748" s="12">
        <f t="shared" si="199"/>
        <v>0</v>
      </c>
      <c r="G748" s="24">
        <f t="shared" si="203"/>
        <v>0</v>
      </c>
      <c r="H748" s="14"/>
      <c r="I748" s="14"/>
      <c r="J748" s="29"/>
      <c r="K748" s="30"/>
      <c r="M748" s="17"/>
      <c r="N748" s="7" t="str">
        <f t="shared" si="191"/>
        <v/>
      </c>
      <c r="O748" s="5"/>
      <c r="P748" s="3"/>
      <c r="Q748" s="5"/>
      <c r="R748" s="7" t="str">
        <f t="shared" si="192"/>
        <v/>
      </c>
      <c r="S748" s="5"/>
      <c r="U748" s="10"/>
      <c r="V748" s="11" t="str">
        <f t="shared" si="193"/>
        <v/>
      </c>
      <c r="W748" s="6"/>
      <c r="Y748" s="10"/>
      <c r="Z748" s="11" t="str">
        <f t="shared" si="194"/>
        <v/>
      </c>
      <c r="AA748" s="6"/>
      <c r="AB748" s="1">
        <v>1.2</v>
      </c>
      <c r="AC748" s="21" t="str">
        <f t="shared" si="204"/>
        <v/>
      </c>
      <c r="AD748" s="27" t="str">
        <f t="shared" si="197"/>
        <v/>
      </c>
      <c r="AE748" s="27" t="str">
        <f t="shared" si="195"/>
        <v/>
      </c>
      <c r="AF748" s="14">
        <f t="shared" si="205"/>
        <v>0</v>
      </c>
      <c r="AG748" s="12">
        <f t="shared" si="200"/>
        <v>0</v>
      </c>
      <c r="AH748" s="24">
        <f t="shared" si="206"/>
        <v>0</v>
      </c>
      <c r="AI748" s="49" t="e">
        <f t="shared" si="196"/>
        <v>#VALUE!</v>
      </c>
      <c r="AK748" s="50" t="e">
        <f t="shared" si="201"/>
        <v>#VALUE!</v>
      </c>
    </row>
    <row r="749" spans="1:37" x14ac:dyDescent="0.4">
      <c r="A749" s="2">
        <v>1902</v>
      </c>
      <c r="B749" s="16"/>
      <c r="C749" s="22">
        <f t="shared" si="198"/>
        <v>0</v>
      </c>
      <c r="D749" s="23">
        <f t="shared" si="202"/>
        <v>0</v>
      </c>
      <c r="E749" s="14"/>
      <c r="F749" s="12">
        <f t="shared" si="199"/>
        <v>0</v>
      </c>
      <c r="G749" s="24">
        <f t="shared" si="203"/>
        <v>0</v>
      </c>
      <c r="H749" s="14"/>
      <c r="I749" s="14"/>
      <c r="J749" s="29"/>
      <c r="K749" s="30"/>
      <c r="M749" s="17"/>
      <c r="N749" s="7" t="str">
        <f t="shared" si="191"/>
        <v/>
      </c>
      <c r="O749" s="5"/>
      <c r="P749" s="3"/>
      <c r="Q749" s="5"/>
      <c r="R749" s="7" t="str">
        <f t="shared" si="192"/>
        <v/>
      </c>
      <c r="S749" s="5"/>
      <c r="U749" s="10"/>
      <c r="V749" s="11" t="str">
        <f t="shared" si="193"/>
        <v/>
      </c>
      <c r="W749" s="6"/>
      <c r="Y749" s="10"/>
      <c r="Z749" s="11" t="str">
        <f t="shared" si="194"/>
        <v/>
      </c>
      <c r="AA749" s="6"/>
      <c r="AB749" s="1">
        <v>1.2</v>
      </c>
      <c r="AC749" s="21" t="str">
        <f t="shared" si="204"/>
        <v/>
      </c>
      <c r="AD749" s="27" t="str">
        <f t="shared" si="197"/>
        <v/>
      </c>
      <c r="AE749" s="27" t="str">
        <f t="shared" si="195"/>
        <v/>
      </c>
      <c r="AF749" s="14">
        <f t="shared" si="205"/>
        <v>0</v>
      </c>
      <c r="AG749" s="12">
        <f t="shared" si="200"/>
        <v>0</v>
      </c>
      <c r="AH749" s="24">
        <f t="shared" si="206"/>
        <v>0</v>
      </c>
      <c r="AI749" s="49" t="e">
        <f t="shared" si="196"/>
        <v>#VALUE!</v>
      </c>
      <c r="AK749" s="50" t="e">
        <f t="shared" si="201"/>
        <v>#VALUE!</v>
      </c>
    </row>
    <row r="750" spans="1:37" x14ac:dyDescent="0.4">
      <c r="A750" s="2">
        <v>1903</v>
      </c>
      <c r="B750" s="16"/>
      <c r="C750" s="22">
        <f t="shared" si="198"/>
        <v>0</v>
      </c>
      <c r="D750" s="23">
        <f t="shared" si="202"/>
        <v>0</v>
      </c>
      <c r="E750" s="14"/>
      <c r="F750" s="12">
        <f t="shared" si="199"/>
        <v>0</v>
      </c>
      <c r="G750" s="24">
        <f t="shared" si="203"/>
        <v>0</v>
      </c>
      <c r="H750" s="14"/>
      <c r="I750" s="14"/>
      <c r="J750" s="29"/>
      <c r="K750" s="30"/>
      <c r="M750" s="17"/>
      <c r="N750" s="7" t="str">
        <f t="shared" si="191"/>
        <v/>
      </c>
      <c r="O750" s="5"/>
      <c r="P750" s="3"/>
      <c r="Q750" s="5"/>
      <c r="R750" s="7" t="str">
        <f t="shared" si="192"/>
        <v/>
      </c>
      <c r="S750" s="5"/>
      <c r="U750" s="10"/>
      <c r="V750" s="11" t="str">
        <f t="shared" si="193"/>
        <v/>
      </c>
      <c r="W750" s="6"/>
      <c r="Y750" s="10"/>
      <c r="Z750" s="11" t="str">
        <f t="shared" si="194"/>
        <v/>
      </c>
      <c r="AA750" s="6"/>
      <c r="AB750" s="1">
        <v>1.2</v>
      </c>
      <c r="AC750" s="21" t="str">
        <f t="shared" si="204"/>
        <v/>
      </c>
      <c r="AD750" s="27" t="str">
        <f t="shared" si="197"/>
        <v/>
      </c>
      <c r="AE750" s="27" t="str">
        <f t="shared" si="195"/>
        <v/>
      </c>
      <c r="AF750" s="14">
        <f t="shared" si="205"/>
        <v>0</v>
      </c>
      <c r="AG750" s="12">
        <f t="shared" si="200"/>
        <v>0</v>
      </c>
      <c r="AH750" s="24">
        <f t="shared" si="206"/>
        <v>0</v>
      </c>
      <c r="AI750" s="49" t="e">
        <f t="shared" si="196"/>
        <v>#VALUE!</v>
      </c>
      <c r="AK750" s="50" t="e">
        <f t="shared" si="201"/>
        <v>#VALUE!</v>
      </c>
    </row>
    <row r="751" spans="1:37" x14ac:dyDescent="0.4">
      <c r="A751" s="2">
        <v>1904</v>
      </c>
      <c r="B751" s="16"/>
      <c r="C751" s="22">
        <f t="shared" si="198"/>
        <v>0</v>
      </c>
      <c r="D751" s="23">
        <f t="shared" si="202"/>
        <v>0</v>
      </c>
      <c r="E751" s="14"/>
      <c r="F751" s="12">
        <f t="shared" si="199"/>
        <v>0</v>
      </c>
      <c r="G751" s="24">
        <f t="shared" si="203"/>
        <v>0</v>
      </c>
      <c r="H751" s="14"/>
      <c r="I751" s="14"/>
      <c r="J751" s="29"/>
      <c r="K751" s="30"/>
      <c r="M751" s="17"/>
      <c r="N751" s="7" t="str">
        <f t="shared" si="191"/>
        <v/>
      </c>
      <c r="O751" s="5"/>
      <c r="P751" s="3"/>
      <c r="Q751" s="5"/>
      <c r="R751" s="7" t="str">
        <f t="shared" si="192"/>
        <v/>
      </c>
      <c r="S751" s="5"/>
      <c r="U751" s="10"/>
      <c r="V751" s="11" t="str">
        <f t="shared" si="193"/>
        <v/>
      </c>
      <c r="W751" s="6"/>
      <c r="Y751" s="10"/>
      <c r="Z751" s="11" t="str">
        <f t="shared" si="194"/>
        <v/>
      </c>
      <c r="AA751" s="6"/>
      <c r="AB751" s="1">
        <v>1.2</v>
      </c>
      <c r="AC751" s="21" t="str">
        <f t="shared" si="204"/>
        <v/>
      </c>
      <c r="AD751" s="27" t="str">
        <f t="shared" si="197"/>
        <v/>
      </c>
      <c r="AE751" s="27" t="str">
        <f t="shared" si="195"/>
        <v/>
      </c>
      <c r="AF751" s="14">
        <f t="shared" si="205"/>
        <v>0</v>
      </c>
      <c r="AG751" s="12">
        <f t="shared" si="200"/>
        <v>0</v>
      </c>
      <c r="AH751" s="24">
        <f t="shared" si="206"/>
        <v>0</v>
      </c>
      <c r="AI751" s="49" t="e">
        <f t="shared" si="196"/>
        <v>#VALUE!</v>
      </c>
      <c r="AK751" s="50" t="e">
        <f t="shared" si="201"/>
        <v>#VALUE!</v>
      </c>
    </row>
    <row r="752" spans="1:37" x14ac:dyDescent="0.4">
      <c r="A752" s="2">
        <v>1905</v>
      </c>
      <c r="B752" s="16"/>
      <c r="C752" s="22">
        <f t="shared" si="198"/>
        <v>0</v>
      </c>
      <c r="D752" s="23">
        <f t="shared" si="202"/>
        <v>0</v>
      </c>
      <c r="E752" s="14"/>
      <c r="F752" s="12">
        <f t="shared" si="199"/>
        <v>0</v>
      </c>
      <c r="G752" s="24">
        <f t="shared" si="203"/>
        <v>0</v>
      </c>
      <c r="H752" s="14"/>
      <c r="I752" s="14"/>
      <c r="J752" s="29"/>
      <c r="K752" s="30"/>
      <c r="M752" s="17"/>
      <c r="N752" s="7" t="str">
        <f t="shared" si="191"/>
        <v/>
      </c>
      <c r="O752" s="5"/>
      <c r="P752" s="3"/>
      <c r="Q752" s="5"/>
      <c r="R752" s="7" t="str">
        <f t="shared" si="192"/>
        <v/>
      </c>
      <c r="S752" s="5"/>
      <c r="U752" s="10"/>
      <c r="V752" s="11" t="str">
        <f t="shared" si="193"/>
        <v/>
      </c>
      <c r="W752" s="6"/>
      <c r="Y752" s="10"/>
      <c r="Z752" s="11" t="str">
        <f t="shared" si="194"/>
        <v/>
      </c>
      <c r="AA752" s="6"/>
      <c r="AB752" s="1">
        <v>1.2</v>
      </c>
      <c r="AC752" s="21" t="str">
        <f t="shared" si="204"/>
        <v/>
      </c>
      <c r="AD752" s="27" t="str">
        <f t="shared" si="197"/>
        <v/>
      </c>
      <c r="AE752" s="27" t="str">
        <f t="shared" si="195"/>
        <v/>
      </c>
      <c r="AF752" s="14">
        <f t="shared" si="205"/>
        <v>0</v>
      </c>
      <c r="AG752" s="12">
        <f t="shared" si="200"/>
        <v>0</v>
      </c>
      <c r="AH752" s="24">
        <f t="shared" si="206"/>
        <v>0</v>
      </c>
      <c r="AI752" s="49" t="e">
        <f t="shared" si="196"/>
        <v>#VALUE!</v>
      </c>
      <c r="AK752" s="50" t="e">
        <f t="shared" si="201"/>
        <v>#VALUE!</v>
      </c>
    </row>
    <row r="753" spans="1:37" x14ac:dyDescent="0.4">
      <c r="A753" s="2">
        <v>1906</v>
      </c>
      <c r="B753" s="16"/>
      <c r="C753" s="22">
        <f t="shared" si="198"/>
        <v>0</v>
      </c>
      <c r="D753" s="23">
        <f t="shared" si="202"/>
        <v>0</v>
      </c>
      <c r="E753" s="14"/>
      <c r="F753" s="12">
        <f t="shared" si="199"/>
        <v>0</v>
      </c>
      <c r="G753" s="24">
        <f t="shared" si="203"/>
        <v>0</v>
      </c>
      <c r="H753" s="14"/>
      <c r="I753" s="14"/>
      <c r="J753" s="29"/>
      <c r="K753" s="30"/>
      <c r="M753" s="17"/>
      <c r="N753" s="7" t="str">
        <f t="shared" si="191"/>
        <v/>
      </c>
      <c r="O753" s="5"/>
      <c r="P753" s="3"/>
      <c r="Q753" s="5"/>
      <c r="R753" s="7" t="str">
        <f t="shared" si="192"/>
        <v/>
      </c>
      <c r="S753" s="5"/>
      <c r="U753" s="10"/>
      <c r="V753" s="11" t="str">
        <f t="shared" si="193"/>
        <v/>
      </c>
      <c r="W753" s="6"/>
      <c r="Y753" s="10"/>
      <c r="Z753" s="11" t="str">
        <f t="shared" si="194"/>
        <v/>
      </c>
      <c r="AA753" s="6"/>
      <c r="AB753" s="1">
        <v>1.2</v>
      </c>
      <c r="AC753" s="21" t="str">
        <f t="shared" si="204"/>
        <v/>
      </c>
      <c r="AD753" s="27" t="str">
        <f t="shared" si="197"/>
        <v/>
      </c>
      <c r="AE753" s="27" t="str">
        <f t="shared" si="195"/>
        <v/>
      </c>
      <c r="AF753" s="14">
        <f t="shared" si="205"/>
        <v>0</v>
      </c>
      <c r="AG753" s="12">
        <f t="shared" si="200"/>
        <v>0</v>
      </c>
      <c r="AH753" s="24">
        <f t="shared" si="206"/>
        <v>0</v>
      </c>
      <c r="AI753" s="49" t="e">
        <f t="shared" si="196"/>
        <v>#VALUE!</v>
      </c>
      <c r="AK753" s="50" t="e">
        <f t="shared" si="201"/>
        <v>#VALUE!</v>
      </c>
    </row>
    <row r="754" spans="1:37" x14ac:dyDescent="0.4">
      <c r="A754" s="2">
        <v>1907</v>
      </c>
      <c r="B754" s="16"/>
      <c r="C754" s="22">
        <f t="shared" si="198"/>
        <v>0</v>
      </c>
      <c r="D754" s="23">
        <f t="shared" si="202"/>
        <v>0</v>
      </c>
      <c r="E754" s="14"/>
      <c r="F754" s="12">
        <f t="shared" si="199"/>
        <v>0</v>
      </c>
      <c r="G754" s="24">
        <f t="shared" si="203"/>
        <v>0</v>
      </c>
      <c r="H754" s="14"/>
      <c r="I754" s="14"/>
      <c r="J754" s="29"/>
      <c r="K754" s="30"/>
      <c r="M754" s="17"/>
      <c r="N754" s="7" t="str">
        <f t="shared" si="191"/>
        <v/>
      </c>
      <c r="O754" s="5"/>
      <c r="P754" s="3"/>
      <c r="Q754" s="5"/>
      <c r="R754" s="7" t="str">
        <f t="shared" si="192"/>
        <v/>
      </c>
      <c r="S754" s="5"/>
      <c r="U754" s="10"/>
      <c r="V754" s="11" t="str">
        <f t="shared" si="193"/>
        <v/>
      </c>
      <c r="W754" s="6"/>
      <c r="Y754" s="10"/>
      <c r="Z754" s="11" t="str">
        <f t="shared" si="194"/>
        <v/>
      </c>
      <c r="AA754" s="6"/>
      <c r="AB754" s="1">
        <v>1.2</v>
      </c>
      <c r="AC754" s="21" t="str">
        <f t="shared" si="204"/>
        <v/>
      </c>
      <c r="AD754" s="27" t="str">
        <f t="shared" si="197"/>
        <v/>
      </c>
      <c r="AE754" s="27" t="str">
        <f t="shared" si="195"/>
        <v/>
      </c>
      <c r="AF754" s="14">
        <f t="shared" si="205"/>
        <v>0</v>
      </c>
      <c r="AG754" s="12">
        <f t="shared" si="200"/>
        <v>0</v>
      </c>
      <c r="AH754" s="24">
        <f t="shared" si="206"/>
        <v>0</v>
      </c>
      <c r="AI754" s="49" t="e">
        <f t="shared" si="196"/>
        <v>#VALUE!</v>
      </c>
      <c r="AK754" s="50" t="e">
        <f t="shared" si="201"/>
        <v>#VALUE!</v>
      </c>
    </row>
    <row r="755" spans="1:37" x14ac:dyDescent="0.4">
      <c r="A755" s="2">
        <v>1908</v>
      </c>
      <c r="B755" s="16"/>
      <c r="C755" s="22">
        <f t="shared" si="198"/>
        <v>0</v>
      </c>
      <c r="D755" s="23">
        <f t="shared" si="202"/>
        <v>0</v>
      </c>
      <c r="E755" s="14"/>
      <c r="F755" s="12">
        <f t="shared" si="199"/>
        <v>0</v>
      </c>
      <c r="G755" s="24">
        <f t="shared" si="203"/>
        <v>0</v>
      </c>
      <c r="H755" s="14"/>
      <c r="I755" s="14"/>
      <c r="J755" s="29"/>
      <c r="K755" s="30"/>
      <c r="M755" s="17"/>
      <c r="N755" s="7" t="str">
        <f t="shared" si="191"/>
        <v/>
      </c>
      <c r="O755" s="5"/>
      <c r="P755" s="3"/>
      <c r="Q755" s="5"/>
      <c r="R755" s="7" t="str">
        <f t="shared" si="192"/>
        <v/>
      </c>
      <c r="S755" s="5"/>
      <c r="U755" s="10"/>
      <c r="V755" s="11" t="str">
        <f t="shared" si="193"/>
        <v/>
      </c>
      <c r="W755" s="6"/>
      <c r="Y755" s="10"/>
      <c r="Z755" s="11" t="str">
        <f t="shared" si="194"/>
        <v/>
      </c>
      <c r="AA755" s="6"/>
      <c r="AB755" s="1">
        <v>1.2</v>
      </c>
      <c r="AC755" s="21" t="str">
        <f t="shared" si="204"/>
        <v/>
      </c>
      <c r="AD755" s="27" t="str">
        <f t="shared" si="197"/>
        <v/>
      </c>
      <c r="AE755" s="27" t="str">
        <f t="shared" si="195"/>
        <v/>
      </c>
      <c r="AF755" s="14">
        <f t="shared" si="205"/>
        <v>0</v>
      </c>
      <c r="AG755" s="12">
        <f t="shared" si="200"/>
        <v>0</v>
      </c>
      <c r="AH755" s="24">
        <f t="shared" si="206"/>
        <v>0</v>
      </c>
      <c r="AI755" s="49" t="e">
        <f t="shared" si="196"/>
        <v>#VALUE!</v>
      </c>
      <c r="AK755" s="50" t="e">
        <f t="shared" si="201"/>
        <v>#VALUE!</v>
      </c>
    </row>
    <row r="756" spans="1:37" x14ac:dyDescent="0.4">
      <c r="A756" s="2">
        <v>1909</v>
      </c>
      <c r="B756" s="16"/>
      <c r="C756" s="22">
        <f t="shared" si="198"/>
        <v>0</v>
      </c>
      <c r="D756" s="23">
        <f t="shared" si="202"/>
        <v>0</v>
      </c>
      <c r="E756" s="14"/>
      <c r="F756" s="12">
        <f t="shared" si="199"/>
        <v>0</v>
      </c>
      <c r="G756" s="24">
        <f t="shared" si="203"/>
        <v>0</v>
      </c>
      <c r="H756" s="14"/>
      <c r="I756" s="14"/>
      <c r="J756" s="29"/>
      <c r="K756" s="30"/>
      <c r="M756" s="17"/>
      <c r="N756" s="7" t="str">
        <f t="shared" si="191"/>
        <v/>
      </c>
      <c r="O756" s="5"/>
      <c r="P756" s="3"/>
      <c r="Q756" s="5"/>
      <c r="R756" s="7" t="str">
        <f t="shared" si="192"/>
        <v/>
      </c>
      <c r="S756" s="5"/>
      <c r="U756" s="10"/>
      <c r="V756" s="11" t="str">
        <f t="shared" si="193"/>
        <v/>
      </c>
      <c r="W756" s="6"/>
      <c r="Y756" s="10"/>
      <c r="Z756" s="11" t="str">
        <f t="shared" si="194"/>
        <v/>
      </c>
      <c r="AA756" s="6"/>
      <c r="AB756" s="1">
        <v>1.2</v>
      </c>
      <c r="AC756" s="21" t="str">
        <f t="shared" si="204"/>
        <v/>
      </c>
      <c r="AD756" s="27" t="str">
        <f t="shared" si="197"/>
        <v/>
      </c>
      <c r="AE756" s="27" t="str">
        <f t="shared" si="195"/>
        <v/>
      </c>
      <c r="AF756" s="14">
        <f t="shared" si="205"/>
        <v>0</v>
      </c>
      <c r="AG756" s="12">
        <f t="shared" si="200"/>
        <v>0</v>
      </c>
      <c r="AH756" s="24">
        <f t="shared" si="206"/>
        <v>0</v>
      </c>
      <c r="AI756" s="49" t="e">
        <f t="shared" si="196"/>
        <v>#VALUE!</v>
      </c>
      <c r="AK756" s="50" t="e">
        <f t="shared" si="201"/>
        <v>#VALUE!</v>
      </c>
    </row>
    <row r="757" spans="1:37" x14ac:dyDescent="0.4">
      <c r="A757" s="2">
        <v>1910</v>
      </c>
      <c r="B757" s="16"/>
      <c r="C757" s="22">
        <f t="shared" si="198"/>
        <v>0</v>
      </c>
      <c r="D757" s="23">
        <f t="shared" si="202"/>
        <v>0</v>
      </c>
      <c r="E757" s="14"/>
      <c r="F757" s="12">
        <f t="shared" si="199"/>
        <v>0</v>
      </c>
      <c r="G757" s="24">
        <f t="shared" si="203"/>
        <v>0</v>
      </c>
      <c r="H757" s="14"/>
      <c r="I757" s="14"/>
      <c r="J757" s="29"/>
      <c r="K757" s="30"/>
      <c r="M757" s="17"/>
      <c r="N757" s="7" t="str">
        <f t="shared" si="191"/>
        <v/>
      </c>
      <c r="O757" s="5"/>
      <c r="P757" s="3"/>
      <c r="Q757" s="5"/>
      <c r="R757" s="7" t="str">
        <f t="shared" si="192"/>
        <v/>
      </c>
      <c r="S757" s="5"/>
      <c r="U757" s="10"/>
      <c r="V757" s="11" t="str">
        <f t="shared" si="193"/>
        <v/>
      </c>
      <c r="W757" s="6"/>
      <c r="Y757" s="10"/>
      <c r="Z757" s="11" t="str">
        <f t="shared" si="194"/>
        <v/>
      </c>
      <c r="AA757" s="6"/>
      <c r="AB757" s="1">
        <v>1.2</v>
      </c>
      <c r="AC757" s="21" t="str">
        <f t="shared" si="204"/>
        <v/>
      </c>
      <c r="AD757" s="27" t="str">
        <f t="shared" si="197"/>
        <v/>
      </c>
      <c r="AE757" s="27" t="str">
        <f t="shared" si="195"/>
        <v/>
      </c>
      <c r="AF757" s="14">
        <f t="shared" si="205"/>
        <v>0</v>
      </c>
      <c r="AG757" s="12">
        <f t="shared" si="200"/>
        <v>0</v>
      </c>
      <c r="AH757" s="24">
        <f t="shared" si="206"/>
        <v>0</v>
      </c>
      <c r="AI757" s="49" t="e">
        <f t="shared" si="196"/>
        <v>#VALUE!</v>
      </c>
      <c r="AK757" s="50" t="e">
        <f t="shared" si="201"/>
        <v>#VALUE!</v>
      </c>
    </row>
    <row r="758" spans="1:37" x14ac:dyDescent="0.4">
      <c r="A758" s="2">
        <v>1911</v>
      </c>
      <c r="B758" s="16"/>
      <c r="C758" s="22">
        <f t="shared" si="198"/>
        <v>0</v>
      </c>
      <c r="D758" s="23">
        <f t="shared" si="202"/>
        <v>0</v>
      </c>
      <c r="E758" s="14"/>
      <c r="F758" s="12">
        <f t="shared" si="199"/>
        <v>0</v>
      </c>
      <c r="G758" s="24">
        <f t="shared" si="203"/>
        <v>0</v>
      </c>
      <c r="H758" s="14"/>
      <c r="I758" s="14"/>
      <c r="J758" s="29"/>
      <c r="K758" s="30"/>
      <c r="M758" s="17"/>
      <c r="N758" s="7" t="str">
        <f t="shared" si="191"/>
        <v/>
      </c>
      <c r="O758" s="5"/>
      <c r="P758" s="3"/>
      <c r="Q758" s="5"/>
      <c r="R758" s="7" t="str">
        <f t="shared" si="192"/>
        <v/>
      </c>
      <c r="S758" s="5"/>
      <c r="U758" s="10"/>
      <c r="V758" s="11" t="str">
        <f t="shared" si="193"/>
        <v/>
      </c>
      <c r="W758" s="6"/>
      <c r="Y758" s="10"/>
      <c r="Z758" s="11" t="str">
        <f t="shared" si="194"/>
        <v/>
      </c>
      <c r="AA758" s="6"/>
      <c r="AB758" s="1">
        <v>1.2</v>
      </c>
      <c r="AC758" s="21" t="str">
        <f t="shared" si="204"/>
        <v/>
      </c>
      <c r="AD758" s="27" t="str">
        <f t="shared" si="197"/>
        <v/>
      </c>
      <c r="AE758" s="27" t="str">
        <f t="shared" si="195"/>
        <v/>
      </c>
      <c r="AF758" s="14">
        <f t="shared" si="205"/>
        <v>0</v>
      </c>
      <c r="AG758" s="12">
        <f t="shared" si="200"/>
        <v>0</v>
      </c>
      <c r="AH758" s="24">
        <f t="shared" si="206"/>
        <v>0</v>
      </c>
      <c r="AI758" s="49" t="e">
        <f t="shared" si="196"/>
        <v>#VALUE!</v>
      </c>
      <c r="AK758" s="50" t="e">
        <f t="shared" si="201"/>
        <v>#VALUE!</v>
      </c>
    </row>
    <row r="759" spans="1:37" x14ac:dyDescent="0.4">
      <c r="A759" s="2">
        <v>1912</v>
      </c>
      <c r="B759" s="16"/>
      <c r="C759" s="22">
        <f t="shared" si="198"/>
        <v>0</v>
      </c>
      <c r="D759" s="23">
        <f t="shared" si="202"/>
        <v>0</v>
      </c>
      <c r="E759" s="14"/>
      <c r="F759" s="12">
        <f t="shared" si="199"/>
        <v>0</v>
      </c>
      <c r="G759" s="24">
        <f t="shared" si="203"/>
        <v>0</v>
      </c>
      <c r="H759" s="14"/>
      <c r="I759" s="14"/>
      <c r="J759" s="29"/>
      <c r="K759" s="30"/>
      <c r="M759" s="17"/>
      <c r="N759" s="7" t="str">
        <f t="shared" si="191"/>
        <v/>
      </c>
      <c r="O759" s="5"/>
      <c r="P759" s="3"/>
      <c r="Q759" s="5"/>
      <c r="R759" s="7" t="str">
        <f t="shared" si="192"/>
        <v/>
      </c>
      <c r="S759" s="5"/>
      <c r="U759" s="10"/>
      <c r="V759" s="11" t="str">
        <f t="shared" si="193"/>
        <v/>
      </c>
      <c r="W759" s="6"/>
      <c r="Y759" s="10"/>
      <c r="Z759" s="11" t="str">
        <f t="shared" si="194"/>
        <v/>
      </c>
      <c r="AA759" s="6"/>
      <c r="AB759" s="1">
        <v>1.2</v>
      </c>
      <c r="AC759" s="21" t="str">
        <f t="shared" si="204"/>
        <v/>
      </c>
      <c r="AD759" s="27" t="str">
        <f t="shared" si="197"/>
        <v/>
      </c>
      <c r="AE759" s="27" t="str">
        <f t="shared" si="195"/>
        <v/>
      </c>
      <c r="AF759" s="14">
        <f t="shared" si="205"/>
        <v>0</v>
      </c>
      <c r="AG759" s="12">
        <f t="shared" si="200"/>
        <v>0</v>
      </c>
      <c r="AH759" s="24">
        <f t="shared" si="206"/>
        <v>0</v>
      </c>
      <c r="AI759" s="49" t="e">
        <f t="shared" si="196"/>
        <v>#VALUE!</v>
      </c>
      <c r="AK759" s="50" t="e">
        <f t="shared" si="201"/>
        <v>#VALUE!</v>
      </c>
    </row>
    <row r="760" spans="1:37" x14ac:dyDescent="0.4">
      <c r="A760" s="2">
        <v>1913</v>
      </c>
      <c r="B760" s="16"/>
      <c r="C760" s="22">
        <f t="shared" si="198"/>
        <v>0</v>
      </c>
      <c r="D760" s="23">
        <f t="shared" si="202"/>
        <v>0</v>
      </c>
      <c r="E760" s="14"/>
      <c r="F760" s="12">
        <f t="shared" si="199"/>
        <v>0</v>
      </c>
      <c r="G760" s="24">
        <f t="shared" si="203"/>
        <v>0</v>
      </c>
      <c r="H760" s="14"/>
      <c r="I760" s="14"/>
      <c r="J760" s="29"/>
      <c r="K760" s="30"/>
      <c r="M760" s="17"/>
      <c r="N760" s="7" t="str">
        <f t="shared" si="191"/>
        <v/>
      </c>
      <c r="O760" s="5"/>
      <c r="P760" s="3"/>
      <c r="Q760" s="5"/>
      <c r="R760" s="7" t="str">
        <f t="shared" si="192"/>
        <v/>
      </c>
      <c r="S760" s="5"/>
      <c r="U760" s="10"/>
      <c r="V760" s="11" t="str">
        <f t="shared" si="193"/>
        <v/>
      </c>
      <c r="W760" s="6"/>
      <c r="Y760" s="10"/>
      <c r="Z760" s="11" t="str">
        <f t="shared" si="194"/>
        <v/>
      </c>
      <c r="AA760" s="6"/>
      <c r="AB760" s="1">
        <v>1.2</v>
      </c>
      <c r="AC760" s="21" t="str">
        <f t="shared" si="204"/>
        <v/>
      </c>
      <c r="AD760" s="27" t="str">
        <f t="shared" si="197"/>
        <v/>
      </c>
      <c r="AE760" s="27" t="str">
        <f t="shared" si="195"/>
        <v/>
      </c>
      <c r="AF760" s="14">
        <f t="shared" si="205"/>
        <v>0</v>
      </c>
      <c r="AG760" s="12">
        <f t="shared" si="200"/>
        <v>0</v>
      </c>
      <c r="AH760" s="24">
        <f t="shared" si="206"/>
        <v>0</v>
      </c>
      <c r="AI760" s="49" t="e">
        <f t="shared" si="196"/>
        <v>#VALUE!</v>
      </c>
      <c r="AK760" s="50" t="e">
        <f t="shared" si="201"/>
        <v>#VALUE!</v>
      </c>
    </row>
    <row r="761" spans="1:37" x14ac:dyDescent="0.4">
      <c r="A761" s="2">
        <v>1914</v>
      </c>
      <c r="B761" s="16"/>
      <c r="C761" s="22">
        <f t="shared" si="198"/>
        <v>0</v>
      </c>
      <c r="D761" s="23">
        <f t="shared" si="202"/>
        <v>0</v>
      </c>
      <c r="E761" s="14"/>
      <c r="F761" s="12">
        <f t="shared" si="199"/>
        <v>0</v>
      </c>
      <c r="G761" s="24">
        <f t="shared" si="203"/>
        <v>0</v>
      </c>
      <c r="H761" s="14"/>
      <c r="I761" s="14"/>
      <c r="J761" s="29"/>
      <c r="K761" s="30"/>
      <c r="M761" s="17"/>
      <c r="N761" s="7" t="str">
        <f t="shared" si="191"/>
        <v/>
      </c>
      <c r="O761" s="5"/>
      <c r="P761" s="3"/>
      <c r="Q761" s="5"/>
      <c r="R761" s="7" t="str">
        <f t="shared" si="192"/>
        <v/>
      </c>
      <c r="S761" s="5"/>
      <c r="U761" s="10"/>
      <c r="V761" s="11" t="str">
        <f t="shared" si="193"/>
        <v/>
      </c>
      <c r="W761" s="6"/>
      <c r="Y761" s="10"/>
      <c r="Z761" s="11" t="str">
        <f t="shared" si="194"/>
        <v/>
      </c>
      <c r="AA761" s="6"/>
      <c r="AB761" s="1">
        <v>1.2</v>
      </c>
      <c r="AC761" s="21" t="str">
        <f t="shared" si="204"/>
        <v/>
      </c>
      <c r="AD761" s="27" t="str">
        <f t="shared" si="197"/>
        <v/>
      </c>
      <c r="AE761" s="27" t="str">
        <f t="shared" si="195"/>
        <v/>
      </c>
      <c r="AF761" s="14">
        <f t="shared" si="205"/>
        <v>0</v>
      </c>
      <c r="AG761" s="12">
        <f t="shared" si="200"/>
        <v>0</v>
      </c>
      <c r="AH761" s="24">
        <f t="shared" si="206"/>
        <v>0</v>
      </c>
      <c r="AI761" s="49" t="e">
        <f t="shared" si="196"/>
        <v>#VALUE!</v>
      </c>
      <c r="AK761" s="50" t="e">
        <f t="shared" si="201"/>
        <v>#VALUE!</v>
      </c>
    </row>
    <row r="762" spans="1:37" x14ac:dyDescent="0.4">
      <c r="A762" s="2">
        <v>1915</v>
      </c>
      <c r="B762" s="16"/>
      <c r="C762" s="22">
        <f t="shared" si="198"/>
        <v>0</v>
      </c>
      <c r="D762" s="23">
        <f t="shared" si="202"/>
        <v>0</v>
      </c>
      <c r="E762" s="14"/>
      <c r="F762" s="12">
        <f t="shared" si="199"/>
        <v>0</v>
      </c>
      <c r="G762" s="24">
        <f t="shared" si="203"/>
        <v>0</v>
      </c>
      <c r="H762" s="14"/>
      <c r="I762" s="14"/>
      <c r="J762" s="29"/>
      <c r="K762" s="30"/>
      <c r="M762" s="17"/>
      <c r="N762" s="7" t="str">
        <f t="shared" si="191"/>
        <v/>
      </c>
      <c r="O762" s="5"/>
      <c r="P762" s="3"/>
      <c r="Q762" s="5"/>
      <c r="R762" s="7" t="str">
        <f t="shared" si="192"/>
        <v/>
      </c>
      <c r="S762" s="5"/>
      <c r="U762" s="10"/>
      <c r="V762" s="11" t="str">
        <f t="shared" si="193"/>
        <v/>
      </c>
      <c r="W762" s="6"/>
      <c r="Y762" s="10"/>
      <c r="Z762" s="11" t="str">
        <f t="shared" si="194"/>
        <v/>
      </c>
      <c r="AA762" s="6"/>
      <c r="AB762" s="1">
        <v>1.2</v>
      </c>
      <c r="AC762" s="21" t="str">
        <f t="shared" si="204"/>
        <v/>
      </c>
      <c r="AD762" s="27" t="str">
        <f t="shared" si="197"/>
        <v/>
      </c>
      <c r="AE762" s="27" t="str">
        <f t="shared" si="195"/>
        <v/>
      </c>
      <c r="AF762" s="14">
        <f t="shared" si="205"/>
        <v>0</v>
      </c>
      <c r="AG762" s="12">
        <f t="shared" si="200"/>
        <v>0</v>
      </c>
      <c r="AH762" s="24">
        <f t="shared" si="206"/>
        <v>0</v>
      </c>
      <c r="AI762" s="49" t="e">
        <f t="shared" si="196"/>
        <v>#VALUE!</v>
      </c>
      <c r="AK762" s="50" t="e">
        <f t="shared" si="201"/>
        <v>#VALUE!</v>
      </c>
    </row>
    <row r="763" spans="1:37" x14ac:dyDescent="0.4">
      <c r="A763" s="2">
        <v>1916</v>
      </c>
      <c r="B763" s="16"/>
      <c r="C763" s="22">
        <f t="shared" si="198"/>
        <v>0</v>
      </c>
      <c r="D763" s="23">
        <f t="shared" si="202"/>
        <v>0</v>
      </c>
      <c r="E763" s="14"/>
      <c r="F763" s="12">
        <f t="shared" si="199"/>
        <v>0</v>
      </c>
      <c r="G763" s="24">
        <f t="shared" si="203"/>
        <v>0</v>
      </c>
      <c r="H763" s="14"/>
      <c r="I763" s="14"/>
      <c r="J763" s="29"/>
      <c r="K763" s="30"/>
      <c r="M763" s="17"/>
      <c r="N763" s="7" t="str">
        <f t="shared" si="191"/>
        <v/>
      </c>
      <c r="O763" s="5"/>
      <c r="P763" s="3"/>
      <c r="Q763" s="5"/>
      <c r="R763" s="7" t="str">
        <f t="shared" si="192"/>
        <v/>
      </c>
      <c r="S763" s="5"/>
      <c r="U763" s="10"/>
      <c r="V763" s="11" t="str">
        <f t="shared" si="193"/>
        <v/>
      </c>
      <c r="W763" s="6"/>
      <c r="Y763" s="10"/>
      <c r="Z763" s="11" t="str">
        <f t="shared" si="194"/>
        <v/>
      </c>
      <c r="AA763" s="6"/>
      <c r="AB763" s="1">
        <v>1.2</v>
      </c>
      <c r="AC763" s="21" t="str">
        <f t="shared" si="204"/>
        <v/>
      </c>
      <c r="AD763" s="27" t="str">
        <f t="shared" si="197"/>
        <v/>
      </c>
      <c r="AE763" s="27" t="str">
        <f t="shared" si="195"/>
        <v/>
      </c>
      <c r="AF763" s="14">
        <f t="shared" si="205"/>
        <v>0</v>
      </c>
      <c r="AG763" s="12">
        <f t="shared" si="200"/>
        <v>0</v>
      </c>
      <c r="AH763" s="24">
        <f t="shared" si="206"/>
        <v>0</v>
      </c>
      <c r="AI763" s="49" t="e">
        <f t="shared" si="196"/>
        <v>#VALUE!</v>
      </c>
      <c r="AK763" s="50" t="e">
        <f t="shared" si="201"/>
        <v>#VALUE!</v>
      </c>
    </row>
    <row r="764" spans="1:37" x14ac:dyDescent="0.4">
      <c r="A764" s="2">
        <v>1917</v>
      </c>
      <c r="B764" s="16"/>
      <c r="C764" s="22">
        <f t="shared" si="198"/>
        <v>0</v>
      </c>
      <c r="D764" s="23">
        <f t="shared" si="202"/>
        <v>0</v>
      </c>
      <c r="E764" s="14"/>
      <c r="F764" s="12">
        <f t="shared" si="199"/>
        <v>0</v>
      </c>
      <c r="G764" s="24">
        <f t="shared" si="203"/>
        <v>0</v>
      </c>
      <c r="H764" s="14"/>
      <c r="I764" s="14"/>
      <c r="J764" s="29"/>
      <c r="K764" s="30"/>
      <c r="M764" s="17"/>
      <c r="N764" s="7" t="str">
        <f t="shared" si="191"/>
        <v/>
      </c>
      <c r="O764" s="5"/>
      <c r="P764" s="3"/>
      <c r="Q764" s="5"/>
      <c r="R764" s="7" t="str">
        <f t="shared" si="192"/>
        <v/>
      </c>
      <c r="S764" s="5"/>
      <c r="U764" s="10"/>
      <c r="V764" s="11" t="str">
        <f t="shared" si="193"/>
        <v/>
      </c>
      <c r="W764" s="6"/>
      <c r="Y764" s="10"/>
      <c r="Z764" s="11" t="str">
        <f t="shared" si="194"/>
        <v/>
      </c>
      <c r="AA764" s="6"/>
      <c r="AB764" s="1">
        <v>1.2</v>
      </c>
      <c r="AC764" s="21" t="str">
        <f t="shared" si="204"/>
        <v/>
      </c>
      <c r="AD764" s="27" t="str">
        <f t="shared" si="197"/>
        <v/>
      </c>
      <c r="AE764" s="27" t="str">
        <f t="shared" si="195"/>
        <v/>
      </c>
      <c r="AF764" s="14">
        <f t="shared" si="205"/>
        <v>0</v>
      </c>
      <c r="AG764" s="12">
        <f t="shared" si="200"/>
        <v>0</v>
      </c>
      <c r="AH764" s="24">
        <f t="shared" si="206"/>
        <v>0</v>
      </c>
      <c r="AI764" s="49" t="e">
        <f t="shared" si="196"/>
        <v>#VALUE!</v>
      </c>
      <c r="AK764" s="50" t="e">
        <f t="shared" si="201"/>
        <v>#VALUE!</v>
      </c>
    </row>
    <row r="765" spans="1:37" x14ac:dyDescent="0.4">
      <c r="A765" s="2">
        <v>1918</v>
      </c>
      <c r="B765" s="16"/>
      <c r="C765" s="22">
        <f t="shared" si="198"/>
        <v>0</v>
      </c>
      <c r="D765" s="23">
        <f t="shared" si="202"/>
        <v>0</v>
      </c>
      <c r="E765" s="14"/>
      <c r="F765" s="12">
        <f t="shared" si="199"/>
        <v>0</v>
      </c>
      <c r="G765" s="24">
        <f t="shared" si="203"/>
        <v>0</v>
      </c>
      <c r="H765" s="14"/>
      <c r="I765" s="14"/>
      <c r="J765" s="29"/>
      <c r="K765" s="30"/>
      <c r="M765" s="17"/>
      <c r="N765" s="7" t="str">
        <f t="shared" si="191"/>
        <v/>
      </c>
      <c r="O765" s="5"/>
      <c r="P765" s="3"/>
      <c r="Q765" s="5"/>
      <c r="R765" s="7" t="str">
        <f t="shared" si="192"/>
        <v/>
      </c>
      <c r="S765" s="5"/>
      <c r="U765" s="10"/>
      <c r="V765" s="11" t="str">
        <f t="shared" si="193"/>
        <v/>
      </c>
      <c r="W765" s="6"/>
      <c r="Y765" s="10"/>
      <c r="Z765" s="11" t="str">
        <f t="shared" si="194"/>
        <v/>
      </c>
      <c r="AA765" s="6"/>
      <c r="AB765" s="1">
        <v>1.2</v>
      </c>
      <c r="AC765" s="21" t="str">
        <f t="shared" si="204"/>
        <v/>
      </c>
      <c r="AD765" s="27" t="str">
        <f t="shared" si="197"/>
        <v/>
      </c>
      <c r="AE765" s="27" t="str">
        <f t="shared" si="195"/>
        <v/>
      </c>
      <c r="AF765" s="14">
        <f t="shared" si="205"/>
        <v>0</v>
      </c>
      <c r="AG765" s="12">
        <f t="shared" si="200"/>
        <v>0</v>
      </c>
      <c r="AH765" s="24">
        <f t="shared" si="206"/>
        <v>0</v>
      </c>
      <c r="AI765" s="49" t="e">
        <f t="shared" si="196"/>
        <v>#VALUE!</v>
      </c>
      <c r="AK765" s="50" t="e">
        <f t="shared" si="201"/>
        <v>#VALUE!</v>
      </c>
    </row>
    <row r="766" spans="1:37" x14ac:dyDescent="0.4">
      <c r="A766" s="2">
        <v>1919</v>
      </c>
      <c r="B766" s="16"/>
      <c r="C766" s="22">
        <f t="shared" si="198"/>
        <v>0</v>
      </c>
      <c r="D766" s="23">
        <f t="shared" si="202"/>
        <v>0</v>
      </c>
      <c r="E766" s="14"/>
      <c r="F766" s="12">
        <f t="shared" si="199"/>
        <v>0</v>
      </c>
      <c r="G766" s="24">
        <f t="shared" si="203"/>
        <v>0</v>
      </c>
      <c r="H766" s="14"/>
      <c r="I766" s="14"/>
      <c r="J766" s="29"/>
      <c r="K766" s="30"/>
      <c r="M766" s="17"/>
      <c r="N766" s="7" t="str">
        <f t="shared" si="191"/>
        <v/>
      </c>
      <c r="O766" s="5"/>
      <c r="P766" s="3"/>
      <c r="Q766" s="5"/>
      <c r="R766" s="7" t="str">
        <f t="shared" si="192"/>
        <v/>
      </c>
      <c r="S766" s="5"/>
      <c r="U766" s="10"/>
      <c r="V766" s="11" t="str">
        <f t="shared" si="193"/>
        <v/>
      </c>
      <c r="W766" s="6"/>
      <c r="Y766" s="10"/>
      <c r="Z766" s="11" t="str">
        <f t="shared" si="194"/>
        <v/>
      </c>
      <c r="AA766" s="6"/>
      <c r="AB766" s="1">
        <v>1.2</v>
      </c>
      <c r="AC766" s="21" t="str">
        <f t="shared" si="204"/>
        <v/>
      </c>
      <c r="AD766" s="27" t="str">
        <f t="shared" si="197"/>
        <v/>
      </c>
      <c r="AE766" s="27" t="str">
        <f t="shared" si="195"/>
        <v/>
      </c>
      <c r="AF766" s="14">
        <f t="shared" si="205"/>
        <v>0</v>
      </c>
      <c r="AG766" s="12">
        <f t="shared" si="200"/>
        <v>0</v>
      </c>
      <c r="AH766" s="24">
        <f t="shared" si="206"/>
        <v>0</v>
      </c>
      <c r="AI766" s="49" t="e">
        <f t="shared" si="196"/>
        <v>#VALUE!</v>
      </c>
      <c r="AK766" s="50" t="e">
        <f t="shared" si="201"/>
        <v>#VALUE!</v>
      </c>
    </row>
    <row r="767" spans="1:37" x14ac:dyDescent="0.4">
      <c r="A767" s="2">
        <v>1920</v>
      </c>
      <c r="B767" s="16"/>
      <c r="C767" s="22">
        <f t="shared" si="198"/>
        <v>0</v>
      </c>
      <c r="D767" s="23">
        <f t="shared" si="202"/>
        <v>0</v>
      </c>
      <c r="E767" s="14"/>
      <c r="F767" s="12">
        <f t="shared" si="199"/>
        <v>0</v>
      </c>
      <c r="G767" s="24">
        <f t="shared" si="203"/>
        <v>0</v>
      </c>
      <c r="H767" s="14"/>
      <c r="I767" s="14"/>
      <c r="J767" s="29"/>
      <c r="K767" s="30"/>
      <c r="M767" s="17"/>
      <c r="N767" s="7" t="str">
        <f t="shared" si="191"/>
        <v/>
      </c>
      <c r="O767" s="5"/>
      <c r="P767" s="3"/>
      <c r="Q767" s="5"/>
      <c r="R767" s="7" t="str">
        <f t="shared" si="192"/>
        <v/>
      </c>
      <c r="S767" s="5"/>
      <c r="U767" s="10"/>
      <c r="V767" s="11" t="str">
        <f t="shared" si="193"/>
        <v/>
      </c>
      <c r="W767" s="6"/>
      <c r="Y767" s="10"/>
      <c r="Z767" s="11" t="str">
        <f t="shared" si="194"/>
        <v/>
      </c>
      <c r="AA767" s="6"/>
      <c r="AB767" s="1">
        <v>1.2</v>
      </c>
      <c r="AC767" s="21" t="str">
        <f t="shared" si="204"/>
        <v/>
      </c>
      <c r="AD767" s="27" t="str">
        <f t="shared" si="197"/>
        <v/>
      </c>
      <c r="AE767" s="27" t="str">
        <f t="shared" si="195"/>
        <v/>
      </c>
      <c r="AF767" s="14">
        <f t="shared" si="205"/>
        <v>0</v>
      </c>
      <c r="AG767" s="12">
        <f t="shared" si="200"/>
        <v>0</v>
      </c>
      <c r="AH767" s="24">
        <f t="shared" si="206"/>
        <v>0</v>
      </c>
      <c r="AI767" s="49" t="e">
        <f t="shared" si="196"/>
        <v>#VALUE!</v>
      </c>
      <c r="AK767" s="50" t="e">
        <f t="shared" si="201"/>
        <v>#VALUE!</v>
      </c>
    </row>
    <row r="768" spans="1:37" x14ac:dyDescent="0.4">
      <c r="A768" s="2">
        <v>1921</v>
      </c>
      <c r="B768" s="16"/>
      <c r="C768" s="22">
        <f t="shared" si="198"/>
        <v>0</v>
      </c>
      <c r="D768" s="23">
        <f t="shared" si="202"/>
        <v>0</v>
      </c>
      <c r="E768" s="14"/>
      <c r="F768" s="12">
        <f t="shared" si="199"/>
        <v>0</v>
      </c>
      <c r="G768" s="24">
        <f t="shared" si="203"/>
        <v>0</v>
      </c>
      <c r="H768" s="14"/>
      <c r="I768" s="14"/>
      <c r="J768" s="29"/>
      <c r="K768" s="30"/>
      <c r="M768" s="17"/>
      <c r="N768" s="7" t="str">
        <f t="shared" si="191"/>
        <v/>
      </c>
      <c r="O768" s="5"/>
      <c r="P768" s="3"/>
      <c r="Q768" s="5"/>
      <c r="R768" s="7" t="str">
        <f t="shared" si="192"/>
        <v/>
      </c>
      <c r="S768" s="5"/>
      <c r="U768" s="10"/>
      <c r="V768" s="11" t="str">
        <f t="shared" si="193"/>
        <v/>
      </c>
      <c r="W768" s="6"/>
      <c r="Y768" s="10"/>
      <c r="Z768" s="11" t="str">
        <f t="shared" si="194"/>
        <v/>
      </c>
      <c r="AA768" s="6"/>
      <c r="AB768" s="1">
        <v>1.2</v>
      </c>
      <c r="AC768" s="21" t="str">
        <f t="shared" si="204"/>
        <v/>
      </c>
      <c r="AD768" s="27" t="str">
        <f t="shared" si="197"/>
        <v/>
      </c>
      <c r="AE768" s="27" t="str">
        <f t="shared" si="195"/>
        <v/>
      </c>
      <c r="AF768" s="14">
        <f t="shared" si="205"/>
        <v>0</v>
      </c>
      <c r="AG768" s="12">
        <f t="shared" si="200"/>
        <v>0</v>
      </c>
      <c r="AH768" s="24">
        <f t="shared" si="206"/>
        <v>0</v>
      </c>
      <c r="AI768" s="49" t="e">
        <f t="shared" si="196"/>
        <v>#VALUE!</v>
      </c>
      <c r="AK768" s="50" t="e">
        <f t="shared" si="201"/>
        <v>#VALUE!</v>
      </c>
    </row>
    <row r="769" spans="1:37" x14ac:dyDescent="0.4">
      <c r="A769" s="2">
        <v>1922</v>
      </c>
      <c r="B769" s="16"/>
      <c r="C769" s="22">
        <f t="shared" si="198"/>
        <v>0</v>
      </c>
      <c r="D769" s="23">
        <f t="shared" si="202"/>
        <v>0</v>
      </c>
      <c r="E769" s="14"/>
      <c r="F769" s="12">
        <f t="shared" si="199"/>
        <v>0</v>
      </c>
      <c r="G769" s="24">
        <f t="shared" si="203"/>
        <v>0</v>
      </c>
      <c r="H769" s="14"/>
      <c r="I769" s="14"/>
      <c r="J769" s="29"/>
      <c r="K769" s="30"/>
      <c r="M769" s="17"/>
      <c r="N769" s="7" t="str">
        <f t="shared" si="191"/>
        <v/>
      </c>
      <c r="O769" s="5"/>
      <c r="P769" s="3"/>
      <c r="Q769" s="5"/>
      <c r="R769" s="7" t="str">
        <f t="shared" si="192"/>
        <v/>
      </c>
      <c r="S769" s="5"/>
      <c r="U769" s="10"/>
      <c r="V769" s="11" t="str">
        <f t="shared" si="193"/>
        <v/>
      </c>
      <c r="W769" s="6"/>
      <c r="Y769" s="10"/>
      <c r="Z769" s="11" t="str">
        <f t="shared" si="194"/>
        <v/>
      </c>
      <c r="AA769" s="6"/>
      <c r="AB769" s="1">
        <v>1.2</v>
      </c>
      <c r="AC769" s="21" t="str">
        <f t="shared" si="204"/>
        <v/>
      </c>
      <c r="AD769" s="27" t="str">
        <f t="shared" si="197"/>
        <v/>
      </c>
      <c r="AE769" s="27" t="str">
        <f t="shared" si="195"/>
        <v/>
      </c>
      <c r="AF769" s="14">
        <f t="shared" si="205"/>
        <v>0</v>
      </c>
      <c r="AG769" s="12">
        <f t="shared" si="200"/>
        <v>0</v>
      </c>
      <c r="AH769" s="24">
        <f t="shared" si="206"/>
        <v>0</v>
      </c>
      <c r="AI769" s="49" t="e">
        <f t="shared" si="196"/>
        <v>#VALUE!</v>
      </c>
      <c r="AK769" s="50" t="e">
        <f t="shared" si="201"/>
        <v>#VALUE!</v>
      </c>
    </row>
    <row r="770" spans="1:37" x14ac:dyDescent="0.4">
      <c r="A770" s="2">
        <v>1923</v>
      </c>
      <c r="B770" s="16"/>
      <c r="C770" s="22">
        <f t="shared" si="198"/>
        <v>0</v>
      </c>
      <c r="D770" s="23">
        <f t="shared" si="202"/>
        <v>0</v>
      </c>
      <c r="E770" s="14"/>
      <c r="F770" s="12">
        <f t="shared" si="199"/>
        <v>0</v>
      </c>
      <c r="G770" s="24">
        <f t="shared" si="203"/>
        <v>0</v>
      </c>
      <c r="H770" s="14"/>
      <c r="I770" s="14"/>
      <c r="J770" s="29"/>
      <c r="K770" s="30"/>
      <c r="M770" s="17"/>
      <c r="N770" s="7" t="str">
        <f t="shared" si="191"/>
        <v/>
      </c>
      <c r="O770" s="5"/>
      <c r="P770" s="3"/>
      <c r="Q770" s="5"/>
      <c r="R770" s="7" t="str">
        <f t="shared" si="192"/>
        <v/>
      </c>
      <c r="S770" s="5"/>
      <c r="U770" s="10"/>
      <c r="V770" s="11" t="str">
        <f t="shared" si="193"/>
        <v/>
      </c>
      <c r="W770" s="6"/>
      <c r="Y770" s="10"/>
      <c r="Z770" s="11" t="str">
        <f t="shared" si="194"/>
        <v/>
      </c>
      <c r="AA770" s="6"/>
      <c r="AB770" s="1">
        <v>1.2</v>
      </c>
      <c r="AC770" s="21" t="str">
        <f t="shared" si="204"/>
        <v/>
      </c>
      <c r="AD770" s="27" t="str">
        <f t="shared" si="197"/>
        <v/>
      </c>
      <c r="AE770" s="27" t="str">
        <f t="shared" si="195"/>
        <v/>
      </c>
      <c r="AF770" s="14">
        <f t="shared" si="205"/>
        <v>0</v>
      </c>
      <c r="AG770" s="12">
        <f t="shared" si="200"/>
        <v>0</v>
      </c>
      <c r="AH770" s="24">
        <f t="shared" si="206"/>
        <v>0</v>
      </c>
      <c r="AI770" s="49" t="e">
        <f t="shared" si="196"/>
        <v>#VALUE!</v>
      </c>
      <c r="AK770" s="50" t="e">
        <f t="shared" si="201"/>
        <v>#VALUE!</v>
      </c>
    </row>
    <row r="771" spans="1:37" x14ac:dyDescent="0.4">
      <c r="A771" s="2">
        <v>1924</v>
      </c>
      <c r="B771" s="16"/>
      <c r="C771" s="22">
        <f t="shared" si="198"/>
        <v>0</v>
      </c>
      <c r="D771" s="23">
        <f t="shared" si="202"/>
        <v>0</v>
      </c>
      <c r="E771" s="14"/>
      <c r="F771" s="12">
        <f t="shared" si="199"/>
        <v>0</v>
      </c>
      <c r="G771" s="24">
        <f t="shared" si="203"/>
        <v>0</v>
      </c>
      <c r="H771" s="14"/>
      <c r="I771" s="14"/>
      <c r="J771" s="29"/>
      <c r="K771" s="30"/>
      <c r="M771" s="17"/>
      <c r="N771" s="7" t="str">
        <f t="shared" si="191"/>
        <v/>
      </c>
      <c r="O771" s="5"/>
      <c r="P771" s="3"/>
      <c r="Q771" s="5"/>
      <c r="R771" s="7" t="str">
        <f t="shared" si="192"/>
        <v/>
      </c>
      <c r="S771" s="5"/>
      <c r="U771" s="10"/>
      <c r="V771" s="11" t="str">
        <f t="shared" si="193"/>
        <v/>
      </c>
      <c r="W771" s="6"/>
      <c r="Y771" s="10"/>
      <c r="Z771" s="11" t="str">
        <f t="shared" si="194"/>
        <v/>
      </c>
      <c r="AA771" s="6"/>
      <c r="AB771" s="1">
        <v>1.2</v>
      </c>
      <c r="AC771" s="21" t="str">
        <f t="shared" si="204"/>
        <v/>
      </c>
      <c r="AD771" s="27" t="str">
        <f t="shared" si="197"/>
        <v/>
      </c>
      <c r="AE771" s="27" t="str">
        <f t="shared" si="195"/>
        <v/>
      </c>
      <c r="AF771" s="14">
        <f t="shared" si="205"/>
        <v>0</v>
      </c>
      <c r="AG771" s="12">
        <f t="shared" si="200"/>
        <v>0</v>
      </c>
      <c r="AH771" s="24">
        <f t="shared" si="206"/>
        <v>0</v>
      </c>
      <c r="AI771" s="49" t="e">
        <f t="shared" si="196"/>
        <v>#VALUE!</v>
      </c>
      <c r="AK771" s="50" t="e">
        <f t="shared" si="201"/>
        <v>#VALUE!</v>
      </c>
    </row>
    <row r="772" spans="1:37" x14ac:dyDescent="0.4">
      <c r="A772" s="2">
        <v>1925</v>
      </c>
      <c r="B772" s="16"/>
      <c r="C772" s="22">
        <f t="shared" si="198"/>
        <v>0</v>
      </c>
      <c r="D772" s="23">
        <f t="shared" si="202"/>
        <v>0</v>
      </c>
      <c r="E772" s="14"/>
      <c r="F772" s="12">
        <f t="shared" si="199"/>
        <v>0</v>
      </c>
      <c r="G772" s="24">
        <f t="shared" si="203"/>
        <v>0</v>
      </c>
      <c r="H772" s="14"/>
      <c r="I772" s="14"/>
      <c r="J772" s="29"/>
      <c r="K772" s="30"/>
      <c r="M772" s="17"/>
      <c r="N772" s="7" t="str">
        <f t="shared" si="191"/>
        <v/>
      </c>
      <c r="O772" s="5"/>
      <c r="P772" s="3"/>
      <c r="Q772" s="5"/>
      <c r="R772" s="7" t="str">
        <f t="shared" si="192"/>
        <v/>
      </c>
      <c r="S772" s="5"/>
      <c r="U772" s="10"/>
      <c r="V772" s="11" t="str">
        <f t="shared" si="193"/>
        <v/>
      </c>
      <c r="W772" s="6"/>
      <c r="Y772" s="10"/>
      <c r="Z772" s="11" t="str">
        <f t="shared" si="194"/>
        <v/>
      </c>
      <c r="AA772" s="6"/>
      <c r="AB772" s="1">
        <v>1.2</v>
      </c>
      <c r="AC772" s="21" t="str">
        <f t="shared" si="204"/>
        <v/>
      </c>
      <c r="AD772" s="27" t="str">
        <f t="shared" si="197"/>
        <v/>
      </c>
      <c r="AE772" s="27" t="str">
        <f t="shared" si="195"/>
        <v/>
      </c>
      <c r="AF772" s="14">
        <f t="shared" si="205"/>
        <v>0</v>
      </c>
      <c r="AG772" s="12">
        <f t="shared" si="200"/>
        <v>0</v>
      </c>
      <c r="AH772" s="24">
        <f t="shared" si="206"/>
        <v>0</v>
      </c>
      <c r="AI772" s="49" t="e">
        <f t="shared" si="196"/>
        <v>#VALUE!</v>
      </c>
      <c r="AK772" s="50" t="e">
        <f t="shared" si="201"/>
        <v>#VALUE!</v>
      </c>
    </row>
    <row r="773" spans="1:37" x14ac:dyDescent="0.4">
      <c r="A773" s="2">
        <v>1926</v>
      </c>
      <c r="B773" s="16"/>
      <c r="C773" s="22">
        <f t="shared" si="198"/>
        <v>0</v>
      </c>
      <c r="D773" s="23">
        <f t="shared" si="202"/>
        <v>0</v>
      </c>
      <c r="E773" s="14"/>
      <c r="F773" s="12">
        <f t="shared" si="199"/>
        <v>0</v>
      </c>
      <c r="G773" s="24">
        <f t="shared" si="203"/>
        <v>0</v>
      </c>
      <c r="H773" s="14"/>
      <c r="I773" s="14"/>
      <c r="J773" s="29"/>
      <c r="K773" s="30"/>
      <c r="M773" s="17"/>
      <c r="N773" s="7" t="str">
        <f t="shared" si="191"/>
        <v/>
      </c>
      <c r="O773" s="5"/>
      <c r="P773" s="3"/>
      <c r="Q773" s="5"/>
      <c r="R773" s="7" t="str">
        <f t="shared" si="192"/>
        <v/>
      </c>
      <c r="S773" s="5"/>
      <c r="U773" s="10"/>
      <c r="V773" s="11" t="str">
        <f t="shared" si="193"/>
        <v/>
      </c>
      <c r="W773" s="6"/>
      <c r="Y773" s="10"/>
      <c r="Z773" s="11" t="str">
        <f t="shared" si="194"/>
        <v/>
      </c>
      <c r="AA773" s="6"/>
      <c r="AB773" s="1">
        <v>1.2</v>
      </c>
      <c r="AC773" s="21" t="str">
        <f t="shared" si="204"/>
        <v/>
      </c>
      <c r="AD773" s="27" t="str">
        <f t="shared" si="197"/>
        <v/>
      </c>
      <c r="AE773" s="27" t="str">
        <f t="shared" si="195"/>
        <v/>
      </c>
      <c r="AF773" s="14">
        <f t="shared" si="205"/>
        <v>0</v>
      </c>
      <c r="AG773" s="12">
        <f t="shared" si="200"/>
        <v>0</v>
      </c>
      <c r="AH773" s="24">
        <f t="shared" si="206"/>
        <v>0</v>
      </c>
      <c r="AI773" s="49" t="e">
        <f t="shared" si="196"/>
        <v>#VALUE!</v>
      </c>
      <c r="AK773" s="50" t="e">
        <f t="shared" si="201"/>
        <v>#VALUE!</v>
      </c>
    </row>
    <row r="774" spans="1:37" x14ac:dyDescent="0.4">
      <c r="A774" s="2">
        <v>1927</v>
      </c>
      <c r="B774" s="16"/>
      <c r="C774" s="22">
        <f t="shared" si="198"/>
        <v>0</v>
      </c>
      <c r="D774" s="23">
        <f t="shared" si="202"/>
        <v>0</v>
      </c>
      <c r="E774" s="14"/>
      <c r="F774" s="12">
        <f t="shared" si="199"/>
        <v>0</v>
      </c>
      <c r="G774" s="24">
        <f t="shared" si="203"/>
        <v>0</v>
      </c>
      <c r="H774" s="14"/>
      <c r="I774" s="14"/>
      <c r="J774" s="29"/>
      <c r="K774" s="30"/>
      <c r="M774" s="17"/>
      <c r="N774" s="7" t="str">
        <f t="shared" si="191"/>
        <v/>
      </c>
      <c r="O774" s="5"/>
      <c r="P774" s="3"/>
      <c r="Q774" s="5"/>
      <c r="R774" s="7" t="str">
        <f t="shared" si="192"/>
        <v/>
      </c>
      <c r="S774" s="5"/>
      <c r="U774" s="10"/>
      <c r="V774" s="11" t="str">
        <f t="shared" si="193"/>
        <v/>
      </c>
      <c r="W774" s="6"/>
      <c r="Y774" s="10"/>
      <c r="Z774" s="11" t="str">
        <f t="shared" si="194"/>
        <v/>
      </c>
      <c r="AA774" s="6"/>
      <c r="AB774" s="1">
        <v>1.2</v>
      </c>
      <c r="AC774" s="21" t="str">
        <f t="shared" si="204"/>
        <v/>
      </c>
      <c r="AD774" s="27" t="str">
        <f t="shared" si="197"/>
        <v/>
      </c>
      <c r="AE774" s="27" t="str">
        <f t="shared" si="195"/>
        <v/>
      </c>
      <c r="AF774" s="14">
        <f t="shared" si="205"/>
        <v>0</v>
      </c>
      <c r="AG774" s="12">
        <f t="shared" si="200"/>
        <v>0</v>
      </c>
      <c r="AH774" s="24">
        <f t="shared" si="206"/>
        <v>0</v>
      </c>
      <c r="AI774" s="49" t="e">
        <f t="shared" si="196"/>
        <v>#VALUE!</v>
      </c>
      <c r="AK774" s="50" t="e">
        <f t="shared" si="201"/>
        <v>#VALUE!</v>
      </c>
    </row>
    <row r="775" spans="1:37" x14ac:dyDescent="0.4">
      <c r="A775" s="2">
        <v>1928</v>
      </c>
      <c r="B775" s="16"/>
      <c r="C775" s="22">
        <f t="shared" si="198"/>
        <v>0</v>
      </c>
      <c r="D775" s="23">
        <f t="shared" si="202"/>
        <v>0</v>
      </c>
      <c r="E775" s="14"/>
      <c r="F775" s="12">
        <f t="shared" si="199"/>
        <v>0</v>
      </c>
      <c r="G775" s="24">
        <f t="shared" si="203"/>
        <v>0</v>
      </c>
      <c r="H775" s="14"/>
      <c r="I775" s="14"/>
      <c r="J775" s="29"/>
      <c r="K775" s="30"/>
      <c r="M775" s="17"/>
      <c r="N775" s="7" t="str">
        <f t="shared" si="191"/>
        <v/>
      </c>
      <c r="O775" s="5"/>
      <c r="P775" s="3"/>
      <c r="Q775" s="5"/>
      <c r="R775" s="7" t="str">
        <f t="shared" si="192"/>
        <v/>
      </c>
      <c r="S775" s="5"/>
      <c r="U775" s="10"/>
      <c r="V775" s="11" t="str">
        <f t="shared" si="193"/>
        <v/>
      </c>
      <c r="W775" s="6"/>
      <c r="Y775" s="10"/>
      <c r="Z775" s="11" t="str">
        <f t="shared" si="194"/>
        <v/>
      </c>
      <c r="AA775" s="6"/>
      <c r="AB775" s="1">
        <v>1.2</v>
      </c>
      <c r="AC775" s="21" t="str">
        <f t="shared" si="204"/>
        <v/>
      </c>
      <c r="AD775" s="27" t="str">
        <f t="shared" si="197"/>
        <v/>
      </c>
      <c r="AE775" s="27" t="str">
        <f t="shared" si="195"/>
        <v/>
      </c>
      <c r="AF775" s="14">
        <f t="shared" si="205"/>
        <v>0</v>
      </c>
      <c r="AG775" s="12">
        <f t="shared" si="200"/>
        <v>0</v>
      </c>
      <c r="AH775" s="24">
        <f t="shared" si="206"/>
        <v>0</v>
      </c>
      <c r="AI775" s="49" t="e">
        <f t="shared" si="196"/>
        <v>#VALUE!</v>
      </c>
      <c r="AK775" s="50" t="e">
        <f t="shared" si="201"/>
        <v>#VALUE!</v>
      </c>
    </row>
    <row r="776" spans="1:37" x14ac:dyDescent="0.4">
      <c r="A776" s="2">
        <v>1929</v>
      </c>
      <c r="B776" s="16"/>
      <c r="C776" s="22">
        <f t="shared" si="198"/>
        <v>0</v>
      </c>
      <c r="D776" s="23">
        <f t="shared" si="202"/>
        <v>0</v>
      </c>
      <c r="E776" s="14"/>
      <c r="F776" s="12">
        <f t="shared" si="199"/>
        <v>0</v>
      </c>
      <c r="G776" s="24">
        <f t="shared" si="203"/>
        <v>0</v>
      </c>
      <c r="H776" s="14"/>
      <c r="I776" s="14"/>
      <c r="J776" s="29"/>
      <c r="K776" s="30"/>
      <c r="M776" s="17"/>
      <c r="N776" s="7" t="str">
        <f t="shared" ref="N776:N839" si="207">IF(M776="","",M776*AB776)</f>
        <v/>
      </c>
      <c r="O776" s="5"/>
      <c r="P776" s="3"/>
      <c r="Q776" s="5"/>
      <c r="R776" s="7" t="str">
        <f t="shared" ref="R776:R839" si="208">IF(Q776="","",Q776*AB776)</f>
        <v/>
      </c>
      <c r="S776" s="5"/>
      <c r="U776" s="10"/>
      <c r="V776" s="11" t="str">
        <f t="shared" ref="V776:V839" si="209">IF(U776="","",U776*AB776)</f>
        <v/>
      </c>
      <c r="W776" s="6"/>
      <c r="Y776" s="10"/>
      <c r="Z776" s="11" t="str">
        <f t="shared" ref="Z776:Z839" si="210">IF(Y776="","",Y776*AB776)</f>
        <v/>
      </c>
      <c r="AA776" s="6"/>
      <c r="AB776" s="1">
        <v>1.2</v>
      </c>
      <c r="AC776" s="21" t="str">
        <f t="shared" si="204"/>
        <v/>
      </c>
      <c r="AD776" s="27" t="str">
        <f t="shared" si="197"/>
        <v/>
      </c>
      <c r="AE776" s="27" t="str">
        <f t="shared" si="195"/>
        <v/>
      </c>
      <c r="AF776" s="14">
        <f t="shared" si="205"/>
        <v>0</v>
      </c>
      <c r="AG776" s="12">
        <f t="shared" si="200"/>
        <v>0</v>
      </c>
      <c r="AH776" s="24">
        <f t="shared" si="206"/>
        <v>0</v>
      </c>
      <c r="AI776" s="49" t="e">
        <f t="shared" si="196"/>
        <v>#VALUE!</v>
      </c>
      <c r="AK776" s="50" t="e">
        <f t="shared" si="201"/>
        <v>#VALUE!</v>
      </c>
    </row>
    <row r="777" spans="1:37" x14ac:dyDescent="0.4">
      <c r="A777" s="2">
        <v>1930</v>
      </c>
      <c r="B777" s="16"/>
      <c r="C777" s="22">
        <f t="shared" si="198"/>
        <v>0</v>
      </c>
      <c r="D777" s="23">
        <f t="shared" si="202"/>
        <v>0</v>
      </c>
      <c r="E777" s="14"/>
      <c r="F777" s="12">
        <f t="shared" si="199"/>
        <v>0</v>
      </c>
      <c r="G777" s="24">
        <f t="shared" si="203"/>
        <v>0</v>
      </c>
      <c r="H777" s="14"/>
      <c r="I777" s="14"/>
      <c r="J777" s="29"/>
      <c r="K777" s="30"/>
      <c r="M777" s="17"/>
      <c r="N777" s="7" t="str">
        <f t="shared" si="207"/>
        <v/>
      </c>
      <c r="O777" s="5"/>
      <c r="P777" s="3"/>
      <c r="Q777" s="5"/>
      <c r="R777" s="7" t="str">
        <f t="shared" si="208"/>
        <v/>
      </c>
      <c r="S777" s="5"/>
      <c r="U777" s="10"/>
      <c r="V777" s="11" t="str">
        <f t="shared" si="209"/>
        <v/>
      </c>
      <c r="W777" s="6"/>
      <c r="Y777" s="10"/>
      <c r="Z777" s="11" t="str">
        <f t="shared" si="210"/>
        <v/>
      </c>
      <c r="AA777" s="6"/>
      <c r="AB777" s="1">
        <v>1.2</v>
      </c>
      <c r="AC777" s="21" t="str">
        <f t="shared" si="204"/>
        <v/>
      </c>
      <c r="AD777" s="27" t="str">
        <f t="shared" si="197"/>
        <v/>
      </c>
      <c r="AE777" s="27" t="str">
        <f t="shared" si="195"/>
        <v/>
      </c>
      <c r="AF777" s="14">
        <f t="shared" si="205"/>
        <v>0</v>
      </c>
      <c r="AG777" s="12">
        <f t="shared" si="200"/>
        <v>0</v>
      </c>
      <c r="AH777" s="24">
        <f t="shared" si="206"/>
        <v>0</v>
      </c>
      <c r="AI777" s="49" t="e">
        <f t="shared" si="196"/>
        <v>#VALUE!</v>
      </c>
      <c r="AK777" s="50" t="e">
        <f t="shared" si="201"/>
        <v>#VALUE!</v>
      </c>
    </row>
    <row r="778" spans="1:37" x14ac:dyDescent="0.4">
      <c r="A778" s="2">
        <v>1931</v>
      </c>
      <c r="B778" s="16"/>
      <c r="C778" s="22">
        <f t="shared" si="198"/>
        <v>0</v>
      </c>
      <c r="D778" s="23">
        <f t="shared" si="202"/>
        <v>0</v>
      </c>
      <c r="E778" s="14"/>
      <c r="F778" s="12">
        <f t="shared" si="199"/>
        <v>0</v>
      </c>
      <c r="G778" s="24">
        <f t="shared" si="203"/>
        <v>0</v>
      </c>
      <c r="H778" s="14"/>
      <c r="I778" s="14"/>
      <c r="J778" s="29"/>
      <c r="K778" s="30"/>
      <c r="M778" s="17"/>
      <c r="N778" s="7" t="str">
        <f t="shared" si="207"/>
        <v/>
      </c>
      <c r="O778" s="5"/>
      <c r="P778" s="3"/>
      <c r="Q778" s="5"/>
      <c r="R778" s="7" t="str">
        <f t="shared" si="208"/>
        <v/>
      </c>
      <c r="S778" s="5"/>
      <c r="U778" s="10"/>
      <c r="V778" s="11" t="str">
        <f t="shared" si="209"/>
        <v/>
      </c>
      <c r="W778" s="6"/>
      <c r="Y778" s="10"/>
      <c r="Z778" s="11" t="str">
        <f t="shared" si="210"/>
        <v/>
      </c>
      <c r="AA778" s="6"/>
      <c r="AB778" s="1">
        <v>1.2</v>
      </c>
      <c r="AC778" s="21" t="str">
        <f t="shared" si="204"/>
        <v/>
      </c>
      <c r="AD778" s="27" t="str">
        <f t="shared" si="197"/>
        <v/>
      </c>
      <c r="AE778" s="27" t="str">
        <f t="shared" si="195"/>
        <v/>
      </c>
      <c r="AF778" s="14">
        <f t="shared" si="205"/>
        <v>0</v>
      </c>
      <c r="AG778" s="12">
        <f t="shared" si="200"/>
        <v>0</v>
      </c>
      <c r="AH778" s="24">
        <f t="shared" si="206"/>
        <v>0</v>
      </c>
      <c r="AI778" s="49" t="e">
        <f t="shared" si="196"/>
        <v>#VALUE!</v>
      </c>
      <c r="AK778" s="50" t="e">
        <f t="shared" si="201"/>
        <v>#VALUE!</v>
      </c>
    </row>
    <row r="779" spans="1:37" x14ac:dyDescent="0.4">
      <c r="A779" s="2">
        <v>1932</v>
      </c>
      <c r="B779" s="16"/>
      <c r="C779" s="22">
        <f t="shared" si="198"/>
        <v>0</v>
      </c>
      <c r="D779" s="23">
        <f t="shared" si="202"/>
        <v>0</v>
      </c>
      <c r="E779" s="14"/>
      <c r="F779" s="12">
        <f t="shared" si="199"/>
        <v>0</v>
      </c>
      <c r="G779" s="24">
        <f t="shared" si="203"/>
        <v>0</v>
      </c>
      <c r="H779" s="14"/>
      <c r="I779" s="14"/>
      <c r="J779" s="29"/>
      <c r="K779" s="30"/>
      <c r="M779" s="17"/>
      <c r="N779" s="7" t="str">
        <f t="shared" si="207"/>
        <v/>
      </c>
      <c r="O779" s="5"/>
      <c r="P779" s="3"/>
      <c r="Q779" s="5"/>
      <c r="R779" s="7" t="str">
        <f t="shared" si="208"/>
        <v/>
      </c>
      <c r="S779" s="5"/>
      <c r="U779" s="10"/>
      <c r="V779" s="11" t="str">
        <f t="shared" si="209"/>
        <v/>
      </c>
      <c r="W779" s="6"/>
      <c r="Y779" s="10"/>
      <c r="Z779" s="11" t="str">
        <f t="shared" si="210"/>
        <v/>
      </c>
      <c r="AA779" s="6"/>
      <c r="AB779" s="1">
        <v>1.2</v>
      </c>
      <c r="AC779" s="21" t="str">
        <f t="shared" si="204"/>
        <v/>
      </c>
      <c r="AD779" s="27" t="str">
        <f t="shared" si="197"/>
        <v/>
      </c>
      <c r="AE779" s="27" t="str">
        <f t="shared" si="195"/>
        <v/>
      </c>
      <c r="AF779" s="14">
        <f t="shared" si="205"/>
        <v>0</v>
      </c>
      <c r="AG779" s="12">
        <f t="shared" si="200"/>
        <v>0</v>
      </c>
      <c r="AH779" s="24">
        <f t="shared" si="206"/>
        <v>0</v>
      </c>
      <c r="AI779" s="49" t="e">
        <f t="shared" si="196"/>
        <v>#VALUE!</v>
      </c>
      <c r="AK779" s="50" t="e">
        <f t="shared" si="201"/>
        <v>#VALUE!</v>
      </c>
    </row>
    <row r="780" spans="1:37" x14ac:dyDescent="0.4">
      <c r="A780" s="2">
        <v>1933</v>
      </c>
      <c r="B780" s="16"/>
      <c r="C780" s="22">
        <f t="shared" si="198"/>
        <v>0</v>
      </c>
      <c r="D780" s="23">
        <f t="shared" si="202"/>
        <v>0</v>
      </c>
      <c r="E780" s="14"/>
      <c r="F780" s="12">
        <f t="shared" si="199"/>
        <v>0</v>
      </c>
      <c r="G780" s="24">
        <f t="shared" si="203"/>
        <v>0</v>
      </c>
      <c r="H780" s="14"/>
      <c r="I780" s="14"/>
      <c r="J780" s="29"/>
      <c r="K780" s="30"/>
      <c r="M780" s="17"/>
      <c r="N780" s="7" t="str">
        <f t="shared" si="207"/>
        <v/>
      </c>
      <c r="O780" s="5"/>
      <c r="P780" s="3"/>
      <c r="Q780" s="5"/>
      <c r="R780" s="7" t="str">
        <f t="shared" si="208"/>
        <v/>
      </c>
      <c r="S780" s="5"/>
      <c r="U780" s="10"/>
      <c r="V780" s="11" t="str">
        <f t="shared" si="209"/>
        <v/>
      </c>
      <c r="W780" s="6"/>
      <c r="Y780" s="10"/>
      <c r="Z780" s="11" t="str">
        <f t="shared" si="210"/>
        <v/>
      </c>
      <c r="AA780" s="6"/>
      <c r="AB780" s="1">
        <v>1.2</v>
      </c>
      <c r="AC780" s="21" t="str">
        <f t="shared" si="204"/>
        <v/>
      </c>
      <c r="AD780" s="27" t="str">
        <f t="shared" si="197"/>
        <v/>
      </c>
      <c r="AE780" s="27" t="str">
        <f t="shared" si="195"/>
        <v/>
      </c>
      <c r="AF780" s="14">
        <f t="shared" si="205"/>
        <v>0</v>
      </c>
      <c r="AG780" s="12">
        <f t="shared" si="200"/>
        <v>0</v>
      </c>
      <c r="AH780" s="24">
        <f t="shared" si="206"/>
        <v>0</v>
      </c>
      <c r="AI780" s="49" t="e">
        <f t="shared" si="196"/>
        <v>#VALUE!</v>
      </c>
      <c r="AK780" s="50" t="e">
        <f t="shared" si="201"/>
        <v>#VALUE!</v>
      </c>
    </row>
    <row r="781" spans="1:37" x14ac:dyDescent="0.4">
      <c r="A781" s="2">
        <v>1934</v>
      </c>
      <c r="B781" s="16"/>
      <c r="C781" s="22">
        <f t="shared" si="198"/>
        <v>0</v>
      </c>
      <c r="D781" s="23">
        <f t="shared" si="202"/>
        <v>0</v>
      </c>
      <c r="E781" s="14"/>
      <c r="F781" s="12">
        <f t="shared" si="199"/>
        <v>0</v>
      </c>
      <c r="G781" s="24">
        <f t="shared" si="203"/>
        <v>0</v>
      </c>
      <c r="H781" s="14"/>
      <c r="I781" s="14"/>
      <c r="J781" s="29"/>
      <c r="K781" s="30"/>
      <c r="M781" s="17"/>
      <c r="N781" s="7" t="str">
        <f t="shared" si="207"/>
        <v/>
      </c>
      <c r="O781" s="5"/>
      <c r="P781" s="3"/>
      <c r="Q781" s="5"/>
      <c r="R781" s="7" t="str">
        <f t="shared" si="208"/>
        <v/>
      </c>
      <c r="S781" s="5"/>
      <c r="U781" s="10"/>
      <c r="V781" s="11" t="str">
        <f t="shared" si="209"/>
        <v/>
      </c>
      <c r="W781" s="6"/>
      <c r="Y781" s="10"/>
      <c r="Z781" s="11" t="str">
        <f t="shared" si="210"/>
        <v/>
      </c>
      <c r="AA781" s="6"/>
      <c r="AB781" s="1">
        <v>1.2</v>
      </c>
      <c r="AC781" s="21" t="str">
        <f t="shared" si="204"/>
        <v/>
      </c>
      <c r="AD781" s="27" t="str">
        <f t="shared" si="197"/>
        <v/>
      </c>
      <c r="AE781" s="27" t="str">
        <f t="shared" ref="AE781:AE844" si="211">IF(I781="","",TEXT(I781-B781,"[hh]:mm"))</f>
        <v/>
      </c>
      <c r="AF781" s="14">
        <f t="shared" si="205"/>
        <v>0</v>
      </c>
      <c r="AG781" s="12">
        <f t="shared" si="200"/>
        <v>0</v>
      </c>
      <c r="AH781" s="24">
        <f t="shared" si="206"/>
        <v>0</v>
      </c>
      <c r="AI781" s="49" t="e">
        <f t="shared" ref="AI781:AI844" si="212">MAX(VALUE(AC781),VALUE(AD781),VALUE(AE781))</f>
        <v>#VALUE!</v>
      </c>
      <c r="AK781" s="50" t="e">
        <f t="shared" si="201"/>
        <v>#VALUE!</v>
      </c>
    </row>
    <row r="782" spans="1:37" x14ac:dyDescent="0.4">
      <c r="A782" s="2">
        <v>1935</v>
      </c>
      <c r="B782" s="16"/>
      <c r="C782" s="22">
        <f t="shared" si="198"/>
        <v>0</v>
      </c>
      <c r="D782" s="23">
        <f t="shared" si="202"/>
        <v>0</v>
      </c>
      <c r="E782" s="14"/>
      <c r="F782" s="12">
        <f t="shared" si="199"/>
        <v>0</v>
      </c>
      <c r="G782" s="24">
        <f t="shared" si="203"/>
        <v>0</v>
      </c>
      <c r="H782" s="14"/>
      <c r="I782" s="14"/>
      <c r="J782" s="29"/>
      <c r="K782" s="30"/>
      <c r="M782" s="17"/>
      <c r="N782" s="7" t="str">
        <f t="shared" si="207"/>
        <v/>
      </c>
      <c r="O782" s="5"/>
      <c r="P782" s="3"/>
      <c r="Q782" s="5"/>
      <c r="R782" s="7" t="str">
        <f t="shared" si="208"/>
        <v/>
      </c>
      <c r="S782" s="5"/>
      <c r="U782" s="10"/>
      <c r="V782" s="11" t="str">
        <f t="shared" si="209"/>
        <v/>
      </c>
      <c r="W782" s="6"/>
      <c r="Y782" s="10"/>
      <c r="Z782" s="11" t="str">
        <f t="shared" si="210"/>
        <v/>
      </c>
      <c r="AA782" s="6"/>
      <c r="AB782" s="1">
        <v>1.2</v>
      </c>
      <c r="AC782" s="21" t="str">
        <f t="shared" si="204"/>
        <v/>
      </c>
      <c r="AD782" s="27" t="str">
        <f t="shared" si="197"/>
        <v/>
      </c>
      <c r="AE782" s="27" t="str">
        <f t="shared" si="211"/>
        <v/>
      </c>
      <c r="AF782" s="14">
        <f t="shared" si="205"/>
        <v>0</v>
      </c>
      <c r="AG782" s="12">
        <f t="shared" si="200"/>
        <v>0</v>
      </c>
      <c r="AH782" s="24">
        <f t="shared" si="206"/>
        <v>0</v>
      </c>
      <c r="AI782" s="49" t="e">
        <f t="shared" si="212"/>
        <v>#VALUE!</v>
      </c>
      <c r="AK782" s="50" t="e">
        <f t="shared" si="201"/>
        <v>#VALUE!</v>
      </c>
    </row>
    <row r="783" spans="1:37" x14ac:dyDescent="0.4">
      <c r="A783" s="2">
        <v>1936</v>
      </c>
      <c r="B783" s="16"/>
      <c r="C783" s="22">
        <f t="shared" si="198"/>
        <v>0</v>
      </c>
      <c r="D783" s="23">
        <f t="shared" si="202"/>
        <v>0</v>
      </c>
      <c r="E783" s="14"/>
      <c r="F783" s="12">
        <f t="shared" si="199"/>
        <v>0</v>
      </c>
      <c r="G783" s="24">
        <f t="shared" si="203"/>
        <v>0</v>
      </c>
      <c r="H783" s="14"/>
      <c r="I783" s="14"/>
      <c r="J783" s="29"/>
      <c r="K783" s="30"/>
      <c r="M783" s="17"/>
      <c r="N783" s="7" t="str">
        <f t="shared" si="207"/>
        <v/>
      </c>
      <c r="O783" s="5"/>
      <c r="P783" s="3"/>
      <c r="Q783" s="5"/>
      <c r="R783" s="7" t="str">
        <f t="shared" si="208"/>
        <v/>
      </c>
      <c r="S783" s="5"/>
      <c r="U783" s="10"/>
      <c r="V783" s="11" t="str">
        <f t="shared" si="209"/>
        <v/>
      </c>
      <c r="W783" s="6"/>
      <c r="Y783" s="10"/>
      <c r="Z783" s="11" t="str">
        <f t="shared" si="210"/>
        <v/>
      </c>
      <c r="AA783" s="6"/>
      <c r="AB783" s="1">
        <v>1.2</v>
      </c>
      <c r="AC783" s="21" t="str">
        <f t="shared" si="204"/>
        <v/>
      </c>
      <c r="AD783" s="27" t="str">
        <f t="shared" si="197"/>
        <v/>
      </c>
      <c r="AE783" s="27" t="str">
        <f t="shared" si="211"/>
        <v/>
      </c>
      <c r="AF783" s="14">
        <f t="shared" si="205"/>
        <v>0</v>
      </c>
      <c r="AG783" s="12">
        <f t="shared" si="200"/>
        <v>0</v>
      </c>
      <c r="AH783" s="24">
        <f t="shared" si="206"/>
        <v>0</v>
      </c>
      <c r="AI783" s="49" t="e">
        <f t="shared" si="212"/>
        <v>#VALUE!</v>
      </c>
      <c r="AK783" s="50" t="e">
        <f t="shared" si="201"/>
        <v>#VALUE!</v>
      </c>
    </row>
    <row r="784" spans="1:37" x14ac:dyDescent="0.4">
      <c r="A784" s="2">
        <v>1937</v>
      </c>
      <c r="B784" s="16"/>
      <c r="C784" s="22">
        <f t="shared" si="198"/>
        <v>0</v>
      </c>
      <c r="D784" s="23">
        <f t="shared" si="202"/>
        <v>0</v>
      </c>
      <c r="E784" s="14"/>
      <c r="F784" s="12">
        <f t="shared" si="199"/>
        <v>0</v>
      </c>
      <c r="G784" s="24">
        <f t="shared" si="203"/>
        <v>0</v>
      </c>
      <c r="H784" s="14"/>
      <c r="I784" s="14"/>
      <c r="J784" s="29"/>
      <c r="K784" s="30"/>
      <c r="M784" s="17"/>
      <c r="N784" s="7" t="str">
        <f t="shared" si="207"/>
        <v/>
      </c>
      <c r="O784" s="5"/>
      <c r="P784" s="3"/>
      <c r="Q784" s="5"/>
      <c r="R784" s="7" t="str">
        <f t="shared" si="208"/>
        <v/>
      </c>
      <c r="S784" s="5"/>
      <c r="U784" s="10"/>
      <c r="V784" s="11" t="str">
        <f t="shared" si="209"/>
        <v/>
      </c>
      <c r="W784" s="6"/>
      <c r="Y784" s="10"/>
      <c r="Z784" s="11" t="str">
        <f t="shared" si="210"/>
        <v/>
      </c>
      <c r="AA784" s="6"/>
      <c r="AB784" s="1">
        <v>1.2</v>
      </c>
      <c r="AC784" s="21" t="str">
        <f t="shared" si="204"/>
        <v/>
      </c>
      <c r="AD784" s="27" t="str">
        <f t="shared" si="197"/>
        <v/>
      </c>
      <c r="AE784" s="27" t="str">
        <f t="shared" si="211"/>
        <v/>
      </c>
      <c r="AF784" s="14">
        <f t="shared" si="205"/>
        <v>0</v>
      </c>
      <c r="AG784" s="12">
        <f t="shared" si="200"/>
        <v>0</v>
      </c>
      <c r="AH784" s="24">
        <f t="shared" si="206"/>
        <v>0</v>
      </c>
      <c r="AI784" s="49" t="e">
        <f t="shared" si="212"/>
        <v>#VALUE!</v>
      </c>
      <c r="AK784" s="50" t="e">
        <f t="shared" si="201"/>
        <v>#VALUE!</v>
      </c>
    </row>
    <row r="785" spans="1:37" x14ac:dyDescent="0.4">
      <c r="A785" s="2">
        <v>1938</v>
      </c>
      <c r="B785" s="16"/>
      <c r="C785" s="22">
        <f t="shared" si="198"/>
        <v>0</v>
      </c>
      <c r="D785" s="23">
        <f t="shared" si="202"/>
        <v>0</v>
      </c>
      <c r="E785" s="14"/>
      <c r="F785" s="12">
        <f t="shared" si="199"/>
        <v>0</v>
      </c>
      <c r="G785" s="24">
        <f t="shared" si="203"/>
        <v>0</v>
      </c>
      <c r="H785" s="14"/>
      <c r="I785" s="14"/>
      <c r="J785" s="29"/>
      <c r="K785" s="30"/>
      <c r="M785" s="17"/>
      <c r="N785" s="7" t="str">
        <f t="shared" si="207"/>
        <v/>
      </c>
      <c r="O785" s="5"/>
      <c r="P785" s="3"/>
      <c r="Q785" s="5"/>
      <c r="R785" s="7" t="str">
        <f t="shared" si="208"/>
        <v/>
      </c>
      <c r="S785" s="5"/>
      <c r="U785" s="10"/>
      <c r="V785" s="11" t="str">
        <f t="shared" si="209"/>
        <v/>
      </c>
      <c r="W785" s="6"/>
      <c r="Y785" s="10"/>
      <c r="Z785" s="11" t="str">
        <f t="shared" si="210"/>
        <v/>
      </c>
      <c r="AA785" s="6"/>
      <c r="AB785" s="1">
        <v>1.2</v>
      </c>
      <c r="AC785" s="21" t="str">
        <f t="shared" si="204"/>
        <v/>
      </c>
      <c r="AD785" s="27" t="str">
        <f t="shared" si="197"/>
        <v/>
      </c>
      <c r="AE785" s="27" t="str">
        <f t="shared" si="211"/>
        <v/>
      </c>
      <c r="AF785" s="14">
        <f t="shared" si="205"/>
        <v>0</v>
      </c>
      <c r="AG785" s="12">
        <f t="shared" si="200"/>
        <v>0</v>
      </c>
      <c r="AH785" s="24">
        <f t="shared" si="206"/>
        <v>0</v>
      </c>
      <c r="AI785" s="49" t="e">
        <f t="shared" si="212"/>
        <v>#VALUE!</v>
      </c>
      <c r="AK785" s="50" t="e">
        <f t="shared" si="201"/>
        <v>#VALUE!</v>
      </c>
    </row>
    <row r="786" spans="1:37" x14ac:dyDescent="0.4">
      <c r="A786" s="2">
        <v>1939</v>
      </c>
      <c r="B786" s="16"/>
      <c r="C786" s="22">
        <f t="shared" si="198"/>
        <v>0</v>
      </c>
      <c r="D786" s="23">
        <f t="shared" si="202"/>
        <v>0</v>
      </c>
      <c r="E786" s="14"/>
      <c r="F786" s="12">
        <f t="shared" si="199"/>
        <v>0</v>
      </c>
      <c r="G786" s="24">
        <f t="shared" si="203"/>
        <v>0</v>
      </c>
      <c r="H786" s="14"/>
      <c r="I786" s="14"/>
      <c r="J786" s="29"/>
      <c r="K786" s="30"/>
      <c r="M786" s="17"/>
      <c r="N786" s="7" t="str">
        <f t="shared" si="207"/>
        <v/>
      </c>
      <c r="O786" s="5"/>
      <c r="P786" s="3"/>
      <c r="Q786" s="5"/>
      <c r="R786" s="7" t="str">
        <f t="shared" si="208"/>
        <v/>
      </c>
      <c r="S786" s="5"/>
      <c r="U786" s="10"/>
      <c r="V786" s="11" t="str">
        <f t="shared" si="209"/>
        <v/>
      </c>
      <c r="W786" s="6"/>
      <c r="Y786" s="10"/>
      <c r="Z786" s="11" t="str">
        <f t="shared" si="210"/>
        <v/>
      </c>
      <c r="AA786" s="6"/>
      <c r="AB786" s="1">
        <v>1.2</v>
      </c>
      <c r="AC786" s="21" t="str">
        <f t="shared" si="204"/>
        <v/>
      </c>
      <c r="AD786" s="27" t="str">
        <f t="shared" si="197"/>
        <v/>
      </c>
      <c r="AE786" s="27" t="str">
        <f t="shared" si="211"/>
        <v/>
      </c>
      <c r="AF786" s="14">
        <f t="shared" si="205"/>
        <v>0</v>
      </c>
      <c r="AG786" s="12">
        <f t="shared" si="200"/>
        <v>0</v>
      </c>
      <c r="AH786" s="24">
        <f t="shared" si="206"/>
        <v>0</v>
      </c>
      <c r="AI786" s="49" t="e">
        <f t="shared" si="212"/>
        <v>#VALUE!</v>
      </c>
      <c r="AK786" s="50" t="e">
        <f t="shared" si="201"/>
        <v>#VALUE!</v>
      </c>
    </row>
    <row r="787" spans="1:37" x14ac:dyDescent="0.4">
      <c r="A787" s="2">
        <v>1940</v>
      </c>
      <c r="B787" s="16"/>
      <c r="C787" s="22">
        <f t="shared" si="198"/>
        <v>0</v>
      </c>
      <c r="D787" s="23">
        <f t="shared" si="202"/>
        <v>0</v>
      </c>
      <c r="E787" s="14"/>
      <c r="F787" s="12">
        <f t="shared" si="199"/>
        <v>0</v>
      </c>
      <c r="G787" s="24">
        <f t="shared" si="203"/>
        <v>0</v>
      </c>
      <c r="H787" s="14"/>
      <c r="I787" s="14"/>
      <c r="J787" s="29"/>
      <c r="K787" s="30"/>
      <c r="M787" s="17"/>
      <c r="N787" s="7" t="str">
        <f t="shared" si="207"/>
        <v/>
      </c>
      <c r="O787" s="5"/>
      <c r="P787" s="3"/>
      <c r="Q787" s="5"/>
      <c r="R787" s="7" t="str">
        <f t="shared" si="208"/>
        <v/>
      </c>
      <c r="S787" s="5"/>
      <c r="U787" s="10"/>
      <c r="V787" s="11" t="str">
        <f t="shared" si="209"/>
        <v/>
      </c>
      <c r="W787" s="6"/>
      <c r="Y787" s="10"/>
      <c r="Z787" s="11" t="str">
        <f t="shared" si="210"/>
        <v/>
      </c>
      <c r="AA787" s="6"/>
      <c r="AB787" s="1">
        <v>1.2</v>
      </c>
      <c r="AC787" s="21" t="str">
        <f t="shared" si="204"/>
        <v/>
      </c>
      <c r="AD787" s="27" t="str">
        <f t="shared" si="197"/>
        <v/>
      </c>
      <c r="AE787" s="27" t="str">
        <f t="shared" si="211"/>
        <v/>
      </c>
      <c r="AF787" s="14">
        <f t="shared" si="205"/>
        <v>0</v>
      </c>
      <c r="AG787" s="12">
        <f t="shared" si="200"/>
        <v>0</v>
      </c>
      <c r="AH787" s="24">
        <f t="shared" si="206"/>
        <v>0</v>
      </c>
      <c r="AI787" s="49" t="e">
        <f t="shared" si="212"/>
        <v>#VALUE!</v>
      </c>
      <c r="AK787" s="50" t="e">
        <f t="shared" si="201"/>
        <v>#VALUE!</v>
      </c>
    </row>
    <row r="788" spans="1:37" x14ac:dyDescent="0.4">
      <c r="A788" s="2">
        <v>1941</v>
      </c>
      <c r="B788" s="16"/>
      <c r="C788" s="22">
        <f t="shared" si="198"/>
        <v>0</v>
      </c>
      <c r="D788" s="23">
        <f t="shared" si="202"/>
        <v>0</v>
      </c>
      <c r="E788" s="14"/>
      <c r="F788" s="12">
        <f t="shared" si="199"/>
        <v>0</v>
      </c>
      <c r="G788" s="24">
        <f t="shared" si="203"/>
        <v>0</v>
      </c>
      <c r="H788" s="14"/>
      <c r="I788" s="14"/>
      <c r="J788" s="29"/>
      <c r="K788" s="30"/>
      <c r="M788" s="17"/>
      <c r="N788" s="7" t="str">
        <f t="shared" si="207"/>
        <v/>
      </c>
      <c r="O788" s="5"/>
      <c r="P788" s="3"/>
      <c r="Q788" s="5"/>
      <c r="R788" s="7" t="str">
        <f t="shared" si="208"/>
        <v/>
      </c>
      <c r="S788" s="5"/>
      <c r="U788" s="10"/>
      <c r="V788" s="11" t="str">
        <f t="shared" si="209"/>
        <v/>
      </c>
      <c r="W788" s="6"/>
      <c r="Y788" s="10"/>
      <c r="Z788" s="11" t="str">
        <f t="shared" si="210"/>
        <v/>
      </c>
      <c r="AA788" s="6"/>
      <c r="AB788" s="1">
        <v>1.2</v>
      </c>
      <c r="AC788" s="21" t="str">
        <f t="shared" si="204"/>
        <v/>
      </c>
      <c r="AD788" s="27" t="str">
        <f t="shared" si="197"/>
        <v/>
      </c>
      <c r="AE788" s="27" t="str">
        <f t="shared" si="211"/>
        <v/>
      </c>
      <c r="AF788" s="14">
        <f t="shared" si="205"/>
        <v>0</v>
      </c>
      <c r="AG788" s="12">
        <f t="shared" si="200"/>
        <v>0</v>
      </c>
      <c r="AH788" s="24">
        <f t="shared" si="206"/>
        <v>0</v>
      </c>
      <c r="AI788" s="49" t="e">
        <f t="shared" si="212"/>
        <v>#VALUE!</v>
      </c>
      <c r="AK788" s="50" t="e">
        <f t="shared" si="201"/>
        <v>#VALUE!</v>
      </c>
    </row>
    <row r="789" spans="1:37" x14ac:dyDescent="0.4">
      <c r="A789" s="2">
        <v>1942</v>
      </c>
      <c r="B789" s="16"/>
      <c r="C789" s="22">
        <f t="shared" si="198"/>
        <v>0</v>
      </c>
      <c r="D789" s="23">
        <f t="shared" si="202"/>
        <v>0</v>
      </c>
      <c r="E789" s="14"/>
      <c r="F789" s="12">
        <f t="shared" si="199"/>
        <v>0</v>
      </c>
      <c r="G789" s="24">
        <f t="shared" si="203"/>
        <v>0</v>
      </c>
      <c r="H789" s="14"/>
      <c r="I789" s="14"/>
      <c r="J789" s="29"/>
      <c r="K789" s="30"/>
      <c r="M789" s="17"/>
      <c r="N789" s="7" t="str">
        <f t="shared" si="207"/>
        <v/>
      </c>
      <c r="O789" s="5"/>
      <c r="P789" s="3"/>
      <c r="Q789" s="5"/>
      <c r="R789" s="7" t="str">
        <f t="shared" si="208"/>
        <v/>
      </c>
      <c r="S789" s="5"/>
      <c r="U789" s="10"/>
      <c r="V789" s="11" t="str">
        <f t="shared" si="209"/>
        <v/>
      </c>
      <c r="W789" s="6"/>
      <c r="Y789" s="10"/>
      <c r="Z789" s="11" t="str">
        <f t="shared" si="210"/>
        <v/>
      </c>
      <c r="AA789" s="6"/>
      <c r="AB789" s="1">
        <v>1.2</v>
      </c>
      <c r="AC789" s="21" t="str">
        <f t="shared" si="204"/>
        <v/>
      </c>
      <c r="AD789" s="27" t="str">
        <f t="shared" si="197"/>
        <v/>
      </c>
      <c r="AE789" s="27" t="str">
        <f t="shared" si="211"/>
        <v/>
      </c>
      <c r="AF789" s="14">
        <f t="shared" si="205"/>
        <v>0</v>
      </c>
      <c r="AG789" s="12">
        <f t="shared" si="200"/>
        <v>0</v>
      </c>
      <c r="AH789" s="24">
        <f t="shared" si="206"/>
        <v>0</v>
      </c>
      <c r="AI789" s="49" t="e">
        <f t="shared" si="212"/>
        <v>#VALUE!</v>
      </c>
      <c r="AK789" s="50" t="e">
        <f t="shared" si="201"/>
        <v>#VALUE!</v>
      </c>
    </row>
    <row r="790" spans="1:37" x14ac:dyDescent="0.4">
      <c r="A790" s="2">
        <v>1943</v>
      </c>
      <c r="B790" s="16"/>
      <c r="C790" s="22">
        <f t="shared" si="198"/>
        <v>0</v>
      </c>
      <c r="D790" s="23">
        <f t="shared" si="202"/>
        <v>0</v>
      </c>
      <c r="E790" s="14"/>
      <c r="F790" s="12">
        <f t="shared" si="199"/>
        <v>0</v>
      </c>
      <c r="G790" s="24">
        <f t="shared" si="203"/>
        <v>0</v>
      </c>
      <c r="H790" s="14"/>
      <c r="I790" s="14"/>
      <c r="J790" s="29"/>
      <c r="K790" s="30"/>
      <c r="M790" s="17"/>
      <c r="N790" s="7" t="str">
        <f t="shared" si="207"/>
        <v/>
      </c>
      <c r="O790" s="5"/>
      <c r="P790" s="3"/>
      <c r="Q790" s="5"/>
      <c r="R790" s="7" t="str">
        <f t="shared" si="208"/>
        <v/>
      </c>
      <c r="S790" s="5"/>
      <c r="U790" s="10"/>
      <c r="V790" s="11" t="str">
        <f t="shared" si="209"/>
        <v/>
      </c>
      <c r="W790" s="6"/>
      <c r="Y790" s="10"/>
      <c r="Z790" s="11" t="str">
        <f t="shared" si="210"/>
        <v/>
      </c>
      <c r="AA790" s="6"/>
      <c r="AB790" s="1">
        <v>1.2</v>
      </c>
      <c r="AC790" s="21" t="str">
        <f t="shared" si="204"/>
        <v/>
      </c>
      <c r="AD790" s="27" t="str">
        <f t="shared" ref="AD790:AD853" si="213">IF(H790="","",TEXT(H790-B790,"[hh]:mm"))</f>
        <v/>
      </c>
      <c r="AE790" s="27" t="str">
        <f t="shared" si="211"/>
        <v/>
      </c>
      <c r="AF790" s="14">
        <f t="shared" si="205"/>
        <v>0</v>
      </c>
      <c r="AG790" s="12">
        <f t="shared" si="200"/>
        <v>0</v>
      </c>
      <c r="AH790" s="24">
        <f t="shared" si="206"/>
        <v>0</v>
      </c>
      <c r="AI790" s="49" t="e">
        <f t="shared" si="212"/>
        <v>#VALUE!</v>
      </c>
      <c r="AK790" s="50" t="e">
        <f t="shared" si="201"/>
        <v>#VALUE!</v>
      </c>
    </row>
    <row r="791" spans="1:37" x14ac:dyDescent="0.4">
      <c r="A791" s="2">
        <v>1944</v>
      </c>
      <c r="B791" s="16"/>
      <c r="C791" s="22">
        <f t="shared" ref="C791:C854" si="214">INT(B791)</f>
        <v>0</v>
      </c>
      <c r="D791" s="23">
        <f t="shared" si="202"/>
        <v>0</v>
      </c>
      <c r="E791" s="14"/>
      <c r="F791" s="12">
        <f t="shared" ref="F791:F854" si="215">INT(E791)</f>
        <v>0</v>
      </c>
      <c r="G791" s="24">
        <f t="shared" si="203"/>
        <v>0</v>
      </c>
      <c r="H791" s="14"/>
      <c r="I791" s="14"/>
      <c r="J791" s="29"/>
      <c r="K791" s="30"/>
      <c r="M791" s="17"/>
      <c r="N791" s="7" t="str">
        <f t="shared" si="207"/>
        <v/>
      </c>
      <c r="O791" s="5"/>
      <c r="P791" s="3"/>
      <c r="Q791" s="5"/>
      <c r="R791" s="7" t="str">
        <f t="shared" si="208"/>
        <v/>
      </c>
      <c r="S791" s="5"/>
      <c r="U791" s="10"/>
      <c r="V791" s="11" t="str">
        <f t="shared" si="209"/>
        <v/>
      </c>
      <c r="W791" s="6"/>
      <c r="Y791" s="10"/>
      <c r="Z791" s="11" t="str">
        <f t="shared" si="210"/>
        <v/>
      </c>
      <c r="AA791" s="6"/>
      <c r="AB791" s="1">
        <v>1.2</v>
      </c>
      <c r="AC791" s="21" t="str">
        <f t="shared" si="204"/>
        <v/>
      </c>
      <c r="AD791" s="27" t="str">
        <f t="shared" si="213"/>
        <v/>
      </c>
      <c r="AE791" s="27" t="str">
        <f t="shared" si="211"/>
        <v/>
      </c>
      <c r="AF791" s="14">
        <f t="shared" si="205"/>
        <v>0</v>
      </c>
      <c r="AG791" s="12">
        <f t="shared" ref="AG791:AG854" si="216">INT(AF791)</f>
        <v>0</v>
      </c>
      <c r="AH791" s="24">
        <f t="shared" si="206"/>
        <v>0</v>
      </c>
      <c r="AI791" s="49" t="e">
        <f t="shared" si="212"/>
        <v>#VALUE!</v>
      </c>
      <c r="AK791" s="50" t="e">
        <f t="shared" ref="AK791:AK854" si="217">IF(VALUE(AI791)&lt;=VALUE($AK$3),"BOM","RUIM")</f>
        <v>#VALUE!</v>
      </c>
    </row>
    <row r="792" spans="1:37" x14ac:dyDescent="0.4">
      <c r="A792" s="2">
        <v>1945</v>
      </c>
      <c r="B792" s="16"/>
      <c r="C792" s="22">
        <f t="shared" si="214"/>
        <v>0</v>
      </c>
      <c r="D792" s="23">
        <f t="shared" si="202"/>
        <v>0</v>
      </c>
      <c r="E792" s="14"/>
      <c r="F792" s="12">
        <f t="shared" si="215"/>
        <v>0</v>
      </c>
      <c r="G792" s="24">
        <f t="shared" si="203"/>
        <v>0</v>
      </c>
      <c r="H792" s="14"/>
      <c r="I792" s="14"/>
      <c r="J792" s="29"/>
      <c r="K792" s="30"/>
      <c r="M792" s="17"/>
      <c r="N792" s="7" t="str">
        <f t="shared" si="207"/>
        <v/>
      </c>
      <c r="O792" s="5"/>
      <c r="P792" s="3"/>
      <c r="Q792" s="5"/>
      <c r="R792" s="7" t="str">
        <f t="shared" si="208"/>
        <v/>
      </c>
      <c r="S792" s="5"/>
      <c r="U792" s="10"/>
      <c r="V792" s="11" t="str">
        <f t="shared" si="209"/>
        <v/>
      </c>
      <c r="W792" s="6"/>
      <c r="Y792" s="10"/>
      <c r="Z792" s="11" t="str">
        <f t="shared" si="210"/>
        <v/>
      </c>
      <c r="AA792" s="6"/>
      <c r="AB792" s="1">
        <v>1.2</v>
      </c>
      <c r="AC792" s="21" t="str">
        <f t="shared" si="204"/>
        <v/>
      </c>
      <c r="AD792" s="27" t="str">
        <f t="shared" si="213"/>
        <v/>
      </c>
      <c r="AE792" s="27" t="str">
        <f t="shared" si="211"/>
        <v/>
      </c>
      <c r="AF792" s="14">
        <f t="shared" si="205"/>
        <v>0</v>
      </c>
      <c r="AG792" s="12">
        <f t="shared" si="216"/>
        <v>0</v>
      </c>
      <c r="AH792" s="24">
        <f t="shared" si="206"/>
        <v>0</v>
      </c>
      <c r="AI792" s="49" t="e">
        <f t="shared" si="212"/>
        <v>#VALUE!</v>
      </c>
      <c r="AK792" s="50" t="e">
        <f t="shared" si="217"/>
        <v>#VALUE!</v>
      </c>
    </row>
    <row r="793" spans="1:37" x14ac:dyDescent="0.4">
      <c r="A793" s="2">
        <v>1946</v>
      </c>
      <c r="B793" s="16"/>
      <c r="C793" s="22">
        <f t="shared" si="214"/>
        <v>0</v>
      </c>
      <c r="D793" s="23">
        <f t="shared" si="202"/>
        <v>0</v>
      </c>
      <c r="E793" s="14"/>
      <c r="F793" s="12">
        <f t="shared" si="215"/>
        <v>0</v>
      </c>
      <c r="G793" s="24">
        <f t="shared" si="203"/>
        <v>0</v>
      </c>
      <c r="H793" s="14"/>
      <c r="I793" s="14"/>
      <c r="J793" s="29"/>
      <c r="K793" s="30"/>
      <c r="M793" s="17"/>
      <c r="N793" s="7" t="str">
        <f t="shared" si="207"/>
        <v/>
      </c>
      <c r="O793" s="5"/>
      <c r="P793" s="3"/>
      <c r="Q793" s="5"/>
      <c r="R793" s="7" t="str">
        <f t="shared" si="208"/>
        <v/>
      </c>
      <c r="S793" s="5"/>
      <c r="U793" s="10"/>
      <c r="V793" s="11" t="str">
        <f t="shared" si="209"/>
        <v/>
      </c>
      <c r="W793" s="6"/>
      <c r="Y793" s="10"/>
      <c r="Z793" s="11" t="str">
        <f t="shared" si="210"/>
        <v/>
      </c>
      <c r="AA793" s="6"/>
      <c r="AB793" s="1">
        <v>1.2</v>
      </c>
      <c r="AC793" s="21" t="str">
        <f t="shared" si="204"/>
        <v/>
      </c>
      <c r="AD793" s="27" t="str">
        <f t="shared" si="213"/>
        <v/>
      </c>
      <c r="AE793" s="27" t="str">
        <f t="shared" si="211"/>
        <v/>
      </c>
      <c r="AF793" s="14">
        <f t="shared" si="205"/>
        <v>0</v>
      </c>
      <c r="AG793" s="12">
        <f t="shared" si="216"/>
        <v>0</v>
      </c>
      <c r="AH793" s="24">
        <f t="shared" si="206"/>
        <v>0</v>
      </c>
      <c r="AI793" s="49" t="e">
        <f t="shared" si="212"/>
        <v>#VALUE!</v>
      </c>
      <c r="AK793" s="50" t="e">
        <f t="shared" si="217"/>
        <v>#VALUE!</v>
      </c>
    </row>
    <row r="794" spans="1:37" x14ac:dyDescent="0.4">
      <c r="A794" s="2">
        <v>1947</v>
      </c>
      <c r="B794" s="16"/>
      <c r="C794" s="22">
        <f t="shared" si="214"/>
        <v>0</v>
      </c>
      <c r="D794" s="23">
        <f t="shared" si="202"/>
        <v>0</v>
      </c>
      <c r="E794" s="14"/>
      <c r="F794" s="12">
        <f t="shared" si="215"/>
        <v>0</v>
      </c>
      <c r="G794" s="24">
        <f t="shared" si="203"/>
        <v>0</v>
      </c>
      <c r="H794" s="14"/>
      <c r="I794" s="14"/>
      <c r="J794" s="29"/>
      <c r="K794" s="30"/>
      <c r="M794" s="17"/>
      <c r="N794" s="7" t="str">
        <f t="shared" si="207"/>
        <v/>
      </c>
      <c r="O794" s="5"/>
      <c r="P794" s="3"/>
      <c r="Q794" s="5"/>
      <c r="R794" s="7" t="str">
        <f t="shared" si="208"/>
        <v/>
      </c>
      <c r="S794" s="5"/>
      <c r="U794" s="10"/>
      <c r="V794" s="11" t="str">
        <f t="shared" si="209"/>
        <v/>
      </c>
      <c r="W794" s="6"/>
      <c r="Y794" s="10"/>
      <c r="Z794" s="11" t="str">
        <f t="shared" si="210"/>
        <v/>
      </c>
      <c r="AA794" s="6"/>
      <c r="AB794" s="1">
        <v>1.2</v>
      </c>
      <c r="AC794" s="21" t="str">
        <f t="shared" si="204"/>
        <v/>
      </c>
      <c r="AD794" s="27" t="str">
        <f t="shared" si="213"/>
        <v/>
      </c>
      <c r="AE794" s="27" t="str">
        <f t="shared" si="211"/>
        <v/>
      </c>
      <c r="AF794" s="14">
        <f t="shared" si="205"/>
        <v>0</v>
      </c>
      <c r="AG794" s="12">
        <f t="shared" si="216"/>
        <v>0</v>
      </c>
      <c r="AH794" s="24">
        <f t="shared" si="206"/>
        <v>0</v>
      </c>
      <c r="AI794" s="49" t="e">
        <f t="shared" si="212"/>
        <v>#VALUE!</v>
      </c>
      <c r="AK794" s="50" t="e">
        <f t="shared" si="217"/>
        <v>#VALUE!</v>
      </c>
    </row>
    <row r="795" spans="1:37" x14ac:dyDescent="0.4">
      <c r="A795" s="2">
        <v>1948</v>
      </c>
      <c r="B795" s="16"/>
      <c r="C795" s="22">
        <f t="shared" si="214"/>
        <v>0</v>
      </c>
      <c r="D795" s="23">
        <f t="shared" si="202"/>
        <v>0</v>
      </c>
      <c r="E795" s="14"/>
      <c r="F795" s="12">
        <f t="shared" si="215"/>
        <v>0</v>
      </c>
      <c r="G795" s="24">
        <f t="shared" si="203"/>
        <v>0</v>
      </c>
      <c r="H795" s="14"/>
      <c r="I795" s="14"/>
      <c r="J795" s="29"/>
      <c r="K795" s="30"/>
      <c r="M795" s="17"/>
      <c r="N795" s="7" t="str">
        <f t="shared" si="207"/>
        <v/>
      </c>
      <c r="O795" s="5"/>
      <c r="P795" s="3"/>
      <c r="Q795" s="5"/>
      <c r="R795" s="7" t="str">
        <f t="shared" si="208"/>
        <v/>
      </c>
      <c r="S795" s="5"/>
      <c r="U795" s="10"/>
      <c r="V795" s="11" t="str">
        <f t="shared" si="209"/>
        <v/>
      </c>
      <c r="W795" s="6"/>
      <c r="Y795" s="10"/>
      <c r="Z795" s="11" t="str">
        <f t="shared" si="210"/>
        <v/>
      </c>
      <c r="AA795" s="6"/>
      <c r="AB795" s="1">
        <v>1.2</v>
      </c>
      <c r="AC795" s="21" t="str">
        <f t="shared" si="204"/>
        <v/>
      </c>
      <c r="AD795" s="27" t="str">
        <f t="shared" si="213"/>
        <v/>
      </c>
      <c r="AE795" s="27" t="str">
        <f t="shared" si="211"/>
        <v/>
      </c>
      <c r="AF795" s="14">
        <f t="shared" si="205"/>
        <v>0</v>
      </c>
      <c r="AG795" s="12">
        <f t="shared" si="216"/>
        <v>0</v>
      </c>
      <c r="AH795" s="24">
        <f t="shared" si="206"/>
        <v>0</v>
      </c>
      <c r="AI795" s="49" t="e">
        <f t="shared" si="212"/>
        <v>#VALUE!</v>
      </c>
      <c r="AK795" s="50" t="e">
        <f t="shared" si="217"/>
        <v>#VALUE!</v>
      </c>
    </row>
    <row r="796" spans="1:37" x14ac:dyDescent="0.4">
      <c r="A796" s="2">
        <v>1949</v>
      </c>
      <c r="B796" s="16"/>
      <c r="C796" s="22">
        <f t="shared" si="214"/>
        <v>0</v>
      </c>
      <c r="D796" s="23">
        <f t="shared" si="202"/>
        <v>0</v>
      </c>
      <c r="E796" s="14"/>
      <c r="F796" s="12">
        <f t="shared" si="215"/>
        <v>0</v>
      </c>
      <c r="G796" s="24">
        <f t="shared" si="203"/>
        <v>0</v>
      </c>
      <c r="H796" s="14"/>
      <c r="I796" s="14"/>
      <c r="J796" s="29"/>
      <c r="K796" s="30"/>
      <c r="M796" s="17"/>
      <c r="N796" s="7" t="str">
        <f t="shared" si="207"/>
        <v/>
      </c>
      <c r="O796" s="5"/>
      <c r="P796" s="3"/>
      <c r="Q796" s="5"/>
      <c r="R796" s="7" t="str">
        <f t="shared" si="208"/>
        <v/>
      </c>
      <c r="S796" s="5"/>
      <c r="U796" s="10"/>
      <c r="V796" s="11" t="str">
        <f t="shared" si="209"/>
        <v/>
      </c>
      <c r="W796" s="6"/>
      <c r="Y796" s="10"/>
      <c r="Z796" s="11" t="str">
        <f t="shared" si="210"/>
        <v/>
      </c>
      <c r="AA796" s="6"/>
      <c r="AB796" s="1">
        <v>1.2</v>
      </c>
      <c r="AC796" s="21" t="str">
        <f t="shared" si="204"/>
        <v/>
      </c>
      <c r="AD796" s="27" t="str">
        <f t="shared" si="213"/>
        <v/>
      </c>
      <c r="AE796" s="27" t="str">
        <f t="shared" si="211"/>
        <v/>
      </c>
      <c r="AF796" s="14">
        <f t="shared" si="205"/>
        <v>0</v>
      </c>
      <c r="AG796" s="12">
        <f t="shared" si="216"/>
        <v>0</v>
      </c>
      <c r="AH796" s="24">
        <f t="shared" si="206"/>
        <v>0</v>
      </c>
      <c r="AI796" s="49" t="e">
        <f t="shared" si="212"/>
        <v>#VALUE!</v>
      </c>
      <c r="AK796" s="50" t="e">
        <f t="shared" si="217"/>
        <v>#VALUE!</v>
      </c>
    </row>
    <row r="797" spans="1:37" x14ac:dyDescent="0.4">
      <c r="A797" s="2">
        <v>1950</v>
      </c>
      <c r="B797" s="16"/>
      <c r="C797" s="22">
        <f t="shared" si="214"/>
        <v>0</v>
      </c>
      <c r="D797" s="23">
        <f t="shared" si="202"/>
        <v>0</v>
      </c>
      <c r="E797" s="14"/>
      <c r="F797" s="12">
        <f t="shared" si="215"/>
        <v>0</v>
      </c>
      <c r="G797" s="24">
        <f t="shared" si="203"/>
        <v>0</v>
      </c>
      <c r="H797" s="14"/>
      <c r="I797" s="14"/>
      <c r="J797" s="29"/>
      <c r="K797" s="30"/>
      <c r="M797" s="17"/>
      <c r="N797" s="7" t="str">
        <f t="shared" si="207"/>
        <v/>
      </c>
      <c r="O797" s="5"/>
      <c r="P797" s="3"/>
      <c r="Q797" s="5"/>
      <c r="R797" s="7" t="str">
        <f t="shared" si="208"/>
        <v/>
      </c>
      <c r="S797" s="5"/>
      <c r="U797" s="10"/>
      <c r="V797" s="11" t="str">
        <f t="shared" si="209"/>
        <v/>
      </c>
      <c r="W797" s="6"/>
      <c r="Y797" s="10"/>
      <c r="Z797" s="11" t="str">
        <f t="shared" si="210"/>
        <v/>
      </c>
      <c r="AA797" s="6"/>
      <c r="AB797" s="1">
        <v>1.2</v>
      </c>
      <c r="AC797" s="21" t="str">
        <f t="shared" si="204"/>
        <v/>
      </c>
      <c r="AD797" s="27" t="str">
        <f t="shared" si="213"/>
        <v/>
      </c>
      <c r="AE797" s="27" t="str">
        <f t="shared" si="211"/>
        <v/>
      </c>
      <c r="AF797" s="14">
        <f t="shared" si="205"/>
        <v>0</v>
      </c>
      <c r="AG797" s="12">
        <f t="shared" si="216"/>
        <v>0</v>
      </c>
      <c r="AH797" s="24">
        <f t="shared" si="206"/>
        <v>0</v>
      </c>
      <c r="AI797" s="49" t="e">
        <f t="shared" si="212"/>
        <v>#VALUE!</v>
      </c>
      <c r="AK797" s="50" t="e">
        <f t="shared" si="217"/>
        <v>#VALUE!</v>
      </c>
    </row>
    <row r="798" spans="1:37" x14ac:dyDescent="0.4">
      <c r="A798" s="2">
        <v>1951</v>
      </c>
      <c r="B798" s="16"/>
      <c r="C798" s="22">
        <f t="shared" si="214"/>
        <v>0</v>
      </c>
      <c r="D798" s="23">
        <f t="shared" si="202"/>
        <v>0</v>
      </c>
      <c r="E798" s="14"/>
      <c r="F798" s="12">
        <f t="shared" si="215"/>
        <v>0</v>
      </c>
      <c r="G798" s="24">
        <f t="shared" si="203"/>
        <v>0</v>
      </c>
      <c r="H798" s="14"/>
      <c r="I798" s="14"/>
      <c r="J798" s="29"/>
      <c r="K798" s="30"/>
      <c r="M798" s="17"/>
      <c r="N798" s="7" t="str">
        <f t="shared" si="207"/>
        <v/>
      </c>
      <c r="O798" s="5"/>
      <c r="P798" s="3"/>
      <c r="Q798" s="5"/>
      <c r="R798" s="7" t="str">
        <f t="shared" si="208"/>
        <v/>
      </c>
      <c r="S798" s="5"/>
      <c r="U798" s="10"/>
      <c r="V798" s="11" t="str">
        <f t="shared" si="209"/>
        <v/>
      </c>
      <c r="W798" s="6"/>
      <c r="Y798" s="10"/>
      <c r="Z798" s="11" t="str">
        <f t="shared" si="210"/>
        <v/>
      </c>
      <c r="AA798" s="6"/>
      <c r="AB798" s="1">
        <v>1.2</v>
      </c>
      <c r="AC798" s="21" t="str">
        <f t="shared" si="204"/>
        <v/>
      </c>
      <c r="AD798" s="27" t="str">
        <f t="shared" si="213"/>
        <v/>
      </c>
      <c r="AE798" s="27" t="str">
        <f t="shared" si="211"/>
        <v/>
      </c>
      <c r="AF798" s="14">
        <f t="shared" si="205"/>
        <v>0</v>
      </c>
      <c r="AG798" s="12">
        <f t="shared" si="216"/>
        <v>0</v>
      </c>
      <c r="AH798" s="24">
        <f t="shared" si="206"/>
        <v>0</v>
      </c>
      <c r="AI798" s="49" t="e">
        <f t="shared" si="212"/>
        <v>#VALUE!</v>
      </c>
      <c r="AK798" s="50" t="e">
        <f t="shared" si="217"/>
        <v>#VALUE!</v>
      </c>
    </row>
    <row r="799" spans="1:37" x14ac:dyDescent="0.4">
      <c r="A799" s="2">
        <v>1952</v>
      </c>
      <c r="B799" s="16"/>
      <c r="C799" s="22">
        <f t="shared" si="214"/>
        <v>0</v>
      </c>
      <c r="D799" s="23">
        <f t="shared" si="202"/>
        <v>0</v>
      </c>
      <c r="E799" s="14"/>
      <c r="F799" s="12">
        <f t="shared" si="215"/>
        <v>0</v>
      </c>
      <c r="G799" s="24">
        <f t="shared" si="203"/>
        <v>0</v>
      </c>
      <c r="H799" s="14"/>
      <c r="I799" s="14"/>
      <c r="J799" s="29"/>
      <c r="K799" s="30"/>
      <c r="M799" s="17"/>
      <c r="N799" s="7" t="str">
        <f t="shared" si="207"/>
        <v/>
      </c>
      <c r="O799" s="5"/>
      <c r="P799" s="3"/>
      <c r="Q799" s="5"/>
      <c r="R799" s="7" t="str">
        <f t="shared" si="208"/>
        <v/>
      </c>
      <c r="S799" s="5"/>
      <c r="U799" s="10"/>
      <c r="V799" s="11" t="str">
        <f t="shared" si="209"/>
        <v/>
      </c>
      <c r="W799" s="6"/>
      <c r="Y799" s="10"/>
      <c r="Z799" s="11" t="str">
        <f t="shared" si="210"/>
        <v/>
      </c>
      <c r="AA799" s="6"/>
      <c r="AB799" s="1">
        <v>1.2</v>
      </c>
      <c r="AC799" s="21" t="str">
        <f t="shared" si="204"/>
        <v/>
      </c>
      <c r="AD799" s="27" t="str">
        <f t="shared" si="213"/>
        <v/>
      </c>
      <c r="AE799" s="27" t="str">
        <f t="shared" si="211"/>
        <v/>
      </c>
      <c r="AF799" s="14">
        <f t="shared" si="205"/>
        <v>0</v>
      </c>
      <c r="AG799" s="12">
        <f t="shared" si="216"/>
        <v>0</v>
      </c>
      <c r="AH799" s="24">
        <f t="shared" si="206"/>
        <v>0</v>
      </c>
      <c r="AI799" s="49" t="e">
        <f t="shared" si="212"/>
        <v>#VALUE!</v>
      </c>
      <c r="AK799" s="50" t="e">
        <f t="shared" si="217"/>
        <v>#VALUE!</v>
      </c>
    </row>
    <row r="800" spans="1:37" x14ac:dyDescent="0.4">
      <c r="A800" s="2">
        <v>1953</v>
      </c>
      <c r="B800" s="16"/>
      <c r="C800" s="22">
        <f t="shared" si="214"/>
        <v>0</v>
      </c>
      <c r="D800" s="23">
        <f t="shared" si="202"/>
        <v>0</v>
      </c>
      <c r="E800" s="14"/>
      <c r="F800" s="12">
        <f t="shared" si="215"/>
        <v>0</v>
      </c>
      <c r="G800" s="24">
        <f t="shared" si="203"/>
        <v>0</v>
      </c>
      <c r="H800" s="14"/>
      <c r="I800" s="14"/>
      <c r="J800" s="29"/>
      <c r="K800" s="30"/>
      <c r="M800" s="17"/>
      <c r="N800" s="7" t="str">
        <f t="shared" si="207"/>
        <v/>
      </c>
      <c r="O800" s="5"/>
      <c r="P800" s="3"/>
      <c r="Q800" s="5"/>
      <c r="R800" s="7" t="str">
        <f t="shared" si="208"/>
        <v/>
      </c>
      <c r="S800" s="5"/>
      <c r="U800" s="10"/>
      <c r="V800" s="11" t="str">
        <f t="shared" si="209"/>
        <v/>
      </c>
      <c r="W800" s="6"/>
      <c r="Y800" s="10"/>
      <c r="Z800" s="11" t="str">
        <f t="shared" si="210"/>
        <v/>
      </c>
      <c r="AA800" s="6"/>
      <c r="AB800" s="1">
        <v>1.2</v>
      </c>
      <c r="AC800" s="21" t="str">
        <f t="shared" si="204"/>
        <v/>
      </c>
      <c r="AD800" s="27" t="str">
        <f t="shared" si="213"/>
        <v/>
      </c>
      <c r="AE800" s="27" t="str">
        <f t="shared" si="211"/>
        <v/>
      </c>
      <c r="AF800" s="14">
        <f t="shared" si="205"/>
        <v>0</v>
      </c>
      <c r="AG800" s="12">
        <f t="shared" si="216"/>
        <v>0</v>
      </c>
      <c r="AH800" s="24">
        <f t="shared" si="206"/>
        <v>0</v>
      </c>
      <c r="AI800" s="49" t="e">
        <f t="shared" si="212"/>
        <v>#VALUE!</v>
      </c>
      <c r="AK800" s="50" t="e">
        <f t="shared" si="217"/>
        <v>#VALUE!</v>
      </c>
    </row>
    <row r="801" spans="1:37" x14ac:dyDescent="0.4">
      <c r="A801" s="2">
        <v>1954</v>
      </c>
      <c r="B801" s="16"/>
      <c r="C801" s="22">
        <f t="shared" si="214"/>
        <v>0</v>
      </c>
      <c r="D801" s="23">
        <f t="shared" si="202"/>
        <v>0</v>
      </c>
      <c r="E801" s="14"/>
      <c r="F801" s="12">
        <f t="shared" si="215"/>
        <v>0</v>
      </c>
      <c r="G801" s="24">
        <f t="shared" si="203"/>
        <v>0</v>
      </c>
      <c r="H801" s="14"/>
      <c r="I801" s="14"/>
      <c r="J801" s="29"/>
      <c r="K801" s="30"/>
      <c r="M801" s="17"/>
      <c r="N801" s="7" t="str">
        <f t="shared" si="207"/>
        <v/>
      </c>
      <c r="O801" s="5"/>
      <c r="P801" s="3"/>
      <c r="Q801" s="5"/>
      <c r="R801" s="7" t="str">
        <f t="shared" si="208"/>
        <v/>
      </c>
      <c r="S801" s="5"/>
      <c r="U801" s="10"/>
      <c r="V801" s="11" t="str">
        <f t="shared" si="209"/>
        <v/>
      </c>
      <c r="W801" s="6"/>
      <c r="Y801" s="10"/>
      <c r="Z801" s="11" t="str">
        <f t="shared" si="210"/>
        <v/>
      </c>
      <c r="AA801" s="6"/>
      <c r="AB801" s="1">
        <v>1.2</v>
      </c>
      <c r="AC801" s="21" t="str">
        <f t="shared" si="204"/>
        <v/>
      </c>
      <c r="AD801" s="27" t="str">
        <f t="shared" si="213"/>
        <v/>
      </c>
      <c r="AE801" s="27" t="str">
        <f t="shared" si="211"/>
        <v/>
      </c>
      <c r="AF801" s="14">
        <f t="shared" si="205"/>
        <v>0</v>
      </c>
      <c r="AG801" s="12">
        <f t="shared" si="216"/>
        <v>0</v>
      </c>
      <c r="AH801" s="24">
        <f t="shared" si="206"/>
        <v>0</v>
      </c>
      <c r="AI801" s="49" t="e">
        <f t="shared" si="212"/>
        <v>#VALUE!</v>
      </c>
      <c r="AK801" s="50" t="e">
        <f t="shared" si="217"/>
        <v>#VALUE!</v>
      </c>
    </row>
    <row r="802" spans="1:37" x14ac:dyDescent="0.4">
      <c r="A802" s="2">
        <v>1955</v>
      </c>
      <c r="B802" s="16"/>
      <c r="C802" s="22">
        <f t="shared" si="214"/>
        <v>0</v>
      </c>
      <c r="D802" s="23">
        <f t="shared" si="202"/>
        <v>0</v>
      </c>
      <c r="E802" s="14"/>
      <c r="F802" s="12">
        <f t="shared" si="215"/>
        <v>0</v>
      </c>
      <c r="G802" s="24">
        <f t="shared" si="203"/>
        <v>0</v>
      </c>
      <c r="H802" s="14"/>
      <c r="I802" s="14"/>
      <c r="J802" s="29"/>
      <c r="K802" s="30"/>
      <c r="M802" s="17"/>
      <c r="N802" s="7" t="str">
        <f t="shared" si="207"/>
        <v/>
      </c>
      <c r="O802" s="5"/>
      <c r="P802" s="3"/>
      <c r="Q802" s="5"/>
      <c r="R802" s="7" t="str">
        <f t="shared" si="208"/>
        <v/>
      </c>
      <c r="S802" s="5"/>
      <c r="U802" s="10"/>
      <c r="V802" s="11" t="str">
        <f t="shared" si="209"/>
        <v/>
      </c>
      <c r="W802" s="6"/>
      <c r="Y802" s="10"/>
      <c r="Z802" s="11" t="str">
        <f t="shared" si="210"/>
        <v/>
      </c>
      <c r="AA802" s="6"/>
      <c r="AB802" s="1">
        <v>1.2</v>
      </c>
      <c r="AC802" s="21" t="str">
        <f t="shared" si="204"/>
        <v/>
      </c>
      <c r="AD802" s="27" t="str">
        <f t="shared" si="213"/>
        <v/>
      </c>
      <c r="AE802" s="27" t="str">
        <f t="shared" si="211"/>
        <v/>
      </c>
      <c r="AF802" s="14">
        <f t="shared" si="205"/>
        <v>0</v>
      </c>
      <c r="AG802" s="12">
        <f t="shared" si="216"/>
        <v>0</v>
      </c>
      <c r="AH802" s="24">
        <f t="shared" si="206"/>
        <v>0</v>
      </c>
      <c r="AI802" s="49" t="e">
        <f t="shared" si="212"/>
        <v>#VALUE!</v>
      </c>
      <c r="AK802" s="50" t="e">
        <f t="shared" si="217"/>
        <v>#VALUE!</v>
      </c>
    </row>
    <row r="803" spans="1:37" x14ac:dyDescent="0.4">
      <c r="A803" s="2">
        <v>1956</v>
      </c>
      <c r="B803" s="16"/>
      <c r="C803" s="22">
        <f t="shared" si="214"/>
        <v>0</v>
      </c>
      <c r="D803" s="23">
        <f t="shared" si="202"/>
        <v>0</v>
      </c>
      <c r="E803" s="14"/>
      <c r="F803" s="12">
        <f t="shared" si="215"/>
        <v>0</v>
      </c>
      <c r="G803" s="24">
        <f t="shared" si="203"/>
        <v>0</v>
      </c>
      <c r="H803" s="14"/>
      <c r="I803" s="14"/>
      <c r="J803" s="29"/>
      <c r="K803" s="30"/>
      <c r="M803" s="17"/>
      <c r="N803" s="7" t="str">
        <f t="shared" si="207"/>
        <v/>
      </c>
      <c r="O803" s="5"/>
      <c r="P803" s="3"/>
      <c r="Q803" s="5"/>
      <c r="R803" s="7" t="str">
        <f t="shared" si="208"/>
        <v/>
      </c>
      <c r="S803" s="5"/>
      <c r="U803" s="10"/>
      <c r="V803" s="11" t="str">
        <f t="shared" si="209"/>
        <v/>
      </c>
      <c r="W803" s="6"/>
      <c r="Y803" s="10"/>
      <c r="Z803" s="11" t="str">
        <f t="shared" si="210"/>
        <v/>
      </c>
      <c r="AA803" s="6"/>
      <c r="AB803" s="1">
        <v>1.2</v>
      </c>
      <c r="AC803" s="21" t="str">
        <f t="shared" si="204"/>
        <v/>
      </c>
      <c r="AD803" s="27" t="str">
        <f t="shared" si="213"/>
        <v/>
      </c>
      <c r="AE803" s="27" t="str">
        <f t="shared" si="211"/>
        <v/>
      </c>
      <c r="AF803" s="14">
        <f t="shared" si="205"/>
        <v>0</v>
      </c>
      <c r="AG803" s="12">
        <f t="shared" si="216"/>
        <v>0</v>
      </c>
      <c r="AH803" s="24">
        <f t="shared" si="206"/>
        <v>0</v>
      </c>
      <c r="AI803" s="49" t="e">
        <f t="shared" si="212"/>
        <v>#VALUE!</v>
      </c>
      <c r="AK803" s="50" t="e">
        <f t="shared" si="217"/>
        <v>#VALUE!</v>
      </c>
    </row>
    <row r="804" spans="1:37" x14ac:dyDescent="0.4">
      <c r="A804" s="2">
        <v>1957</v>
      </c>
      <c r="B804" s="16"/>
      <c r="C804" s="22">
        <f t="shared" si="214"/>
        <v>0</v>
      </c>
      <c r="D804" s="23">
        <f t="shared" si="202"/>
        <v>0</v>
      </c>
      <c r="E804" s="14"/>
      <c r="F804" s="12">
        <f t="shared" si="215"/>
        <v>0</v>
      </c>
      <c r="G804" s="24">
        <f t="shared" si="203"/>
        <v>0</v>
      </c>
      <c r="H804" s="14"/>
      <c r="I804" s="14"/>
      <c r="J804" s="29"/>
      <c r="K804" s="30"/>
      <c r="M804" s="17"/>
      <c r="N804" s="7" t="str">
        <f t="shared" si="207"/>
        <v/>
      </c>
      <c r="O804" s="5"/>
      <c r="P804" s="3"/>
      <c r="Q804" s="5"/>
      <c r="R804" s="7" t="str">
        <f t="shared" si="208"/>
        <v/>
      </c>
      <c r="S804" s="5"/>
      <c r="U804" s="10"/>
      <c r="V804" s="11" t="str">
        <f t="shared" si="209"/>
        <v/>
      </c>
      <c r="W804" s="6"/>
      <c r="Y804" s="10"/>
      <c r="Z804" s="11" t="str">
        <f t="shared" si="210"/>
        <v/>
      </c>
      <c r="AA804" s="6"/>
      <c r="AB804" s="1">
        <v>1.2</v>
      </c>
      <c r="AC804" s="21" t="str">
        <f t="shared" si="204"/>
        <v/>
      </c>
      <c r="AD804" s="27" t="str">
        <f t="shared" si="213"/>
        <v/>
      </c>
      <c r="AE804" s="27" t="str">
        <f t="shared" si="211"/>
        <v/>
      </c>
      <c r="AF804" s="14">
        <f t="shared" si="205"/>
        <v>0</v>
      </c>
      <c r="AG804" s="12">
        <f t="shared" si="216"/>
        <v>0</v>
      </c>
      <c r="AH804" s="24">
        <f t="shared" si="206"/>
        <v>0</v>
      </c>
      <c r="AI804" s="49" t="e">
        <f t="shared" si="212"/>
        <v>#VALUE!</v>
      </c>
      <c r="AK804" s="50" t="e">
        <f t="shared" si="217"/>
        <v>#VALUE!</v>
      </c>
    </row>
    <row r="805" spans="1:37" x14ac:dyDescent="0.4">
      <c r="A805" s="2">
        <v>1958</v>
      </c>
      <c r="B805" s="16"/>
      <c r="C805" s="22">
        <f t="shared" si="214"/>
        <v>0</v>
      </c>
      <c r="D805" s="23">
        <f t="shared" si="202"/>
        <v>0</v>
      </c>
      <c r="E805" s="14"/>
      <c r="F805" s="12">
        <f t="shared" si="215"/>
        <v>0</v>
      </c>
      <c r="G805" s="24">
        <f t="shared" si="203"/>
        <v>0</v>
      </c>
      <c r="H805" s="14"/>
      <c r="I805" s="14"/>
      <c r="J805" s="29"/>
      <c r="K805" s="30"/>
      <c r="M805" s="17"/>
      <c r="N805" s="7" t="str">
        <f t="shared" si="207"/>
        <v/>
      </c>
      <c r="O805" s="5"/>
      <c r="P805" s="3"/>
      <c r="Q805" s="5"/>
      <c r="R805" s="7" t="str">
        <f t="shared" si="208"/>
        <v/>
      </c>
      <c r="S805" s="5"/>
      <c r="U805" s="10"/>
      <c r="V805" s="11" t="str">
        <f t="shared" si="209"/>
        <v/>
      </c>
      <c r="W805" s="6"/>
      <c r="Y805" s="10"/>
      <c r="Z805" s="11" t="str">
        <f t="shared" si="210"/>
        <v/>
      </c>
      <c r="AA805" s="6"/>
      <c r="AB805" s="1">
        <v>1.2</v>
      </c>
      <c r="AC805" s="21" t="str">
        <f t="shared" si="204"/>
        <v/>
      </c>
      <c r="AD805" s="27" t="str">
        <f t="shared" si="213"/>
        <v/>
      </c>
      <c r="AE805" s="27" t="str">
        <f t="shared" si="211"/>
        <v/>
      </c>
      <c r="AF805" s="14">
        <f t="shared" si="205"/>
        <v>0</v>
      </c>
      <c r="AG805" s="12">
        <f t="shared" si="216"/>
        <v>0</v>
      </c>
      <c r="AH805" s="24">
        <f t="shared" si="206"/>
        <v>0</v>
      </c>
      <c r="AI805" s="49" t="e">
        <f t="shared" si="212"/>
        <v>#VALUE!</v>
      </c>
      <c r="AK805" s="50" t="e">
        <f t="shared" si="217"/>
        <v>#VALUE!</v>
      </c>
    </row>
    <row r="806" spans="1:37" x14ac:dyDescent="0.4">
      <c r="A806" s="2">
        <v>1959</v>
      </c>
      <c r="B806" s="16"/>
      <c r="C806" s="22">
        <f t="shared" si="214"/>
        <v>0</v>
      </c>
      <c r="D806" s="23">
        <f t="shared" si="202"/>
        <v>0</v>
      </c>
      <c r="E806" s="14"/>
      <c r="F806" s="12">
        <f t="shared" si="215"/>
        <v>0</v>
      </c>
      <c r="G806" s="24">
        <f t="shared" si="203"/>
        <v>0</v>
      </c>
      <c r="H806" s="14"/>
      <c r="I806" s="14"/>
      <c r="J806" s="29"/>
      <c r="K806" s="30"/>
      <c r="M806" s="17"/>
      <c r="N806" s="7" t="str">
        <f t="shared" si="207"/>
        <v/>
      </c>
      <c r="O806" s="5"/>
      <c r="P806" s="3"/>
      <c r="Q806" s="5"/>
      <c r="R806" s="7" t="str">
        <f t="shared" si="208"/>
        <v/>
      </c>
      <c r="S806" s="5"/>
      <c r="U806" s="10"/>
      <c r="V806" s="11" t="str">
        <f t="shared" si="209"/>
        <v/>
      </c>
      <c r="W806" s="6"/>
      <c r="Y806" s="10"/>
      <c r="Z806" s="11" t="str">
        <f t="shared" si="210"/>
        <v/>
      </c>
      <c r="AA806" s="6"/>
      <c r="AB806" s="1">
        <v>1.2</v>
      </c>
      <c r="AC806" s="21" t="str">
        <f t="shared" si="204"/>
        <v/>
      </c>
      <c r="AD806" s="27" t="str">
        <f t="shared" si="213"/>
        <v/>
      </c>
      <c r="AE806" s="27" t="str">
        <f t="shared" si="211"/>
        <v/>
      </c>
      <c r="AF806" s="14">
        <f t="shared" si="205"/>
        <v>0</v>
      </c>
      <c r="AG806" s="12">
        <f t="shared" si="216"/>
        <v>0</v>
      </c>
      <c r="AH806" s="24">
        <f t="shared" si="206"/>
        <v>0</v>
      </c>
      <c r="AI806" s="49" t="e">
        <f t="shared" si="212"/>
        <v>#VALUE!</v>
      </c>
      <c r="AK806" s="50" t="e">
        <f t="shared" si="217"/>
        <v>#VALUE!</v>
      </c>
    </row>
    <row r="807" spans="1:37" x14ac:dyDescent="0.4">
      <c r="A807" s="2">
        <v>1960</v>
      </c>
      <c r="B807" s="16"/>
      <c r="C807" s="22">
        <f t="shared" si="214"/>
        <v>0</v>
      </c>
      <c r="D807" s="23">
        <f t="shared" si="202"/>
        <v>0</v>
      </c>
      <c r="E807" s="14"/>
      <c r="F807" s="12">
        <f t="shared" si="215"/>
        <v>0</v>
      </c>
      <c r="G807" s="24">
        <f t="shared" si="203"/>
        <v>0</v>
      </c>
      <c r="H807" s="14"/>
      <c r="I807" s="14"/>
      <c r="J807" s="29"/>
      <c r="K807" s="30"/>
      <c r="M807" s="17"/>
      <c r="N807" s="7" t="str">
        <f t="shared" si="207"/>
        <v/>
      </c>
      <c r="O807" s="5"/>
      <c r="P807" s="3"/>
      <c r="Q807" s="5"/>
      <c r="R807" s="7" t="str">
        <f t="shared" si="208"/>
        <v/>
      </c>
      <c r="S807" s="5"/>
      <c r="U807" s="10"/>
      <c r="V807" s="11" t="str">
        <f t="shared" si="209"/>
        <v/>
      </c>
      <c r="W807" s="6"/>
      <c r="Y807" s="10"/>
      <c r="Z807" s="11" t="str">
        <f t="shared" si="210"/>
        <v/>
      </c>
      <c r="AA807" s="6"/>
      <c r="AB807" s="1">
        <v>1.2</v>
      </c>
      <c r="AC807" s="21" t="str">
        <f t="shared" si="204"/>
        <v/>
      </c>
      <c r="AD807" s="27" t="str">
        <f t="shared" si="213"/>
        <v/>
      </c>
      <c r="AE807" s="27" t="str">
        <f t="shared" si="211"/>
        <v/>
      </c>
      <c r="AF807" s="14">
        <f t="shared" si="205"/>
        <v>0</v>
      </c>
      <c r="AG807" s="12">
        <f t="shared" si="216"/>
        <v>0</v>
      </c>
      <c r="AH807" s="24">
        <f t="shared" si="206"/>
        <v>0</v>
      </c>
      <c r="AI807" s="49" t="e">
        <f t="shared" si="212"/>
        <v>#VALUE!</v>
      </c>
      <c r="AK807" s="50" t="e">
        <f t="shared" si="217"/>
        <v>#VALUE!</v>
      </c>
    </row>
    <row r="808" spans="1:37" x14ac:dyDescent="0.4">
      <c r="A808" s="2">
        <v>1961</v>
      </c>
      <c r="B808" s="16"/>
      <c r="C808" s="22">
        <f t="shared" si="214"/>
        <v>0</v>
      </c>
      <c r="D808" s="23">
        <f t="shared" ref="D808:D871" si="218">B808-INT(B808)</f>
        <v>0</v>
      </c>
      <c r="E808" s="14"/>
      <c r="F808" s="12">
        <f t="shared" si="215"/>
        <v>0</v>
      </c>
      <c r="G808" s="24">
        <f t="shared" ref="G808:G871" si="219">E808-INT(E808)</f>
        <v>0</v>
      </c>
      <c r="H808" s="14"/>
      <c r="I808" s="14"/>
      <c r="J808" s="29"/>
      <c r="K808" s="30"/>
      <c r="M808" s="17"/>
      <c r="N808" s="7" t="str">
        <f t="shared" si="207"/>
        <v/>
      </c>
      <c r="O808" s="5"/>
      <c r="P808" s="3"/>
      <c r="Q808" s="5"/>
      <c r="R808" s="7" t="str">
        <f t="shared" si="208"/>
        <v/>
      </c>
      <c r="S808" s="5"/>
      <c r="U808" s="10"/>
      <c r="V808" s="11" t="str">
        <f t="shared" si="209"/>
        <v/>
      </c>
      <c r="W808" s="6"/>
      <c r="Y808" s="10"/>
      <c r="Z808" s="11" t="str">
        <f t="shared" si="210"/>
        <v/>
      </c>
      <c r="AA808" s="6"/>
      <c r="AB808" s="1">
        <v>1.2</v>
      </c>
      <c r="AC808" s="21" t="str">
        <f t="shared" ref="AC808:AC871" si="220">IF(B808="","",TEXT(E808-B808,"[hh]:mm"))</f>
        <v/>
      </c>
      <c r="AD808" s="27" t="str">
        <f t="shared" si="213"/>
        <v/>
      </c>
      <c r="AE808" s="27" t="str">
        <f t="shared" si="211"/>
        <v/>
      </c>
      <c r="AF808" s="14">
        <f t="shared" ref="AF808:AF871" si="221">MAX(E808,H808,I808)</f>
        <v>0</v>
      </c>
      <c r="AG808" s="12">
        <f t="shared" si="216"/>
        <v>0</v>
      </c>
      <c r="AH808" s="24">
        <f t="shared" ref="AH808:AH871" si="222">AF808-INT(AF808)</f>
        <v>0</v>
      </c>
      <c r="AI808" s="49" t="e">
        <f t="shared" si="212"/>
        <v>#VALUE!</v>
      </c>
      <c r="AK808" s="50" t="e">
        <f t="shared" si="217"/>
        <v>#VALUE!</v>
      </c>
    </row>
    <row r="809" spans="1:37" x14ac:dyDescent="0.4">
      <c r="A809" s="2">
        <v>1962</v>
      </c>
      <c r="B809" s="16"/>
      <c r="C809" s="22">
        <f t="shared" si="214"/>
        <v>0</v>
      </c>
      <c r="D809" s="23">
        <f t="shared" si="218"/>
        <v>0</v>
      </c>
      <c r="E809" s="14"/>
      <c r="F809" s="12">
        <f t="shared" si="215"/>
        <v>0</v>
      </c>
      <c r="G809" s="24">
        <f t="shared" si="219"/>
        <v>0</v>
      </c>
      <c r="H809" s="14"/>
      <c r="I809" s="14"/>
      <c r="J809" s="29"/>
      <c r="K809" s="30"/>
      <c r="M809" s="17"/>
      <c r="N809" s="7" t="str">
        <f t="shared" si="207"/>
        <v/>
      </c>
      <c r="O809" s="5"/>
      <c r="P809" s="3"/>
      <c r="Q809" s="5"/>
      <c r="R809" s="7" t="str">
        <f t="shared" si="208"/>
        <v/>
      </c>
      <c r="S809" s="5"/>
      <c r="U809" s="10"/>
      <c r="V809" s="11" t="str">
        <f t="shared" si="209"/>
        <v/>
      </c>
      <c r="W809" s="6"/>
      <c r="Y809" s="10"/>
      <c r="Z809" s="11" t="str">
        <f t="shared" si="210"/>
        <v/>
      </c>
      <c r="AA809" s="6"/>
      <c r="AB809" s="1">
        <v>1.2</v>
      </c>
      <c r="AC809" s="21" t="str">
        <f t="shared" si="220"/>
        <v/>
      </c>
      <c r="AD809" s="27" t="str">
        <f t="shared" si="213"/>
        <v/>
      </c>
      <c r="AE809" s="27" t="str">
        <f t="shared" si="211"/>
        <v/>
      </c>
      <c r="AF809" s="14">
        <f t="shared" si="221"/>
        <v>0</v>
      </c>
      <c r="AG809" s="12">
        <f t="shared" si="216"/>
        <v>0</v>
      </c>
      <c r="AH809" s="24">
        <f t="shared" si="222"/>
        <v>0</v>
      </c>
      <c r="AI809" s="49" t="e">
        <f t="shared" si="212"/>
        <v>#VALUE!</v>
      </c>
      <c r="AK809" s="50" t="e">
        <f t="shared" si="217"/>
        <v>#VALUE!</v>
      </c>
    </row>
    <row r="810" spans="1:37" x14ac:dyDescent="0.4">
      <c r="A810" s="2">
        <v>1963</v>
      </c>
      <c r="B810" s="16"/>
      <c r="C810" s="22">
        <f t="shared" si="214"/>
        <v>0</v>
      </c>
      <c r="D810" s="23">
        <f t="shared" si="218"/>
        <v>0</v>
      </c>
      <c r="E810" s="14"/>
      <c r="F810" s="12">
        <f t="shared" si="215"/>
        <v>0</v>
      </c>
      <c r="G810" s="24">
        <f t="shared" si="219"/>
        <v>0</v>
      </c>
      <c r="H810" s="14"/>
      <c r="I810" s="14"/>
      <c r="J810" s="29"/>
      <c r="K810" s="30"/>
      <c r="M810" s="17"/>
      <c r="N810" s="7" t="str">
        <f t="shared" si="207"/>
        <v/>
      </c>
      <c r="O810" s="5"/>
      <c r="P810" s="3"/>
      <c r="Q810" s="5"/>
      <c r="R810" s="7" t="str">
        <f t="shared" si="208"/>
        <v/>
      </c>
      <c r="S810" s="5"/>
      <c r="U810" s="10"/>
      <c r="V810" s="11" t="str">
        <f t="shared" si="209"/>
        <v/>
      </c>
      <c r="W810" s="6"/>
      <c r="Y810" s="10"/>
      <c r="Z810" s="11" t="str">
        <f t="shared" si="210"/>
        <v/>
      </c>
      <c r="AA810" s="6"/>
      <c r="AB810" s="1">
        <v>1.2</v>
      </c>
      <c r="AC810" s="21" t="str">
        <f t="shared" si="220"/>
        <v/>
      </c>
      <c r="AD810" s="27" t="str">
        <f t="shared" si="213"/>
        <v/>
      </c>
      <c r="AE810" s="27" t="str">
        <f t="shared" si="211"/>
        <v/>
      </c>
      <c r="AF810" s="14">
        <f t="shared" si="221"/>
        <v>0</v>
      </c>
      <c r="AG810" s="12">
        <f t="shared" si="216"/>
        <v>0</v>
      </c>
      <c r="AH810" s="24">
        <f t="shared" si="222"/>
        <v>0</v>
      </c>
      <c r="AI810" s="49" t="e">
        <f t="shared" si="212"/>
        <v>#VALUE!</v>
      </c>
      <c r="AK810" s="50" t="e">
        <f t="shared" si="217"/>
        <v>#VALUE!</v>
      </c>
    </row>
    <row r="811" spans="1:37" x14ac:dyDescent="0.4">
      <c r="A811" s="2">
        <v>1964</v>
      </c>
      <c r="B811" s="16"/>
      <c r="C811" s="22">
        <f t="shared" si="214"/>
        <v>0</v>
      </c>
      <c r="D811" s="23">
        <f t="shared" si="218"/>
        <v>0</v>
      </c>
      <c r="E811" s="14"/>
      <c r="F811" s="12">
        <f t="shared" si="215"/>
        <v>0</v>
      </c>
      <c r="G811" s="24">
        <f t="shared" si="219"/>
        <v>0</v>
      </c>
      <c r="H811" s="14"/>
      <c r="I811" s="14"/>
      <c r="J811" s="29"/>
      <c r="K811" s="30"/>
      <c r="M811" s="17"/>
      <c r="N811" s="7" t="str">
        <f t="shared" si="207"/>
        <v/>
      </c>
      <c r="O811" s="5"/>
      <c r="P811" s="3"/>
      <c r="Q811" s="5"/>
      <c r="R811" s="7" t="str">
        <f t="shared" si="208"/>
        <v/>
      </c>
      <c r="S811" s="5"/>
      <c r="U811" s="10"/>
      <c r="V811" s="11" t="str">
        <f t="shared" si="209"/>
        <v/>
      </c>
      <c r="W811" s="6"/>
      <c r="Y811" s="10"/>
      <c r="Z811" s="11" t="str">
        <f t="shared" si="210"/>
        <v/>
      </c>
      <c r="AA811" s="6"/>
      <c r="AB811" s="1">
        <v>1.2</v>
      </c>
      <c r="AC811" s="21" t="str">
        <f t="shared" si="220"/>
        <v/>
      </c>
      <c r="AD811" s="27" t="str">
        <f t="shared" si="213"/>
        <v/>
      </c>
      <c r="AE811" s="27" t="str">
        <f t="shared" si="211"/>
        <v/>
      </c>
      <c r="AF811" s="14">
        <f t="shared" si="221"/>
        <v>0</v>
      </c>
      <c r="AG811" s="12">
        <f t="shared" si="216"/>
        <v>0</v>
      </c>
      <c r="AH811" s="24">
        <f t="shared" si="222"/>
        <v>0</v>
      </c>
      <c r="AI811" s="49" t="e">
        <f t="shared" si="212"/>
        <v>#VALUE!</v>
      </c>
      <c r="AK811" s="50" t="e">
        <f t="shared" si="217"/>
        <v>#VALUE!</v>
      </c>
    </row>
    <row r="812" spans="1:37" x14ac:dyDescent="0.4">
      <c r="A812" s="2">
        <v>1965</v>
      </c>
      <c r="B812" s="16"/>
      <c r="C812" s="22">
        <f t="shared" si="214"/>
        <v>0</v>
      </c>
      <c r="D812" s="23">
        <f t="shared" si="218"/>
        <v>0</v>
      </c>
      <c r="E812" s="14"/>
      <c r="F812" s="12">
        <f t="shared" si="215"/>
        <v>0</v>
      </c>
      <c r="G812" s="24">
        <f t="shared" si="219"/>
        <v>0</v>
      </c>
      <c r="H812" s="14"/>
      <c r="I812" s="14"/>
      <c r="J812" s="29"/>
      <c r="K812" s="30"/>
      <c r="M812" s="17"/>
      <c r="N812" s="7" t="str">
        <f t="shared" si="207"/>
        <v/>
      </c>
      <c r="O812" s="5"/>
      <c r="P812" s="3"/>
      <c r="Q812" s="5"/>
      <c r="R812" s="7" t="str">
        <f t="shared" si="208"/>
        <v/>
      </c>
      <c r="S812" s="5"/>
      <c r="U812" s="10"/>
      <c r="V812" s="11" t="str">
        <f t="shared" si="209"/>
        <v/>
      </c>
      <c r="W812" s="6"/>
      <c r="Y812" s="10"/>
      <c r="Z812" s="11" t="str">
        <f t="shared" si="210"/>
        <v/>
      </c>
      <c r="AA812" s="6"/>
      <c r="AB812" s="1">
        <v>1.2</v>
      </c>
      <c r="AC812" s="21" t="str">
        <f t="shared" si="220"/>
        <v/>
      </c>
      <c r="AD812" s="27" t="str">
        <f t="shared" si="213"/>
        <v/>
      </c>
      <c r="AE812" s="27" t="str">
        <f t="shared" si="211"/>
        <v/>
      </c>
      <c r="AF812" s="14">
        <f t="shared" si="221"/>
        <v>0</v>
      </c>
      <c r="AG812" s="12">
        <f t="shared" si="216"/>
        <v>0</v>
      </c>
      <c r="AH812" s="24">
        <f t="shared" si="222"/>
        <v>0</v>
      </c>
      <c r="AI812" s="49" t="e">
        <f t="shared" si="212"/>
        <v>#VALUE!</v>
      </c>
      <c r="AK812" s="50" t="e">
        <f t="shared" si="217"/>
        <v>#VALUE!</v>
      </c>
    </row>
    <row r="813" spans="1:37" x14ac:dyDescent="0.4">
      <c r="A813" s="2">
        <v>1966</v>
      </c>
      <c r="B813" s="16"/>
      <c r="C813" s="22">
        <f t="shared" si="214"/>
        <v>0</v>
      </c>
      <c r="D813" s="23">
        <f t="shared" si="218"/>
        <v>0</v>
      </c>
      <c r="E813" s="14"/>
      <c r="F813" s="12">
        <f t="shared" si="215"/>
        <v>0</v>
      </c>
      <c r="G813" s="24">
        <f t="shared" si="219"/>
        <v>0</v>
      </c>
      <c r="H813" s="14"/>
      <c r="I813" s="14"/>
      <c r="J813" s="29"/>
      <c r="K813" s="30"/>
      <c r="M813" s="17"/>
      <c r="N813" s="7" t="str">
        <f t="shared" si="207"/>
        <v/>
      </c>
      <c r="O813" s="5"/>
      <c r="P813" s="3"/>
      <c r="Q813" s="5"/>
      <c r="R813" s="7" t="str">
        <f t="shared" si="208"/>
        <v/>
      </c>
      <c r="S813" s="5"/>
      <c r="U813" s="10"/>
      <c r="V813" s="11" t="str">
        <f t="shared" si="209"/>
        <v/>
      </c>
      <c r="W813" s="6"/>
      <c r="Y813" s="10"/>
      <c r="Z813" s="11" t="str">
        <f t="shared" si="210"/>
        <v/>
      </c>
      <c r="AA813" s="6"/>
      <c r="AB813" s="1">
        <v>1.2</v>
      </c>
      <c r="AC813" s="21" t="str">
        <f t="shared" si="220"/>
        <v/>
      </c>
      <c r="AD813" s="27" t="str">
        <f t="shared" si="213"/>
        <v/>
      </c>
      <c r="AE813" s="27" t="str">
        <f t="shared" si="211"/>
        <v/>
      </c>
      <c r="AF813" s="14">
        <f t="shared" si="221"/>
        <v>0</v>
      </c>
      <c r="AG813" s="12">
        <f t="shared" si="216"/>
        <v>0</v>
      </c>
      <c r="AH813" s="24">
        <f t="shared" si="222"/>
        <v>0</v>
      </c>
      <c r="AI813" s="49" t="e">
        <f t="shared" si="212"/>
        <v>#VALUE!</v>
      </c>
      <c r="AK813" s="50" t="e">
        <f t="shared" si="217"/>
        <v>#VALUE!</v>
      </c>
    </row>
    <row r="814" spans="1:37" x14ac:dyDescent="0.4">
      <c r="A814" s="2">
        <v>1967</v>
      </c>
      <c r="B814" s="16"/>
      <c r="C814" s="22">
        <f t="shared" si="214"/>
        <v>0</v>
      </c>
      <c r="D814" s="23">
        <f t="shared" si="218"/>
        <v>0</v>
      </c>
      <c r="E814" s="14"/>
      <c r="F814" s="12">
        <f t="shared" si="215"/>
        <v>0</v>
      </c>
      <c r="G814" s="24">
        <f t="shared" si="219"/>
        <v>0</v>
      </c>
      <c r="H814" s="14"/>
      <c r="I814" s="14"/>
      <c r="J814" s="29"/>
      <c r="K814" s="30"/>
      <c r="M814" s="17"/>
      <c r="N814" s="7" t="str">
        <f t="shared" si="207"/>
        <v/>
      </c>
      <c r="O814" s="5"/>
      <c r="P814" s="3"/>
      <c r="Q814" s="5"/>
      <c r="R814" s="7" t="str">
        <f t="shared" si="208"/>
        <v/>
      </c>
      <c r="S814" s="5"/>
      <c r="U814" s="10"/>
      <c r="V814" s="11" t="str">
        <f t="shared" si="209"/>
        <v/>
      </c>
      <c r="W814" s="6"/>
      <c r="Y814" s="10"/>
      <c r="Z814" s="11" t="str">
        <f t="shared" si="210"/>
        <v/>
      </c>
      <c r="AA814" s="6"/>
      <c r="AB814" s="1">
        <v>1.2</v>
      </c>
      <c r="AC814" s="21" t="str">
        <f t="shared" si="220"/>
        <v/>
      </c>
      <c r="AD814" s="27" t="str">
        <f t="shared" si="213"/>
        <v/>
      </c>
      <c r="AE814" s="27" t="str">
        <f t="shared" si="211"/>
        <v/>
      </c>
      <c r="AF814" s="14">
        <f t="shared" si="221"/>
        <v>0</v>
      </c>
      <c r="AG814" s="12">
        <f t="shared" si="216"/>
        <v>0</v>
      </c>
      <c r="AH814" s="24">
        <f t="shared" si="222"/>
        <v>0</v>
      </c>
      <c r="AI814" s="49" t="e">
        <f t="shared" si="212"/>
        <v>#VALUE!</v>
      </c>
      <c r="AK814" s="50" t="e">
        <f t="shared" si="217"/>
        <v>#VALUE!</v>
      </c>
    </row>
    <row r="815" spans="1:37" x14ac:dyDescent="0.4">
      <c r="A815" s="2">
        <v>1968</v>
      </c>
      <c r="B815" s="16"/>
      <c r="C815" s="22">
        <f t="shared" si="214"/>
        <v>0</v>
      </c>
      <c r="D815" s="23">
        <f t="shared" si="218"/>
        <v>0</v>
      </c>
      <c r="E815" s="14"/>
      <c r="F815" s="12">
        <f t="shared" si="215"/>
        <v>0</v>
      </c>
      <c r="G815" s="24">
        <f t="shared" si="219"/>
        <v>0</v>
      </c>
      <c r="H815" s="14"/>
      <c r="I815" s="14"/>
      <c r="J815" s="29"/>
      <c r="K815" s="30"/>
      <c r="M815" s="17"/>
      <c r="N815" s="7" t="str">
        <f t="shared" si="207"/>
        <v/>
      </c>
      <c r="O815" s="5"/>
      <c r="P815" s="3"/>
      <c r="Q815" s="5"/>
      <c r="R815" s="7" t="str">
        <f t="shared" si="208"/>
        <v/>
      </c>
      <c r="S815" s="5"/>
      <c r="U815" s="10"/>
      <c r="V815" s="11" t="str">
        <f t="shared" si="209"/>
        <v/>
      </c>
      <c r="W815" s="6"/>
      <c r="Y815" s="10"/>
      <c r="Z815" s="11" t="str">
        <f t="shared" si="210"/>
        <v/>
      </c>
      <c r="AA815" s="6"/>
      <c r="AB815" s="1">
        <v>1.2</v>
      </c>
      <c r="AC815" s="21" t="str">
        <f t="shared" si="220"/>
        <v/>
      </c>
      <c r="AD815" s="27" t="str">
        <f t="shared" si="213"/>
        <v/>
      </c>
      <c r="AE815" s="27" t="str">
        <f t="shared" si="211"/>
        <v/>
      </c>
      <c r="AF815" s="14">
        <f t="shared" si="221"/>
        <v>0</v>
      </c>
      <c r="AG815" s="12">
        <f t="shared" si="216"/>
        <v>0</v>
      </c>
      <c r="AH815" s="24">
        <f t="shared" si="222"/>
        <v>0</v>
      </c>
      <c r="AI815" s="49" t="e">
        <f t="shared" si="212"/>
        <v>#VALUE!</v>
      </c>
      <c r="AK815" s="50" t="e">
        <f t="shared" si="217"/>
        <v>#VALUE!</v>
      </c>
    </row>
    <row r="816" spans="1:37" x14ac:dyDescent="0.4">
      <c r="A816" s="2">
        <v>1969</v>
      </c>
      <c r="B816" s="16"/>
      <c r="C816" s="22">
        <f t="shared" si="214"/>
        <v>0</v>
      </c>
      <c r="D816" s="23">
        <f t="shared" si="218"/>
        <v>0</v>
      </c>
      <c r="E816" s="14"/>
      <c r="F816" s="12">
        <f t="shared" si="215"/>
        <v>0</v>
      </c>
      <c r="G816" s="24">
        <f t="shared" si="219"/>
        <v>0</v>
      </c>
      <c r="H816" s="14"/>
      <c r="I816" s="14"/>
      <c r="J816" s="29"/>
      <c r="K816" s="30"/>
      <c r="M816" s="17"/>
      <c r="N816" s="7" t="str">
        <f t="shared" si="207"/>
        <v/>
      </c>
      <c r="O816" s="5"/>
      <c r="P816" s="3"/>
      <c r="Q816" s="5"/>
      <c r="R816" s="7" t="str">
        <f t="shared" si="208"/>
        <v/>
      </c>
      <c r="S816" s="5"/>
      <c r="U816" s="10"/>
      <c r="V816" s="11" t="str">
        <f t="shared" si="209"/>
        <v/>
      </c>
      <c r="W816" s="6"/>
      <c r="Y816" s="10"/>
      <c r="Z816" s="11" t="str">
        <f t="shared" si="210"/>
        <v/>
      </c>
      <c r="AA816" s="6"/>
      <c r="AB816" s="1">
        <v>1.2</v>
      </c>
      <c r="AC816" s="21" t="str">
        <f t="shared" si="220"/>
        <v/>
      </c>
      <c r="AD816" s="27" t="str">
        <f t="shared" si="213"/>
        <v/>
      </c>
      <c r="AE816" s="27" t="str">
        <f t="shared" si="211"/>
        <v/>
      </c>
      <c r="AF816" s="14">
        <f t="shared" si="221"/>
        <v>0</v>
      </c>
      <c r="AG816" s="12">
        <f t="shared" si="216"/>
        <v>0</v>
      </c>
      <c r="AH816" s="24">
        <f t="shared" si="222"/>
        <v>0</v>
      </c>
      <c r="AI816" s="49" t="e">
        <f t="shared" si="212"/>
        <v>#VALUE!</v>
      </c>
      <c r="AK816" s="50" t="e">
        <f t="shared" si="217"/>
        <v>#VALUE!</v>
      </c>
    </row>
    <row r="817" spans="1:37" x14ac:dyDescent="0.4">
      <c r="A817" s="2">
        <v>1970</v>
      </c>
      <c r="B817" s="16"/>
      <c r="C817" s="22">
        <f t="shared" si="214"/>
        <v>0</v>
      </c>
      <c r="D817" s="23">
        <f t="shared" si="218"/>
        <v>0</v>
      </c>
      <c r="E817" s="14"/>
      <c r="F817" s="12">
        <f t="shared" si="215"/>
        <v>0</v>
      </c>
      <c r="G817" s="24">
        <f t="shared" si="219"/>
        <v>0</v>
      </c>
      <c r="H817" s="14"/>
      <c r="I817" s="14"/>
      <c r="J817" s="29"/>
      <c r="K817" s="30"/>
      <c r="M817" s="17"/>
      <c r="N817" s="7" t="str">
        <f t="shared" si="207"/>
        <v/>
      </c>
      <c r="O817" s="5"/>
      <c r="P817" s="3"/>
      <c r="Q817" s="5"/>
      <c r="R817" s="7" t="str">
        <f t="shared" si="208"/>
        <v/>
      </c>
      <c r="S817" s="5"/>
      <c r="U817" s="10"/>
      <c r="V817" s="11" t="str">
        <f t="shared" si="209"/>
        <v/>
      </c>
      <c r="W817" s="6"/>
      <c r="Y817" s="10"/>
      <c r="Z817" s="11" t="str">
        <f t="shared" si="210"/>
        <v/>
      </c>
      <c r="AA817" s="6"/>
      <c r="AB817" s="1">
        <v>1.2</v>
      </c>
      <c r="AC817" s="21" t="str">
        <f t="shared" si="220"/>
        <v/>
      </c>
      <c r="AD817" s="27" t="str">
        <f t="shared" si="213"/>
        <v/>
      </c>
      <c r="AE817" s="27" t="str">
        <f t="shared" si="211"/>
        <v/>
      </c>
      <c r="AF817" s="14">
        <f t="shared" si="221"/>
        <v>0</v>
      </c>
      <c r="AG817" s="12">
        <f t="shared" si="216"/>
        <v>0</v>
      </c>
      <c r="AH817" s="24">
        <f t="shared" si="222"/>
        <v>0</v>
      </c>
      <c r="AI817" s="49" t="e">
        <f t="shared" si="212"/>
        <v>#VALUE!</v>
      </c>
      <c r="AK817" s="50" t="e">
        <f t="shared" si="217"/>
        <v>#VALUE!</v>
      </c>
    </row>
    <row r="818" spans="1:37" x14ac:dyDescent="0.4">
      <c r="A818" s="2">
        <v>1971</v>
      </c>
      <c r="B818" s="16"/>
      <c r="C818" s="22">
        <f t="shared" si="214"/>
        <v>0</v>
      </c>
      <c r="D818" s="23">
        <f t="shared" si="218"/>
        <v>0</v>
      </c>
      <c r="E818" s="14"/>
      <c r="F818" s="12">
        <f t="shared" si="215"/>
        <v>0</v>
      </c>
      <c r="G818" s="24">
        <f t="shared" si="219"/>
        <v>0</v>
      </c>
      <c r="H818" s="14"/>
      <c r="I818" s="14"/>
      <c r="J818" s="29"/>
      <c r="K818" s="30"/>
      <c r="M818" s="17"/>
      <c r="N818" s="7" t="str">
        <f t="shared" si="207"/>
        <v/>
      </c>
      <c r="O818" s="5"/>
      <c r="P818" s="3"/>
      <c r="Q818" s="5"/>
      <c r="R818" s="7" t="str">
        <f t="shared" si="208"/>
        <v/>
      </c>
      <c r="S818" s="5"/>
      <c r="U818" s="10"/>
      <c r="V818" s="11" t="str">
        <f t="shared" si="209"/>
        <v/>
      </c>
      <c r="W818" s="6"/>
      <c r="Y818" s="10"/>
      <c r="Z818" s="11" t="str">
        <f t="shared" si="210"/>
        <v/>
      </c>
      <c r="AA818" s="6"/>
      <c r="AB818" s="1">
        <v>1.2</v>
      </c>
      <c r="AC818" s="21" t="str">
        <f t="shared" si="220"/>
        <v/>
      </c>
      <c r="AD818" s="27" t="str">
        <f t="shared" si="213"/>
        <v/>
      </c>
      <c r="AE818" s="27" t="str">
        <f t="shared" si="211"/>
        <v/>
      </c>
      <c r="AF818" s="14">
        <f t="shared" si="221"/>
        <v>0</v>
      </c>
      <c r="AG818" s="12">
        <f t="shared" si="216"/>
        <v>0</v>
      </c>
      <c r="AH818" s="24">
        <f t="shared" si="222"/>
        <v>0</v>
      </c>
      <c r="AI818" s="49" t="e">
        <f t="shared" si="212"/>
        <v>#VALUE!</v>
      </c>
      <c r="AK818" s="50" t="e">
        <f t="shared" si="217"/>
        <v>#VALUE!</v>
      </c>
    </row>
    <row r="819" spans="1:37" x14ac:dyDescent="0.4">
      <c r="A819" s="2">
        <v>1972</v>
      </c>
      <c r="B819" s="16"/>
      <c r="C819" s="22">
        <f t="shared" si="214"/>
        <v>0</v>
      </c>
      <c r="D819" s="23">
        <f t="shared" si="218"/>
        <v>0</v>
      </c>
      <c r="E819" s="14"/>
      <c r="F819" s="12">
        <f t="shared" si="215"/>
        <v>0</v>
      </c>
      <c r="G819" s="24">
        <f t="shared" si="219"/>
        <v>0</v>
      </c>
      <c r="H819" s="14"/>
      <c r="I819" s="14"/>
      <c r="J819" s="29"/>
      <c r="K819" s="30"/>
      <c r="M819" s="17"/>
      <c r="N819" s="7" t="str">
        <f t="shared" si="207"/>
        <v/>
      </c>
      <c r="O819" s="5"/>
      <c r="P819" s="3"/>
      <c r="Q819" s="5"/>
      <c r="R819" s="7" t="str">
        <f t="shared" si="208"/>
        <v/>
      </c>
      <c r="S819" s="5"/>
      <c r="U819" s="10"/>
      <c r="V819" s="11" t="str">
        <f t="shared" si="209"/>
        <v/>
      </c>
      <c r="W819" s="6"/>
      <c r="Y819" s="10"/>
      <c r="Z819" s="11" t="str">
        <f t="shared" si="210"/>
        <v/>
      </c>
      <c r="AA819" s="6"/>
      <c r="AB819" s="1">
        <v>1.2</v>
      </c>
      <c r="AC819" s="21" t="str">
        <f t="shared" si="220"/>
        <v/>
      </c>
      <c r="AD819" s="27" t="str">
        <f t="shared" si="213"/>
        <v/>
      </c>
      <c r="AE819" s="27" t="str">
        <f t="shared" si="211"/>
        <v/>
      </c>
      <c r="AF819" s="14">
        <f t="shared" si="221"/>
        <v>0</v>
      </c>
      <c r="AG819" s="12">
        <f t="shared" si="216"/>
        <v>0</v>
      </c>
      <c r="AH819" s="24">
        <f t="shared" si="222"/>
        <v>0</v>
      </c>
      <c r="AI819" s="49" t="e">
        <f t="shared" si="212"/>
        <v>#VALUE!</v>
      </c>
      <c r="AK819" s="50" t="e">
        <f t="shared" si="217"/>
        <v>#VALUE!</v>
      </c>
    </row>
    <row r="820" spans="1:37" x14ac:dyDescent="0.4">
      <c r="A820" s="2">
        <v>1973</v>
      </c>
      <c r="B820" s="16"/>
      <c r="C820" s="22">
        <f t="shared" si="214"/>
        <v>0</v>
      </c>
      <c r="D820" s="23">
        <f t="shared" si="218"/>
        <v>0</v>
      </c>
      <c r="E820" s="14"/>
      <c r="F820" s="12">
        <f t="shared" si="215"/>
        <v>0</v>
      </c>
      <c r="G820" s="24">
        <f t="shared" si="219"/>
        <v>0</v>
      </c>
      <c r="H820" s="14"/>
      <c r="I820" s="14"/>
      <c r="J820" s="29"/>
      <c r="K820" s="30"/>
      <c r="M820" s="17"/>
      <c r="N820" s="7" t="str">
        <f t="shared" si="207"/>
        <v/>
      </c>
      <c r="O820" s="5"/>
      <c r="P820" s="3"/>
      <c r="Q820" s="5"/>
      <c r="R820" s="7" t="str">
        <f t="shared" si="208"/>
        <v/>
      </c>
      <c r="S820" s="5"/>
      <c r="U820" s="10"/>
      <c r="V820" s="11" t="str">
        <f t="shared" si="209"/>
        <v/>
      </c>
      <c r="W820" s="6"/>
      <c r="Y820" s="10"/>
      <c r="Z820" s="11" t="str">
        <f t="shared" si="210"/>
        <v/>
      </c>
      <c r="AA820" s="6"/>
      <c r="AB820" s="1">
        <v>1.2</v>
      </c>
      <c r="AC820" s="21" t="str">
        <f t="shared" si="220"/>
        <v/>
      </c>
      <c r="AD820" s="27" t="str">
        <f t="shared" si="213"/>
        <v/>
      </c>
      <c r="AE820" s="27" t="str">
        <f t="shared" si="211"/>
        <v/>
      </c>
      <c r="AF820" s="14">
        <f t="shared" si="221"/>
        <v>0</v>
      </c>
      <c r="AG820" s="12">
        <f t="shared" si="216"/>
        <v>0</v>
      </c>
      <c r="AH820" s="24">
        <f t="shared" si="222"/>
        <v>0</v>
      </c>
      <c r="AI820" s="49" t="e">
        <f t="shared" si="212"/>
        <v>#VALUE!</v>
      </c>
      <c r="AK820" s="50" t="e">
        <f t="shared" si="217"/>
        <v>#VALUE!</v>
      </c>
    </row>
    <row r="821" spans="1:37" x14ac:dyDescent="0.4">
      <c r="A821" s="2">
        <v>1974</v>
      </c>
      <c r="B821" s="16"/>
      <c r="C821" s="22">
        <f t="shared" si="214"/>
        <v>0</v>
      </c>
      <c r="D821" s="23">
        <f t="shared" si="218"/>
        <v>0</v>
      </c>
      <c r="E821" s="14"/>
      <c r="F821" s="12">
        <f t="shared" si="215"/>
        <v>0</v>
      </c>
      <c r="G821" s="24">
        <f t="shared" si="219"/>
        <v>0</v>
      </c>
      <c r="H821" s="14"/>
      <c r="I821" s="14"/>
      <c r="J821" s="29"/>
      <c r="K821" s="30"/>
      <c r="M821" s="17"/>
      <c r="N821" s="7" t="str">
        <f t="shared" si="207"/>
        <v/>
      </c>
      <c r="O821" s="5"/>
      <c r="P821" s="3"/>
      <c r="Q821" s="5"/>
      <c r="R821" s="7" t="str">
        <f t="shared" si="208"/>
        <v/>
      </c>
      <c r="S821" s="5"/>
      <c r="U821" s="10"/>
      <c r="V821" s="11" t="str">
        <f t="shared" si="209"/>
        <v/>
      </c>
      <c r="W821" s="6"/>
      <c r="Y821" s="10"/>
      <c r="Z821" s="11" t="str">
        <f t="shared" si="210"/>
        <v/>
      </c>
      <c r="AA821" s="6"/>
      <c r="AB821" s="1">
        <v>1.2</v>
      </c>
      <c r="AC821" s="21" t="str">
        <f t="shared" si="220"/>
        <v/>
      </c>
      <c r="AD821" s="27" t="str">
        <f t="shared" si="213"/>
        <v/>
      </c>
      <c r="AE821" s="27" t="str">
        <f t="shared" si="211"/>
        <v/>
      </c>
      <c r="AF821" s="14">
        <f t="shared" si="221"/>
        <v>0</v>
      </c>
      <c r="AG821" s="12">
        <f t="shared" si="216"/>
        <v>0</v>
      </c>
      <c r="AH821" s="24">
        <f t="shared" si="222"/>
        <v>0</v>
      </c>
      <c r="AI821" s="49" t="e">
        <f t="shared" si="212"/>
        <v>#VALUE!</v>
      </c>
      <c r="AK821" s="50" t="e">
        <f t="shared" si="217"/>
        <v>#VALUE!</v>
      </c>
    </row>
    <row r="822" spans="1:37" x14ac:dyDescent="0.4">
      <c r="A822" s="2">
        <v>1975</v>
      </c>
      <c r="B822" s="16"/>
      <c r="C822" s="22">
        <f t="shared" si="214"/>
        <v>0</v>
      </c>
      <c r="D822" s="23">
        <f t="shared" si="218"/>
        <v>0</v>
      </c>
      <c r="E822" s="14"/>
      <c r="F822" s="12">
        <f t="shared" si="215"/>
        <v>0</v>
      </c>
      <c r="G822" s="24">
        <f t="shared" si="219"/>
        <v>0</v>
      </c>
      <c r="H822" s="14"/>
      <c r="I822" s="14"/>
      <c r="J822" s="29"/>
      <c r="K822" s="30"/>
      <c r="M822" s="17"/>
      <c r="N822" s="7" t="str">
        <f t="shared" si="207"/>
        <v/>
      </c>
      <c r="O822" s="5"/>
      <c r="P822" s="3"/>
      <c r="Q822" s="5"/>
      <c r="R822" s="7" t="str">
        <f t="shared" si="208"/>
        <v/>
      </c>
      <c r="S822" s="5"/>
      <c r="U822" s="10"/>
      <c r="V822" s="11" t="str">
        <f t="shared" si="209"/>
        <v/>
      </c>
      <c r="W822" s="6"/>
      <c r="Y822" s="10"/>
      <c r="Z822" s="11" t="str">
        <f t="shared" si="210"/>
        <v/>
      </c>
      <c r="AA822" s="6"/>
      <c r="AB822" s="1">
        <v>1.2</v>
      </c>
      <c r="AC822" s="21" t="str">
        <f t="shared" si="220"/>
        <v/>
      </c>
      <c r="AD822" s="27" t="str">
        <f t="shared" si="213"/>
        <v/>
      </c>
      <c r="AE822" s="27" t="str">
        <f t="shared" si="211"/>
        <v/>
      </c>
      <c r="AF822" s="14">
        <f t="shared" si="221"/>
        <v>0</v>
      </c>
      <c r="AG822" s="12">
        <f t="shared" si="216"/>
        <v>0</v>
      </c>
      <c r="AH822" s="24">
        <f t="shared" si="222"/>
        <v>0</v>
      </c>
      <c r="AI822" s="49" t="e">
        <f t="shared" si="212"/>
        <v>#VALUE!</v>
      </c>
      <c r="AK822" s="50" t="e">
        <f t="shared" si="217"/>
        <v>#VALUE!</v>
      </c>
    </row>
    <row r="823" spans="1:37" x14ac:dyDescent="0.4">
      <c r="A823" s="2">
        <v>1976</v>
      </c>
      <c r="B823" s="16"/>
      <c r="C823" s="22">
        <f t="shared" si="214"/>
        <v>0</v>
      </c>
      <c r="D823" s="23">
        <f t="shared" si="218"/>
        <v>0</v>
      </c>
      <c r="E823" s="14"/>
      <c r="F823" s="12">
        <f t="shared" si="215"/>
        <v>0</v>
      </c>
      <c r="G823" s="24">
        <f t="shared" si="219"/>
        <v>0</v>
      </c>
      <c r="H823" s="14"/>
      <c r="I823" s="14"/>
      <c r="J823" s="29"/>
      <c r="K823" s="30"/>
      <c r="M823" s="17"/>
      <c r="N823" s="7" t="str">
        <f t="shared" si="207"/>
        <v/>
      </c>
      <c r="O823" s="5"/>
      <c r="P823" s="3"/>
      <c r="Q823" s="5"/>
      <c r="R823" s="7" t="str">
        <f t="shared" si="208"/>
        <v/>
      </c>
      <c r="S823" s="5"/>
      <c r="U823" s="10"/>
      <c r="V823" s="11" t="str">
        <f t="shared" si="209"/>
        <v/>
      </c>
      <c r="W823" s="6"/>
      <c r="Y823" s="10"/>
      <c r="Z823" s="11" t="str">
        <f t="shared" si="210"/>
        <v/>
      </c>
      <c r="AA823" s="6"/>
      <c r="AB823" s="1">
        <v>1.2</v>
      </c>
      <c r="AC823" s="21" t="str">
        <f t="shared" si="220"/>
        <v/>
      </c>
      <c r="AD823" s="27" t="str">
        <f t="shared" si="213"/>
        <v/>
      </c>
      <c r="AE823" s="27" t="str">
        <f t="shared" si="211"/>
        <v/>
      </c>
      <c r="AF823" s="14">
        <f t="shared" si="221"/>
        <v>0</v>
      </c>
      <c r="AG823" s="12">
        <f t="shared" si="216"/>
        <v>0</v>
      </c>
      <c r="AH823" s="24">
        <f t="shared" si="222"/>
        <v>0</v>
      </c>
      <c r="AI823" s="49" t="e">
        <f t="shared" si="212"/>
        <v>#VALUE!</v>
      </c>
      <c r="AK823" s="50" t="e">
        <f t="shared" si="217"/>
        <v>#VALUE!</v>
      </c>
    </row>
    <row r="824" spans="1:37" x14ac:dyDescent="0.4">
      <c r="A824" s="2">
        <v>1977</v>
      </c>
      <c r="B824" s="16"/>
      <c r="C824" s="22">
        <f t="shared" si="214"/>
        <v>0</v>
      </c>
      <c r="D824" s="23">
        <f t="shared" si="218"/>
        <v>0</v>
      </c>
      <c r="E824" s="14"/>
      <c r="F824" s="12">
        <f t="shared" si="215"/>
        <v>0</v>
      </c>
      <c r="G824" s="24">
        <f t="shared" si="219"/>
        <v>0</v>
      </c>
      <c r="H824" s="14"/>
      <c r="I824" s="14"/>
      <c r="J824" s="29"/>
      <c r="K824" s="30"/>
      <c r="M824" s="17"/>
      <c r="N824" s="7" t="str">
        <f t="shared" si="207"/>
        <v/>
      </c>
      <c r="O824" s="5"/>
      <c r="P824" s="3"/>
      <c r="Q824" s="5"/>
      <c r="R824" s="7" t="str">
        <f t="shared" si="208"/>
        <v/>
      </c>
      <c r="S824" s="5"/>
      <c r="U824" s="10"/>
      <c r="V824" s="11" t="str">
        <f t="shared" si="209"/>
        <v/>
      </c>
      <c r="W824" s="6"/>
      <c r="Y824" s="10"/>
      <c r="Z824" s="11" t="str">
        <f t="shared" si="210"/>
        <v/>
      </c>
      <c r="AA824" s="6"/>
      <c r="AB824" s="1">
        <v>1.2</v>
      </c>
      <c r="AC824" s="21" t="str">
        <f t="shared" si="220"/>
        <v/>
      </c>
      <c r="AD824" s="27" t="str">
        <f t="shared" si="213"/>
        <v/>
      </c>
      <c r="AE824" s="27" t="str">
        <f t="shared" si="211"/>
        <v/>
      </c>
      <c r="AF824" s="14">
        <f t="shared" si="221"/>
        <v>0</v>
      </c>
      <c r="AG824" s="12">
        <f t="shared" si="216"/>
        <v>0</v>
      </c>
      <c r="AH824" s="24">
        <f t="shared" si="222"/>
        <v>0</v>
      </c>
      <c r="AI824" s="49" t="e">
        <f t="shared" si="212"/>
        <v>#VALUE!</v>
      </c>
      <c r="AK824" s="50" t="e">
        <f t="shared" si="217"/>
        <v>#VALUE!</v>
      </c>
    </row>
    <row r="825" spans="1:37" x14ac:dyDescent="0.4">
      <c r="A825" s="2">
        <v>1978</v>
      </c>
      <c r="B825" s="16"/>
      <c r="C825" s="22">
        <f t="shared" si="214"/>
        <v>0</v>
      </c>
      <c r="D825" s="23">
        <f t="shared" si="218"/>
        <v>0</v>
      </c>
      <c r="E825" s="14"/>
      <c r="F825" s="12">
        <f t="shared" si="215"/>
        <v>0</v>
      </c>
      <c r="G825" s="24">
        <f t="shared" si="219"/>
        <v>0</v>
      </c>
      <c r="H825" s="14"/>
      <c r="I825" s="14"/>
      <c r="J825" s="29"/>
      <c r="K825" s="30"/>
      <c r="M825" s="17"/>
      <c r="N825" s="7" t="str">
        <f t="shared" si="207"/>
        <v/>
      </c>
      <c r="O825" s="5"/>
      <c r="P825" s="3"/>
      <c r="Q825" s="5"/>
      <c r="R825" s="7" t="str">
        <f t="shared" si="208"/>
        <v/>
      </c>
      <c r="S825" s="5"/>
      <c r="U825" s="10"/>
      <c r="V825" s="11" t="str">
        <f t="shared" si="209"/>
        <v/>
      </c>
      <c r="W825" s="6"/>
      <c r="Y825" s="10"/>
      <c r="Z825" s="11" t="str">
        <f t="shared" si="210"/>
        <v/>
      </c>
      <c r="AA825" s="6"/>
      <c r="AB825" s="1">
        <v>1.2</v>
      </c>
      <c r="AC825" s="21" t="str">
        <f t="shared" si="220"/>
        <v/>
      </c>
      <c r="AD825" s="27" t="str">
        <f t="shared" si="213"/>
        <v/>
      </c>
      <c r="AE825" s="27" t="str">
        <f t="shared" si="211"/>
        <v/>
      </c>
      <c r="AF825" s="14">
        <f t="shared" si="221"/>
        <v>0</v>
      </c>
      <c r="AG825" s="12">
        <f t="shared" si="216"/>
        <v>0</v>
      </c>
      <c r="AH825" s="24">
        <f t="shared" si="222"/>
        <v>0</v>
      </c>
      <c r="AI825" s="49" t="e">
        <f t="shared" si="212"/>
        <v>#VALUE!</v>
      </c>
      <c r="AK825" s="50" t="e">
        <f t="shared" si="217"/>
        <v>#VALUE!</v>
      </c>
    </row>
    <row r="826" spans="1:37" x14ac:dyDescent="0.4">
      <c r="A826" s="2">
        <v>1979</v>
      </c>
      <c r="B826" s="16"/>
      <c r="C826" s="22">
        <f t="shared" si="214"/>
        <v>0</v>
      </c>
      <c r="D826" s="23">
        <f t="shared" si="218"/>
        <v>0</v>
      </c>
      <c r="E826" s="14"/>
      <c r="F826" s="12">
        <f t="shared" si="215"/>
        <v>0</v>
      </c>
      <c r="G826" s="24">
        <f t="shared" si="219"/>
        <v>0</v>
      </c>
      <c r="H826" s="14"/>
      <c r="I826" s="14"/>
      <c r="J826" s="29"/>
      <c r="K826" s="30"/>
      <c r="M826" s="17"/>
      <c r="N826" s="7" t="str">
        <f t="shared" si="207"/>
        <v/>
      </c>
      <c r="O826" s="5"/>
      <c r="P826" s="3"/>
      <c r="Q826" s="5"/>
      <c r="R826" s="7" t="str">
        <f t="shared" si="208"/>
        <v/>
      </c>
      <c r="S826" s="5"/>
      <c r="U826" s="10"/>
      <c r="V826" s="11" t="str">
        <f t="shared" si="209"/>
        <v/>
      </c>
      <c r="W826" s="6"/>
      <c r="Y826" s="10"/>
      <c r="Z826" s="11" t="str">
        <f t="shared" si="210"/>
        <v/>
      </c>
      <c r="AA826" s="6"/>
      <c r="AB826" s="1">
        <v>1.2</v>
      </c>
      <c r="AC826" s="21" t="str">
        <f t="shared" si="220"/>
        <v/>
      </c>
      <c r="AD826" s="27" t="str">
        <f t="shared" si="213"/>
        <v/>
      </c>
      <c r="AE826" s="27" t="str">
        <f t="shared" si="211"/>
        <v/>
      </c>
      <c r="AF826" s="14">
        <f t="shared" si="221"/>
        <v>0</v>
      </c>
      <c r="AG826" s="12">
        <f t="shared" si="216"/>
        <v>0</v>
      </c>
      <c r="AH826" s="24">
        <f t="shared" si="222"/>
        <v>0</v>
      </c>
      <c r="AI826" s="49" t="e">
        <f t="shared" si="212"/>
        <v>#VALUE!</v>
      </c>
      <c r="AK826" s="50" t="e">
        <f t="shared" si="217"/>
        <v>#VALUE!</v>
      </c>
    </row>
    <row r="827" spans="1:37" x14ac:dyDescent="0.4">
      <c r="A827" s="2">
        <v>1980</v>
      </c>
      <c r="B827" s="16"/>
      <c r="C827" s="22">
        <f t="shared" si="214"/>
        <v>0</v>
      </c>
      <c r="D827" s="23">
        <f t="shared" si="218"/>
        <v>0</v>
      </c>
      <c r="E827" s="14"/>
      <c r="F827" s="12">
        <f t="shared" si="215"/>
        <v>0</v>
      </c>
      <c r="G827" s="24">
        <f t="shared" si="219"/>
        <v>0</v>
      </c>
      <c r="H827" s="14"/>
      <c r="I827" s="14"/>
      <c r="J827" s="29"/>
      <c r="K827" s="30"/>
      <c r="M827" s="17"/>
      <c r="N827" s="7" t="str">
        <f t="shared" si="207"/>
        <v/>
      </c>
      <c r="O827" s="5"/>
      <c r="P827" s="3"/>
      <c r="Q827" s="5"/>
      <c r="R827" s="7" t="str">
        <f t="shared" si="208"/>
        <v/>
      </c>
      <c r="S827" s="5"/>
      <c r="U827" s="10"/>
      <c r="V827" s="11" t="str">
        <f t="shared" si="209"/>
        <v/>
      </c>
      <c r="W827" s="6"/>
      <c r="Y827" s="10"/>
      <c r="Z827" s="11" t="str">
        <f t="shared" si="210"/>
        <v/>
      </c>
      <c r="AA827" s="6"/>
      <c r="AB827" s="1">
        <v>1.2</v>
      </c>
      <c r="AC827" s="21" t="str">
        <f t="shared" si="220"/>
        <v/>
      </c>
      <c r="AD827" s="27" t="str">
        <f t="shared" si="213"/>
        <v/>
      </c>
      <c r="AE827" s="27" t="str">
        <f t="shared" si="211"/>
        <v/>
      </c>
      <c r="AF827" s="14">
        <f t="shared" si="221"/>
        <v>0</v>
      </c>
      <c r="AG827" s="12">
        <f t="shared" si="216"/>
        <v>0</v>
      </c>
      <c r="AH827" s="24">
        <f t="shared" si="222"/>
        <v>0</v>
      </c>
      <c r="AI827" s="49" t="e">
        <f t="shared" si="212"/>
        <v>#VALUE!</v>
      </c>
      <c r="AK827" s="50" t="e">
        <f t="shared" si="217"/>
        <v>#VALUE!</v>
      </c>
    </row>
    <row r="828" spans="1:37" x14ac:dyDescent="0.4">
      <c r="A828" s="2">
        <v>1981</v>
      </c>
      <c r="B828" s="16"/>
      <c r="C828" s="22">
        <f t="shared" si="214"/>
        <v>0</v>
      </c>
      <c r="D828" s="23">
        <f t="shared" si="218"/>
        <v>0</v>
      </c>
      <c r="E828" s="14"/>
      <c r="F828" s="12">
        <f t="shared" si="215"/>
        <v>0</v>
      </c>
      <c r="G828" s="24">
        <f t="shared" si="219"/>
        <v>0</v>
      </c>
      <c r="H828" s="14"/>
      <c r="I828" s="14"/>
      <c r="J828" s="29"/>
      <c r="K828" s="30"/>
      <c r="M828" s="17"/>
      <c r="N828" s="7" t="str">
        <f t="shared" si="207"/>
        <v/>
      </c>
      <c r="O828" s="5"/>
      <c r="P828" s="3"/>
      <c r="Q828" s="5"/>
      <c r="R828" s="7" t="str">
        <f t="shared" si="208"/>
        <v/>
      </c>
      <c r="S828" s="5"/>
      <c r="U828" s="10"/>
      <c r="V828" s="11" t="str">
        <f t="shared" si="209"/>
        <v/>
      </c>
      <c r="W828" s="6"/>
      <c r="Y828" s="10"/>
      <c r="Z828" s="11" t="str">
        <f t="shared" si="210"/>
        <v/>
      </c>
      <c r="AA828" s="6"/>
      <c r="AB828" s="1">
        <v>1.2</v>
      </c>
      <c r="AC828" s="21" t="str">
        <f t="shared" si="220"/>
        <v/>
      </c>
      <c r="AD828" s="27" t="str">
        <f t="shared" si="213"/>
        <v/>
      </c>
      <c r="AE828" s="27" t="str">
        <f t="shared" si="211"/>
        <v/>
      </c>
      <c r="AF828" s="14">
        <f t="shared" si="221"/>
        <v>0</v>
      </c>
      <c r="AG828" s="12">
        <f t="shared" si="216"/>
        <v>0</v>
      </c>
      <c r="AH828" s="24">
        <f t="shared" si="222"/>
        <v>0</v>
      </c>
      <c r="AI828" s="49" t="e">
        <f t="shared" si="212"/>
        <v>#VALUE!</v>
      </c>
      <c r="AK828" s="50" t="e">
        <f t="shared" si="217"/>
        <v>#VALUE!</v>
      </c>
    </row>
    <row r="829" spans="1:37" x14ac:dyDescent="0.4">
      <c r="A829" s="2">
        <v>1982</v>
      </c>
      <c r="B829" s="16"/>
      <c r="C829" s="22">
        <f t="shared" si="214"/>
        <v>0</v>
      </c>
      <c r="D829" s="23">
        <f t="shared" si="218"/>
        <v>0</v>
      </c>
      <c r="E829" s="14"/>
      <c r="F829" s="12">
        <f t="shared" si="215"/>
        <v>0</v>
      </c>
      <c r="G829" s="24">
        <f t="shared" si="219"/>
        <v>0</v>
      </c>
      <c r="H829" s="14"/>
      <c r="I829" s="14"/>
      <c r="J829" s="29"/>
      <c r="K829" s="30"/>
      <c r="M829" s="17"/>
      <c r="N829" s="7" t="str">
        <f t="shared" si="207"/>
        <v/>
      </c>
      <c r="O829" s="5"/>
      <c r="P829" s="3"/>
      <c r="Q829" s="5"/>
      <c r="R829" s="7" t="str">
        <f t="shared" si="208"/>
        <v/>
      </c>
      <c r="S829" s="5"/>
      <c r="U829" s="10"/>
      <c r="V829" s="11" t="str">
        <f t="shared" si="209"/>
        <v/>
      </c>
      <c r="W829" s="6"/>
      <c r="Y829" s="10"/>
      <c r="Z829" s="11" t="str">
        <f t="shared" si="210"/>
        <v/>
      </c>
      <c r="AA829" s="6"/>
      <c r="AB829" s="1">
        <v>1.2</v>
      </c>
      <c r="AC829" s="21" t="str">
        <f t="shared" si="220"/>
        <v/>
      </c>
      <c r="AD829" s="27" t="str">
        <f t="shared" si="213"/>
        <v/>
      </c>
      <c r="AE829" s="27" t="str">
        <f t="shared" si="211"/>
        <v/>
      </c>
      <c r="AF829" s="14">
        <f t="shared" si="221"/>
        <v>0</v>
      </c>
      <c r="AG829" s="12">
        <f t="shared" si="216"/>
        <v>0</v>
      </c>
      <c r="AH829" s="24">
        <f t="shared" si="222"/>
        <v>0</v>
      </c>
      <c r="AI829" s="49" t="e">
        <f t="shared" si="212"/>
        <v>#VALUE!</v>
      </c>
      <c r="AK829" s="50" t="e">
        <f t="shared" si="217"/>
        <v>#VALUE!</v>
      </c>
    </row>
    <row r="830" spans="1:37" x14ac:dyDescent="0.4">
      <c r="A830" s="2">
        <v>1983</v>
      </c>
      <c r="B830" s="16"/>
      <c r="C830" s="22">
        <f t="shared" si="214"/>
        <v>0</v>
      </c>
      <c r="D830" s="23">
        <f t="shared" si="218"/>
        <v>0</v>
      </c>
      <c r="E830" s="14"/>
      <c r="F830" s="12">
        <f t="shared" si="215"/>
        <v>0</v>
      </c>
      <c r="G830" s="24">
        <f t="shared" si="219"/>
        <v>0</v>
      </c>
      <c r="H830" s="14"/>
      <c r="I830" s="14"/>
      <c r="J830" s="29"/>
      <c r="K830" s="30"/>
      <c r="M830" s="17"/>
      <c r="N830" s="7" t="str">
        <f t="shared" si="207"/>
        <v/>
      </c>
      <c r="O830" s="5"/>
      <c r="P830" s="3"/>
      <c r="Q830" s="5"/>
      <c r="R830" s="7" t="str">
        <f t="shared" si="208"/>
        <v/>
      </c>
      <c r="S830" s="5"/>
      <c r="U830" s="10"/>
      <c r="V830" s="11" t="str">
        <f t="shared" si="209"/>
        <v/>
      </c>
      <c r="W830" s="6"/>
      <c r="Y830" s="10"/>
      <c r="Z830" s="11" t="str">
        <f t="shared" si="210"/>
        <v/>
      </c>
      <c r="AA830" s="6"/>
      <c r="AB830" s="1">
        <v>1.2</v>
      </c>
      <c r="AC830" s="21" t="str">
        <f t="shared" si="220"/>
        <v/>
      </c>
      <c r="AD830" s="27" t="str">
        <f t="shared" si="213"/>
        <v/>
      </c>
      <c r="AE830" s="27" t="str">
        <f t="shared" si="211"/>
        <v/>
      </c>
      <c r="AF830" s="14">
        <f t="shared" si="221"/>
        <v>0</v>
      </c>
      <c r="AG830" s="12">
        <f t="shared" si="216"/>
        <v>0</v>
      </c>
      <c r="AH830" s="24">
        <f t="shared" si="222"/>
        <v>0</v>
      </c>
      <c r="AI830" s="49" t="e">
        <f t="shared" si="212"/>
        <v>#VALUE!</v>
      </c>
      <c r="AK830" s="50" t="e">
        <f t="shared" si="217"/>
        <v>#VALUE!</v>
      </c>
    </row>
    <row r="831" spans="1:37" x14ac:dyDescent="0.4">
      <c r="A831" s="2">
        <v>1984</v>
      </c>
      <c r="B831" s="16"/>
      <c r="C831" s="22">
        <f t="shared" si="214"/>
        <v>0</v>
      </c>
      <c r="D831" s="23">
        <f t="shared" si="218"/>
        <v>0</v>
      </c>
      <c r="E831" s="14"/>
      <c r="F831" s="12">
        <f t="shared" si="215"/>
        <v>0</v>
      </c>
      <c r="G831" s="24">
        <f t="shared" si="219"/>
        <v>0</v>
      </c>
      <c r="H831" s="14"/>
      <c r="I831" s="14"/>
      <c r="J831" s="29"/>
      <c r="K831" s="30"/>
      <c r="M831" s="17"/>
      <c r="N831" s="7" t="str">
        <f t="shared" si="207"/>
        <v/>
      </c>
      <c r="O831" s="5"/>
      <c r="P831" s="3"/>
      <c r="Q831" s="5"/>
      <c r="R831" s="7" t="str">
        <f t="shared" si="208"/>
        <v/>
      </c>
      <c r="S831" s="5"/>
      <c r="U831" s="10"/>
      <c r="V831" s="11" t="str">
        <f t="shared" si="209"/>
        <v/>
      </c>
      <c r="W831" s="6"/>
      <c r="Y831" s="10"/>
      <c r="Z831" s="11" t="str">
        <f t="shared" si="210"/>
        <v/>
      </c>
      <c r="AA831" s="6"/>
      <c r="AB831" s="1">
        <v>1.2</v>
      </c>
      <c r="AC831" s="21" t="str">
        <f t="shared" si="220"/>
        <v/>
      </c>
      <c r="AD831" s="27" t="str">
        <f t="shared" si="213"/>
        <v/>
      </c>
      <c r="AE831" s="27" t="str">
        <f t="shared" si="211"/>
        <v/>
      </c>
      <c r="AF831" s="14">
        <f t="shared" si="221"/>
        <v>0</v>
      </c>
      <c r="AG831" s="12">
        <f t="shared" si="216"/>
        <v>0</v>
      </c>
      <c r="AH831" s="24">
        <f t="shared" si="222"/>
        <v>0</v>
      </c>
      <c r="AI831" s="49" t="e">
        <f t="shared" si="212"/>
        <v>#VALUE!</v>
      </c>
      <c r="AK831" s="50" t="e">
        <f t="shared" si="217"/>
        <v>#VALUE!</v>
      </c>
    </row>
    <row r="832" spans="1:37" x14ac:dyDescent="0.4">
      <c r="A832" s="2">
        <v>1985</v>
      </c>
      <c r="B832" s="16"/>
      <c r="C832" s="22">
        <f t="shared" si="214"/>
        <v>0</v>
      </c>
      <c r="D832" s="23">
        <f t="shared" si="218"/>
        <v>0</v>
      </c>
      <c r="E832" s="14"/>
      <c r="F832" s="12">
        <f t="shared" si="215"/>
        <v>0</v>
      </c>
      <c r="G832" s="24">
        <f t="shared" si="219"/>
        <v>0</v>
      </c>
      <c r="H832" s="14"/>
      <c r="I832" s="14"/>
      <c r="J832" s="29"/>
      <c r="K832" s="30"/>
      <c r="M832" s="17"/>
      <c r="N832" s="7" t="str">
        <f t="shared" si="207"/>
        <v/>
      </c>
      <c r="O832" s="5"/>
      <c r="P832" s="3"/>
      <c r="Q832" s="5"/>
      <c r="R832" s="7" t="str">
        <f t="shared" si="208"/>
        <v/>
      </c>
      <c r="S832" s="5"/>
      <c r="U832" s="10"/>
      <c r="V832" s="11" t="str">
        <f t="shared" si="209"/>
        <v/>
      </c>
      <c r="W832" s="6"/>
      <c r="Y832" s="10"/>
      <c r="Z832" s="11" t="str">
        <f t="shared" si="210"/>
        <v/>
      </c>
      <c r="AA832" s="6"/>
      <c r="AB832" s="1">
        <v>1.2</v>
      </c>
      <c r="AC832" s="21" t="str">
        <f t="shared" si="220"/>
        <v/>
      </c>
      <c r="AD832" s="27" t="str">
        <f t="shared" si="213"/>
        <v/>
      </c>
      <c r="AE832" s="27" t="str">
        <f t="shared" si="211"/>
        <v/>
      </c>
      <c r="AF832" s="14">
        <f t="shared" si="221"/>
        <v>0</v>
      </c>
      <c r="AG832" s="12">
        <f t="shared" si="216"/>
        <v>0</v>
      </c>
      <c r="AH832" s="24">
        <f t="shared" si="222"/>
        <v>0</v>
      </c>
      <c r="AI832" s="49" t="e">
        <f t="shared" si="212"/>
        <v>#VALUE!</v>
      </c>
      <c r="AK832" s="50" t="e">
        <f t="shared" si="217"/>
        <v>#VALUE!</v>
      </c>
    </row>
    <row r="833" spans="1:37" x14ac:dyDescent="0.4">
      <c r="A833" s="2">
        <v>1986</v>
      </c>
      <c r="B833" s="16"/>
      <c r="C833" s="22">
        <f t="shared" si="214"/>
        <v>0</v>
      </c>
      <c r="D833" s="23">
        <f t="shared" si="218"/>
        <v>0</v>
      </c>
      <c r="E833" s="14"/>
      <c r="F833" s="12">
        <f t="shared" si="215"/>
        <v>0</v>
      </c>
      <c r="G833" s="24">
        <f t="shared" si="219"/>
        <v>0</v>
      </c>
      <c r="H833" s="14"/>
      <c r="I833" s="14"/>
      <c r="J833" s="29"/>
      <c r="K833" s="30"/>
      <c r="M833" s="17"/>
      <c r="N833" s="7" t="str">
        <f t="shared" si="207"/>
        <v/>
      </c>
      <c r="O833" s="5"/>
      <c r="P833" s="3"/>
      <c r="Q833" s="5"/>
      <c r="R833" s="7" t="str">
        <f t="shared" si="208"/>
        <v/>
      </c>
      <c r="S833" s="5"/>
      <c r="U833" s="10"/>
      <c r="V833" s="11" t="str">
        <f t="shared" si="209"/>
        <v/>
      </c>
      <c r="W833" s="6"/>
      <c r="Y833" s="10"/>
      <c r="Z833" s="11" t="str">
        <f t="shared" si="210"/>
        <v/>
      </c>
      <c r="AA833" s="6"/>
      <c r="AB833" s="1">
        <v>1.2</v>
      </c>
      <c r="AC833" s="21" t="str">
        <f t="shared" si="220"/>
        <v/>
      </c>
      <c r="AD833" s="27" t="str">
        <f t="shared" si="213"/>
        <v/>
      </c>
      <c r="AE833" s="27" t="str">
        <f t="shared" si="211"/>
        <v/>
      </c>
      <c r="AF833" s="14">
        <f t="shared" si="221"/>
        <v>0</v>
      </c>
      <c r="AG833" s="12">
        <f t="shared" si="216"/>
        <v>0</v>
      </c>
      <c r="AH833" s="24">
        <f t="shared" si="222"/>
        <v>0</v>
      </c>
      <c r="AI833" s="49" t="e">
        <f t="shared" si="212"/>
        <v>#VALUE!</v>
      </c>
      <c r="AK833" s="50" t="e">
        <f t="shared" si="217"/>
        <v>#VALUE!</v>
      </c>
    </row>
    <row r="834" spans="1:37" x14ac:dyDescent="0.4">
      <c r="A834" s="2">
        <v>1987</v>
      </c>
      <c r="B834" s="16"/>
      <c r="C834" s="22">
        <f t="shared" si="214"/>
        <v>0</v>
      </c>
      <c r="D834" s="23">
        <f t="shared" si="218"/>
        <v>0</v>
      </c>
      <c r="E834" s="14"/>
      <c r="F834" s="12">
        <f t="shared" si="215"/>
        <v>0</v>
      </c>
      <c r="G834" s="24">
        <f t="shared" si="219"/>
        <v>0</v>
      </c>
      <c r="H834" s="14"/>
      <c r="I834" s="14"/>
      <c r="J834" s="29"/>
      <c r="K834" s="30"/>
      <c r="M834" s="17"/>
      <c r="N834" s="7" t="str">
        <f t="shared" si="207"/>
        <v/>
      </c>
      <c r="O834" s="5"/>
      <c r="P834" s="3"/>
      <c r="Q834" s="5"/>
      <c r="R834" s="7" t="str">
        <f t="shared" si="208"/>
        <v/>
      </c>
      <c r="S834" s="5"/>
      <c r="U834" s="10"/>
      <c r="V834" s="11" t="str">
        <f t="shared" si="209"/>
        <v/>
      </c>
      <c r="W834" s="6"/>
      <c r="Y834" s="10"/>
      <c r="Z834" s="11" t="str">
        <f t="shared" si="210"/>
        <v/>
      </c>
      <c r="AA834" s="6"/>
      <c r="AB834" s="1">
        <v>1.2</v>
      </c>
      <c r="AC834" s="21" t="str">
        <f t="shared" si="220"/>
        <v/>
      </c>
      <c r="AD834" s="27" t="str">
        <f t="shared" si="213"/>
        <v/>
      </c>
      <c r="AE834" s="27" t="str">
        <f t="shared" si="211"/>
        <v/>
      </c>
      <c r="AF834" s="14">
        <f t="shared" si="221"/>
        <v>0</v>
      </c>
      <c r="AG834" s="12">
        <f t="shared" si="216"/>
        <v>0</v>
      </c>
      <c r="AH834" s="24">
        <f t="shared" si="222"/>
        <v>0</v>
      </c>
      <c r="AI834" s="49" t="e">
        <f t="shared" si="212"/>
        <v>#VALUE!</v>
      </c>
      <c r="AK834" s="50" t="e">
        <f t="shared" si="217"/>
        <v>#VALUE!</v>
      </c>
    </row>
    <row r="835" spans="1:37" x14ac:dyDescent="0.4">
      <c r="A835" s="2">
        <v>1988</v>
      </c>
      <c r="B835" s="16"/>
      <c r="C835" s="22">
        <f t="shared" si="214"/>
        <v>0</v>
      </c>
      <c r="D835" s="23">
        <f t="shared" si="218"/>
        <v>0</v>
      </c>
      <c r="E835" s="14"/>
      <c r="F835" s="12">
        <f t="shared" si="215"/>
        <v>0</v>
      </c>
      <c r="G835" s="24">
        <f t="shared" si="219"/>
        <v>0</v>
      </c>
      <c r="H835" s="14"/>
      <c r="I835" s="14"/>
      <c r="J835" s="29"/>
      <c r="K835" s="30"/>
      <c r="M835" s="17"/>
      <c r="N835" s="7" t="str">
        <f t="shared" si="207"/>
        <v/>
      </c>
      <c r="O835" s="5"/>
      <c r="P835" s="3"/>
      <c r="Q835" s="5"/>
      <c r="R835" s="7" t="str">
        <f t="shared" si="208"/>
        <v/>
      </c>
      <c r="S835" s="5"/>
      <c r="U835" s="10"/>
      <c r="V835" s="11" t="str">
        <f t="shared" si="209"/>
        <v/>
      </c>
      <c r="W835" s="6"/>
      <c r="Y835" s="10"/>
      <c r="Z835" s="11" t="str">
        <f t="shared" si="210"/>
        <v/>
      </c>
      <c r="AA835" s="6"/>
      <c r="AB835" s="1">
        <v>1.2</v>
      </c>
      <c r="AC835" s="21" t="str">
        <f t="shared" si="220"/>
        <v/>
      </c>
      <c r="AD835" s="27" t="str">
        <f t="shared" si="213"/>
        <v/>
      </c>
      <c r="AE835" s="27" t="str">
        <f t="shared" si="211"/>
        <v/>
      </c>
      <c r="AF835" s="14">
        <f t="shared" si="221"/>
        <v>0</v>
      </c>
      <c r="AG835" s="12">
        <f t="shared" si="216"/>
        <v>0</v>
      </c>
      <c r="AH835" s="24">
        <f t="shared" si="222"/>
        <v>0</v>
      </c>
      <c r="AI835" s="49" t="e">
        <f t="shared" si="212"/>
        <v>#VALUE!</v>
      </c>
      <c r="AK835" s="50" t="e">
        <f t="shared" si="217"/>
        <v>#VALUE!</v>
      </c>
    </row>
    <row r="836" spans="1:37" x14ac:dyDescent="0.4">
      <c r="A836" s="2">
        <v>1989</v>
      </c>
      <c r="B836" s="16"/>
      <c r="C836" s="22">
        <f t="shared" si="214"/>
        <v>0</v>
      </c>
      <c r="D836" s="23">
        <f t="shared" si="218"/>
        <v>0</v>
      </c>
      <c r="E836" s="14"/>
      <c r="F836" s="12">
        <f t="shared" si="215"/>
        <v>0</v>
      </c>
      <c r="G836" s="24">
        <f t="shared" si="219"/>
        <v>0</v>
      </c>
      <c r="H836" s="14"/>
      <c r="I836" s="14"/>
      <c r="J836" s="29"/>
      <c r="K836" s="30"/>
      <c r="M836" s="17"/>
      <c r="N836" s="7" t="str">
        <f t="shared" si="207"/>
        <v/>
      </c>
      <c r="O836" s="5"/>
      <c r="P836" s="3"/>
      <c r="Q836" s="5"/>
      <c r="R836" s="7" t="str">
        <f t="shared" si="208"/>
        <v/>
      </c>
      <c r="S836" s="5"/>
      <c r="U836" s="10"/>
      <c r="V836" s="11" t="str">
        <f t="shared" si="209"/>
        <v/>
      </c>
      <c r="W836" s="6"/>
      <c r="Y836" s="10"/>
      <c r="Z836" s="11" t="str">
        <f t="shared" si="210"/>
        <v/>
      </c>
      <c r="AA836" s="6"/>
      <c r="AB836" s="1">
        <v>1.2</v>
      </c>
      <c r="AC836" s="21" t="str">
        <f t="shared" si="220"/>
        <v/>
      </c>
      <c r="AD836" s="27" t="str">
        <f t="shared" si="213"/>
        <v/>
      </c>
      <c r="AE836" s="27" t="str">
        <f t="shared" si="211"/>
        <v/>
      </c>
      <c r="AF836" s="14">
        <f t="shared" si="221"/>
        <v>0</v>
      </c>
      <c r="AG836" s="12">
        <f t="shared" si="216"/>
        <v>0</v>
      </c>
      <c r="AH836" s="24">
        <f t="shared" si="222"/>
        <v>0</v>
      </c>
      <c r="AI836" s="49" t="e">
        <f t="shared" si="212"/>
        <v>#VALUE!</v>
      </c>
      <c r="AK836" s="50" t="e">
        <f t="shared" si="217"/>
        <v>#VALUE!</v>
      </c>
    </row>
    <row r="837" spans="1:37" x14ac:dyDescent="0.4">
      <c r="A837" s="2">
        <v>1990</v>
      </c>
      <c r="B837" s="16"/>
      <c r="C837" s="22">
        <f t="shared" si="214"/>
        <v>0</v>
      </c>
      <c r="D837" s="23">
        <f t="shared" si="218"/>
        <v>0</v>
      </c>
      <c r="E837" s="14"/>
      <c r="F837" s="12">
        <f t="shared" si="215"/>
        <v>0</v>
      </c>
      <c r="G837" s="24">
        <f t="shared" si="219"/>
        <v>0</v>
      </c>
      <c r="H837" s="14"/>
      <c r="I837" s="14"/>
      <c r="J837" s="29"/>
      <c r="K837" s="30"/>
      <c r="M837" s="17"/>
      <c r="N837" s="7" t="str">
        <f t="shared" si="207"/>
        <v/>
      </c>
      <c r="O837" s="5"/>
      <c r="P837" s="3"/>
      <c r="Q837" s="5"/>
      <c r="R837" s="7" t="str">
        <f t="shared" si="208"/>
        <v/>
      </c>
      <c r="S837" s="5"/>
      <c r="U837" s="10"/>
      <c r="V837" s="11" t="str">
        <f t="shared" si="209"/>
        <v/>
      </c>
      <c r="W837" s="6"/>
      <c r="Y837" s="10"/>
      <c r="Z837" s="11" t="str">
        <f t="shared" si="210"/>
        <v/>
      </c>
      <c r="AA837" s="6"/>
      <c r="AB837" s="1">
        <v>1.2</v>
      </c>
      <c r="AC837" s="21" t="str">
        <f t="shared" si="220"/>
        <v/>
      </c>
      <c r="AD837" s="27" t="str">
        <f t="shared" si="213"/>
        <v/>
      </c>
      <c r="AE837" s="27" t="str">
        <f t="shared" si="211"/>
        <v/>
      </c>
      <c r="AF837" s="14">
        <f t="shared" si="221"/>
        <v>0</v>
      </c>
      <c r="AG837" s="12">
        <f t="shared" si="216"/>
        <v>0</v>
      </c>
      <c r="AH837" s="24">
        <f t="shared" si="222"/>
        <v>0</v>
      </c>
      <c r="AI837" s="49" t="e">
        <f t="shared" si="212"/>
        <v>#VALUE!</v>
      </c>
      <c r="AK837" s="50" t="e">
        <f t="shared" si="217"/>
        <v>#VALUE!</v>
      </c>
    </row>
    <row r="838" spans="1:37" x14ac:dyDescent="0.4">
      <c r="A838" s="2">
        <v>1991</v>
      </c>
      <c r="B838" s="16"/>
      <c r="C838" s="22">
        <f t="shared" si="214"/>
        <v>0</v>
      </c>
      <c r="D838" s="23">
        <f t="shared" si="218"/>
        <v>0</v>
      </c>
      <c r="E838" s="14"/>
      <c r="F838" s="12">
        <f t="shared" si="215"/>
        <v>0</v>
      </c>
      <c r="G838" s="24">
        <f t="shared" si="219"/>
        <v>0</v>
      </c>
      <c r="H838" s="14"/>
      <c r="I838" s="14"/>
      <c r="J838" s="29"/>
      <c r="K838" s="30"/>
      <c r="M838" s="17"/>
      <c r="N838" s="7" t="str">
        <f t="shared" si="207"/>
        <v/>
      </c>
      <c r="O838" s="5"/>
      <c r="P838" s="3"/>
      <c r="Q838" s="5"/>
      <c r="R838" s="7" t="str">
        <f t="shared" si="208"/>
        <v/>
      </c>
      <c r="S838" s="5"/>
      <c r="U838" s="10"/>
      <c r="V838" s="11" t="str">
        <f t="shared" si="209"/>
        <v/>
      </c>
      <c r="W838" s="6"/>
      <c r="Y838" s="10"/>
      <c r="Z838" s="11" t="str">
        <f t="shared" si="210"/>
        <v/>
      </c>
      <c r="AA838" s="6"/>
      <c r="AB838" s="1">
        <v>1.2</v>
      </c>
      <c r="AC838" s="21" t="str">
        <f t="shared" si="220"/>
        <v/>
      </c>
      <c r="AD838" s="27" t="str">
        <f t="shared" si="213"/>
        <v/>
      </c>
      <c r="AE838" s="27" t="str">
        <f t="shared" si="211"/>
        <v/>
      </c>
      <c r="AF838" s="14">
        <f t="shared" si="221"/>
        <v>0</v>
      </c>
      <c r="AG838" s="12">
        <f t="shared" si="216"/>
        <v>0</v>
      </c>
      <c r="AH838" s="24">
        <f t="shared" si="222"/>
        <v>0</v>
      </c>
      <c r="AI838" s="49" t="e">
        <f t="shared" si="212"/>
        <v>#VALUE!</v>
      </c>
      <c r="AK838" s="50" t="e">
        <f t="shared" si="217"/>
        <v>#VALUE!</v>
      </c>
    </row>
    <row r="839" spans="1:37" x14ac:dyDescent="0.4">
      <c r="A839" s="2">
        <v>1992</v>
      </c>
      <c r="B839" s="16"/>
      <c r="C839" s="22">
        <f t="shared" si="214"/>
        <v>0</v>
      </c>
      <c r="D839" s="23">
        <f t="shared" si="218"/>
        <v>0</v>
      </c>
      <c r="E839" s="14"/>
      <c r="F839" s="12">
        <f t="shared" si="215"/>
        <v>0</v>
      </c>
      <c r="G839" s="24">
        <f t="shared" si="219"/>
        <v>0</v>
      </c>
      <c r="H839" s="14"/>
      <c r="I839" s="14"/>
      <c r="J839" s="29"/>
      <c r="K839" s="30"/>
      <c r="M839" s="17"/>
      <c r="N839" s="7" t="str">
        <f t="shared" si="207"/>
        <v/>
      </c>
      <c r="O839" s="5"/>
      <c r="P839" s="3"/>
      <c r="Q839" s="5"/>
      <c r="R839" s="7" t="str">
        <f t="shared" si="208"/>
        <v/>
      </c>
      <c r="S839" s="5"/>
      <c r="U839" s="10"/>
      <c r="V839" s="11" t="str">
        <f t="shared" si="209"/>
        <v/>
      </c>
      <c r="W839" s="6"/>
      <c r="Y839" s="10"/>
      <c r="Z839" s="11" t="str">
        <f t="shared" si="210"/>
        <v/>
      </c>
      <c r="AA839" s="6"/>
      <c r="AB839" s="1">
        <v>1.2</v>
      </c>
      <c r="AC839" s="21" t="str">
        <f t="shared" si="220"/>
        <v/>
      </c>
      <c r="AD839" s="27" t="str">
        <f t="shared" si="213"/>
        <v/>
      </c>
      <c r="AE839" s="27" t="str">
        <f t="shared" si="211"/>
        <v/>
      </c>
      <c r="AF839" s="14">
        <f t="shared" si="221"/>
        <v>0</v>
      </c>
      <c r="AG839" s="12">
        <f t="shared" si="216"/>
        <v>0</v>
      </c>
      <c r="AH839" s="24">
        <f t="shared" si="222"/>
        <v>0</v>
      </c>
      <c r="AI839" s="49" t="e">
        <f t="shared" si="212"/>
        <v>#VALUE!</v>
      </c>
      <c r="AK839" s="50" t="e">
        <f t="shared" si="217"/>
        <v>#VALUE!</v>
      </c>
    </row>
    <row r="840" spans="1:37" x14ac:dyDescent="0.4">
      <c r="A840" s="2">
        <v>1993</v>
      </c>
      <c r="B840" s="16"/>
      <c r="C840" s="22">
        <f t="shared" si="214"/>
        <v>0</v>
      </c>
      <c r="D840" s="23">
        <f t="shared" si="218"/>
        <v>0</v>
      </c>
      <c r="E840" s="14"/>
      <c r="F840" s="12">
        <f t="shared" si="215"/>
        <v>0</v>
      </c>
      <c r="G840" s="24">
        <f t="shared" si="219"/>
        <v>0</v>
      </c>
      <c r="H840" s="14"/>
      <c r="I840" s="14"/>
      <c r="J840" s="29"/>
      <c r="K840" s="30"/>
      <c r="M840" s="17"/>
      <c r="N840" s="7" t="str">
        <f t="shared" ref="N840:N874" si="223">IF(M840="","",M840*AB840)</f>
        <v/>
      </c>
      <c r="O840" s="5"/>
      <c r="P840" s="3"/>
      <c r="Q840" s="5"/>
      <c r="R840" s="7" t="str">
        <f t="shared" ref="R840:R903" si="224">IF(Q840="","",Q840*AB840)</f>
        <v/>
      </c>
      <c r="S840" s="5"/>
      <c r="U840" s="10"/>
      <c r="V840" s="11" t="str">
        <f t="shared" ref="V840:V878" si="225">IF(U840="","",U840*AB840)</f>
        <v/>
      </c>
      <c r="W840" s="6"/>
      <c r="Y840" s="10"/>
      <c r="Z840" s="11" t="str">
        <f t="shared" ref="Z840:Z903" si="226">IF(Y840="","",Y840*AB840)</f>
        <v/>
      </c>
      <c r="AA840" s="6"/>
      <c r="AB840" s="1">
        <v>1.2</v>
      </c>
      <c r="AC840" s="21" t="str">
        <f t="shared" si="220"/>
        <v/>
      </c>
      <c r="AD840" s="27" t="str">
        <f t="shared" si="213"/>
        <v/>
      </c>
      <c r="AE840" s="27" t="str">
        <f t="shared" si="211"/>
        <v/>
      </c>
      <c r="AF840" s="14">
        <f t="shared" si="221"/>
        <v>0</v>
      </c>
      <c r="AG840" s="12">
        <f t="shared" si="216"/>
        <v>0</v>
      </c>
      <c r="AH840" s="24">
        <f t="shared" si="222"/>
        <v>0</v>
      </c>
      <c r="AI840" s="49" t="e">
        <f t="shared" si="212"/>
        <v>#VALUE!</v>
      </c>
      <c r="AK840" s="50" t="e">
        <f t="shared" si="217"/>
        <v>#VALUE!</v>
      </c>
    </row>
    <row r="841" spans="1:37" x14ac:dyDescent="0.4">
      <c r="A841" s="2">
        <v>1994</v>
      </c>
      <c r="B841" s="16"/>
      <c r="C841" s="22">
        <f t="shared" si="214"/>
        <v>0</v>
      </c>
      <c r="D841" s="23">
        <f t="shared" si="218"/>
        <v>0</v>
      </c>
      <c r="E841" s="14"/>
      <c r="F841" s="12">
        <f t="shared" si="215"/>
        <v>0</v>
      </c>
      <c r="G841" s="24">
        <f t="shared" si="219"/>
        <v>0</v>
      </c>
      <c r="H841" s="14"/>
      <c r="I841" s="14"/>
      <c r="J841" s="29"/>
      <c r="K841" s="30"/>
      <c r="M841" s="17"/>
      <c r="N841" s="7" t="str">
        <f t="shared" si="223"/>
        <v/>
      </c>
      <c r="O841" s="5"/>
      <c r="P841" s="3"/>
      <c r="Q841" s="5"/>
      <c r="R841" s="7" t="str">
        <f t="shared" si="224"/>
        <v/>
      </c>
      <c r="S841" s="5"/>
      <c r="U841" s="10"/>
      <c r="V841" s="11" t="str">
        <f t="shared" si="225"/>
        <v/>
      </c>
      <c r="W841" s="6"/>
      <c r="Y841" s="10"/>
      <c r="Z841" s="11" t="str">
        <f t="shared" si="226"/>
        <v/>
      </c>
      <c r="AA841" s="6"/>
      <c r="AB841" s="1">
        <v>1.2</v>
      </c>
      <c r="AC841" s="21" t="str">
        <f t="shared" si="220"/>
        <v/>
      </c>
      <c r="AD841" s="27" t="str">
        <f t="shared" si="213"/>
        <v/>
      </c>
      <c r="AE841" s="27" t="str">
        <f t="shared" si="211"/>
        <v/>
      </c>
      <c r="AF841" s="14">
        <f t="shared" si="221"/>
        <v>0</v>
      </c>
      <c r="AG841" s="12">
        <f t="shared" si="216"/>
        <v>0</v>
      </c>
      <c r="AH841" s="24">
        <f t="shared" si="222"/>
        <v>0</v>
      </c>
      <c r="AI841" s="49" t="e">
        <f t="shared" si="212"/>
        <v>#VALUE!</v>
      </c>
      <c r="AK841" s="50" t="e">
        <f t="shared" si="217"/>
        <v>#VALUE!</v>
      </c>
    </row>
    <row r="842" spans="1:37" x14ac:dyDescent="0.4">
      <c r="A842" s="2">
        <v>1995</v>
      </c>
      <c r="B842" s="16"/>
      <c r="C842" s="22">
        <f t="shared" si="214"/>
        <v>0</v>
      </c>
      <c r="D842" s="23">
        <f t="shared" si="218"/>
        <v>0</v>
      </c>
      <c r="E842" s="14"/>
      <c r="F842" s="12">
        <f t="shared" si="215"/>
        <v>0</v>
      </c>
      <c r="G842" s="24">
        <f t="shared" si="219"/>
        <v>0</v>
      </c>
      <c r="H842" s="14"/>
      <c r="I842" s="14"/>
      <c r="J842" s="29"/>
      <c r="K842" s="30"/>
      <c r="M842" s="17"/>
      <c r="N842" s="7" t="str">
        <f t="shared" si="223"/>
        <v/>
      </c>
      <c r="O842" s="5"/>
      <c r="P842" s="3"/>
      <c r="Q842" s="5"/>
      <c r="R842" s="7" t="str">
        <f t="shared" si="224"/>
        <v/>
      </c>
      <c r="S842" s="5"/>
      <c r="U842" s="10"/>
      <c r="V842" s="11" t="str">
        <f t="shared" si="225"/>
        <v/>
      </c>
      <c r="W842" s="6"/>
      <c r="Y842" s="10"/>
      <c r="Z842" s="11" t="str">
        <f t="shared" si="226"/>
        <v/>
      </c>
      <c r="AA842" s="6"/>
      <c r="AB842" s="1">
        <v>1.2</v>
      </c>
      <c r="AC842" s="21" t="str">
        <f t="shared" si="220"/>
        <v/>
      </c>
      <c r="AD842" s="27" t="str">
        <f t="shared" si="213"/>
        <v/>
      </c>
      <c r="AE842" s="27" t="str">
        <f t="shared" si="211"/>
        <v/>
      </c>
      <c r="AF842" s="14">
        <f t="shared" si="221"/>
        <v>0</v>
      </c>
      <c r="AG842" s="12">
        <f t="shared" si="216"/>
        <v>0</v>
      </c>
      <c r="AH842" s="24">
        <f t="shared" si="222"/>
        <v>0</v>
      </c>
      <c r="AI842" s="49" t="e">
        <f t="shared" si="212"/>
        <v>#VALUE!</v>
      </c>
      <c r="AK842" s="50" t="e">
        <f t="shared" si="217"/>
        <v>#VALUE!</v>
      </c>
    </row>
    <row r="843" spans="1:37" x14ac:dyDescent="0.4">
      <c r="A843" s="2">
        <v>1996</v>
      </c>
      <c r="B843" s="16"/>
      <c r="C843" s="22">
        <f t="shared" si="214"/>
        <v>0</v>
      </c>
      <c r="D843" s="23">
        <f t="shared" si="218"/>
        <v>0</v>
      </c>
      <c r="E843" s="14"/>
      <c r="F843" s="12">
        <f t="shared" si="215"/>
        <v>0</v>
      </c>
      <c r="G843" s="24">
        <f t="shared" si="219"/>
        <v>0</v>
      </c>
      <c r="H843" s="14"/>
      <c r="I843" s="14"/>
      <c r="J843" s="29"/>
      <c r="K843" s="30"/>
      <c r="M843" s="17"/>
      <c r="N843" s="7" t="str">
        <f t="shared" si="223"/>
        <v/>
      </c>
      <c r="O843" s="5"/>
      <c r="P843" s="3"/>
      <c r="Q843" s="5"/>
      <c r="R843" s="7" t="str">
        <f t="shared" si="224"/>
        <v/>
      </c>
      <c r="S843" s="5"/>
      <c r="U843" s="10"/>
      <c r="V843" s="11" t="str">
        <f t="shared" si="225"/>
        <v/>
      </c>
      <c r="W843" s="6"/>
      <c r="Y843" s="10"/>
      <c r="Z843" s="11" t="str">
        <f t="shared" si="226"/>
        <v/>
      </c>
      <c r="AA843" s="6"/>
      <c r="AB843" s="1">
        <v>1.2</v>
      </c>
      <c r="AC843" s="21" t="str">
        <f t="shared" si="220"/>
        <v/>
      </c>
      <c r="AD843" s="27" t="str">
        <f t="shared" si="213"/>
        <v/>
      </c>
      <c r="AE843" s="27" t="str">
        <f t="shared" si="211"/>
        <v/>
      </c>
      <c r="AF843" s="14">
        <f t="shared" si="221"/>
        <v>0</v>
      </c>
      <c r="AG843" s="12">
        <f t="shared" si="216"/>
        <v>0</v>
      </c>
      <c r="AH843" s="24">
        <f t="shared" si="222"/>
        <v>0</v>
      </c>
      <c r="AI843" s="49" t="e">
        <f t="shared" si="212"/>
        <v>#VALUE!</v>
      </c>
      <c r="AK843" s="50" t="e">
        <f t="shared" si="217"/>
        <v>#VALUE!</v>
      </c>
    </row>
    <row r="844" spans="1:37" x14ac:dyDescent="0.4">
      <c r="A844" s="2">
        <v>1997</v>
      </c>
      <c r="B844" s="16"/>
      <c r="C844" s="22">
        <f t="shared" si="214"/>
        <v>0</v>
      </c>
      <c r="D844" s="23">
        <f t="shared" si="218"/>
        <v>0</v>
      </c>
      <c r="E844" s="14"/>
      <c r="F844" s="12">
        <f t="shared" si="215"/>
        <v>0</v>
      </c>
      <c r="G844" s="24">
        <f t="shared" si="219"/>
        <v>0</v>
      </c>
      <c r="H844" s="14"/>
      <c r="I844" s="14"/>
      <c r="J844" s="29"/>
      <c r="K844" s="30"/>
      <c r="M844" s="17"/>
      <c r="N844" s="7" t="str">
        <f t="shared" si="223"/>
        <v/>
      </c>
      <c r="O844" s="5"/>
      <c r="P844" s="3"/>
      <c r="Q844" s="5"/>
      <c r="R844" s="7" t="str">
        <f t="shared" si="224"/>
        <v/>
      </c>
      <c r="S844" s="5"/>
      <c r="U844" s="10"/>
      <c r="V844" s="11" t="str">
        <f t="shared" si="225"/>
        <v/>
      </c>
      <c r="W844" s="6"/>
      <c r="Y844" s="10"/>
      <c r="Z844" s="11" t="str">
        <f t="shared" si="226"/>
        <v/>
      </c>
      <c r="AA844" s="6"/>
      <c r="AB844" s="1">
        <v>1.2</v>
      </c>
      <c r="AC844" s="21" t="str">
        <f t="shared" si="220"/>
        <v/>
      </c>
      <c r="AD844" s="27" t="str">
        <f t="shared" si="213"/>
        <v/>
      </c>
      <c r="AE844" s="27" t="str">
        <f t="shared" si="211"/>
        <v/>
      </c>
      <c r="AF844" s="14">
        <f t="shared" si="221"/>
        <v>0</v>
      </c>
      <c r="AG844" s="12">
        <f t="shared" si="216"/>
        <v>0</v>
      </c>
      <c r="AH844" s="24">
        <f t="shared" si="222"/>
        <v>0</v>
      </c>
      <c r="AI844" s="49" t="e">
        <f t="shared" si="212"/>
        <v>#VALUE!</v>
      </c>
      <c r="AK844" s="50" t="e">
        <f t="shared" si="217"/>
        <v>#VALUE!</v>
      </c>
    </row>
    <row r="845" spans="1:37" x14ac:dyDescent="0.4">
      <c r="A845" s="2">
        <v>1998</v>
      </c>
      <c r="B845" s="16"/>
      <c r="C845" s="22">
        <f t="shared" si="214"/>
        <v>0</v>
      </c>
      <c r="D845" s="23">
        <f t="shared" si="218"/>
        <v>0</v>
      </c>
      <c r="E845" s="14"/>
      <c r="F845" s="12">
        <f t="shared" si="215"/>
        <v>0</v>
      </c>
      <c r="G845" s="24">
        <f t="shared" si="219"/>
        <v>0</v>
      </c>
      <c r="H845" s="14"/>
      <c r="I845" s="14"/>
      <c r="J845" s="29"/>
      <c r="K845" s="30"/>
      <c r="M845" s="17"/>
      <c r="N845" s="7" t="str">
        <f t="shared" si="223"/>
        <v/>
      </c>
      <c r="O845" s="5"/>
      <c r="P845" s="3"/>
      <c r="Q845" s="5"/>
      <c r="R845" s="7" t="str">
        <f t="shared" si="224"/>
        <v/>
      </c>
      <c r="S845" s="5"/>
      <c r="U845" s="10"/>
      <c r="V845" s="11" t="str">
        <f t="shared" si="225"/>
        <v/>
      </c>
      <c r="W845" s="6"/>
      <c r="Y845" s="10"/>
      <c r="Z845" s="11" t="str">
        <f t="shared" si="226"/>
        <v/>
      </c>
      <c r="AA845" s="6"/>
      <c r="AB845" s="1">
        <v>1.2</v>
      </c>
      <c r="AC845" s="21" t="str">
        <f t="shared" si="220"/>
        <v/>
      </c>
      <c r="AD845" s="27" t="str">
        <f t="shared" si="213"/>
        <v/>
      </c>
      <c r="AE845" s="27" t="str">
        <f t="shared" ref="AE845:AE908" si="227">IF(I845="","",TEXT(I845-B845,"[hh]:mm"))</f>
        <v/>
      </c>
      <c r="AF845" s="14">
        <f t="shared" si="221"/>
        <v>0</v>
      </c>
      <c r="AG845" s="12">
        <f t="shared" si="216"/>
        <v>0</v>
      </c>
      <c r="AH845" s="24">
        <f t="shared" si="222"/>
        <v>0</v>
      </c>
      <c r="AI845" s="49" t="e">
        <f t="shared" ref="AI845:AI908" si="228">MAX(VALUE(AC845),VALUE(AD845),VALUE(AE845))</f>
        <v>#VALUE!</v>
      </c>
      <c r="AK845" s="50" t="e">
        <f t="shared" si="217"/>
        <v>#VALUE!</v>
      </c>
    </row>
    <row r="846" spans="1:37" x14ac:dyDescent="0.4">
      <c r="A846" s="2">
        <v>1999</v>
      </c>
      <c r="B846" s="16"/>
      <c r="C846" s="22">
        <f t="shared" si="214"/>
        <v>0</v>
      </c>
      <c r="D846" s="23">
        <f t="shared" si="218"/>
        <v>0</v>
      </c>
      <c r="E846" s="14"/>
      <c r="F846" s="12">
        <f t="shared" si="215"/>
        <v>0</v>
      </c>
      <c r="G846" s="24">
        <f t="shared" si="219"/>
        <v>0</v>
      </c>
      <c r="H846" s="14"/>
      <c r="I846" s="14"/>
      <c r="J846" s="29"/>
      <c r="K846" s="30"/>
      <c r="M846" s="17"/>
      <c r="N846" s="7" t="str">
        <f t="shared" si="223"/>
        <v/>
      </c>
      <c r="O846" s="5"/>
      <c r="P846" s="3"/>
      <c r="Q846" s="5"/>
      <c r="R846" s="7" t="str">
        <f t="shared" si="224"/>
        <v/>
      </c>
      <c r="S846" s="5"/>
      <c r="U846" s="10"/>
      <c r="V846" s="11" t="str">
        <f t="shared" si="225"/>
        <v/>
      </c>
      <c r="W846" s="6"/>
      <c r="Y846" s="10"/>
      <c r="Z846" s="11" t="str">
        <f t="shared" si="226"/>
        <v/>
      </c>
      <c r="AA846" s="6"/>
      <c r="AB846" s="1">
        <v>1.2</v>
      </c>
      <c r="AC846" s="21" t="str">
        <f t="shared" si="220"/>
        <v/>
      </c>
      <c r="AD846" s="27" t="str">
        <f t="shared" si="213"/>
        <v/>
      </c>
      <c r="AE846" s="27" t="str">
        <f t="shared" si="227"/>
        <v/>
      </c>
      <c r="AF846" s="14">
        <f t="shared" si="221"/>
        <v>0</v>
      </c>
      <c r="AG846" s="12">
        <f t="shared" si="216"/>
        <v>0</v>
      </c>
      <c r="AH846" s="24">
        <f t="shared" si="222"/>
        <v>0</v>
      </c>
      <c r="AI846" s="49" t="e">
        <f t="shared" si="228"/>
        <v>#VALUE!</v>
      </c>
      <c r="AK846" s="50" t="e">
        <f t="shared" si="217"/>
        <v>#VALUE!</v>
      </c>
    </row>
    <row r="847" spans="1:37" x14ac:dyDescent="0.4">
      <c r="A847" s="2">
        <v>2000</v>
      </c>
      <c r="B847" s="16"/>
      <c r="C847" s="22">
        <f t="shared" si="214"/>
        <v>0</v>
      </c>
      <c r="D847" s="23">
        <f t="shared" si="218"/>
        <v>0</v>
      </c>
      <c r="E847" s="14"/>
      <c r="F847" s="12">
        <f t="shared" si="215"/>
        <v>0</v>
      </c>
      <c r="G847" s="24">
        <f t="shared" si="219"/>
        <v>0</v>
      </c>
      <c r="H847" s="14"/>
      <c r="I847" s="14"/>
      <c r="J847" s="29"/>
      <c r="K847" s="30"/>
      <c r="M847" s="17"/>
      <c r="N847" s="7" t="str">
        <f t="shared" si="223"/>
        <v/>
      </c>
      <c r="O847" s="5"/>
      <c r="P847" s="3"/>
      <c r="Q847" s="5"/>
      <c r="R847" s="7" t="str">
        <f t="shared" si="224"/>
        <v/>
      </c>
      <c r="S847" s="5"/>
      <c r="U847" s="10"/>
      <c r="V847" s="11" t="str">
        <f t="shared" si="225"/>
        <v/>
      </c>
      <c r="W847" s="6"/>
      <c r="Y847" s="10"/>
      <c r="Z847" s="11" t="str">
        <f t="shared" si="226"/>
        <v/>
      </c>
      <c r="AA847" s="6"/>
      <c r="AB847" s="1">
        <v>1.2</v>
      </c>
      <c r="AC847" s="21" t="str">
        <f t="shared" si="220"/>
        <v/>
      </c>
      <c r="AD847" s="27" t="str">
        <f t="shared" si="213"/>
        <v/>
      </c>
      <c r="AE847" s="27" t="str">
        <f t="shared" si="227"/>
        <v/>
      </c>
      <c r="AF847" s="14">
        <f t="shared" si="221"/>
        <v>0</v>
      </c>
      <c r="AG847" s="12">
        <f t="shared" si="216"/>
        <v>0</v>
      </c>
      <c r="AH847" s="24">
        <f t="shared" si="222"/>
        <v>0</v>
      </c>
      <c r="AI847" s="49" t="e">
        <f t="shared" si="228"/>
        <v>#VALUE!</v>
      </c>
      <c r="AK847" s="50" t="e">
        <f t="shared" si="217"/>
        <v>#VALUE!</v>
      </c>
    </row>
    <row r="848" spans="1:37" x14ac:dyDescent="0.4">
      <c r="A848" s="2">
        <v>2001</v>
      </c>
      <c r="B848" s="16"/>
      <c r="C848" s="22">
        <f t="shared" si="214"/>
        <v>0</v>
      </c>
      <c r="D848" s="23">
        <f t="shared" si="218"/>
        <v>0</v>
      </c>
      <c r="E848" s="14"/>
      <c r="F848" s="12">
        <f t="shared" si="215"/>
        <v>0</v>
      </c>
      <c r="G848" s="24">
        <f t="shared" si="219"/>
        <v>0</v>
      </c>
      <c r="H848" s="14"/>
      <c r="I848" s="14"/>
      <c r="J848" s="29"/>
      <c r="K848" s="30"/>
      <c r="M848" s="17"/>
      <c r="N848" s="7" t="str">
        <f t="shared" si="223"/>
        <v/>
      </c>
      <c r="O848" s="5"/>
      <c r="P848" s="3"/>
      <c r="Q848" s="5"/>
      <c r="R848" s="7" t="str">
        <f t="shared" si="224"/>
        <v/>
      </c>
      <c r="S848" s="5"/>
      <c r="U848" s="10"/>
      <c r="V848" s="11" t="str">
        <f t="shared" si="225"/>
        <v/>
      </c>
      <c r="W848" s="6"/>
      <c r="Y848" s="10"/>
      <c r="Z848" s="11" t="str">
        <f t="shared" si="226"/>
        <v/>
      </c>
      <c r="AA848" s="6"/>
      <c r="AB848" s="1">
        <v>1.2</v>
      </c>
      <c r="AC848" s="21" t="str">
        <f t="shared" si="220"/>
        <v/>
      </c>
      <c r="AD848" s="27" t="str">
        <f t="shared" si="213"/>
        <v/>
      </c>
      <c r="AE848" s="27" t="str">
        <f t="shared" si="227"/>
        <v/>
      </c>
      <c r="AF848" s="14">
        <f t="shared" si="221"/>
        <v>0</v>
      </c>
      <c r="AG848" s="12">
        <f t="shared" si="216"/>
        <v>0</v>
      </c>
      <c r="AH848" s="24">
        <f t="shared" si="222"/>
        <v>0</v>
      </c>
      <c r="AI848" s="49" t="e">
        <f t="shared" si="228"/>
        <v>#VALUE!</v>
      </c>
      <c r="AK848" s="50" t="e">
        <f t="shared" si="217"/>
        <v>#VALUE!</v>
      </c>
    </row>
    <row r="849" spans="1:37" x14ac:dyDescent="0.4">
      <c r="A849" s="2">
        <v>2002</v>
      </c>
      <c r="B849" s="16"/>
      <c r="C849" s="22">
        <f t="shared" si="214"/>
        <v>0</v>
      </c>
      <c r="D849" s="23">
        <f t="shared" si="218"/>
        <v>0</v>
      </c>
      <c r="E849" s="14"/>
      <c r="F849" s="12">
        <f t="shared" si="215"/>
        <v>0</v>
      </c>
      <c r="G849" s="24">
        <f t="shared" si="219"/>
        <v>0</v>
      </c>
      <c r="H849" s="14"/>
      <c r="I849" s="14"/>
      <c r="J849" s="29"/>
      <c r="K849" s="30"/>
      <c r="M849" s="17"/>
      <c r="N849" s="7" t="str">
        <f t="shared" si="223"/>
        <v/>
      </c>
      <c r="O849" s="5"/>
      <c r="P849" s="3"/>
      <c r="Q849" s="5"/>
      <c r="R849" s="7" t="str">
        <f t="shared" si="224"/>
        <v/>
      </c>
      <c r="S849" s="5"/>
      <c r="U849" s="10"/>
      <c r="V849" s="11" t="str">
        <f t="shared" si="225"/>
        <v/>
      </c>
      <c r="W849" s="6"/>
      <c r="Y849" s="10"/>
      <c r="Z849" s="11" t="str">
        <f t="shared" si="226"/>
        <v/>
      </c>
      <c r="AA849" s="6"/>
      <c r="AB849" s="1">
        <v>1.2</v>
      </c>
      <c r="AC849" s="21" t="str">
        <f t="shared" si="220"/>
        <v/>
      </c>
      <c r="AD849" s="27" t="str">
        <f t="shared" si="213"/>
        <v/>
      </c>
      <c r="AE849" s="27" t="str">
        <f t="shared" si="227"/>
        <v/>
      </c>
      <c r="AF849" s="14">
        <f t="shared" si="221"/>
        <v>0</v>
      </c>
      <c r="AG849" s="12">
        <f t="shared" si="216"/>
        <v>0</v>
      </c>
      <c r="AH849" s="24">
        <f t="shared" si="222"/>
        <v>0</v>
      </c>
      <c r="AI849" s="49" t="e">
        <f t="shared" si="228"/>
        <v>#VALUE!</v>
      </c>
      <c r="AK849" s="50" t="e">
        <f t="shared" si="217"/>
        <v>#VALUE!</v>
      </c>
    </row>
    <row r="850" spans="1:37" x14ac:dyDescent="0.4">
      <c r="A850" s="2">
        <v>2003</v>
      </c>
      <c r="B850" s="16"/>
      <c r="C850" s="22">
        <f t="shared" si="214"/>
        <v>0</v>
      </c>
      <c r="D850" s="23">
        <f t="shared" si="218"/>
        <v>0</v>
      </c>
      <c r="E850" s="14"/>
      <c r="F850" s="12">
        <f t="shared" si="215"/>
        <v>0</v>
      </c>
      <c r="G850" s="24">
        <f t="shared" si="219"/>
        <v>0</v>
      </c>
      <c r="H850" s="14"/>
      <c r="I850" s="14"/>
      <c r="J850" s="29"/>
      <c r="K850" s="30"/>
      <c r="M850" s="17"/>
      <c r="N850" s="7" t="str">
        <f t="shared" si="223"/>
        <v/>
      </c>
      <c r="O850" s="5"/>
      <c r="P850" s="3"/>
      <c r="Q850" s="5"/>
      <c r="R850" s="7" t="str">
        <f t="shared" si="224"/>
        <v/>
      </c>
      <c r="S850" s="5"/>
      <c r="U850" s="10"/>
      <c r="V850" s="11" t="str">
        <f t="shared" si="225"/>
        <v/>
      </c>
      <c r="W850" s="6"/>
      <c r="Y850" s="10"/>
      <c r="Z850" s="11" t="str">
        <f t="shared" si="226"/>
        <v/>
      </c>
      <c r="AA850" s="6"/>
      <c r="AB850" s="1">
        <v>1.2</v>
      </c>
      <c r="AC850" s="21" t="str">
        <f t="shared" si="220"/>
        <v/>
      </c>
      <c r="AD850" s="27" t="str">
        <f t="shared" si="213"/>
        <v/>
      </c>
      <c r="AE850" s="27" t="str">
        <f t="shared" si="227"/>
        <v/>
      </c>
      <c r="AF850" s="14">
        <f t="shared" si="221"/>
        <v>0</v>
      </c>
      <c r="AG850" s="12">
        <f t="shared" si="216"/>
        <v>0</v>
      </c>
      <c r="AH850" s="24">
        <f t="shared" si="222"/>
        <v>0</v>
      </c>
      <c r="AI850" s="49" t="e">
        <f t="shared" si="228"/>
        <v>#VALUE!</v>
      </c>
      <c r="AK850" s="50" t="e">
        <f t="shared" si="217"/>
        <v>#VALUE!</v>
      </c>
    </row>
    <row r="851" spans="1:37" x14ac:dyDescent="0.4">
      <c r="A851" s="2">
        <v>2004</v>
      </c>
      <c r="B851" s="16"/>
      <c r="C851" s="22">
        <f t="shared" si="214"/>
        <v>0</v>
      </c>
      <c r="D851" s="23">
        <f t="shared" si="218"/>
        <v>0</v>
      </c>
      <c r="E851" s="14"/>
      <c r="F851" s="12">
        <f t="shared" si="215"/>
        <v>0</v>
      </c>
      <c r="G851" s="24">
        <f t="shared" si="219"/>
        <v>0</v>
      </c>
      <c r="H851" s="14"/>
      <c r="I851" s="14"/>
      <c r="J851" s="29"/>
      <c r="K851" s="30"/>
      <c r="M851" s="17"/>
      <c r="N851" s="7" t="str">
        <f t="shared" si="223"/>
        <v/>
      </c>
      <c r="O851" s="5"/>
      <c r="P851" s="3"/>
      <c r="Q851" s="5"/>
      <c r="R851" s="7" t="str">
        <f t="shared" si="224"/>
        <v/>
      </c>
      <c r="S851" s="5"/>
      <c r="U851" s="10"/>
      <c r="V851" s="11" t="str">
        <f t="shared" si="225"/>
        <v/>
      </c>
      <c r="W851" s="6"/>
      <c r="Y851" s="10"/>
      <c r="Z851" s="11" t="str">
        <f t="shared" si="226"/>
        <v/>
      </c>
      <c r="AA851" s="6"/>
      <c r="AB851" s="1">
        <v>1.2</v>
      </c>
      <c r="AC851" s="21" t="str">
        <f t="shared" si="220"/>
        <v/>
      </c>
      <c r="AD851" s="27" t="str">
        <f t="shared" si="213"/>
        <v/>
      </c>
      <c r="AE851" s="27" t="str">
        <f t="shared" si="227"/>
        <v/>
      </c>
      <c r="AF851" s="14">
        <f t="shared" si="221"/>
        <v>0</v>
      </c>
      <c r="AG851" s="12">
        <f t="shared" si="216"/>
        <v>0</v>
      </c>
      <c r="AH851" s="24">
        <f t="shared" si="222"/>
        <v>0</v>
      </c>
      <c r="AI851" s="49" t="e">
        <f t="shared" si="228"/>
        <v>#VALUE!</v>
      </c>
      <c r="AK851" s="50" t="e">
        <f t="shared" si="217"/>
        <v>#VALUE!</v>
      </c>
    </row>
    <row r="852" spans="1:37" x14ac:dyDescent="0.4">
      <c r="A852" s="2">
        <v>2005</v>
      </c>
      <c r="B852" s="16"/>
      <c r="C852" s="22">
        <f t="shared" si="214"/>
        <v>0</v>
      </c>
      <c r="D852" s="23">
        <f t="shared" si="218"/>
        <v>0</v>
      </c>
      <c r="E852" s="14"/>
      <c r="F852" s="12">
        <f t="shared" si="215"/>
        <v>0</v>
      </c>
      <c r="G852" s="24">
        <f t="shared" si="219"/>
        <v>0</v>
      </c>
      <c r="H852" s="14"/>
      <c r="I852" s="14"/>
      <c r="J852" s="29"/>
      <c r="K852" s="30"/>
      <c r="M852" s="17"/>
      <c r="N852" s="7" t="str">
        <f t="shared" si="223"/>
        <v/>
      </c>
      <c r="O852" s="5"/>
      <c r="P852" s="3"/>
      <c r="Q852" s="5"/>
      <c r="R852" s="7" t="str">
        <f t="shared" si="224"/>
        <v/>
      </c>
      <c r="S852" s="5"/>
      <c r="U852" s="10"/>
      <c r="V852" s="11" t="str">
        <f t="shared" si="225"/>
        <v/>
      </c>
      <c r="W852" s="6"/>
      <c r="Y852" s="10"/>
      <c r="Z852" s="11" t="str">
        <f t="shared" si="226"/>
        <v/>
      </c>
      <c r="AA852" s="6"/>
      <c r="AB852" s="1">
        <v>1.2</v>
      </c>
      <c r="AC852" s="21" t="str">
        <f t="shared" si="220"/>
        <v/>
      </c>
      <c r="AD852" s="27" t="str">
        <f t="shared" si="213"/>
        <v/>
      </c>
      <c r="AE852" s="27" t="str">
        <f t="shared" si="227"/>
        <v/>
      </c>
      <c r="AF852" s="14">
        <f t="shared" si="221"/>
        <v>0</v>
      </c>
      <c r="AG852" s="12">
        <f t="shared" si="216"/>
        <v>0</v>
      </c>
      <c r="AH852" s="24">
        <f t="shared" si="222"/>
        <v>0</v>
      </c>
      <c r="AI852" s="49" t="e">
        <f t="shared" si="228"/>
        <v>#VALUE!</v>
      </c>
      <c r="AK852" s="50" t="e">
        <f t="shared" si="217"/>
        <v>#VALUE!</v>
      </c>
    </row>
    <row r="853" spans="1:37" x14ac:dyDescent="0.4">
      <c r="A853" s="2">
        <v>2006</v>
      </c>
      <c r="B853" s="16"/>
      <c r="C853" s="22">
        <f t="shared" si="214"/>
        <v>0</v>
      </c>
      <c r="D853" s="23">
        <f t="shared" si="218"/>
        <v>0</v>
      </c>
      <c r="E853" s="14"/>
      <c r="F853" s="12">
        <f t="shared" si="215"/>
        <v>0</v>
      </c>
      <c r="G853" s="24">
        <f t="shared" si="219"/>
        <v>0</v>
      </c>
      <c r="H853" s="14"/>
      <c r="I853" s="14"/>
      <c r="J853" s="29"/>
      <c r="K853" s="30"/>
      <c r="M853" s="17"/>
      <c r="N853" s="7" t="str">
        <f t="shared" si="223"/>
        <v/>
      </c>
      <c r="O853" s="5"/>
      <c r="P853" s="3"/>
      <c r="Q853" s="5"/>
      <c r="R853" s="7" t="str">
        <f t="shared" si="224"/>
        <v/>
      </c>
      <c r="S853" s="5"/>
      <c r="U853" s="10"/>
      <c r="V853" s="11" t="str">
        <f t="shared" si="225"/>
        <v/>
      </c>
      <c r="W853" s="6"/>
      <c r="Y853" s="10"/>
      <c r="Z853" s="11" t="str">
        <f t="shared" si="226"/>
        <v/>
      </c>
      <c r="AA853" s="6"/>
      <c r="AB853" s="1">
        <v>1.2</v>
      </c>
      <c r="AC853" s="21" t="str">
        <f t="shared" si="220"/>
        <v/>
      </c>
      <c r="AD853" s="27" t="str">
        <f t="shared" si="213"/>
        <v/>
      </c>
      <c r="AE853" s="27" t="str">
        <f t="shared" si="227"/>
        <v/>
      </c>
      <c r="AF853" s="14">
        <f t="shared" si="221"/>
        <v>0</v>
      </c>
      <c r="AG853" s="12">
        <f t="shared" si="216"/>
        <v>0</v>
      </c>
      <c r="AH853" s="24">
        <f t="shared" si="222"/>
        <v>0</v>
      </c>
      <c r="AI853" s="49" t="e">
        <f t="shared" si="228"/>
        <v>#VALUE!</v>
      </c>
      <c r="AK853" s="50" t="e">
        <f t="shared" si="217"/>
        <v>#VALUE!</v>
      </c>
    </row>
    <row r="854" spans="1:37" x14ac:dyDescent="0.4">
      <c r="A854" s="2">
        <v>2007</v>
      </c>
      <c r="B854" s="16"/>
      <c r="C854" s="22">
        <f t="shared" si="214"/>
        <v>0</v>
      </c>
      <c r="D854" s="23">
        <f t="shared" si="218"/>
        <v>0</v>
      </c>
      <c r="E854" s="14"/>
      <c r="F854" s="12">
        <f t="shared" si="215"/>
        <v>0</v>
      </c>
      <c r="G854" s="24">
        <f t="shared" si="219"/>
        <v>0</v>
      </c>
      <c r="H854" s="14"/>
      <c r="I854" s="14"/>
      <c r="J854" s="29"/>
      <c r="K854" s="30"/>
      <c r="M854" s="17"/>
      <c r="N854" s="7" t="str">
        <f t="shared" si="223"/>
        <v/>
      </c>
      <c r="O854" s="5"/>
      <c r="P854" s="3"/>
      <c r="Q854" s="5"/>
      <c r="R854" s="7" t="str">
        <f t="shared" si="224"/>
        <v/>
      </c>
      <c r="S854" s="5"/>
      <c r="U854" s="10"/>
      <c r="V854" s="11" t="str">
        <f t="shared" si="225"/>
        <v/>
      </c>
      <c r="W854" s="6"/>
      <c r="Y854" s="10"/>
      <c r="Z854" s="11" t="str">
        <f t="shared" si="226"/>
        <v/>
      </c>
      <c r="AA854" s="6"/>
      <c r="AB854" s="1">
        <v>1.2</v>
      </c>
      <c r="AC854" s="21" t="str">
        <f t="shared" si="220"/>
        <v/>
      </c>
      <c r="AD854" s="27" t="str">
        <f t="shared" ref="AD854:AD917" si="229">IF(H854="","",TEXT(H854-B854,"[hh]:mm"))</f>
        <v/>
      </c>
      <c r="AE854" s="27" t="str">
        <f t="shared" si="227"/>
        <v/>
      </c>
      <c r="AF854" s="14">
        <f t="shared" si="221"/>
        <v>0</v>
      </c>
      <c r="AG854" s="12">
        <f t="shared" si="216"/>
        <v>0</v>
      </c>
      <c r="AH854" s="24">
        <f t="shared" si="222"/>
        <v>0</v>
      </c>
      <c r="AI854" s="49" t="e">
        <f t="shared" si="228"/>
        <v>#VALUE!</v>
      </c>
      <c r="AK854" s="50" t="e">
        <f t="shared" si="217"/>
        <v>#VALUE!</v>
      </c>
    </row>
    <row r="855" spans="1:37" x14ac:dyDescent="0.4">
      <c r="A855" s="2">
        <v>2008</v>
      </c>
      <c r="B855" s="16"/>
      <c r="C855" s="22">
        <f t="shared" ref="C855:C918" si="230">INT(B855)</f>
        <v>0</v>
      </c>
      <c r="D855" s="23">
        <f t="shared" si="218"/>
        <v>0</v>
      </c>
      <c r="E855" s="14"/>
      <c r="F855" s="12">
        <f t="shared" ref="F855:F918" si="231">INT(E855)</f>
        <v>0</v>
      </c>
      <c r="G855" s="24">
        <f t="shared" si="219"/>
        <v>0</v>
      </c>
      <c r="H855" s="14"/>
      <c r="I855" s="14"/>
      <c r="J855" s="29"/>
      <c r="K855" s="30"/>
      <c r="M855" s="17"/>
      <c r="N855" s="7" t="str">
        <f t="shared" si="223"/>
        <v/>
      </c>
      <c r="O855" s="5"/>
      <c r="P855" s="3"/>
      <c r="Q855" s="5"/>
      <c r="R855" s="7" t="str">
        <f t="shared" si="224"/>
        <v/>
      </c>
      <c r="S855" s="5"/>
      <c r="U855" s="10"/>
      <c r="V855" s="11" t="str">
        <f t="shared" si="225"/>
        <v/>
      </c>
      <c r="W855" s="6"/>
      <c r="Y855" s="10"/>
      <c r="Z855" s="11" t="str">
        <f t="shared" si="226"/>
        <v/>
      </c>
      <c r="AA855" s="6"/>
      <c r="AB855" s="1">
        <v>1.2</v>
      </c>
      <c r="AC855" s="21" t="str">
        <f t="shared" si="220"/>
        <v/>
      </c>
      <c r="AD855" s="27" t="str">
        <f t="shared" si="229"/>
        <v/>
      </c>
      <c r="AE855" s="27" t="str">
        <f t="shared" si="227"/>
        <v/>
      </c>
      <c r="AF855" s="14">
        <f t="shared" si="221"/>
        <v>0</v>
      </c>
      <c r="AG855" s="12">
        <f t="shared" ref="AG855:AG918" si="232">INT(AF855)</f>
        <v>0</v>
      </c>
      <c r="AH855" s="24">
        <f t="shared" si="222"/>
        <v>0</v>
      </c>
      <c r="AI855" s="49" t="e">
        <f t="shared" si="228"/>
        <v>#VALUE!</v>
      </c>
      <c r="AK855" s="50" t="e">
        <f t="shared" ref="AK855:AK918" si="233">IF(VALUE(AI855)&lt;=VALUE($AK$3),"BOM","RUIM")</f>
        <v>#VALUE!</v>
      </c>
    </row>
    <row r="856" spans="1:37" x14ac:dyDescent="0.4">
      <c r="A856" s="2">
        <v>2009</v>
      </c>
      <c r="B856" s="16"/>
      <c r="C856" s="22">
        <f t="shared" si="230"/>
        <v>0</v>
      </c>
      <c r="D856" s="23">
        <f t="shared" si="218"/>
        <v>0</v>
      </c>
      <c r="E856" s="14"/>
      <c r="F856" s="12">
        <f t="shared" si="231"/>
        <v>0</v>
      </c>
      <c r="G856" s="24">
        <f t="shared" si="219"/>
        <v>0</v>
      </c>
      <c r="H856" s="14"/>
      <c r="I856" s="14"/>
      <c r="J856" s="29"/>
      <c r="K856" s="30"/>
      <c r="M856" s="17"/>
      <c r="N856" s="7" t="str">
        <f t="shared" si="223"/>
        <v/>
      </c>
      <c r="O856" s="5"/>
      <c r="P856" s="3"/>
      <c r="Q856" s="5"/>
      <c r="R856" s="7" t="str">
        <f t="shared" si="224"/>
        <v/>
      </c>
      <c r="S856" s="5"/>
      <c r="U856" s="10"/>
      <c r="V856" s="11" t="str">
        <f t="shared" si="225"/>
        <v/>
      </c>
      <c r="W856" s="6"/>
      <c r="Y856" s="10"/>
      <c r="Z856" s="11" t="str">
        <f t="shared" si="226"/>
        <v/>
      </c>
      <c r="AA856" s="6"/>
      <c r="AB856" s="1">
        <v>1.2</v>
      </c>
      <c r="AC856" s="21" t="str">
        <f t="shared" si="220"/>
        <v/>
      </c>
      <c r="AD856" s="27" t="str">
        <f t="shared" si="229"/>
        <v/>
      </c>
      <c r="AE856" s="27" t="str">
        <f t="shared" si="227"/>
        <v/>
      </c>
      <c r="AF856" s="14">
        <f t="shared" si="221"/>
        <v>0</v>
      </c>
      <c r="AG856" s="12">
        <f t="shared" si="232"/>
        <v>0</v>
      </c>
      <c r="AH856" s="24">
        <f t="shared" si="222"/>
        <v>0</v>
      </c>
      <c r="AI856" s="49" t="e">
        <f t="shared" si="228"/>
        <v>#VALUE!</v>
      </c>
      <c r="AK856" s="50" t="e">
        <f t="shared" si="233"/>
        <v>#VALUE!</v>
      </c>
    </row>
    <row r="857" spans="1:37" x14ac:dyDescent="0.4">
      <c r="A857" s="2">
        <v>2010</v>
      </c>
      <c r="B857" s="16"/>
      <c r="C857" s="22">
        <f t="shared" si="230"/>
        <v>0</v>
      </c>
      <c r="D857" s="23">
        <f t="shared" si="218"/>
        <v>0</v>
      </c>
      <c r="E857" s="14"/>
      <c r="F857" s="12">
        <f t="shared" si="231"/>
        <v>0</v>
      </c>
      <c r="G857" s="24">
        <f t="shared" si="219"/>
        <v>0</v>
      </c>
      <c r="H857" s="14"/>
      <c r="I857" s="14"/>
      <c r="J857" s="29"/>
      <c r="K857" s="30"/>
      <c r="M857" s="17"/>
      <c r="N857" s="7" t="str">
        <f t="shared" si="223"/>
        <v/>
      </c>
      <c r="O857" s="5"/>
      <c r="P857" s="3"/>
      <c r="Q857" s="5"/>
      <c r="R857" s="7" t="str">
        <f t="shared" si="224"/>
        <v/>
      </c>
      <c r="S857" s="5"/>
      <c r="U857" s="10"/>
      <c r="V857" s="11" t="str">
        <f t="shared" si="225"/>
        <v/>
      </c>
      <c r="W857" s="6"/>
      <c r="Y857" s="10"/>
      <c r="Z857" s="11" t="str">
        <f t="shared" si="226"/>
        <v/>
      </c>
      <c r="AA857" s="6"/>
      <c r="AB857" s="1">
        <v>1.2</v>
      </c>
      <c r="AC857" s="21" t="str">
        <f t="shared" si="220"/>
        <v/>
      </c>
      <c r="AD857" s="27" t="str">
        <f t="shared" si="229"/>
        <v/>
      </c>
      <c r="AE857" s="27" t="str">
        <f t="shared" si="227"/>
        <v/>
      </c>
      <c r="AF857" s="14">
        <f t="shared" si="221"/>
        <v>0</v>
      </c>
      <c r="AG857" s="12">
        <f t="shared" si="232"/>
        <v>0</v>
      </c>
      <c r="AH857" s="24">
        <f t="shared" si="222"/>
        <v>0</v>
      </c>
      <c r="AI857" s="49" t="e">
        <f t="shared" si="228"/>
        <v>#VALUE!</v>
      </c>
      <c r="AK857" s="50" t="e">
        <f t="shared" si="233"/>
        <v>#VALUE!</v>
      </c>
    </row>
    <row r="858" spans="1:37" x14ac:dyDescent="0.4">
      <c r="A858" s="2">
        <v>2011</v>
      </c>
      <c r="B858" s="16"/>
      <c r="C858" s="22">
        <f t="shared" si="230"/>
        <v>0</v>
      </c>
      <c r="D858" s="23">
        <f t="shared" si="218"/>
        <v>0</v>
      </c>
      <c r="E858" s="14"/>
      <c r="F858" s="12">
        <f t="shared" si="231"/>
        <v>0</v>
      </c>
      <c r="G858" s="24">
        <f t="shared" si="219"/>
        <v>0</v>
      </c>
      <c r="H858" s="14"/>
      <c r="I858" s="14"/>
      <c r="J858" s="29"/>
      <c r="K858" s="30"/>
      <c r="M858" s="17"/>
      <c r="N858" s="7" t="str">
        <f t="shared" si="223"/>
        <v/>
      </c>
      <c r="O858" s="5"/>
      <c r="P858" s="3"/>
      <c r="Q858" s="5"/>
      <c r="R858" s="7" t="str">
        <f t="shared" si="224"/>
        <v/>
      </c>
      <c r="S858" s="5"/>
      <c r="U858" s="10"/>
      <c r="V858" s="11" t="str">
        <f t="shared" si="225"/>
        <v/>
      </c>
      <c r="W858" s="6"/>
      <c r="Y858" s="10"/>
      <c r="Z858" s="11" t="str">
        <f t="shared" si="226"/>
        <v/>
      </c>
      <c r="AA858" s="6"/>
      <c r="AB858" s="1">
        <v>1.2</v>
      </c>
      <c r="AC858" s="21" t="str">
        <f t="shared" si="220"/>
        <v/>
      </c>
      <c r="AD858" s="27" t="str">
        <f t="shared" si="229"/>
        <v/>
      </c>
      <c r="AE858" s="27" t="str">
        <f t="shared" si="227"/>
        <v/>
      </c>
      <c r="AF858" s="14">
        <f t="shared" si="221"/>
        <v>0</v>
      </c>
      <c r="AG858" s="12">
        <f t="shared" si="232"/>
        <v>0</v>
      </c>
      <c r="AH858" s="24">
        <f t="shared" si="222"/>
        <v>0</v>
      </c>
      <c r="AI858" s="49" t="e">
        <f t="shared" si="228"/>
        <v>#VALUE!</v>
      </c>
      <c r="AK858" s="50" t="e">
        <f t="shared" si="233"/>
        <v>#VALUE!</v>
      </c>
    </row>
    <row r="859" spans="1:37" x14ac:dyDescent="0.4">
      <c r="A859" s="2">
        <v>2012</v>
      </c>
      <c r="B859" s="16"/>
      <c r="C859" s="22">
        <f t="shared" si="230"/>
        <v>0</v>
      </c>
      <c r="D859" s="23">
        <f t="shared" si="218"/>
        <v>0</v>
      </c>
      <c r="E859" s="14"/>
      <c r="F859" s="12">
        <f t="shared" si="231"/>
        <v>0</v>
      </c>
      <c r="G859" s="24">
        <f t="shared" si="219"/>
        <v>0</v>
      </c>
      <c r="H859" s="14"/>
      <c r="I859" s="14"/>
      <c r="J859" s="29"/>
      <c r="K859" s="30"/>
      <c r="M859" s="17"/>
      <c r="N859" s="7" t="str">
        <f t="shared" si="223"/>
        <v/>
      </c>
      <c r="O859" s="5"/>
      <c r="P859" s="3"/>
      <c r="Q859" s="5"/>
      <c r="R859" s="7" t="str">
        <f t="shared" si="224"/>
        <v/>
      </c>
      <c r="S859" s="5"/>
      <c r="U859" s="10"/>
      <c r="V859" s="11" t="str">
        <f t="shared" si="225"/>
        <v/>
      </c>
      <c r="W859" s="6"/>
      <c r="Y859" s="10"/>
      <c r="Z859" s="11" t="str">
        <f t="shared" si="226"/>
        <v/>
      </c>
      <c r="AA859" s="6"/>
      <c r="AB859" s="1">
        <v>1.2</v>
      </c>
      <c r="AC859" s="21" t="str">
        <f t="shared" si="220"/>
        <v/>
      </c>
      <c r="AD859" s="27" t="str">
        <f t="shared" si="229"/>
        <v/>
      </c>
      <c r="AE859" s="27" t="str">
        <f t="shared" si="227"/>
        <v/>
      </c>
      <c r="AF859" s="14">
        <f t="shared" si="221"/>
        <v>0</v>
      </c>
      <c r="AG859" s="12">
        <f t="shared" si="232"/>
        <v>0</v>
      </c>
      <c r="AH859" s="24">
        <f t="shared" si="222"/>
        <v>0</v>
      </c>
      <c r="AI859" s="49" t="e">
        <f t="shared" si="228"/>
        <v>#VALUE!</v>
      </c>
      <c r="AK859" s="50" t="e">
        <f t="shared" si="233"/>
        <v>#VALUE!</v>
      </c>
    </row>
    <row r="860" spans="1:37" x14ac:dyDescent="0.4">
      <c r="A860" s="2">
        <v>2013</v>
      </c>
      <c r="B860" s="16"/>
      <c r="C860" s="22">
        <f t="shared" si="230"/>
        <v>0</v>
      </c>
      <c r="D860" s="23">
        <f t="shared" si="218"/>
        <v>0</v>
      </c>
      <c r="E860" s="14"/>
      <c r="F860" s="12">
        <f t="shared" si="231"/>
        <v>0</v>
      </c>
      <c r="G860" s="24">
        <f t="shared" si="219"/>
        <v>0</v>
      </c>
      <c r="H860" s="14"/>
      <c r="I860" s="14"/>
      <c r="J860" s="29"/>
      <c r="K860" s="30"/>
      <c r="M860" s="17"/>
      <c r="N860" s="7" t="str">
        <f t="shared" si="223"/>
        <v/>
      </c>
      <c r="O860" s="5"/>
      <c r="P860" s="3"/>
      <c r="Q860" s="5"/>
      <c r="R860" s="7" t="str">
        <f t="shared" si="224"/>
        <v/>
      </c>
      <c r="S860" s="5"/>
      <c r="U860" s="10"/>
      <c r="V860" s="11" t="str">
        <f t="shared" si="225"/>
        <v/>
      </c>
      <c r="W860" s="6"/>
      <c r="Y860" s="10"/>
      <c r="Z860" s="11" t="str">
        <f t="shared" si="226"/>
        <v/>
      </c>
      <c r="AA860" s="6"/>
      <c r="AB860" s="1">
        <v>1.2</v>
      </c>
      <c r="AC860" s="21" t="str">
        <f t="shared" si="220"/>
        <v/>
      </c>
      <c r="AD860" s="27" t="str">
        <f t="shared" si="229"/>
        <v/>
      </c>
      <c r="AE860" s="27" t="str">
        <f t="shared" si="227"/>
        <v/>
      </c>
      <c r="AF860" s="14">
        <f t="shared" si="221"/>
        <v>0</v>
      </c>
      <c r="AG860" s="12">
        <f t="shared" si="232"/>
        <v>0</v>
      </c>
      <c r="AH860" s="24">
        <f t="shared" si="222"/>
        <v>0</v>
      </c>
      <c r="AI860" s="49" t="e">
        <f t="shared" si="228"/>
        <v>#VALUE!</v>
      </c>
      <c r="AK860" s="50" t="e">
        <f t="shared" si="233"/>
        <v>#VALUE!</v>
      </c>
    </row>
    <row r="861" spans="1:37" x14ac:dyDescent="0.4">
      <c r="A861" s="2">
        <v>2014</v>
      </c>
      <c r="B861" s="16"/>
      <c r="C861" s="22">
        <f t="shared" si="230"/>
        <v>0</v>
      </c>
      <c r="D861" s="23">
        <f t="shared" si="218"/>
        <v>0</v>
      </c>
      <c r="E861" s="14"/>
      <c r="F861" s="12">
        <f t="shared" si="231"/>
        <v>0</v>
      </c>
      <c r="G861" s="24">
        <f t="shared" si="219"/>
        <v>0</v>
      </c>
      <c r="H861" s="14"/>
      <c r="I861" s="14"/>
      <c r="J861" s="29"/>
      <c r="K861" s="30"/>
      <c r="M861" s="17"/>
      <c r="N861" s="7" t="str">
        <f t="shared" si="223"/>
        <v/>
      </c>
      <c r="O861" s="5"/>
      <c r="P861" s="3"/>
      <c r="Q861" s="5"/>
      <c r="R861" s="7" t="str">
        <f t="shared" si="224"/>
        <v/>
      </c>
      <c r="S861" s="5"/>
      <c r="U861" s="10"/>
      <c r="V861" s="11" t="str">
        <f t="shared" si="225"/>
        <v/>
      </c>
      <c r="W861" s="6"/>
      <c r="Y861" s="10"/>
      <c r="Z861" s="11" t="str">
        <f t="shared" si="226"/>
        <v/>
      </c>
      <c r="AA861" s="6"/>
      <c r="AB861" s="1">
        <v>1.2</v>
      </c>
      <c r="AC861" s="21" t="str">
        <f t="shared" si="220"/>
        <v/>
      </c>
      <c r="AD861" s="27" t="str">
        <f t="shared" si="229"/>
        <v/>
      </c>
      <c r="AE861" s="27" t="str">
        <f t="shared" si="227"/>
        <v/>
      </c>
      <c r="AF861" s="14">
        <f t="shared" si="221"/>
        <v>0</v>
      </c>
      <c r="AG861" s="12">
        <f t="shared" si="232"/>
        <v>0</v>
      </c>
      <c r="AH861" s="24">
        <f t="shared" si="222"/>
        <v>0</v>
      </c>
      <c r="AI861" s="49" t="e">
        <f t="shared" si="228"/>
        <v>#VALUE!</v>
      </c>
      <c r="AK861" s="50" t="e">
        <f t="shared" si="233"/>
        <v>#VALUE!</v>
      </c>
    </row>
    <row r="862" spans="1:37" x14ac:dyDescent="0.4">
      <c r="A862" s="2">
        <v>2015</v>
      </c>
      <c r="B862" s="16"/>
      <c r="C862" s="22">
        <f t="shared" si="230"/>
        <v>0</v>
      </c>
      <c r="D862" s="23">
        <f t="shared" si="218"/>
        <v>0</v>
      </c>
      <c r="E862" s="14"/>
      <c r="F862" s="12">
        <f t="shared" si="231"/>
        <v>0</v>
      </c>
      <c r="G862" s="24">
        <f t="shared" si="219"/>
        <v>0</v>
      </c>
      <c r="H862" s="14"/>
      <c r="I862" s="14"/>
      <c r="J862" s="29"/>
      <c r="K862" s="30"/>
      <c r="M862" s="17"/>
      <c r="N862" s="7" t="str">
        <f t="shared" si="223"/>
        <v/>
      </c>
      <c r="O862" s="5"/>
      <c r="P862" s="3"/>
      <c r="Q862" s="5"/>
      <c r="R862" s="7" t="str">
        <f t="shared" si="224"/>
        <v/>
      </c>
      <c r="S862" s="5"/>
      <c r="U862" s="10"/>
      <c r="V862" s="11" t="str">
        <f t="shared" si="225"/>
        <v/>
      </c>
      <c r="W862" s="6"/>
      <c r="Y862" s="10"/>
      <c r="Z862" s="11" t="str">
        <f t="shared" si="226"/>
        <v/>
      </c>
      <c r="AA862" s="6"/>
      <c r="AB862" s="1">
        <v>1.2</v>
      </c>
      <c r="AC862" s="21" t="str">
        <f t="shared" si="220"/>
        <v/>
      </c>
      <c r="AD862" s="27" t="str">
        <f t="shared" si="229"/>
        <v/>
      </c>
      <c r="AE862" s="27" t="str">
        <f t="shared" si="227"/>
        <v/>
      </c>
      <c r="AF862" s="14">
        <f t="shared" si="221"/>
        <v>0</v>
      </c>
      <c r="AG862" s="12">
        <f t="shared" si="232"/>
        <v>0</v>
      </c>
      <c r="AH862" s="24">
        <f t="shared" si="222"/>
        <v>0</v>
      </c>
      <c r="AI862" s="49" t="e">
        <f t="shared" si="228"/>
        <v>#VALUE!</v>
      </c>
      <c r="AK862" s="50" t="e">
        <f t="shared" si="233"/>
        <v>#VALUE!</v>
      </c>
    </row>
    <row r="863" spans="1:37" x14ac:dyDescent="0.4">
      <c r="A863" s="2">
        <v>2016</v>
      </c>
      <c r="B863" s="16"/>
      <c r="C863" s="22">
        <f t="shared" si="230"/>
        <v>0</v>
      </c>
      <c r="D863" s="23">
        <f t="shared" si="218"/>
        <v>0</v>
      </c>
      <c r="E863" s="14"/>
      <c r="F863" s="12">
        <f t="shared" si="231"/>
        <v>0</v>
      </c>
      <c r="G863" s="24">
        <f t="shared" si="219"/>
        <v>0</v>
      </c>
      <c r="H863" s="14"/>
      <c r="I863" s="14"/>
      <c r="J863" s="29"/>
      <c r="K863" s="30"/>
      <c r="M863" s="17"/>
      <c r="N863" s="7" t="str">
        <f t="shared" si="223"/>
        <v/>
      </c>
      <c r="O863" s="5"/>
      <c r="P863" s="3"/>
      <c r="Q863" s="5"/>
      <c r="R863" s="7" t="str">
        <f t="shared" si="224"/>
        <v/>
      </c>
      <c r="S863" s="5"/>
      <c r="U863" s="10"/>
      <c r="V863" s="11" t="str">
        <f t="shared" si="225"/>
        <v/>
      </c>
      <c r="W863" s="6"/>
      <c r="Y863" s="10"/>
      <c r="Z863" s="11" t="str">
        <f t="shared" si="226"/>
        <v/>
      </c>
      <c r="AA863" s="6"/>
      <c r="AB863" s="1">
        <v>1.2</v>
      </c>
      <c r="AC863" s="21" t="str">
        <f t="shared" si="220"/>
        <v/>
      </c>
      <c r="AD863" s="27" t="str">
        <f t="shared" si="229"/>
        <v/>
      </c>
      <c r="AE863" s="27" t="str">
        <f t="shared" si="227"/>
        <v/>
      </c>
      <c r="AF863" s="14">
        <f t="shared" si="221"/>
        <v>0</v>
      </c>
      <c r="AG863" s="12">
        <f t="shared" si="232"/>
        <v>0</v>
      </c>
      <c r="AH863" s="24">
        <f t="shared" si="222"/>
        <v>0</v>
      </c>
      <c r="AI863" s="49" t="e">
        <f t="shared" si="228"/>
        <v>#VALUE!</v>
      </c>
      <c r="AK863" s="50" t="e">
        <f t="shared" si="233"/>
        <v>#VALUE!</v>
      </c>
    </row>
    <row r="864" spans="1:37" x14ac:dyDescent="0.4">
      <c r="A864" s="2">
        <v>2017</v>
      </c>
      <c r="B864" s="16"/>
      <c r="C864" s="22">
        <f t="shared" si="230"/>
        <v>0</v>
      </c>
      <c r="D864" s="23">
        <f t="shared" si="218"/>
        <v>0</v>
      </c>
      <c r="E864" s="14"/>
      <c r="F864" s="12">
        <f t="shared" si="231"/>
        <v>0</v>
      </c>
      <c r="G864" s="24">
        <f t="shared" si="219"/>
        <v>0</v>
      </c>
      <c r="H864" s="14"/>
      <c r="I864" s="14"/>
      <c r="J864" s="29"/>
      <c r="K864" s="30"/>
      <c r="M864" s="17"/>
      <c r="N864" s="7" t="str">
        <f t="shared" si="223"/>
        <v/>
      </c>
      <c r="O864" s="5"/>
      <c r="P864" s="3"/>
      <c r="Q864" s="5"/>
      <c r="R864" s="7" t="str">
        <f t="shared" si="224"/>
        <v/>
      </c>
      <c r="S864" s="5"/>
      <c r="U864" s="10"/>
      <c r="V864" s="11" t="str">
        <f t="shared" si="225"/>
        <v/>
      </c>
      <c r="W864" s="6"/>
      <c r="Y864" s="10"/>
      <c r="Z864" s="11" t="str">
        <f t="shared" si="226"/>
        <v/>
      </c>
      <c r="AA864" s="6"/>
      <c r="AB864" s="1">
        <v>1.2</v>
      </c>
      <c r="AC864" s="21" t="str">
        <f t="shared" si="220"/>
        <v/>
      </c>
      <c r="AD864" s="27" t="str">
        <f t="shared" si="229"/>
        <v/>
      </c>
      <c r="AE864" s="27" t="str">
        <f t="shared" si="227"/>
        <v/>
      </c>
      <c r="AF864" s="14">
        <f t="shared" si="221"/>
        <v>0</v>
      </c>
      <c r="AG864" s="12">
        <f t="shared" si="232"/>
        <v>0</v>
      </c>
      <c r="AH864" s="24">
        <f t="shared" si="222"/>
        <v>0</v>
      </c>
      <c r="AI864" s="49" t="e">
        <f t="shared" si="228"/>
        <v>#VALUE!</v>
      </c>
      <c r="AK864" s="50" t="e">
        <f t="shared" si="233"/>
        <v>#VALUE!</v>
      </c>
    </row>
    <row r="865" spans="1:37" x14ac:dyDescent="0.4">
      <c r="A865" s="2">
        <v>2018</v>
      </c>
      <c r="B865" s="16"/>
      <c r="C865" s="22">
        <f t="shared" si="230"/>
        <v>0</v>
      </c>
      <c r="D865" s="23">
        <f t="shared" si="218"/>
        <v>0</v>
      </c>
      <c r="E865" s="14"/>
      <c r="F865" s="12">
        <f t="shared" si="231"/>
        <v>0</v>
      </c>
      <c r="G865" s="24">
        <f t="shared" si="219"/>
        <v>0</v>
      </c>
      <c r="H865" s="14"/>
      <c r="I865" s="14"/>
      <c r="J865" s="29"/>
      <c r="K865" s="30"/>
      <c r="M865" s="17"/>
      <c r="N865" s="7" t="str">
        <f t="shared" si="223"/>
        <v/>
      </c>
      <c r="O865" s="5"/>
      <c r="P865" s="3"/>
      <c r="Q865" s="5"/>
      <c r="R865" s="7" t="str">
        <f t="shared" si="224"/>
        <v/>
      </c>
      <c r="S865" s="5"/>
      <c r="U865" s="10"/>
      <c r="V865" s="11" t="str">
        <f t="shared" si="225"/>
        <v/>
      </c>
      <c r="W865" s="6"/>
      <c r="Y865" s="10"/>
      <c r="Z865" s="11" t="str">
        <f t="shared" si="226"/>
        <v/>
      </c>
      <c r="AA865" s="6"/>
      <c r="AB865" s="1">
        <v>1.2</v>
      </c>
      <c r="AC865" s="21" t="str">
        <f t="shared" si="220"/>
        <v/>
      </c>
      <c r="AD865" s="27" t="str">
        <f t="shared" si="229"/>
        <v/>
      </c>
      <c r="AE865" s="27" t="str">
        <f t="shared" si="227"/>
        <v/>
      </c>
      <c r="AF865" s="14">
        <f t="shared" si="221"/>
        <v>0</v>
      </c>
      <c r="AG865" s="12">
        <f t="shared" si="232"/>
        <v>0</v>
      </c>
      <c r="AH865" s="24">
        <f t="shared" si="222"/>
        <v>0</v>
      </c>
      <c r="AI865" s="49" t="e">
        <f t="shared" si="228"/>
        <v>#VALUE!</v>
      </c>
      <c r="AK865" s="50" t="e">
        <f t="shared" si="233"/>
        <v>#VALUE!</v>
      </c>
    </row>
    <row r="866" spans="1:37" x14ac:dyDescent="0.4">
      <c r="A866" s="2">
        <v>2019</v>
      </c>
      <c r="B866" s="16"/>
      <c r="C866" s="22">
        <f t="shared" si="230"/>
        <v>0</v>
      </c>
      <c r="D866" s="23">
        <f t="shared" si="218"/>
        <v>0</v>
      </c>
      <c r="E866" s="14"/>
      <c r="F866" s="12">
        <f t="shared" si="231"/>
        <v>0</v>
      </c>
      <c r="G866" s="24">
        <f t="shared" si="219"/>
        <v>0</v>
      </c>
      <c r="H866" s="14"/>
      <c r="I866" s="14"/>
      <c r="J866" s="29"/>
      <c r="K866" s="30"/>
      <c r="M866" s="17"/>
      <c r="N866" s="7" t="str">
        <f t="shared" si="223"/>
        <v/>
      </c>
      <c r="O866" s="5"/>
      <c r="P866" s="3"/>
      <c r="Q866" s="5"/>
      <c r="R866" s="7" t="str">
        <f t="shared" si="224"/>
        <v/>
      </c>
      <c r="S866" s="5"/>
      <c r="U866" s="10"/>
      <c r="V866" s="11" t="str">
        <f t="shared" si="225"/>
        <v/>
      </c>
      <c r="W866" s="6"/>
      <c r="Y866" s="10"/>
      <c r="Z866" s="11" t="str">
        <f t="shared" si="226"/>
        <v/>
      </c>
      <c r="AA866" s="6"/>
      <c r="AB866" s="1">
        <v>1.2</v>
      </c>
      <c r="AC866" s="21" t="str">
        <f t="shared" si="220"/>
        <v/>
      </c>
      <c r="AD866" s="27" t="str">
        <f t="shared" si="229"/>
        <v/>
      </c>
      <c r="AE866" s="27" t="str">
        <f t="shared" si="227"/>
        <v/>
      </c>
      <c r="AF866" s="14">
        <f t="shared" si="221"/>
        <v>0</v>
      </c>
      <c r="AG866" s="12">
        <f t="shared" si="232"/>
        <v>0</v>
      </c>
      <c r="AH866" s="24">
        <f t="shared" si="222"/>
        <v>0</v>
      </c>
      <c r="AI866" s="49" t="e">
        <f t="shared" si="228"/>
        <v>#VALUE!</v>
      </c>
      <c r="AK866" s="50" t="e">
        <f t="shared" si="233"/>
        <v>#VALUE!</v>
      </c>
    </row>
    <row r="867" spans="1:37" x14ac:dyDescent="0.4">
      <c r="A867" s="2">
        <v>2020</v>
      </c>
      <c r="B867" s="16"/>
      <c r="C867" s="22">
        <f t="shared" si="230"/>
        <v>0</v>
      </c>
      <c r="D867" s="23">
        <f t="shared" si="218"/>
        <v>0</v>
      </c>
      <c r="E867" s="14"/>
      <c r="F867" s="12">
        <f t="shared" si="231"/>
        <v>0</v>
      </c>
      <c r="G867" s="24">
        <f t="shared" si="219"/>
        <v>0</v>
      </c>
      <c r="H867" s="14"/>
      <c r="I867" s="14"/>
      <c r="J867" s="29"/>
      <c r="K867" s="30"/>
      <c r="M867" s="17"/>
      <c r="N867" s="7" t="str">
        <f t="shared" si="223"/>
        <v/>
      </c>
      <c r="O867" s="5"/>
      <c r="P867" s="3"/>
      <c r="Q867" s="5"/>
      <c r="R867" s="7" t="str">
        <f t="shared" si="224"/>
        <v/>
      </c>
      <c r="S867" s="5"/>
      <c r="U867" s="10"/>
      <c r="V867" s="11" t="str">
        <f t="shared" si="225"/>
        <v/>
      </c>
      <c r="W867" s="6"/>
      <c r="Y867" s="10"/>
      <c r="Z867" s="11" t="str">
        <f t="shared" si="226"/>
        <v/>
      </c>
      <c r="AA867" s="6"/>
      <c r="AB867" s="1">
        <v>1.2</v>
      </c>
      <c r="AC867" s="21" t="str">
        <f t="shared" si="220"/>
        <v/>
      </c>
      <c r="AD867" s="27" t="str">
        <f t="shared" si="229"/>
        <v/>
      </c>
      <c r="AE867" s="27" t="str">
        <f t="shared" si="227"/>
        <v/>
      </c>
      <c r="AF867" s="14">
        <f t="shared" si="221"/>
        <v>0</v>
      </c>
      <c r="AG867" s="12">
        <f t="shared" si="232"/>
        <v>0</v>
      </c>
      <c r="AH867" s="24">
        <f t="shared" si="222"/>
        <v>0</v>
      </c>
      <c r="AI867" s="49" t="e">
        <f t="shared" si="228"/>
        <v>#VALUE!</v>
      </c>
      <c r="AK867" s="50" t="e">
        <f t="shared" si="233"/>
        <v>#VALUE!</v>
      </c>
    </row>
    <row r="868" spans="1:37" x14ac:dyDescent="0.4">
      <c r="A868" s="2">
        <v>2021</v>
      </c>
      <c r="B868" s="16"/>
      <c r="C868" s="22">
        <f t="shared" si="230"/>
        <v>0</v>
      </c>
      <c r="D868" s="23">
        <f t="shared" si="218"/>
        <v>0</v>
      </c>
      <c r="E868" s="14"/>
      <c r="F868" s="12">
        <f t="shared" si="231"/>
        <v>0</v>
      </c>
      <c r="G868" s="24">
        <f t="shared" si="219"/>
        <v>0</v>
      </c>
      <c r="H868" s="14"/>
      <c r="I868" s="14"/>
      <c r="J868" s="29"/>
      <c r="K868" s="30"/>
      <c r="M868" s="17"/>
      <c r="N868" s="7" t="str">
        <f t="shared" si="223"/>
        <v/>
      </c>
      <c r="O868" s="5"/>
      <c r="P868" s="3"/>
      <c r="Q868" s="5"/>
      <c r="R868" s="7" t="str">
        <f t="shared" si="224"/>
        <v/>
      </c>
      <c r="S868" s="5"/>
      <c r="U868" s="10"/>
      <c r="V868" s="11" t="str">
        <f t="shared" si="225"/>
        <v/>
      </c>
      <c r="W868" s="6"/>
      <c r="Y868" s="10"/>
      <c r="Z868" s="11" t="str">
        <f t="shared" si="226"/>
        <v/>
      </c>
      <c r="AA868" s="6"/>
      <c r="AB868" s="1">
        <v>1.2</v>
      </c>
      <c r="AC868" s="21" t="str">
        <f t="shared" si="220"/>
        <v/>
      </c>
      <c r="AD868" s="27" t="str">
        <f t="shared" si="229"/>
        <v/>
      </c>
      <c r="AE868" s="27" t="str">
        <f t="shared" si="227"/>
        <v/>
      </c>
      <c r="AF868" s="14">
        <f t="shared" si="221"/>
        <v>0</v>
      </c>
      <c r="AG868" s="12">
        <f t="shared" si="232"/>
        <v>0</v>
      </c>
      <c r="AH868" s="24">
        <f t="shared" si="222"/>
        <v>0</v>
      </c>
      <c r="AI868" s="49" t="e">
        <f t="shared" si="228"/>
        <v>#VALUE!</v>
      </c>
      <c r="AK868" s="50" t="e">
        <f t="shared" si="233"/>
        <v>#VALUE!</v>
      </c>
    </row>
    <row r="869" spans="1:37" x14ac:dyDescent="0.4">
      <c r="A869" s="2">
        <v>2022</v>
      </c>
      <c r="B869" s="16"/>
      <c r="C869" s="22">
        <f t="shared" si="230"/>
        <v>0</v>
      </c>
      <c r="D869" s="23">
        <f t="shared" si="218"/>
        <v>0</v>
      </c>
      <c r="E869" s="14"/>
      <c r="F869" s="12">
        <f t="shared" si="231"/>
        <v>0</v>
      </c>
      <c r="G869" s="24">
        <f t="shared" si="219"/>
        <v>0</v>
      </c>
      <c r="H869" s="14"/>
      <c r="I869" s="14"/>
      <c r="J869" s="29"/>
      <c r="K869" s="30"/>
      <c r="M869" s="17"/>
      <c r="N869" s="7" t="str">
        <f t="shared" si="223"/>
        <v/>
      </c>
      <c r="O869" s="5"/>
      <c r="P869" s="3"/>
      <c r="Q869" s="5"/>
      <c r="R869" s="7" t="str">
        <f t="shared" si="224"/>
        <v/>
      </c>
      <c r="S869" s="5"/>
      <c r="U869" s="10"/>
      <c r="V869" s="11" t="str">
        <f t="shared" si="225"/>
        <v/>
      </c>
      <c r="W869" s="6"/>
      <c r="Y869" s="10"/>
      <c r="Z869" s="11" t="str">
        <f t="shared" si="226"/>
        <v/>
      </c>
      <c r="AA869" s="6"/>
      <c r="AB869" s="1">
        <v>1.2</v>
      </c>
      <c r="AC869" s="21" t="str">
        <f t="shared" si="220"/>
        <v/>
      </c>
      <c r="AD869" s="27" t="str">
        <f t="shared" si="229"/>
        <v/>
      </c>
      <c r="AE869" s="27" t="str">
        <f t="shared" si="227"/>
        <v/>
      </c>
      <c r="AF869" s="14">
        <f t="shared" si="221"/>
        <v>0</v>
      </c>
      <c r="AG869" s="12">
        <f t="shared" si="232"/>
        <v>0</v>
      </c>
      <c r="AH869" s="24">
        <f t="shared" si="222"/>
        <v>0</v>
      </c>
      <c r="AI869" s="49" t="e">
        <f t="shared" si="228"/>
        <v>#VALUE!</v>
      </c>
      <c r="AK869" s="50" t="e">
        <f t="shared" si="233"/>
        <v>#VALUE!</v>
      </c>
    </row>
    <row r="870" spans="1:37" x14ac:dyDescent="0.4">
      <c r="A870" s="2">
        <v>2023</v>
      </c>
      <c r="B870" s="16"/>
      <c r="C870" s="22">
        <f t="shared" si="230"/>
        <v>0</v>
      </c>
      <c r="D870" s="23">
        <f t="shared" si="218"/>
        <v>0</v>
      </c>
      <c r="E870" s="14"/>
      <c r="F870" s="12">
        <f t="shared" si="231"/>
        <v>0</v>
      </c>
      <c r="G870" s="24">
        <f t="shared" si="219"/>
        <v>0</v>
      </c>
      <c r="H870" s="14"/>
      <c r="I870" s="14"/>
      <c r="J870" s="29"/>
      <c r="K870" s="30"/>
      <c r="M870" s="17"/>
      <c r="N870" s="7" t="str">
        <f t="shared" si="223"/>
        <v/>
      </c>
      <c r="O870" s="5"/>
      <c r="P870" s="3"/>
      <c r="Q870" s="5"/>
      <c r="R870" s="7" t="str">
        <f t="shared" si="224"/>
        <v/>
      </c>
      <c r="S870" s="5"/>
      <c r="U870" s="10"/>
      <c r="V870" s="11" t="str">
        <f t="shared" si="225"/>
        <v/>
      </c>
      <c r="W870" s="6"/>
      <c r="Y870" s="10"/>
      <c r="Z870" s="11" t="str">
        <f t="shared" si="226"/>
        <v/>
      </c>
      <c r="AA870" s="6"/>
      <c r="AB870" s="1">
        <v>1.2</v>
      </c>
      <c r="AC870" s="21" t="str">
        <f t="shared" si="220"/>
        <v/>
      </c>
      <c r="AD870" s="27" t="str">
        <f t="shared" si="229"/>
        <v/>
      </c>
      <c r="AE870" s="27" t="str">
        <f t="shared" si="227"/>
        <v/>
      </c>
      <c r="AF870" s="14">
        <f t="shared" si="221"/>
        <v>0</v>
      </c>
      <c r="AG870" s="12">
        <f t="shared" si="232"/>
        <v>0</v>
      </c>
      <c r="AH870" s="24">
        <f t="shared" si="222"/>
        <v>0</v>
      </c>
      <c r="AI870" s="49" t="e">
        <f t="shared" si="228"/>
        <v>#VALUE!</v>
      </c>
      <c r="AK870" s="50" t="e">
        <f t="shared" si="233"/>
        <v>#VALUE!</v>
      </c>
    </row>
    <row r="871" spans="1:37" x14ac:dyDescent="0.4">
      <c r="A871" s="2">
        <v>2024</v>
      </c>
      <c r="B871" s="16"/>
      <c r="C871" s="22">
        <f t="shared" si="230"/>
        <v>0</v>
      </c>
      <c r="D871" s="23">
        <f t="shared" si="218"/>
        <v>0</v>
      </c>
      <c r="E871" s="14"/>
      <c r="F871" s="12">
        <f t="shared" si="231"/>
        <v>0</v>
      </c>
      <c r="G871" s="24">
        <f t="shared" si="219"/>
        <v>0</v>
      </c>
      <c r="H871" s="14"/>
      <c r="I871" s="14"/>
      <c r="J871" s="29"/>
      <c r="K871" s="30"/>
      <c r="M871" s="17"/>
      <c r="N871" s="7" t="str">
        <f t="shared" si="223"/>
        <v/>
      </c>
      <c r="O871" s="5"/>
      <c r="P871" s="3"/>
      <c r="Q871" s="5"/>
      <c r="R871" s="7" t="str">
        <f t="shared" si="224"/>
        <v/>
      </c>
      <c r="S871" s="5"/>
      <c r="U871" s="10"/>
      <c r="V871" s="11" t="str">
        <f t="shared" si="225"/>
        <v/>
      </c>
      <c r="W871" s="6"/>
      <c r="Y871" s="10"/>
      <c r="Z871" s="11" t="str">
        <f t="shared" si="226"/>
        <v/>
      </c>
      <c r="AA871" s="6"/>
      <c r="AB871" s="1">
        <v>1.2</v>
      </c>
      <c r="AC871" s="21" t="str">
        <f t="shared" si="220"/>
        <v/>
      </c>
      <c r="AD871" s="27" t="str">
        <f t="shared" si="229"/>
        <v/>
      </c>
      <c r="AE871" s="27" t="str">
        <f t="shared" si="227"/>
        <v/>
      </c>
      <c r="AF871" s="14">
        <f t="shared" si="221"/>
        <v>0</v>
      </c>
      <c r="AG871" s="12">
        <f t="shared" si="232"/>
        <v>0</v>
      </c>
      <c r="AH871" s="24">
        <f t="shared" si="222"/>
        <v>0</v>
      </c>
      <c r="AI871" s="49" t="e">
        <f t="shared" si="228"/>
        <v>#VALUE!</v>
      </c>
      <c r="AK871" s="50" t="e">
        <f t="shared" si="233"/>
        <v>#VALUE!</v>
      </c>
    </row>
    <row r="872" spans="1:37" x14ac:dyDescent="0.4">
      <c r="A872" s="2">
        <v>2025</v>
      </c>
      <c r="B872" s="16"/>
      <c r="C872" s="22">
        <f t="shared" si="230"/>
        <v>0</v>
      </c>
      <c r="D872" s="23">
        <f t="shared" ref="D872:D935" si="234">B872-INT(B872)</f>
        <v>0</v>
      </c>
      <c r="E872" s="14"/>
      <c r="F872" s="12">
        <f t="shared" si="231"/>
        <v>0</v>
      </c>
      <c r="G872" s="24">
        <f t="shared" ref="G872:G935" si="235">E872-INT(E872)</f>
        <v>0</v>
      </c>
      <c r="H872" s="14"/>
      <c r="I872" s="14"/>
      <c r="J872" s="29"/>
      <c r="K872" s="30"/>
      <c r="M872" s="17"/>
      <c r="N872" s="7" t="str">
        <f t="shared" si="223"/>
        <v/>
      </c>
      <c r="O872" s="5"/>
      <c r="P872" s="3"/>
      <c r="Q872" s="5"/>
      <c r="R872" s="7" t="str">
        <f t="shared" si="224"/>
        <v/>
      </c>
      <c r="S872" s="5"/>
      <c r="U872" s="10"/>
      <c r="V872" s="11" t="str">
        <f t="shared" si="225"/>
        <v/>
      </c>
      <c r="W872" s="6"/>
      <c r="Y872" s="10"/>
      <c r="Z872" s="11" t="str">
        <f t="shared" si="226"/>
        <v/>
      </c>
      <c r="AA872" s="6"/>
      <c r="AB872" s="1">
        <v>1.2</v>
      </c>
      <c r="AC872" s="21" t="str">
        <f t="shared" ref="AC872:AC935" si="236">IF(B872="","",TEXT(E872-B872,"[hh]:mm"))</f>
        <v/>
      </c>
      <c r="AD872" s="27" t="str">
        <f t="shared" si="229"/>
        <v/>
      </c>
      <c r="AE872" s="27" t="str">
        <f t="shared" si="227"/>
        <v/>
      </c>
      <c r="AF872" s="14">
        <f t="shared" ref="AF872:AF935" si="237">MAX(E872,H872,I872)</f>
        <v>0</v>
      </c>
      <c r="AG872" s="12">
        <f t="shared" si="232"/>
        <v>0</v>
      </c>
      <c r="AH872" s="24">
        <f t="shared" ref="AH872:AH935" si="238">AF872-INT(AF872)</f>
        <v>0</v>
      </c>
      <c r="AI872" s="49" t="e">
        <f t="shared" si="228"/>
        <v>#VALUE!</v>
      </c>
      <c r="AK872" s="50" t="e">
        <f t="shared" si="233"/>
        <v>#VALUE!</v>
      </c>
    </row>
    <row r="873" spans="1:37" x14ac:dyDescent="0.4">
      <c r="A873" s="2">
        <v>2026</v>
      </c>
      <c r="B873" s="16"/>
      <c r="C873" s="22">
        <f t="shared" si="230"/>
        <v>0</v>
      </c>
      <c r="D873" s="23">
        <f t="shared" si="234"/>
        <v>0</v>
      </c>
      <c r="E873" s="14"/>
      <c r="F873" s="12">
        <f t="shared" si="231"/>
        <v>0</v>
      </c>
      <c r="G873" s="24">
        <f t="shared" si="235"/>
        <v>0</v>
      </c>
      <c r="H873" s="14"/>
      <c r="I873" s="14"/>
      <c r="J873" s="29"/>
      <c r="K873" s="30"/>
      <c r="M873" s="17"/>
      <c r="N873" s="7" t="str">
        <f t="shared" si="223"/>
        <v/>
      </c>
      <c r="O873" s="5"/>
      <c r="P873" s="3"/>
      <c r="Q873" s="5"/>
      <c r="R873" s="7" t="str">
        <f t="shared" si="224"/>
        <v/>
      </c>
      <c r="S873" s="5"/>
      <c r="U873" s="10"/>
      <c r="V873" s="11" t="str">
        <f t="shared" si="225"/>
        <v/>
      </c>
      <c r="W873" s="6"/>
      <c r="Y873" s="10"/>
      <c r="Z873" s="11" t="str">
        <f t="shared" si="226"/>
        <v/>
      </c>
      <c r="AA873" s="6"/>
      <c r="AB873" s="1">
        <v>1.2</v>
      </c>
      <c r="AC873" s="21" t="str">
        <f t="shared" si="236"/>
        <v/>
      </c>
      <c r="AD873" s="27" t="str">
        <f t="shared" si="229"/>
        <v/>
      </c>
      <c r="AE873" s="27" t="str">
        <f t="shared" si="227"/>
        <v/>
      </c>
      <c r="AF873" s="14">
        <f t="shared" si="237"/>
        <v>0</v>
      </c>
      <c r="AG873" s="12">
        <f t="shared" si="232"/>
        <v>0</v>
      </c>
      <c r="AH873" s="24">
        <f t="shared" si="238"/>
        <v>0</v>
      </c>
      <c r="AI873" s="49" t="e">
        <f t="shared" si="228"/>
        <v>#VALUE!</v>
      </c>
      <c r="AK873" s="50" t="e">
        <f t="shared" si="233"/>
        <v>#VALUE!</v>
      </c>
    </row>
    <row r="874" spans="1:37" x14ac:dyDescent="0.4">
      <c r="A874" s="2">
        <v>2027</v>
      </c>
      <c r="B874" s="16"/>
      <c r="C874" s="22">
        <f t="shared" si="230"/>
        <v>0</v>
      </c>
      <c r="D874" s="23">
        <f t="shared" si="234"/>
        <v>0</v>
      </c>
      <c r="E874" s="14"/>
      <c r="F874" s="12">
        <f t="shared" si="231"/>
        <v>0</v>
      </c>
      <c r="G874" s="24">
        <f t="shared" si="235"/>
        <v>0</v>
      </c>
      <c r="H874" s="14"/>
      <c r="I874" s="14"/>
      <c r="J874" s="29"/>
      <c r="K874" s="30"/>
      <c r="M874" s="17"/>
      <c r="N874" s="7" t="str">
        <f t="shared" si="223"/>
        <v/>
      </c>
      <c r="O874" s="5"/>
      <c r="P874" s="3"/>
      <c r="Q874" s="5"/>
      <c r="R874" s="7" t="str">
        <f t="shared" si="224"/>
        <v/>
      </c>
      <c r="S874" s="5"/>
      <c r="U874" s="10"/>
      <c r="V874" s="11" t="str">
        <f t="shared" si="225"/>
        <v/>
      </c>
      <c r="W874" s="6"/>
      <c r="Y874" s="10"/>
      <c r="Z874" s="11" t="str">
        <f t="shared" si="226"/>
        <v/>
      </c>
      <c r="AA874" s="6"/>
      <c r="AB874" s="1">
        <v>1.2</v>
      </c>
      <c r="AC874" s="21" t="str">
        <f t="shared" si="236"/>
        <v/>
      </c>
      <c r="AD874" s="27" t="str">
        <f t="shared" si="229"/>
        <v/>
      </c>
      <c r="AE874" s="27" t="str">
        <f t="shared" si="227"/>
        <v/>
      </c>
      <c r="AF874" s="14">
        <f t="shared" si="237"/>
        <v>0</v>
      </c>
      <c r="AG874" s="12">
        <f t="shared" si="232"/>
        <v>0</v>
      </c>
      <c r="AH874" s="24">
        <f t="shared" si="238"/>
        <v>0</v>
      </c>
      <c r="AI874" s="49" t="e">
        <f t="shared" si="228"/>
        <v>#VALUE!</v>
      </c>
      <c r="AK874" s="50" t="e">
        <f t="shared" si="233"/>
        <v>#VALUE!</v>
      </c>
    </row>
    <row r="875" spans="1:37" x14ac:dyDescent="0.4">
      <c r="A875" s="2">
        <v>2028</v>
      </c>
      <c r="B875" s="16"/>
      <c r="C875" s="22">
        <f t="shared" si="230"/>
        <v>0</v>
      </c>
      <c r="D875" s="23">
        <f t="shared" si="234"/>
        <v>0</v>
      </c>
      <c r="E875" s="14"/>
      <c r="F875" s="12">
        <f t="shared" si="231"/>
        <v>0</v>
      </c>
      <c r="G875" s="24">
        <f t="shared" si="235"/>
        <v>0</v>
      </c>
      <c r="H875" s="14"/>
      <c r="I875" s="14"/>
      <c r="J875" s="29"/>
      <c r="K875" s="30"/>
      <c r="M875" s="17"/>
      <c r="N875" s="7"/>
      <c r="O875" s="5"/>
      <c r="P875" s="3"/>
      <c r="Q875" s="5"/>
      <c r="R875" s="7" t="str">
        <f t="shared" si="224"/>
        <v/>
      </c>
      <c r="S875" s="5"/>
      <c r="U875" s="10"/>
      <c r="V875" s="11" t="str">
        <f t="shared" si="225"/>
        <v/>
      </c>
      <c r="W875" s="6"/>
      <c r="Y875" s="10"/>
      <c r="Z875" s="11" t="str">
        <f t="shared" si="226"/>
        <v/>
      </c>
      <c r="AA875" s="6"/>
      <c r="AB875" s="1">
        <v>1.2</v>
      </c>
      <c r="AC875" s="21" t="str">
        <f t="shared" si="236"/>
        <v/>
      </c>
      <c r="AD875" s="27" t="str">
        <f t="shared" si="229"/>
        <v/>
      </c>
      <c r="AE875" s="27" t="str">
        <f t="shared" si="227"/>
        <v/>
      </c>
      <c r="AF875" s="14">
        <f t="shared" si="237"/>
        <v>0</v>
      </c>
      <c r="AG875" s="12">
        <f t="shared" si="232"/>
        <v>0</v>
      </c>
      <c r="AH875" s="24">
        <f t="shared" si="238"/>
        <v>0</v>
      </c>
      <c r="AI875" s="49" t="e">
        <f t="shared" si="228"/>
        <v>#VALUE!</v>
      </c>
      <c r="AK875" s="50" t="e">
        <f t="shared" si="233"/>
        <v>#VALUE!</v>
      </c>
    </row>
    <row r="876" spans="1:37" x14ac:dyDescent="0.4">
      <c r="A876" s="2">
        <v>2029</v>
      </c>
      <c r="B876" s="16"/>
      <c r="C876" s="22">
        <f t="shared" si="230"/>
        <v>0</v>
      </c>
      <c r="D876" s="23">
        <f t="shared" si="234"/>
        <v>0</v>
      </c>
      <c r="E876" s="14"/>
      <c r="F876" s="12">
        <f t="shared" si="231"/>
        <v>0</v>
      </c>
      <c r="G876" s="24">
        <f t="shared" si="235"/>
        <v>0</v>
      </c>
      <c r="H876" s="14"/>
      <c r="I876" s="14"/>
      <c r="J876" s="29"/>
      <c r="K876" s="30"/>
      <c r="M876" s="17"/>
      <c r="N876" s="7"/>
      <c r="O876" s="5"/>
      <c r="P876" s="3"/>
      <c r="Q876" s="5"/>
      <c r="R876" s="7" t="str">
        <f t="shared" si="224"/>
        <v/>
      </c>
      <c r="S876" s="5"/>
      <c r="U876" s="10"/>
      <c r="V876" s="11" t="str">
        <f t="shared" si="225"/>
        <v/>
      </c>
      <c r="W876" s="6"/>
      <c r="Y876" s="10"/>
      <c r="Z876" s="11" t="str">
        <f t="shared" si="226"/>
        <v/>
      </c>
      <c r="AA876" s="6"/>
      <c r="AB876" s="1">
        <v>1.2</v>
      </c>
      <c r="AC876" s="21" t="str">
        <f t="shared" si="236"/>
        <v/>
      </c>
      <c r="AD876" s="27" t="str">
        <f t="shared" si="229"/>
        <v/>
      </c>
      <c r="AE876" s="27" t="str">
        <f t="shared" si="227"/>
        <v/>
      </c>
      <c r="AF876" s="14">
        <f t="shared" si="237"/>
        <v>0</v>
      </c>
      <c r="AG876" s="12">
        <f t="shared" si="232"/>
        <v>0</v>
      </c>
      <c r="AH876" s="24">
        <f t="shared" si="238"/>
        <v>0</v>
      </c>
      <c r="AI876" s="49" t="e">
        <f t="shared" si="228"/>
        <v>#VALUE!</v>
      </c>
      <c r="AK876" s="50" t="e">
        <f t="shared" si="233"/>
        <v>#VALUE!</v>
      </c>
    </row>
    <row r="877" spans="1:37" x14ac:dyDescent="0.4">
      <c r="A877" s="2">
        <v>2030</v>
      </c>
      <c r="B877" s="16"/>
      <c r="C877" s="22">
        <f t="shared" si="230"/>
        <v>0</v>
      </c>
      <c r="D877" s="23">
        <f t="shared" si="234"/>
        <v>0</v>
      </c>
      <c r="E877" s="14"/>
      <c r="F877" s="12">
        <f t="shared" si="231"/>
        <v>0</v>
      </c>
      <c r="G877" s="24">
        <f t="shared" si="235"/>
        <v>0</v>
      </c>
      <c r="H877" s="14"/>
      <c r="I877" s="14"/>
      <c r="J877" s="29"/>
      <c r="K877" s="30"/>
      <c r="M877" s="17"/>
      <c r="N877" s="7"/>
      <c r="O877" s="5"/>
      <c r="P877" s="3"/>
      <c r="Q877" s="5"/>
      <c r="R877" s="7" t="str">
        <f t="shared" si="224"/>
        <v/>
      </c>
      <c r="S877" s="5"/>
      <c r="U877" s="10"/>
      <c r="V877" s="11" t="str">
        <f t="shared" si="225"/>
        <v/>
      </c>
      <c r="W877" s="6"/>
      <c r="Y877" s="10"/>
      <c r="Z877" s="11" t="str">
        <f t="shared" si="226"/>
        <v/>
      </c>
      <c r="AA877" s="6"/>
      <c r="AB877" s="1">
        <v>1.2</v>
      </c>
      <c r="AC877" s="21" t="str">
        <f t="shared" si="236"/>
        <v/>
      </c>
      <c r="AD877" s="27" t="str">
        <f t="shared" si="229"/>
        <v/>
      </c>
      <c r="AE877" s="27" t="str">
        <f t="shared" si="227"/>
        <v/>
      </c>
      <c r="AF877" s="14">
        <f t="shared" si="237"/>
        <v>0</v>
      </c>
      <c r="AG877" s="12">
        <f t="shared" si="232"/>
        <v>0</v>
      </c>
      <c r="AH877" s="24">
        <f t="shared" si="238"/>
        <v>0</v>
      </c>
      <c r="AI877" s="49" t="e">
        <f t="shared" si="228"/>
        <v>#VALUE!</v>
      </c>
      <c r="AK877" s="50" t="e">
        <f t="shared" si="233"/>
        <v>#VALUE!</v>
      </c>
    </row>
    <row r="878" spans="1:37" x14ac:dyDescent="0.4">
      <c r="A878" s="2">
        <v>2031</v>
      </c>
      <c r="B878" s="16"/>
      <c r="C878" s="22">
        <f t="shared" si="230"/>
        <v>0</v>
      </c>
      <c r="D878" s="23">
        <f t="shared" si="234"/>
        <v>0</v>
      </c>
      <c r="E878" s="14"/>
      <c r="F878" s="12">
        <f t="shared" si="231"/>
        <v>0</v>
      </c>
      <c r="G878" s="24">
        <f t="shared" si="235"/>
        <v>0</v>
      </c>
      <c r="H878" s="14"/>
      <c r="I878" s="14"/>
      <c r="J878" s="29"/>
      <c r="K878" s="30"/>
      <c r="M878" s="17"/>
      <c r="N878" s="7"/>
      <c r="O878" s="5"/>
      <c r="P878" s="3"/>
      <c r="Q878" s="5"/>
      <c r="R878" s="7" t="str">
        <f t="shared" si="224"/>
        <v/>
      </c>
      <c r="S878" s="5"/>
      <c r="U878" s="10"/>
      <c r="V878" s="11" t="str">
        <f t="shared" si="225"/>
        <v/>
      </c>
      <c r="W878" s="6"/>
      <c r="Y878" s="10"/>
      <c r="Z878" s="11" t="str">
        <f t="shared" si="226"/>
        <v/>
      </c>
      <c r="AA878" s="6"/>
      <c r="AB878" s="1">
        <v>1.2</v>
      </c>
      <c r="AC878" s="21" t="str">
        <f t="shared" si="236"/>
        <v/>
      </c>
      <c r="AD878" s="27" t="str">
        <f t="shared" si="229"/>
        <v/>
      </c>
      <c r="AE878" s="27" t="str">
        <f t="shared" si="227"/>
        <v/>
      </c>
      <c r="AF878" s="14">
        <f t="shared" si="237"/>
        <v>0</v>
      </c>
      <c r="AG878" s="12">
        <f t="shared" si="232"/>
        <v>0</v>
      </c>
      <c r="AH878" s="24">
        <f t="shared" si="238"/>
        <v>0</v>
      </c>
      <c r="AI878" s="49" t="e">
        <f t="shared" si="228"/>
        <v>#VALUE!</v>
      </c>
      <c r="AK878" s="50" t="e">
        <f t="shared" si="233"/>
        <v>#VALUE!</v>
      </c>
    </row>
    <row r="879" spans="1:37" x14ac:dyDescent="0.4">
      <c r="A879" s="2">
        <v>2032</v>
      </c>
      <c r="B879" s="16"/>
      <c r="C879" s="22">
        <f t="shared" si="230"/>
        <v>0</v>
      </c>
      <c r="D879" s="23">
        <f t="shared" si="234"/>
        <v>0</v>
      </c>
      <c r="E879" s="14"/>
      <c r="F879" s="12">
        <f t="shared" si="231"/>
        <v>0</v>
      </c>
      <c r="G879" s="24">
        <f t="shared" si="235"/>
        <v>0</v>
      </c>
      <c r="H879" s="14"/>
      <c r="I879" s="14"/>
      <c r="J879" s="29"/>
      <c r="K879" s="30"/>
      <c r="M879" s="17"/>
      <c r="N879" s="7"/>
      <c r="O879" s="5"/>
      <c r="P879" s="3"/>
      <c r="Q879" s="5"/>
      <c r="R879" s="7" t="str">
        <f t="shared" si="224"/>
        <v/>
      </c>
      <c r="S879" s="5"/>
      <c r="U879" s="10"/>
      <c r="V879" s="11"/>
      <c r="W879" s="6"/>
      <c r="Y879" s="10"/>
      <c r="Z879" s="11" t="str">
        <f t="shared" si="226"/>
        <v/>
      </c>
      <c r="AA879" s="6"/>
      <c r="AB879" s="1">
        <v>1.2</v>
      </c>
      <c r="AC879" s="21" t="str">
        <f t="shared" si="236"/>
        <v/>
      </c>
      <c r="AD879" s="27" t="str">
        <f t="shared" si="229"/>
        <v/>
      </c>
      <c r="AE879" s="27" t="str">
        <f t="shared" si="227"/>
        <v/>
      </c>
      <c r="AF879" s="14">
        <f t="shared" si="237"/>
        <v>0</v>
      </c>
      <c r="AG879" s="12">
        <f t="shared" si="232"/>
        <v>0</v>
      </c>
      <c r="AH879" s="24">
        <f t="shared" si="238"/>
        <v>0</v>
      </c>
      <c r="AI879" s="49" t="e">
        <f t="shared" si="228"/>
        <v>#VALUE!</v>
      </c>
      <c r="AK879" s="50" t="e">
        <f t="shared" si="233"/>
        <v>#VALUE!</v>
      </c>
    </row>
    <row r="880" spans="1:37" x14ac:dyDescent="0.4">
      <c r="A880" s="2">
        <v>2033</v>
      </c>
      <c r="B880" s="16"/>
      <c r="C880" s="22">
        <f t="shared" si="230"/>
        <v>0</v>
      </c>
      <c r="D880" s="23">
        <f t="shared" si="234"/>
        <v>0</v>
      </c>
      <c r="E880" s="14"/>
      <c r="F880" s="12">
        <f t="shared" si="231"/>
        <v>0</v>
      </c>
      <c r="G880" s="24">
        <f t="shared" si="235"/>
        <v>0</v>
      </c>
      <c r="H880" s="14"/>
      <c r="I880" s="14"/>
      <c r="J880" s="29"/>
      <c r="K880" s="30"/>
      <c r="M880" s="17"/>
      <c r="N880" s="7"/>
      <c r="O880" s="5"/>
      <c r="P880" s="3"/>
      <c r="Q880" s="5"/>
      <c r="R880" s="7" t="str">
        <f t="shared" si="224"/>
        <v/>
      </c>
      <c r="S880" s="5"/>
      <c r="U880" s="10"/>
      <c r="V880" s="11"/>
      <c r="W880" s="6"/>
      <c r="Y880" s="10"/>
      <c r="Z880" s="11" t="str">
        <f t="shared" si="226"/>
        <v/>
      </c>
      <c r="AA880" s="6"/>
      <c r="AB880" s="1">
        <v>1.2</v>
      </c>
      <c r="AC880" s="21" t="str">
        <f t="shared" si="236"/>
        <v/>
      </c>
      <c r="AD880" s="27" t="str">
        <f t="shared" si="229"/>
        <v/>
      </c>
      <c r="AE880" s="27" t="str">
        <f t="shared" si="227"/>
        <v/>
      </c>
      <c r="AF880" s="14">
        <f t="shared" si="237"/>
        <v>0</v>
      </c>
      <c r="AG880" s="12">
        <f t="shared" si="232"/>
        <v>0</v>
      </c>
      <c r="AH880" s="24">
        <f t="shared" si="238"/>
        <v>0</v>
      </c>
      <c r="AI880" s="49" t="e">
        <f t="shared" si="228"/>
        <v>#VALUE!</v>
      </c>
      <c r="AK880" s="50" t="e">
        <f t="shared" si="233"/>
        <v>#VALUE!</v>
      </c>
    </row>
    <row r="881" spans="1:37" x14ac:dyDescent="0.4">
      <c r="A881" s="2">
        <v>2034</v>
      </c>
      <c r="B881" s="16"/>
      <c r="C881" s="22">
        <f t="shared" si="230"/>
        <v>0</v>
      </c>
      <c r="D881" s="23">
        <f t="shared" si="234"/>
        <v>0</v>
      </c>
      <c r="E881" s="14"/>
      <c r="F881" s="12">
        <f t="shared" si="231"/>
        <v>0</v>
      </c>
      <c r="G881" s="24">
        <f t="shared" si="235"/>
        <v>0</v>
      </c>
      <c r="H881" s="14"/>
      <c r="I881" s="14"/>
      <c r="J881" s="29"/>
      <c r="K881" s="30"/>
      <c r="M881" s="17"/>
      <c r="N881" s="7"/>
      <c r="O881" s="5"/>
      <c r="P881" s="3"/>
      <c r="Q881" s="5"/>
      <c r="R881" s="7" t="str">
        <f t="shared" si="224"/>
        <v/>
      </c>
      <c r="S881" s="5"/>
      <c r="U881" s="10"/>
      <c r="V881" s="11"/>
      <c r="W881" s="6"/>
      <c r="Y881" s="10"/>
      <c r="Z881" s="11" t="str">
        <f t="shared" si="226"/>
        <v/>
      </c>
      <c r="AA881" s="6"/>
      <c r="AB881" s="1">
        <v>1.2</v>
      </c>
      <c r="AC881" s="21" t="str">
        <f t="shared" si="236"/>
        <v/>
      </c>
      <c r="AD881" s="27" t="str">
        <f t="shared" si="229"/>
        <v/>
      </c>
      <c r="AE881" s="27" t="str">
        <f t="shared" si="227"/>
        <v/>
      </c>
      <c r="AF881" s="14">
        <f t="shared" si="237"/>
        <v>0</v>
      </c>
      <c r="AG881" s="12">
        <f t="shared" si="232"/>
        <v>0</v>
      </c>
      <c r="AH881" s="24">
        <f t="shared" si="238"/>
        <v>0</v>
      </c>
      <c r="AI881" s="49" t="e">
        <f t="shared" si="228"/>
        <v>#VALUE!</v>
      </c>
      <c r="AK881" s="50" t="e">
        <f t="shared" si="233"/>
        <v>#VALUE!</v>
      </c>
    </row>
    <row r="882" spans="1:37" x14ac:dyDescent="0.4">
      <c r="A882" s="2">
        <v>2035</v>
      </c>
      <c r="B882" s="16"/>
      <c r="C882" s="22">
        <f t="shared" si="230"/>
        <v>0</v>
      </c>
      <c r="D882" s="23">
        <f t="shared" si="234"/>
        <v>0</v>
      </c>
      <c r="E882" s="14"/>
      <c r="F882" s="12">
        <f t="shared" si="231"/>
        <v>0</v>
      </c>
      <c r="G882" s="24">
        <f t="shared" si="235"/>
        <v>0</v>
      </c>
      <c r="H882" s="14"/>
      <c r="I882" s="14"/>
      <c r="J882" s="29"/>
      <c r="K882" s="30"/>
      <c r="M882" s="17"/>
      <c r="N882" s="7"/>
      <c r="O882" s="5"/>
      <c r="P882" s="3"/>
      <c r="Q882" s="5"/>
      <c r="R882" s="7" t="str">
        <f t="shared" si="224"/>
        <v/>
      </c>
      <c r="S882" s="5"/>
      <c r="U882" s="10"/>
      <c r="V882" s="11"/>
      <c r="W882" s="6"/>
      <c r="Y882" s="10"/>
      <c r="Z882" s="11" t="str">
        <f t="shared" si="226"/>
        <v/>
      </c>
      <c r="AA882" s="6"/>
      <c r="AB882" s="1">
        <v>1.2</v>
      </c>
      <c r="AC882" s="21" t="str">
        <f t="shared" si="236"/>
        <v/>
      </c>
      <c r="AD882" s="27" t="str">
        <f t="shared" si="229"/>
        <v/>
      </c>
      <c r="AE882" s="27" t="str">
        <f t="shared" si="227"/>
        <v/>
      </c>
      <c r="AF882" s="14">
        <f t="shared" si="237"/>
        <v>0</v>
      </c>
      <c r="AG882" s="12">
        <f t="shared" si="232"/>
        <v>0</v>
      </c>
      <c r="AH882" s="24">
        <f t="shared" si="238"/>
        <v>0</v>
      </c>
      <c r="AI882" s="49" t="e">
        <f t="shared" si="228"/>
        <v>#VALUE!</v>
      </c>
      <c r="AK882" s="50" t="e">
        <f t="shared" si="233"/>
        <v>#VALUE!</v>
      </c>
    </row>
    <row r="883" spans="1:37" x14ac:dyDescent="0.4">
      <c r="A883" s="2">
        <v>2036</v>
      </c>
      <c r="B883" s="16"/>
      <c r="C883" s="22">
        <f t="shared" si="230"/>
        <v>0</v>
      </c>
      <c r="D883" s="23">
        <f t="shared" si="234"/>
        <v>0</v>
      </c>
      <c r="E883" s="14"/>
      <c r="F883" s="12">
        <f t="shared" si="231"/>
        <v>0</v>
      </c>
      <c r="G883" s="24">
        <f t="shared" si="235"/>
        <v>0</v>
      </c>
      <c r="H883" s="14"/>
      <c r="I883" s="14"/>
      <c r="J883" s="29"/>
      <c r="K883" s="30"/>
      <c r="M883" s="17"/>
      <c r="N883" s="7"/>
      <c r="O883" s="5"/>
      <c r="P883" s="3"/>
      <c r="Q883" s="5"/>
      <c r="R883" s="7" t="str">
        <f t="shared" si="224"/>
        <v/>
      </c>
      <c r="S883" s="5"/>
      <c r="U883" s="10"/>
      <c r="V883" s="11"/>
      <c r="W883" s="6"/>
      <c r="Y883" s="10"/>
      <c r="Z883" s="11" t="str">
        <f t="shared" si="226"/>
        <v/>
      </c>
      <c r="AA883" s="6"/>
      <c r="AB883" s="1">
        <v>1.2</v>
      </c>
      <c r="AC883" s="21" t="str">
        <f t="shared" si="236"/>
        <v/>
      </c>
      <c r="AD883" s="27" t="str">
        <f t="shared" si="229"/>
        <v/>
      </c>
      <c r="AE883" s="27" t="str">
        <f t="shared" si="227"/>
        <v/>
      </c>
      <c r="AF883" s="14">
        <f t="shared" si="237"/>
        <v>0</v>
      </c>
      <c r="AG883" s="12">
        <f t="shared" si="232"/>
        <v>0</v>
      </c>
      <c r="AH883" s="24">
        <f t="shared" si="238"/>
        <v>0</v>
      </c>
      <c r="AI883" s="49" t="e">
        <f t="shared" si="228"/>
        <v>#VALUE!</v>
      </c>
      <c r="AK883" s="50" t="e">
        <f t="shared" si="233"/>
        <v>#VALUE!</v>
      </c>
    </row>
    <row r="884" spans="1:37" x14ac:dyDescent="0.4">
      <c r="A884" s="2">
        <v>2037</v>
      </c>
      <c r="B884" s="16"/>
      <c r="C884" s="22">
        <f t="shared" si="230"/>
        <v>0</v>
      </c>
      <c r="D884" s="23">
        <f t="shared" si="234"/>
        <v>0</v>
      </c>
      <c r="E884" s="14"/>
      <c r="F884" s="12">
        <f t="shared" si="231"/>
        <v>0</v>
      </c>
      <c r="G884" s="24">
        <f t="shared" si="235"/>
        <v>0</v>
      </c>
      <c r="H884" s="14"/>
      <c r="I884" s="14"/>
      <c r="J884" s="29"/>
      <c r="K884" s="30"/>
      <c r="M884" s="17"/>
      <c r="N884" s="7"/>
      <c r="O884" s="5"/>
      <c r="P884" s="3"/>
      <c r="Q884" s="5"/>
      <c r="R884" s="7" t="str">
        <f t="shared" si="224"/>
        <v/>
      </c>
      <c r="S884" s="5"/>
      <c r="U884" s="10"/>
      <c r="V884" s="11"/>
      <c r="W884" s="6"/>
      <c r="Y884" s="10"/>
      <c r="Z884" s="11" t="str">
        <f t="shared" si="226"/>
        <v/>
      </c>
      <c r="AA884" s="6"/>
      <c r="AB884" s="1">
        <v>1.2</v>
      </c>
      <c r="AC884" s="21" t="str">
        <f t="shared" si="236"/>
        <v/>
      </c>
      <c r="AD884" s="27" t="str">
        <f t="shared" si="229"/>
        <v/>
      </c>
      <c r="AE884" s="27" t="str">
        <f t="shared" si="227"/>
        <v/>
      </c>
      <c r="AF884" s="14">
        <f t="shared" si="237"/>
        <v>0</v>
      </c>
      <c r="AG884" s="12">
        <f t="shared" si="232"/>
        <v>0</v>
      </c>
      <c r="AH884" s="24">
        <f t="shared" si="238"/>
        <v>0</v>
      </c>
      <c r="AI884" s="49" t="e">
        <f t="shared" si="228"/>
        <v>#VALUE!</v>
      </c>
      <c r="AK884" s="50" t="e">
        <f t="shared" si="233"/>
        <v>#VALUE!</v>
      </c>
    </row>
    <row r="885" spans="1:37" x14ac:dyDescent="0.4">
      <c r="A885" s="2">
        <v>2038</v>
      </c>
      <c r="B885" s="16"/>
      <c r="C885" s="22">
        <f t="shared" si="230"/>
        <v>0</v>
      </c>
      <c r="D885" s="23">
        <f t="shared" si="234"/>
        <v>0</v>
      </c>
      <c r="E885" s="14"/>
      <c r="F885" s="12">
        <f t="shared" si="231"/>
        <v>0</v>
      </c>
      <c r="G885" s="24">
        <f t="shared" si="235"/>
        <v>0</v>
      </c>
      <c r="H885" s="14"/>
      <c r="I885" s="14"/>
      <c r="J885" s="29"/>
      <c r="K885" s="30"/>
      <c r="M885" s="17"/>
      <c r="N885" s="7"/>
      <c r="O885" s="5"/>
      <c r="P885" s="3"/>
      <c r="Q885" s="5"/>
      <c r="R885" s="7" t="str">
        <f t="shared" si="224"/>
        <v/>
      </c>
      <c r="S885" s="5"/>
      <c r="U885" s="10"/>
      <c r="V885" s="11"/>
      <c r="W885" s="6"/>
      <c r="Y885" s="10"/>
      <c r="Z885" s="11" t="str">
        <f t="shared" si="226"/>
        <v/>
      </c>
      <c r="AA885" s="6"/>
      <c r="AB885" s="1">
        <v>1.2</v>
      </c>
      <c r="AC885" s="21" t="str">
        <f t="shared" si="236"/>
        <v/>
      </c>
      <c r="AD885" s="27" t="str">
        <f t="shared" si="229"/>
        <v/>
      </c>
      <c r="AE885" s="27" t="str">
        <f t="shared" si="227"/>
        <v/>
      </c>
      <c r="AF885" s="14">
        <f t="shared" si="237"/>
        <v>0</v>
      </c>
      <c r="AG885" s="12">
        <f t="shared" si="232"/>
        <v>0</v>
      </c>
      <c r="AH885" s="24">
        <f t="shared" si="238"/>
        <v>0</v>
      </c>
      <c r="AI885" s="49" t="e">
        <f t="shared" si="228"/>
        <v>#VALUE!</v>
      </c>
      <c r="AK885" s="50" t="e">
        <f t="shared" si="233"/>
        <v>#VALUE!</v>
      </c>
    </row>
    <row r="886" spans="1:37" x14ac:dyDescent="0.4">
      <c r="A886" s="2">
        <v>2039</v>
      </c>
      <c r="B886" s="16"/>
      <c r="C886" s="22">
        <f t="shared" si="230"/>
        <v>0</v>
      </c>
      <c r="D886" s="23">
        <f t="shared" si="234"/>
        <v>0</v>
      </c>
      <c r="E886" s="14"/>
      <c r="F886" s="12">
        <f t="shared" si="231"/>
        <v>0</v>
      </c>
      <c r="G886" s="24">
        <f t="shared" si="235"/>
        <v>0</v>
      </c>
      <c r="H886" s="14"/>
      <c r="I886" s="14"/>
      <c r="J886" s="29"/>
      <c r="K886" s="30"/>
      <c r="M886" s="17"/>
      <c r="N886" s="7"/>
      <c r="O886" s="5"/>
      <c r="P886" s="3"/>
      <c r="Q886" s="5"/>
      <c r="R886" s="7" t="str">
        <f t="shared" si="224"/>
        <v/>
      </c>
      <c r="S886" s="5"/>
      <c r="U886" s="10"/>
      <c r="V886" s="11"/>
      <c r="W886" s="6"/>
      <c r="Y886" s="10"/>
      <c r="Z886" s="11" t="str">
        <f t="shared" si="226"/>
        <v/>
      </c>
      <c r="AA886" s="6"/>
      <c r="AB886" s="1">
        <v>1.2</v>
      </c>
      <c r="AC886" s="21" t="str">
        <f t="shared" si="236"/>
        <v/>
      </c>
      <c r="AD886" s="27" t="str">
        <f t="shared" si="229"/>
        <v/>
      </c>
      <c r="AE886" s="27" t="str">
        <f t="shared" si="227"/>
        <v/>
      </c>
      <c r="AF886" s="14">
        <f t="shared" si="237"/>
        <v>0</v>
      </c>
      <c r="AG886" s="12">
        <f t="shared" si="232"/>
        <v>0</v>
      </c>
      <c r="AH886" s="24">
        <f t="shared" si="238"/>
        <v>0</v>
      </c>
      <c r="AI886" s="49" t="e">
        <f t="shared" si="228"/>
        <v>#VALUE!</v>
      </c>
      <c r="AK886" s="50" t="e">
        <f t="shared" si="233"/>
        <v>#VALUE!</v>
      </c>
    </row>
    <row r="887" spans="1:37" x14ac:dyDescent="0.4">
      <c r="A887" s="2">
        <v>2040</v>
      </c>
      <c r="B887" s="16"/>
      <c r="C887" s="22">
        <f t="shared" si="230"/>
        <v>0</v>
      </c>
      <c r="D887" s="23">
        <f t="shared" si="234"/>
        <v>0</v>
      </c>
      <c r="E887" s="14"/>
      <c r="F887" s="12">
        <f t="shared" si="231"/>
        <v>0</v>
      </c>
      <c r="G887" s="24">
        <f t="shared" si="235"/>
        <v>0</v>
      </c>
      <c r="H887" s="14"/>
      <c r="I887" s="14"/>
      <c r="J887" s="29"/>
      <c r="K887" s="30"/>
      <c r="M887" s="17"/>
      <c r="N887" s="7"/>
      <c r="O887" s="5"/>
      <c r="P887" s="3"/>
      <c r="Q887" s="5"/>
      <c r="R887" s="7" t="str">
        <f t="shared" si="224"/>
        <v/>
      </c>
      <c r="S887" s="5"/>
      <c r="U887" s="10"/>
      <c r="V887" s="11"/>
      <c r="W887" s="6"/>
      <c r="Y887" s="10"/>
      <c r="Z887" s="11" t="str">
        <f t="shared" si="226"/>
        <v/>
      </c>
      <c r="AA887" s="6"/>
      <c r="AB887" s="1">
        <v>1.2</v>
      </c>
      <c r="AC887" s="21" t="str">
        <f t="shared" si="236"/>
        <v/>
      </c>
      <c r="AD887" s="27" t="str">
        <f t="shared" si="229"/>
        <v/>
      </c>
      <c r="AE887" s="27" t="str">
        <f t="shared" si="227"/>
        <v/>
      </c>
      <c r="AF887" s="14">
        <f t="shared" si="237"/>
        <v>0</v>
      </c>
      <c r="AG887" s="12">
        <f t="shared" si="232"/>
        <v>0</v>
      </c>
      <c r="AH887" s="24">
        <f t="shared" si="238"/>
        <v>0</v>
      </c>
      <c r="AI887" s="49" t="e">
        <f t="shared" si="228"/>
        <v>#VALUE!</v>
      </c>
      <c r="AK887" s="50" t="e">
        <f t="shared" si="233"/>
        <v>#VALUE!</v>
      </c>
    </row>
    <row r="888" spans="1:37" x14ac:dyDescent="0.4">
      <c r="A888" s="2">
        <v>2041</v>
      </c>
      <c r="B888" s="16"/>
      <c r="C888" s="22">
        <f t="shared" si="230"/>
        <v>0</v>
      </c>
      <c r="D888" s="23">
        <f t="shared" si="234"/>
        <v>0</v>
      </c>
      <c r="E888" s="14"/>
      <c r="F888" s="12">
        <f t="shared" si="231"/>
        <v>0</v>
      </c>
      <c r="G888" s="24">
        <f t="shared" si="235"/>
        <v>0</v>
      </c>
      <c r="H888" s="14"/>
      <c r="I888" s="14"/>
      <c r="J888" s="29"/>
      <c r="K888" s="30"/>
      <c r="M888" s="17"/>
      <c r="N888" s="7"/>
      <c r="O888" s="5"/>
      <c r="P888" s="3"/>
      <c r="Q888" s="5"/>
      <c r="R888" s="7" t="str">
        <f t="shared" si="224"/>
        <v/>
      </c>
      <c r="S888" s="5"/>
      <c r="U888" s="10"/>
      <c r="V888" s="11"/>
      <c r="W888" s="6"/>
      <c r="Y888" s="10"/>
      <c r="Z888" s="11" t="str">
        <f t="shared" si="226"/>
        <v/>
      </c>
      <c r="AA888" s="6"/>
      <c r="AB888" s="1">
        <v>1.2</v>
      </c>
      <c r="AC888" s="21" t="str">
        <f t="shared" si="236"/>
        <v/>
      </c>
      <c r="AD888" s="27" t="str">
        <f t="shared" si="229"/>
        <v/>
      </c>
      <c r="AE888" s="27" t="str">
        <f t="shared" si="227"/>
        <v/>
      </c>
      <c r="AF888" s="14">
        <f t="shared" si="237"/>
        <v>0</v>
      </c>
      <c r="AG888" s="12">
        <f t="shared" si="232"/>
        <v>0</v>
      </c>
      <c r="AH888" s="24">
        <f t="shared" si="238"/>
        <v>0</v>
      </c>
      <c r="AI888" s="49" t="e">
        <f t="shared" si="228"/>
        <v>#VALUE!</v>
      </c>
      <c r="AK888" s="50" t="e">
        <f t="shared" si="233"/>
        <v>#VALUE!</v>
      </c>
    </row>
    <row r="889" spans="1:37" x14ac:dyDescent="0.4">
      <c r="A889" s="2">
        <v>2042</v>
      </c>
      <c r="B889" s="16"/>
      <c r="C889" s="22">
        <f t="shared" si="230"/>
        <v>0</v>
      </c>
      <c r="D889" s="23">
        <f t="shared" si="234"/>
        <v>0</v>
      </c>
      <c r="E889" s="14"/>
      <c r="F889" s="12">
        <f t="shared" si="231"/>
        <v>0</v>
      </c>
      <c r="G889" s="24">
        <f t="shared" si="235"/>
        <v>0</v>
      </c>
      <c r="H889" s="14"/>
      <c r="I889" s="14"/>
      <c r="J889" s="29"/>
      <c r="K889" s="30"/>
      <c r="M889" s="17"/>
      <c r="N889" s="7"/>
      <c r="O889" s="5"/>
      <c r="P889" s="3"/>
      <c r="Q889" s="5"/>
      <c r="R889" s="7" t="str">
        <f t="shared" si="224"/>
        <v/>
      </c>
      <c r="S889" s="5"/>
      <c r="U889" s="10"/>
      <c r="V889" s="11"/>
      <c r="W889" s="6"/>
      <c r="Y889" s="10"/>
      <c r="Z889" s="11" t="str">
        <f t="shared" si="226"/>
        <v/>
      </c>
      <c r="AA889" s="6"/>
      <c r="AB889" s="1">
        <v>1.2</v>
      </c>
      <c r="AC889" s="21" t="str">
        <f t="shared" si="236"/>
        <v/>
      </c>
      <c r="AD889" s="27" t="str">
        <f t="shared" si="229"/>
        <v/>
      </c>
      <c r="AE889" s="27" t="str">
        <f t="shared" si="227"/>
        <v/>
      </c>
      <c r="AF889" s="14">
        <f t="shared" si="237"/>
        <v>0</v>
      </c>
      <c r="AG889" s="12">
        <f t="shared" si="232"/>
        <v>0</v>
      </c>
      <c r="AH889" s="24">
        <f t="shared" si="238"/>
        <v>0</v>
      </c>
      <c r="AI889" s="49" t="e">
        <f t="shared" si="228"/>
        <v>#VALUE!</v>
      </c>
      <c r="AK889" s="50" t="e">
        <f t="shared" si="233"/>
        <v>#VALUE!</v>
      </c>
    </row>
    <row r="890" spans="1:37" x14ac:dyDescent="0.4">
      <c r="A890" s="2">
        <v>2043</v>
      </c>
      <c r="B890" s="16"/>
      <c r="C890" s="22">
        <f t="shared" si="230"/>
        <v>0</v>
      </c>
      <c r="D890" s="23">
        <f t="shared" si="234"/>
        <v>0</v>
      </c>
      <c r="E890" s="14"/>
      <c r="F890" s="12">
        <f t="shared" si="231"/>
        <v>0</v>
      </c>
      <c r="G890" s="24">
        <f t="shared" si="235"/>
        <v>0</v>
      </c>
      <c r="H890" s="14"/>
      <c r="I890" s="14"/>
      <c r="J890" s="29"/>
      <c r="K890" s="30"/>
      <c r="M890" s="17"/>
      <c r="N890" s="7"/>
      <c r="O890" s="5"/>
      <c r="P890" s="3"/>
      <c r="Q890" s="5"/>
      <c r="R890" s="7" t="str">
        <f t="shared" si="224"/>
        <v/>
      </c>
      <c r="S890" s="5"/>
      <c r="U890" s="10"/>
      <c r="V890" s="11"/>
      <c r="W890" s="6"/>
      <c r="Y890" s="10"/>
      <c r="Z890" s="11" t="str">
        <f t="shared" si="226"/>
        <v/>
      </c>
      <c r="AA890" s="6"/>
      <c r="AB890" s="1">
        <v>1.2</v>
      </c>
      <c r="AC890" s="21" t="str">
        <f t="shared" si="236"/>
        <v/>
      </c>
      <c r="AD890" s="27" t="str">
        <f t="shared" si="229"/>
        <v/>
      </c>
      <c r="AE890" s="27" t="str">
        <f t="shared" si="227"/>
        <v/>
      </c>
      <c r="AF890" s="14">
        <f t="shared" si="237"/>
        <v>0</v>
      </c>
      <c r="AG890" s="12">
        <f t="shared" si="232"/>
        <v>0</v>
      </c>
      <c r="AH890" s="24">
        <f t="shared" si="238"/>
        <v>0</v>
      </c>
      <c r="AI890" s="49" t="e">
        <f t="shared" si="228"/>
        <v>#VALUE!</v>
      </c>
      <c r="AK890" s="50" t="e">
        <f t="shared" si="233"/>
        <v>#VALUE!</v>
      </c>
    </row>
    <row r="891" spans="1:37" x14ac:dyDescent="0.4">
      <c r="A891" s="2">
        <v>2044</v>
      </c>
      <c r="B891" s="16"/>
      <c r="C891" s="22">
        <f t="shared" si="230"/>
        <v>0</v>
      </c>
      <c r="D891" s="23">
        <f t="shared" si="234"/>
        <v>0</v>
      </c>
      <c r="E891" s="14"/>
      <c r="F891" s="12">
        <f t="shared" si="231"/>
        <v>0</v>
      </c>
      <c r="G891" s="24">
        <f t="shared" si="235"/>
        <v>0</v>
      </c>
      <c r="H891" s="14"/>
      <c r="I891" s="14"/>
      <c r="J891" s="29"/>
      <c r="K891" s="30"/>
      <c r="M891" s="17"/>
      <c r="N891" s="7"/>
      <c r="O891" s="5"/>
      <c r="P891" s="3"/>
      <c r="Q891" s="5"/>
      <c r="R891" s="7" t="str">
        <f t="shared" si="224"/>
        <v/>
      </c>
      <c r="S891" s="5"/>
      <c r="U891" s="10"/>
      <c r="V891" s="11"/>
      <c r="W891" s="6"/>
      <c r="Y891" s="10"/>
      <c r="Z891" s="11" t="str">
        <f t="shared" si="226"/>
        <v/>
      </c>
      <c r="AA891" s="6"/>
      <c r="AB891" s="1">
        <v>1.2</v>
      </c>
      <c r="AC891" s="21" t="str">
        <f t="shared" si="236"/>
        <v/>
      </c>
      <c r="AD891" s="27" t="str">
        <f t="shared" si="229"/>
        <v/>
      </c>
      <c r="AE891" s="27" t="str">
        <f t="shared" si="227"/>
        <v/>
      </c>
      <c r="AF891" s="14">
        <f t="shared" si="237"/>
        <v>0</v>
      </c>
      <c r="AG891" s="12">
        <f t="shared" si="232"/>
        <v>0</v>
      </c>
      <c r="AH891" s="24">
        <f t="shared" si="238"/>
        <v>0</v>
      </c>
      <c r="AI891" s="49" t="e">
        <f t="shared" si="228"/>
        <v>#VALUE!</v>
      </c>
      <c r="AK891" s="50" t="e">
        <f t="shared" si="233"/>
        <v>#VALUE!</v>
      </c>
    </row>
    <row r="892" spans="1:37" x14ac:dyDescent="0.4">
      <c r="A892" s="2">
        <v>2045</v>
      </c>
      <c r="B892" s="16"/>
      <c r="C892" s="22">
        <f t="shared" si="230"/>
        <v>0</v>
      </c>
      <c r="D892" s="23">
        <f t="shared" si="234"/>
        <v>0</v>
      </c>
      <c r="E892" s="14"/>
      <c r="F892" s="12">
        <f t="shared" si="231"/>
        <v>0</v>
      </c>
      <c r="G892" s="24">
        <f t="shared" si="235"/>
        <v>0</v>
      </c>
      <c r="H892" s="14"/>
      <c r="I892" s="14"/>
      <c r="J892" s="29"/>
      <c r="K892" s="30"/>
      <c r="M892" s="17"/>
      <c r="N892" s="7"/>
      <c r="O892" s="5"/>
      <c r="P892" s="3"/>
      <c r="Q892" s="5"/>
      <c r="R892" s="7" t="str">
        <f t="shared" si="224"/>
        <v/>
      </c>
      <c r="S892" s="5"/>
      <c r="U892" s="10"/>
      <c r="V892" s="11"/>
      <c r="W892" s="6"/>
      <c r="Y892" s="10"/>
      <c r="Z892" s="11" t="str">
        <f t="shared" si="226"/>
        <v/>
      </c>
      <c r="AA892" s="6"/>
      <c r="AB892" s="1">
        <v>1.2</v>
      </c>
      <c r="AC892" s="21" t="str">
        <f t="shared" si="236"/>
        <v/>
      </c>
      <c r="AD892" s="27" t="str">
        <f t="shared" si="229"/>
        <v/>
      </c>
      <c r="AE892" s="27" t="str">
        <f t="shared" si="227"/>
        <v/>
      </c>
      <c r="AF892" s="14">
        <f t="shared" si="237"/>
        <v>0</v>
      </c>
      <c r="AG892" s="12">
        <f t="shared" si="232"/>
        <v>0</v>
      </c>
      <c r="AH892" s="24">
        <f t="shared" si="238"/>
        <v>0</v>
      </c>
      <c r="AI892" s="49" t="e">
        <f t="shared" si="228"/>
        <v>#VALUE!</v>
      </c>
      <c r="AK892" s="50" t="e">
        <f t="shared" si="233"/>
        <v>#VALUE!</v>
      </c>
    </row>
    <row r="893" spans="1:37" x14ac:dyDescent="0.4">
      <c r="A893" s="2">
        <v>2046</v>
      </c>
      <c r="B893" s="16"/>
      <c r="C893" s="22">
        <f t="shared" si="230"/>
        <v>0</v>
      </c>
      <c r="D893" s="23">
        <f t="shared" si="234"/>
        <v>0</v>
      </c>
      <c r="E893" s="14"/>
      <c r="F893" s="12">
        <f t="shared" si="231"/>
        <v>0</v>
      </c>
      <c r="G893" s="24">
        <f t="shared" si="235"/>
        <v>0</v>
      </c>
      <c r="H893" s="14"/>
      <c r="I893" s="14"/>
      <c r="J893" s="29"/>
      <c r="K893" s="30"/>
      <c r="M893" s="17"/>
      <c r="N893" s="7"/>
      <c r="O893" s="5"/>
      <c r="P893" s="3"/>
      <c r="Q893" s="5"/>
      <c r="R893" s="7" t="str">
        <f t="shared" si="224"/>
        <v/>
      </c>
      <c r="S893" s="5"/>
      <c r="U893" s="10"/>
      <c r="V893" s="11"/>
      <c r="W893" s="6"/>
      <c r="Y893" s="10"/>
      <c r="Z893" s="11" t="str">
        <f t="shared" si="226"/>
        <v/>
      </c>
      <c r="AA893" s="6"/>
      <c r="AB893" s="1">
        <v>1.2</v>
      </c>
      <c r="AC893" s="21" t="str">
        <f t="shared" si="236"/>
        <v/>
      </c>
      <c r="AD893" s="27" t="str">
        <f t="shared" si="229"/>
        <v/>
      </c>
      <c r="AE893" s="27" t="str">
        <f t="shared" si="227"/>
        <v/>
      </c>
      <c r="AF893" s="14">
        <f t="shared" si="237"/>
        <v>0</v>
      </c>
      <c r="AG893" s="12">
        <f t="shared" si="232"/>
        <v>0</v>
      </c>
      <c r="AH893" s="24">
        <f t="shared" si="238"/>
        <v>0</v>
      </c>
      <c r="AI893" s="49" t="e">
        <f t="shared" si="228"/>
        <v>#VALUE!</v>
      </c>
      <c r="AK893" s="50" t="e">
        <f t="shared" si="233"/>
        <v>#VALUE!</v>
      </c>
    </row>
    <row r="894" spans="1:37" x14ac:dyDescent="0.4">
      <c r="A894" s="2">
        <v>2047</v>
      </c>
      <c r="B894" s="16"/>
      <c r="C894" s="22">
        <f t="shared" si="230"/>
        <v>0</v>
      </c>
      <c r="D894" s="23">
        <f t="shared" si="234"/>
        <v>0</v>
      </c>
      <c r="E894" s="14"/>
      <c r="F894" s="12">
        <f t="shared" si="231"/>
        <v>0</v>
      </c>
      <c r="G894" s="24">
        <f t="shared" si="235"/>
        <v>0</v>
      </c>
      <c r="H894" s="14"/>
      <c r="I894" s="14"/>
      <c r="J894" s="29"/>
      <c r="K894" s="30"/>
      <c r="M894" s="17"/>
      <c r="N894" s="7"/>
      <c r="O894" s="5"/>
      <c r="P894" s="3"/>
      <c r="Q894" s="5"/>
      <c r="R894" s="7" t="str">
        <f t="shared" si="224"/>
        <v/>
      </c>
      <c r="S894" s="5"/>
      <c r="U894" s="10"/>
      <c r="V894" s="11"/>
      <c r="W894" s="6"/>
      <c r="Y894" s="10"/>
      <c r="Z894" s="11" t="str">
        <f t="shared" si="226"/>
        <v/>
      </c>
      <c r="AA894" s="6"/>
      <c r="AB894" s="1">
        <v>1.2</v>
      </c>
      <c r="AC894" s="21" t="str">
        <f t="shared" si="236"/>
        <v/>
      </c>
      <c r="AD894" s="27" t="str">
        <f t="shared" si="229"/>
        <v/>
      </c>
      <c r="AE894" s="27" t="str">
        <f t="shared" si="227"/>
        <v/>
      </c>
      <c r="AF894" s="14">
        <f t="shared" si="237"/>
        <v>0</v>
      </c>
      <c r="AG894" s="12">
        <f t="shared" si="232"/>
        <v>0</v>
      </c>
      <c r="AH894" s="24">
        <f t="shared" si="238"/>
        <v>0</v>
      </c>
      <c r="AI894" s="49" t="e">
        <f t="shared" si="228"/>
        <v>#VALUE!</v>
      </c>
      <c r="AK894" s="50" t="e">
        <f t="shared" si="233"/>
        <v>#VALUE!</v>
      </c>
    </row>
    <row r="895" spans="1:37" x14ac:dyDescent="0.4">
      <c r="A895" s="2">
        <v>2048</v>
      </c>
      <c r="B895" s="16"/>
      <c r="C895" s="22">
        <f t="shared" si="230"/>
        <v>0</v>
      </c>
      <c r="D895" s="23">
        <f t="shared" si="234"/>
        <v>0</v>
      </c>
      <c r="E895" s="14"/>
      <c r="F895" s="12">
        <f t="shared" si="231"/>
        <v>0</v>
      </c>
      <c r="G895" s="24">
        <f t="shared" si="235"/>
        <v>0</v>
      </c>
      <c r="H895" s="14"/>
      <c r="I895" s="14"/>
      <c r="J895" s="29"/>
      <c r="K895" s="30"/>
      <c r="M895" s="17"/>
      <c r="N895" s="7"/>
      <c r="O895" s="5"/>
      <c r="P895" s="3"/>
      <c r="Q895" s="5"/>
      <c r="R895" s="7" t="str">
        <f t="shared" si="224"/>
        <v/>
      </c>
      <c r="S895" s="5"/>
      <c r="U895" s="10"/>
      <c r="V895" s="11"/>
      <c r="W895" s="6"/>
      <c r="Y895" s="10"/>
      <c r="Z895" s="11" t="str">
        <f t="shared" si="226"/>
        <v/>
      </c>
      <c r="AA895" s="6"/>
      <c r="AB895" s="1">
        <v>1.2</v>
      </c>
      <c r="AC895" s="21" t="str">
        <f t="shared" si="236"/>
        <v/>
      </c>
      <c r="AD895" s="27" t="str">
        <f t="shared" si="229"/>
        <v/>
      </c>
      <c r="AE895" s="27" t="str">
        <f t="shared" si="227"/>
        <v/>
      </c>
      <c r="AF895" s="14">
        <f t="shared" si="237"/>
        <v>0</v>
      </c>
      <c r="AG895" s="12">
        <f t="shared" si="232"/>
        <v>0</v>
      </c>
      <c r="AH895" s="24">
        <f t="shared" si="238"/>
        <v>0</v>
      </c>
      <c r="AI895" s="49" t="e">
        <f t="shared" si="228"/>
        <v>#VALUE!</v>
      </c>
      <c r="AK895" s="50" t="e">
        <f t="shared" si="233"/>
        <v>#VALUE!</v>
      </c>
    </row>
    <row r="896" spans="1:37" x14ac:dyDescent="0.4">
      <c r="A896" s="2">
        <v>2049</v>
      </c>
      <c r="B896" s="16"/>
      <c r="C896" s="22">
        <f t="shared" si="230"/>
        <v>0</v>
      </c>
      <c r="D896" s="23">
        <f t="shared" si="234"/>
        <v>0</v>
      </c>
      <c r="E896" s="14"/>
      <c r="F896" s="12">
        <f t="shared" si="231"/>
        <v>0</v>
      </c>
      <c r="G896" s="24">
        <f t="shared" si="235"/>
        <v>0</v>
      </c>
      <c r="H896" s="14"/>
      <c r="I896" s="14"/>
      <c r="J896" s="29"/>
      <c r="K896" s="30"/>
      <c r="M896" s="17"/>
      <c r="N896" s="7"/>
      <c r="O896" s="5"/>
      <c r="P896" s="3"/>
      <c r="Q896" s="5"/>
      <c r="R896" s="7" t="str">
        <f t="shared" si="224"/>
        <v/>
      </c>
      <c r="S896" s="5"/>
      <c r="U896" s="10"/>
      <c r="V896" s="11"/>
      <c r="W896" s="6"/>
      <c r="Y896" s="10"/>
      <c r="Z896" s="11" t="str">
        <f t="shared" si="226"/>
        <v/>
      </c>
      <c r="AA896" s="6"/>
      <c r="AB896" s="1">
        <v>1.2</v>
      </c>
      <c r="AC896" s="21" t="str">
        <f t="shared" si="236"/>
        <v/>
      </c>
      <c r="AD896" s="27" t="str">
        <f t="shared" si="229"/>
        <v/>
      </c>
      <c r="AE896" s="27" t="str">
        <f t="shared" si="227"/>
        <v/>
      </c>
      <c r="AF896" s="14">
        <f t="shared" si="237"/>
        <v>0</v>
      </c>
      <c r="AG896" s="12">
        <f t="shared" si="232"/>
        <v>0</v>
      </c>
      <c r="AH896" s="24">
        <f t="shared" si="238"/>
        <v>0</v>
      </c>
      <c r="AI896" s="49" t="e">
        <f t="shared" si="228"/>
        <v>#VALUE!</v>
      </c>
      <c r="AK896" s="50" t="e">
        <f t="shared" si="233"/>
        <v>#VALUE!</v>
      </c>
    </row>
    <row r="897" spans="1:37" x14ac:dyDescent="0.4">
      <c r="A897" s="2">
        <v>2050</v>
      </c>
      <c r="B897" s="16"/>
      <c r="C897" s="22">
        <f t="shared" si="230"/>
        <v>0</v>
      </c>
      <c r="D897" s="23">
        <f t="shared" si="234"/>
        <v>0</v>
      </c>
      <c r="E897" s="14"/>
      <c r="F897" s="12">
        <f t="shared" si="231"/>
        <v>0</v>
      </c>
      <c r="G897" s="24">
        <f t="shared" si="235"/>
        <v>0</v>
      </c>
      <c r="H897" s="14"/>
      <c r="I897" s="14"/>
      <c r="J897" s="29"/>
      <c r="K897" s="30"/>
      <c r="M897" s="17"/>
      <c r="N897" s="7"/>
      <c r="O897" s="5"/>
      <c r="P897" s="3"/>
      <c r="Q897" s="5"/>
      <c r="R897" s="7" t="str">
        <f t="shared" si="224"/>
        <v/>
      </c>
      <c r="S897" s="5"/>
      <c r="U897" s="10"/>
      <c r="V897" s="11"/>
      <c r="W897" s="6"/>
      <c r="Y897" s="10"/>
      <c r="Z897" s="11" t="str">
        <f t="shared" si="226"/>
        <v/>
      </c>
      <c r="AA897" s="6"/>
      <c r="AB897" s="1">
        <v>1.2</v>
      </c>
      <c r="AC897" s="21" t="str">
        <f t="shared" si="236"/>
        <v/>
      </c>
      <c r="AD897" s="27" t="str">
        <f t="shared" si="229"/>
        <v/>
      </c>
      <c r="AE897" s="27" t="str">
        <f t="shared" si="227"/>
        <v/>
      </c>
      <c r="AF897" s="14">
        <f t="shared" si="237"/>
        <v>0</v>
      </c>
      <c r="AG897" s="12">
        <f t="shared" si="232"/>
        <v>0</v>
      </c>
      <c r="AH897" s="24">
        <f t="shared" si="238"/>
        <v>0</v>
      </c>
      <c r="AI897" s="49" t="e">
        <f t="shared" si="228"/>
        <v>#VALUE!</v>
      </c>
      <c r="AK897" s="50" t="e">
        <f t="shared" si="233"/>
        <v>#VALUE!</v>
      </c>
    </row>
    <row r="898" spans="1:37" x14ac:dyDescent="0.4">
      <c r="A898" s="2">
        <v>2051</v>
      </c>
      <c r="B898" s="16"/>
      <c r="C898" s="22">
        <f t="shared" si="230"/>
        <v>0</v>
      </c>
      <c r="D898" s="23">
        <f t="shared" si="234"/>
        <v>0</v>
      </c>
      <c r="E898" s="14"/>
      <c r="F898" s="12">
        <f t="shared" si="231"/>
        <v>0</v>
      </c>
      <c r="G898" s="24">
        <f t="shared" si="235"/>
        <v>0</v>
      </c>
      <c r="H898" s="14"/>
      <c r="I898" s="14"/>
      <c r="J898" s="29"/>
      <c r="K898" s="30"/>
      <c r="M898" s="17"/>
      <c r="N898" s="7"/>
      <c r="O898" s="5"/>
      <c r="P898" s="3"/>
      <c r="Q898" s="5"/>
      <c r="R898" s="7" t="str">
        <f t="shared" si="224"/>
        <v/>
      </c>
      <c r="S898" s="5"/>
      <c r="U898" s="10"/>
      <c r="V898" s="11"/>
      <c r="W898" s="6"/>
      <c r="Y898" s="10"/>
      <c r="Z898" s="11" t="str">
        <f t="shared" si="226"/>
        <v/>
      </c>
      <c r="AA898" s="6"/>
      <c r="AB898" s="1">
        <v>1.2</v>
      </c>
      <c r="AC898" s="21" t="str">
        <f t="shared" si="236"/>
        <v/>
      </c>
      <c r="AD898" s="27" t="str">
        <f t="shared" si="229"/>
        <v/>
      </c>
      <c r="AE898" s="27" t="str">
        <f t="shared" si="227"/>
        <v/>
      </c>
      <c r="AF898" s="14">
        <f t="shared" si="237"/>
        <v>0</v>
      </c>
      <c r="AG898" s="12">
        <f t="shared" si="232"/>
        <v>0</v>
      </c>
      <c r="AH898" s="24">
        <f t="shared" si="238"/>
        <v>0</v>
      </c>
      <c r="AI898" s="49" t="e">
        <f t="shared" si="228"/>
        <v>#VALUE!</v>
      </c>
      <c r="AK898" s="50" t="e">
        <f t="shared" si="233"/>
        <v>#VALUE!</v>
      </c>
    </row>
    <row r="899" spans="1:37" x14ac:dyDescent="0.4">
      <c r="A899" s="2">
        <v>2052</v>
      </c>
      <c r="B899" s="16"/>
      <c r="C899" s="22">
        <f t="shared" si="230"/>
        <v>0</v>
      </c>
      <c r="D899" s="23">
        <f t="shared" si="234"/>
        <v>0</v>
      </c>
      <c r="E899" s="14"/>
      <c r="F899" s="12">
        <f t="shared" si="231"/>
        <v>0</v>
      </c>
      <c r="G899" s="24">
        <f t="shared" si="235"/>
        <v>0</v>
      </c>
      <c r="H899" s="14"/>
      <c r="I899" s="14"/>
      <c r="J899" s="29"/>
      <c r="K899" s="30"/>
      <c r="M899" s="17"/>
      <c r="N899" s="7"/>
      <c r="O899" s="5"/>
      <c r="P899" s="3"/>
      <c r="Q899" s="5"/>
      <c r="R899" s="7" t="str">
        <f t="shared" si="224"/>
        <v/>
      </c>
      <c r="S899" s="5"/>
      <c r="U899" s="10"/>
      <c r="V899" s="11"/>
      <c r="W899" s="6"/>
      <c r="Y899" s="10"/>
      <c r="Z899" s="11" t="str">
        <f t="shared" si="226"/>
        <v/>
      </c>
      <c r="AA899" s="6"/>
      <c r="AB899" s="1">
        <v>1.2</v>
      </c>
      <c r="AC899" s="21" t="str">
        <f t="shared" si="236"/>
        <v/>
      </c>
      <c r="AD899" s="27" t="str">
        <f t="shared" si="229"/>
        <v/>
      </c>
      <c r="AE899" s="27" t="str">
        <f t="shared" si="227"/>
        <v/>
      </c>
      <c r="AF899" s="14">
        <f t="shared" si="237"/>
        <v>0</v>
      </c>
      <c r="AG899" s="12">
        <f t="shared" si="232"/>
        <v>0</v>
      </c>
      <c r="AH899" s="24">
        <f t="shared" si="238"/>
        <v>0</v>
      </c>
      <c r="AI899" s="49" t="e">
        <f t="shared" si="228"/>
        <v>#VALUE!</v>
      </c>
      <c r="AK899" s="50" t="e">
        <f t="shared" si="233"/>
        <v>#VALUE!</v>
      </c>
    </row>
    <row r="900" spans="1:37" x14ac:dyDescent="0.4">
      <c r="A900" s="2">
        <v>2053</v>
      </c>
      <c r="B900" s="16"/>
      <c r="C900" s="22">
        <f t="shared" si="230"/>
        <v>0</v>
      </c>
      <c r="D900" s="23">
        <f t="shared" si="234"/>
        <v>0</v>
      </c>
      <c r="E900" s="14"/>
      <c r="F900" s="12">
        <f t="shared" si="231"/>
        <v>0</v>
      </c>
      <c r="G900" s="24">
        <f t="shared" si="235"/>
        <v>0</v>
      </c>
      <c r="H900" s="14"/>
      <c r="I900" s="14"/>
      <c r="J900" s="29"/>
      <c r="K900" s="30"/>
      <c r="M900" s="17"/>
      <c r="N900" s="7"/>
      <c r="O900" s="5"/>
      <c r="P900" s="3"/>
      <c r="Q900" s="5"/>
      <c r="R900" s="7" t="str">
        <f t="shared" si="224"/>
        <v/>
      </c>
      <c r="S900" s="5"/>
      <c r="U900" s="10"/>
      <c r="V900" s="11"/>
      <c r="W900" s="6"/>
      <c r="Y900" s="10"/>
      <c r="Z900" s="11" t="str">
        <f t="shared" si="226"/>
        <v/>
      </c>
      <c r="AA900" s="6"/>
      <c r="AB900" s="1">
        <v>1.2</v>
      </c>
      <c r="AC900" s="21" t="str">
        <f t="shared" si="236"/>
        <v/>
      </c>
      <c r="AD900" s="27" t="str">
        <f t="shared" si="229"/>
        <v/>
      </c>
      <c r="AE900" s="27" t="str">
        <f t="shared" si="227"/>
        <v/>
      </c>
      <c r="AF900" s="14">
        <f t="shared" si="237"/>
        <v>0</v>
      </c>
      <c r="AG900" s="12">
        <f t="shared" si="232"/>
        <v>0</v>
      </c>
      <c r="AH900" s="24">
        <f t="shared" si="238"/>
        <v>0</v>
      </c>
      <c r="AI900" s="49" t="e">
        <f t="shared" si="228"/>
        <v>#VALUE!</v>
      </c>
      <c r="AK900" s="50" t="e">
        <f t="shared" si="233"/>
        <v>#VALUE!</v>
      </c>
    </row>
    <row r="901" spans="1:37" x14ac:dyDescent="0.4">
      <c r="A901" s="2">
        <v>2054</v>
      </c>
      <c r="B901" s="16"/>
      <c r="C901" s="22">
        <f t="shared" si="230"/>
        <v>0</v>
      </c>
      <c r="D901" s="23">
        <f t="shared" si="234"/>
        <v>0</v>
      </c>
      <c r="E901" s="14"/>
      <c r="F901" s="12">
        <f t="shared" si="231"/>
        <v>0</v>
      </c>
      <c r="G901" s="24">
        <f t="shared" si="235"/>
        <v>0</v>
      </c>
      <c r="H901" s="14"/>
      <c r="I901" s="14"/>
      <c r="J901" s="29"/>
      <c r="K901" s="30"/>
      <c r="M901" s="17"/>
      <c r="N901" s="7"/>
      <c r="O901" s="5"/>
      <c r="P901" s="3"/>
      <c r="Q901" s="5"/>
      <c r="R901" s="7" t="str">
        <f t="shared" si="224"/>
        <v/>
      </c>
      <c r="S901" s="5"/>
      <c r="U901" s="10"/>
      <c r="V901" s="11"/>
      <c r="W901" s="6"/>
      <c r="Y901" s="10"/>
      <c r="Z901" s="11" t="str">
        <f t="shared" si="226"/>
        <v/>
      </c>
      <c r="AA901" s="6"/>
      <c r="AB901" s="1">
        <v>1.2</v>
      </c>
      <c r="AC901" s="21" t="str">
        <f t="shared" si="236"/>
        <v/>
      </c>
      <c r="AD901" s="27" t="str">
        <f t="shared" si="229"/>
        <v/>
      </c>
      <c r="AE901" s="27" t="str">
        <f t="shared" si="227"/>
        <v/>
      </c>
      <c r="AF901" s="14">
        <f t="shared" si="237"/>
        <v>0</v>
      </c>
      <c r="AG901" s="12">
        <f t="shared" si="232"/>
        <v>0</v>
      </c>
      <c r="AH901" s="24">
        <f t="shared" si="238"/>
        <v>0</v>
      </c>
      <c r="AI901" s="49" t="e">
        <f t="shared" si="228"/>
        <v>#VALUE!</v>
      </c>
      <c r="AK901" s="50" t="e">
        <f t="shared" si="233"/>
        <v>#VALUE!</v>
      </c>
    </row>
    <row r="902" spans="1:37" x14ac:dyDescent="0.4">
      <c r="A902" s="2">
        <v>2055</v>
      </c>
      <c r="B902" s="16"/>
      <c r="C902" s="22">
        <f t="shared" si="230"/>
        <v>0</v>
      </c>
      <c r="D902" s="23">
        <f t="shared" si="234"/>
        <v>0</v>
      </c>
      <c r="E902" s="14"/>
      <c r="F902" s="12">
        <f t="shared" si="231"/>
        <v>0</v>
      </c>
      <c r="G902" s="24">
        <f t="shared" si="235"/>
        <v>0</v>
      </c>
      <c r="H902" s="14"/>
      <c r="I902" s="14"/>
      <c r="J902" s="29"/>
      <c r="K902" s="30"/>
      <c r="M902" s="17"/>
      <c r="N902" s="7"/>
      <c r="O902" s="5"/>
      <c r="P902" s="3"/>
      <c r="Q902" s="5"/>
      <c r="R902" s="7" t="str">
        <f t="shared" si="224"/>
        <v/>
      </c>
      <c r="S902" s="5"/>
      <c r="U902" s="10"/>
      <c r="V902" s="11"/>
      <c r="W902" s="6"/>
      <c r="Y902" s="10"/>
      <c r="Z902" s="11" t="str">
        <f t="shared" si="226"/>
        <v/>
      </c>
      <c r="AA902" s="6"/>
      <c r="AB902" s="1">
        <v>1.2</v>
      </c>
      <c r="AC902" s="21" t="str">
        <f t="shared" si="236"/>
        <v/>
      </c>
      <c r="AD902" s="27" t="str">
        <f t="shared" si="229"/>
        <v/>
      </c>
      <c r="AE902" s="27" t="str">
        <f t="shared" si="227"/>
        <v/>
      </c>
      <c r="AF902" s="14">
        <f t="shared" si="237"/>
        <v>0</v>
      </c>
      <c r="AG902" s="12">
        <f t="shared" si="232"/>
        <v>0</v>
      </c>
      <c r="AH902" s="24">
        <f t="shared" si="238"/>
        <v>0</v>
      </c>
      <c r="AI902" s="49" t="e">
        <f t="shared" si="228"/>
        <v>#VALUE!</v>
      </c>
      <c r="AK902" s="50" t="e">
        <f t="shared" si="233"/>
        <v>#VALUE!</v>
      </c>
    </row>
    <row r="903" spans="1:37" x14ac:dyDescent="0.4">
      <c r="A903" s="2">
        <v>2056</v>
      </c>
      <c r="B903" s="16"/>
      <c r="C903" s="22">
        <f t="shared" si="230"/>
        <v>0</v>
      </c>
      <c r="D903" s="23">
        <f t="shared" si="234"/>
        <v>0</v>
      </c>
      <c r="E903" s="14"/>
      <c r="F903" s="12">
        <f t="shared" si="231"/>
        <v>0</v>
      </c>
      <c r="G903" s="24">
        <f t="shared" si="235"/>
        <v>0</v>
      </c>
      <c r="H903" s="14"/>
      <c r="I903" s="14"/>
      <c r="J903" s="29"/>
      <c r="K903" s="30"/>
      <c r="M903" s="17"/>
      <c r="N903" s="7"/>
      <c r="O903" s="5"/>
      <c r="P903" s="3"/>
      <c r="Q903" s="5"/>
      <c r="R903" s="7" t="str">
        <f t="shared" si="224"/>
        <v/>
      </c>
      <c r="S903" s="5"/>
      <c r="U903" s="10"/>
      <c r="V903" s="11"/>
      <c r="W903" s="6"/>
      <c r="Y903" s="10"/>
      <c r="Z903" s="11" t="str">
        <f t="shared" si="226"/>
        <v/>
      </c>
      <c r="AA903" s="6"/>
      <c r="AB903" s="1">
        <v>1.2</v>
      </c>
      <c r="AC903" s="21" t="str">
        <f t="shared" si="236"/>
        <v/>
      </c>
      <c r="AD903" s="27" t="str">
        <f t="shared" si="229"/>
        <v/>
      </c>
      <c r="AE903" s="27" t="str">
        <f t="shared" si="227"/>
        <v/>
      </c>
      <c r="AF903" s="14">
        <f t="shared" si="237"/>
        <v>0</v>
      </c>
      <c r="AG903" s="12">
        <f t="shared" si="232"/>
        <v>0</v>
      </c>
      <c r="AH903" s="24">
        <f t="shared" si="238"/>
        <v>0</v>
      </c>
      <c r="AI903" s="49" t="e">
        <f t="shared" si="228"/>
        <v>#VALUE!</v>
      </c>
      <c r="AK903" s="50" t="e">
        <f t="shared" si="233"/>
        <v>#VALUE!</v>
      </c>
    </row>
    <row r="904" spans="1:37" x14ac:dyDescent="0.4">
      <c r="A904" s="2">
        <v>2057</v>
      </c>
      <c r="B904" s="16"/>
      <c r="C904" s="22">
        <f t="shared" si="230"/>
        <v>0</v>
      </c>
      <c r="D904" s="23">
        <f t="shared" si="234"/>
        <v>0</v>
      </c>
      <c r="E904" s="14"/>
      <c r="F904" s="12">
        <f t="shared" si="231"/>
        <v>0</v>
      </c>
      <c r="G904" s="24">
        <f t="shared" si="235"/>
        <v>0</v>
      </c>
      <c r="H904" s="14"/>
      <c r="I904" s="14"/>
      <c r="J904" s="29"/>
      <c r="K904" s="30"/>
      <c r="M904" s="17"/>
      <c r="N904" s="7"/>
      <c r="O904" s="5"/>
      <c r="P904" s="3"/>
      <c r="Q904" s="5"/>
      <c r="R904" s="7" t="str">
        <f t="shared" ref="R904:R954" si="239">IF(Q904="","",Q904*AB904)</f>
        <v/>
      </c>
      <c r="S904" s="5"/>
      <c r="U904" s="10"/>
      <c r="V904" s="11"/>
      <c r="W904" s="6"/>
      <c r="Y904" s="10"/>
      <c r="Z904" s="11" t="str">
        <f t="shared" ref="Z904:Z967" si="240">IF(Y904="","",Y904*AB904)</f>
        <v/>
      </c>
      <c r="AA904" s="6"/>
      <c r="AB904" s="1">
        <v>1.2</v>
      </c>
      <c r="AC904" s="21" t="str">
        <f t="shared" si="236"/>
        <v/>
      </c>
      <c r="AD904" s="27" t="str">
        <f t="shared" si="229"/>
        <v/>
      </c>
      <c r="AE904" s="27" t="str">
        <f t="shared" si="227"/>
        <v/>
      </c>
      <c r="AF904" s="14">
        <f t="shared" si="237"/>
        <v>0</v>
      </c>
      <c r="AG904" s="12">
        <f t="shared" si="232"/>
        <v>0</v>
      </c>
      <c r="AH904" s="24">
        <f t="shared" si="238"/>
        <v>0</v>
      </c>
      <c r="AI904" s="49" t="e">
        <f t="shared" si="228"/>
        <v>#VALUE!</v>
      </c>
      <c r="AK904" s="50" t="e">
        <f t="shared" si="233"/>
        <v>#VALUE!</v>
      </c>
    </row>
    <row r="905" spans="1:37" x14ac:dyDescent="0.4">
      <c r="A905" s="2">
        <v>2058</v>
      </c>
      <c r="B905" s="16"/>
      <c r="C905" s="22">
        <f t="shared" si="230"/>
        <v>0</v>
      </c>
      <c r="D905" s="23">
        <f t="shared" si="234"/>
        <v>0</v>
      </c>
      <c r="E905" s="14"/>
      <c r="F905" s="12">
        <f t="shared" si="231"/>
        <v>0</v>
      </c>
      <c r="G905" s="24">
        <f t="shared" si="235"/>
        <v>0</v>
      </c>
      <c r="H905" s="14"/>
      <c r="I905" s="14"/>
      <c r="J905" s="29"/>
      <c r="K905" s="30"/>
      <c r="M905" s="17"/>
      <c r="N905" s="7"/>
      <c r="O905" s="5"/>
      <c r="P905" s="3"/>
      <c r="Q905" s="5"/>
      <c r="R905" s="7" t="str">
        <f t="shared" si="239"/>
        <v/>
      </c>
      <c r="S905" s="5"/>
      <c r="U905" s="10"/>
      <c r="V905" s="11"/>
      <c r="W905" s="6"/>
      <c r="Y905" s="10"/>
      <c r="Z905" s="11" t="str">
        <f t="shared" si="240"/>
        <v/>
      </c>
      <c r="AA905" s="6"/>
      <c r="AB905" s="1">
        <v>1.2</v>
      </c>
      <c r="AC905" s="21" t="str">
        <f t="shared" si="236"/>
        <v/>
      </c>
      <c r="AD905" s="27" t="str">
        <f t="shared" si="229"/>
        <v/>
      </c>
      <c r="AE905" s="27" t="str">
        <f t="shared" si="227"/>
        <v/>
      </c>
      <c r="AF905" s="14">
        <f t="shared" si="237"/>
        <v>0</v>
      </c>
      <c r="AG905" s="12">
        <f t="shared" si="232"/>
        <v>0</v>
      </c>
      <c r="AH905" s="24">
        <f t="shared" si="238"/>
        <v>0</v>
      </c>
      <c r="AI905" s="49" t="e">
        <f t="shared" si="228"/>
        <v>#VALUE!</v>
      </c>
      <c r="AK905" s="50" t="e">
        <f t="shared" si="233"/>
        <v>#VALUE!</v>
      </c>
    </row>
    <row r="906" spans="1:37" x14ac:dyDescent="0.4">
      <c r="A906" s="2">
        <v>2059</v>
      </c>
      <c r="B906" s="16"/>
      <c r="C906" s="22">
        <f t="shared" si="230"/>
        <v>0</v>
      </c>
      <c r="D906" s="23">
        <f t="shared" si="234"/>
        <v>0</v>
      </c>
      <c r="E906" s="14"/>
      <c r="F906" s="12">
        <f t="shared" si="231"/>
        <v>0</v>
      </c>
      <c r="G906" s="24">
        <f t="shared" si="235"/>
        <v>0</v>
      </c>
      <c r="H906" s="14"/>
      <c r="I906" s="14"/>
      <c r="J906" s="29"/>
      <c r="K906" s="30"/>
      <c r="M906" s="17"/>
      <c r="N906" s="7"/>
      <c r="O906" s="5"/>
      <c r="P906" s="3"/>
      <c r="Q906" s="5"/>
      <c r="R906" s="7" t="str">
        <f t="shared" si="239"/>
        <v/>
      </c>
      <c r="S906" s="5"/>
      <c r="U906" s="10"/>
      <c r="V906" s="11"/>
      <c r="W906" s="6"/>
      <c r="Y906" s="10"/>
      <c r="Z906" s="11" t="str">
        <f t="shared" si="240"/>
        <v/>
      </c>
      <c r="AA906" s="6"/>
      <c r="AB906" s="1">
        <v>1.2</v>
      </c>
      <c r="AC906" s="21" t="str">
        <f t="shared" si="236"/>
        <v/>
      </c>
      <c r="AD906" s="27" t="str">
        <f t="shared" si="229"/>
        <v/>
      </c>
      <c r="AE906" s="27" t="str">
        <f t="shared" si="227"/>
        <v/>
      </c>
      <c r="AF906" s="14">
        <f t="shared" si="237"/>
        <v>0</v>
      </c>
      <c r="AG906" s="12">
        <f t="shared" si="232"/>
        <v>0</v>
      </c>
      <c r="AH906" s="24">
        <f t="shared" si="238"/>
        <v>0</v>
      </c>
      <c r="AI906" s="49" t="e">
        <f t="shared" si="228"/>
        <v>#VALUE!</v>
      </c>
      <c r="AK906" s="50" t="e">
        <f t="shared" si="233"/>
        <v>#VALUE!</v>
      </c>
    </row>
    <row r="907" spans="1:37" x14ac:dyDescent="0.4">
      <c r="A907" s="2">
        <v>2060</v>
      </c>
      <c r="B907" s="16"/>
      <c r="C907" s="22">
        <f t="shared" si="230"/>
        <v>0</v>
      </c>
      <c r="D907" s="23">
        <f t="shared" si="234"/>
        <v>0</v>
      </c>
      <c r="E907" s="14"/>
      <c r="F907" s="12">
        <f t="shared" si="231"/>
        <v>0</v>
      </c>
      <c r="G907" s="24">
        <f t="shared" si="235"/>
        <v>0</v>
      </c>
      <c r="H907" s="14"/>
      <c r="I907" s="14"/>
      <c r="J907" s="29"/>
      <c r="K907" s="30"/>
      <c r="M907" s="17"/>
      <c r="N907" s="7"/>
      <c r="O907" s="5"/>
      <c r="P907" s="3"/>
      <c r="Q907" s="5"/>
      <c r="R907" s="7" t="str">
        <f t="shared" si="239"/>
        <v/>
      </c>
      <c r="S907" s="5"/>
      <c r="U907" s="10"/>
      <c r="V907" s="11"/>
      <c r="W907" s="6"/>
      <c r="Y907" s="10"/>
      <c r="Z907" s="11" t="str">
        <f t="shared" si="240"/>
        <v/>
      </c>
      <c r="AA907" s="6"/>
      <c r="AB907" s="1">
        <v>1.2</v>
      </c>
      <c r="AC907" s="21" t="str">
        <f t="shared" si="236"/>
        <v/>
      </c>
      <c r="AD907" s="27" t="str">
        <f t="shared" si="229"/>
        <v/>
      </c>
      <c r="AE907" s="27" t="str">
        <f t="shared" si="227"/>
        <v/>
      </c>
      <c r="AF907" s="14">
        <f t="shared" si="237"/>
        <v>0</v>
      </c>
      <c r="AG907" s="12">
        <f t="shared" si="232"/>
        <v>0</v>
      </c>
      <c r="AH907" s="24">
        <f t="shared" si="238"/>
        <v>0</v>
      </c>
      <c r="AI907" s="49" t="e">
        <f t="shared" si="228"/>
        <v>#VALUE!</v>
      </c>
      <c r="AK907" s="50" t="e">
        <f t="shared" si="233"/>
        <v>#VALUE!</v>
      </c>
    </row>
    <row r="908" spans="1:37" x14ac:dyDescent="0.4">
      <c r="A908" s="2">
        <v>2061</v>
      </c>
      <c r="B908" s="16"/>
      <c r="C908" s="22">
        <f t="shared" si="230"/>
        <v>0</v>
      </c>
      <c r="D908" s="23">
        <f t="shared" si="234"/>
        <v>0</v>
      </c>
      <c r="E908" s="14"/>
      <c r="F908" s="12">
        <f t="shared" si="231"/>
        <v>0</v>
      </c>
      <c r="G908" s="24">
        <f t="shared" si="235"/>
        <v>0</v>
      </c>
      <c r="H908" s="14"/>
      <c r="I908" s="14"/>
      <c r="J908" s="29"/>
      <c r="K908" s="30"/>
      <c r="M908" s="17"/>
      <c r="N908" s="7"/>
      <c r="O908" s="5"/>
      <c r="P908" s="3"/>
      <c r="Q908" s="5"/>
      <c r="R908" s="7" t="str">
        <f t="shared" si="239"/>
        <v/>
      </c>
      <c r="S908" s="5"/>
      <c r="U908" s="10"/>
      <c r="V908" s="11"/>
      <c r="W908" s="6"/>
      <c r="Y908" s="10"/>
      <c r="Z908" s="11" t="str">
        <f t="shared" si="240"/>
        <v/>
      </c>
      <c r="AA908" s="6"/>
      <c r="AB908" s="1">
        <v>1.2</v>
      </c>
      <c r="AC908" s="21" t="str">
        <f t="shared" si="236"/>
        <v/>
      </c>
      <c r="AD908" s="27" t="str">
        <f t="shared" si="229"/>
        <v/>
      </c>
      <c r="AE908" s="27" t="str">
        <f t="shared" si="227"/>
        <v/>
      </c>
      <c r="AF908" s="14">
        <f t="shared" si="237"/>
        <v>0</v>
      </c>
      <c r="AG908" s="12">
        <f t="shared" si="232"/>
        <v>0</v>
      </c>
      <c r="AH908" s="24">
        <f t="shared" si="238"/>
        <v>0</v>
      </c>
      <c r="AI908" s="49" t="e">
        <f t="shared" si="228"/>
        <v>#VALUE!</v>
      </c>
      <c r="AK908" s="50" t="e">
        <f t="shared" si="233"/>
        <v>#VALUE!</v>
      </c>
    </row>
    <row r="909" spans="1:37" x14ac:dyDescent="0.4">
      <c r="A909" s="2">
        <v>2062</v>
      </c>
      <c r="B909" s="16"/>
      <c r="C909" s="22">
        <f t="shared" si="230"/>
        <v>0</v>
      </c>
      <c r="D909" s="23">
        <f t="shared" si="234"/>
        <v>0</v>
      </c>
      <c r="E909" s="14"/>
      <c r="F909" s="12">
        <f t="shared" si="231"/>
        <v>0</v>
      </c>
      <c r="G909" s="24">
        <f t="shared" si="235"/>
        <v>0</v>
      </c>
      <c r="H909" s="14"/>
      <c r="I909" s="14"/>
      <c r="J909" s="29"/>
      <c r="K909" s="30"/>
      <c r="M909" s="17"/>
      <c r="N909" s="7"/>
      <c r="O909" s="5"/>
      <c r="P909" s="3"/>
      <c r="Q909" s="5"/>
      <c r="R909" s="7" t="str">
        <f t="shared" si="239"/>
        <v/>
      </c>
      <c r="S909" s="5"/>
      <c r="U909" s="10"/>
      <c r="V909" s="11"/>
      <c r="W909" s="6"/>
      <c r="Y909" s="10"/>
      <c r="Z909" s="11" t="str">
        <f t="shared" si="240"/>
        <v/>
      </c>
      <c r="AA909" s="6"/>
      <c r="AB909" s="1">
        <v>1.2</v>
      </c>
      <c r="AC909" s="21" t="str">
        <f t="shared" si="236"/>
        <v/>
      </c>
      <c r="AD909" s="27" t="str">
        <f t="shared" si="229"/>
        <v/>
      </c>
      <c r="AE909" s="27" t="str">
        <f t="shared" ref="AE909:AE972" si="241">IF(I909="","",TEXT(I909-B909,"[hh]:mm"))</f>
        <v/>
      </c>
      <c r="AF909" s="14">
        <f t="shared" si="237"/>
        <v>0</v>
      </c>
      <c r="AG909" s="12">
        <f t="shared" si="232"/>
        <v>0</v>
      </c>
      <c r="AH909" s="24">
        <f t="shared" si="238"/>
        <v>0</v>
      </c>
      <c r="AI909" s="49" t="e">
        <f t="shared" ref="AI909:AI972" si="242">MAX(VALUE(AC909),VALUE(AD909),VALUE(AE909))</f>
        <v>#VALUE!</v>
      </c>
      <c r="AK909" s="50" t="e">
        <f t="shared" si="233"/>
        <v>#VALUE!</v>
      </c>
    </row>
    <row r="910" spans="1:37" x14ac:dyDescent="0.4">
      <c r="A910" s="2">
        <v>2063</v>
      </c>
      <c r="B910" s="16"/>
      <c r="C910" s="22">
        <f t="shared" si="230"/>
        <v>0</v>
      </c>
      <c r="D910" s="23">
        <f t="shared" si="234"/>
        <v>0</v>
      </c>
      <c r="E910" s="14"/>
      <c r="F910" s="12">
        <f t="shared" si="231"/>
        <v>0</v>
      </c>
      <c r="G910" s="24">
        <f t="shared" si="235"/>
        <v>0</v>
      </c>
      <c r="H910" s="14"/>
      <c r="I910" s="14"/>
      <c r="J910" s="29"/>
      <c r="K910" s="30"/>
      <c r="M910" s="17"/>
      <c r="N910" s="7"/>
      <c r="O910" s="5"/>
      <c r="P910" s="3"/>
      <c r="Q910" s="5"/>
      <c r="R910" s="7" t="str">
        <f t="shared" si="239"/>
        <v/>
      </c>
      <c r="S910" s="5"/>
      <c r="U910" s="10"/>
      <c r="V910" s="11"/>
      <c r="W910" s="6"/>
      <c r="Y910" s="10"/>
      <c r="Z910" s="11" t="str">
        <f t="shared" si="240"/>
        <v/>
      </c>
      <c r="AA910" s="6"/>
      <c r="AB910" s="1">
        <v>1.2</v>
      </c>
      <c r="AC910" s="21" t="str">
        <f t="shared" si="236"/>
        <v/>
      </c>
      <c r="AD910" s="27" t="str">
        <f t="shared" si="229"/>
        <v/>
      </c>
      <c r="AE910" s="27" t="str">
        <f t="shared" si="241"/>
        <v/>
      </c>
      <c r="AF910" s="14">
        <f t="shared" si="237"/>
        <v>0</v>
      </c>
      <c r="AG910" s="12">
        <f t="shared" si="232"/>
        <v>0</v>
      </c>
      <c r="AH910" s="24">
        <f t="shared" si="238"/>
        <v>0</v>
      </c>
      <c r="AI910" s="49" t="e">
        <f t="shared" si="242"/>
        <v>#VALUE!</v>
      </c>
      <c r="AK910" s="50" t="e">
        <f t="shared" si="233"/>
        <v>#VALUE!</v>
      </c>
    </row>
    <row r="911" spans="1:37" x14ac:dyDescent="0.4">
      <c r="A911" s="2">
        <v>2064</v>
      </c>
      <c r="B911" s="16"/>
      <c r="C911" s="22">
        <f t="shared" si="230"/>
        <v>0</v>
      </c>
      <c r="D911" s="23">
        <f t="shared" si="234"/>
        <v>0</v>
      </c>
      <c r="E911" s="14"/>
      <c r="F911" s="12">
        <f t="shared" si="231"/>
        <v>0</v>
      </c>
      <c r="G911" s="24">
        <f t="shared" si="235"/>
        <v>0</v>
      </c>
      <c r="H911" s="14"/>
      <c r="I911" s="14"/>
      <c r="J911" s="29"/>
      <c r="K911" s="30"/>
      <c r="M911" s="17"/>
      <c r="N911" s="7"/>
      <c r="O911" s="5"/>
      <c r="P911" s="3"/>
      <c r="Q911" s="5"/>
      <c r="R911" s="7" t="str">
        <f t="shared" si="239"/>
        <v/>
      </c>
      <c r="S911" s="5"/>
      <c r="U911" s="10"/>
      <c r="V911" s="11"/>
      <c r="W911" s="6"/>
      <c r="Y911" s="10"/>
      <c r="Z911" s="11" t="str">
        <f t="shared" si="240"/>
        <v/>
      </c>
      <c r="AA911" s="6"/>
      <c r="AB911" s="1">
        <v>1.2</v>
      </c>
      <c r="AC911" s="21" t="str">
        <f t="shared" si="236"/>
        <v/>
      </c>
      <c r="AD911" s="27" t="str">
        <f t="shared" si="229"/>
        <v/>
      </c>
      <c r="AE911" s="27" t="str">
        <f t="shared" si="241"/>
        <v/>
      </c>
      <c r="AF911" s="14">
        <f t="shared" si="237"/>
        <v>0</v>
      </c>
      <c r="AG911" s="12">
        <f t="shared" si="232"/>
        <v>0</v>
      </c>
      <c r="AH911" s="24">
        <f t="shared" si="238"/>
        <v>0</v>
      </c>
      <c r="AI911" s="49" t="e">
        <f t="shared" si="242"/>
        <v>#VALUE!</v>
      </c>
      <c r="AK911" s="50" t="e">
        <f t="shared" si="233"/>
        <v>#VALUE!</v>
      </c>
    </row>
    <row r="912" spans="1:37" x14ac:dyDescent="0.4">
      <c r="A912" s="2">
        <v>2065</v>
      </c>
      <c r="B912" s="16"/>
      <c r="C912" s="22">
        <f t="shared" si="230"/>
        <v>0</v>
      </c>
      <c r="D912" s="23">
        <f t="shared" si="234"/>
        <v>0</v>
      </c>
      <c r="E912" s="14"/>
      <c r="F912" s="12">
        <f t="shared" si="231"/>
        <v>0</v>
      </c>
      <c r="G912" s="24">
        <f t="shared" si="235"/>
        <v>0</v>
      </c>
      <c r="H912" s="14"/>
      <c r="I912" s="14"/>
      <c r="J912" s="29"/>
      <c r="K912" s="30"/>
      <c r="M912" s="17"/>
      <c r="N912" s="7"/>
      <c r="O912" s="5"/>
      <c r="P912" s="3"/>
      <c r="Q912" s="5"/>
      <c r="R912" s="7" t="str">
        <f t="shared" si="239"/>
        <v/>
      </c>
      <c r="S912" s="5"/>
      <c r="U912" s="10"/>
      <c r="V912" s="11"/>
      <c r="W912" s="6"/>
      <c r="Y912" s="10"/>
      <c r="Z912" s="11" t="str">
        <f t="shared" si="240"/>
        <v/>
      </c>
      <c r="AA912" s="6"/>
      <c r="AB912" s="1">
        <v>1.2</v>
      </c>
      <c r="AC912" s="21" t="str">
        <f t="shared" si="236"/>
        <v/>
      </c>
      <c r="AD912" s="27" t="str">
        <f t="shared" si="229"/>
        <v/>
      </c>
      <c r="AE912" s="27" t="str">
        <f t="shared" si="241"/>
        <v/>
      </c>
      <c r="AF912" s="14">
        <f t="shared" si="237"/>
        <v>0</v>
      </c>
      <c r="AG912" s="12">
        <f t="shared" si="232"/>
        <v>0</v>
      </c>
      <c r="AH912" s="24">
        <f t="shared" si="238"/>
        <v>0</v>
      </c>
      <c r="AI912" s="49" t="e">
        <f t="shared" si="242"/>
        <v>#VALUE!</v>
      </c>
      <c r="AK912" s="50" t="e">
        <f t="shared" si="233"/>
        <v>#VALUE!</v>
      </c>
    </row>
    <row r="913" spans="1:37" x14ac:dyDescent="0.4">
      <c r="A913" s="2">
        <v>2066</v>
      </c>
      <c r="B913" s="16"/>
      <c r="C913" s="22">
        <f t="shared" si="230"/>
        <v>0</v>
      </c>
      <c r="D913" s="23">
        <f t="shared" si="234"/>
        <v>0</v>
      </c>
      <c r="E913" s="14"/>
      <c r="F913" s="12">
        <f t="shared" si="231"/>
        <v>0</v>
      </c>
      <c r="G913" s="24">
        <f t="shared" si="235"/>
        <v>0</v>
      </c>
      <c r="H913" s="14"/>
      <c r="I913" s="14"/>
      <c r="J913" s="29"/>
      <c r="K913" s="30"/>
      <c r="M913" s="17"/>
      <c r="N913" s="7"/>
      <c r="O913" s="5"/>
      <c r="P913" s="3"/>
      <c r="Q913" s="5"/>
      <c r="R913" s="7" t="str">
        <f t="shared" si="239"/>
        <v/>
      </c>
      <c r="S913" s="5"/>
      <c r="U913" s="10"/>
      <c r="V913" s="11"/>
      <c r="W913" s="6"/>
      <c r="Y913" s="10"/>
      <c r="Z913" s="11" t="str">
        <f t="shared" si="240"/>
        <v/>
      </c>
      <c r="AA913" s="6"/>
      <c r="AB913" s="1">
        <v>1.2</v>
      </c>
      <c r="AC913" s="21" t="str">
        <f t="shared" si="236"/>
        <v/>
      </c>
      <c r="AD913" s="27" t="str">
        <f t="shared" si="229"/>
        <v/>
      </c>
      <c r="AE913" s="27" t="str">
        <f t="shared" si="241"/>
        <v/>
      </c>
      <c r="AF913" s="14">
        <f t="shared" si="237"/>
        <v>0</v>
      </c>
      <c r="AG913" s="12">
        <f t="shared" si="232"/>
        <v>0</v>
      </c>
      <c r="AH913" s="24">
        <f t="shared" si="238"/>
        <v>0</v>
      </c>
      <c r="AI913" s="49" t="e">
        <f t="shared" si="242"/>
        <v>#VALUE!</v>
      </c>
      <c r="AK913" s="50" t="e">
        <f t="shared" si="233"/>
        <v>#VALUE!</v>
      </c>
    </row>
    <row r="914" spans="1:37" x14ac:dyDescent="0.4">
      <c r="A914" s="2">
        <v>2067</v>
      </c>
      <c r="B914" s="16"/>
      <c r="C914" s="22">
        <f t="shared" si="230"/>
        <v>0</v>
      </c>
      <c r="D914" s="23">
        <f t="shared" si="234"/>
        <v>0</v>
      </c>
      <c r="E914" s="14"/>
      <c r="F914" s="12">
        <f t="shared" si="231"/>
        <v>0</v>
      </c>
      <c r="G914" s="24">
        <f t="shared" si="235"/>
        <v>0</v>
      </c>
      <c r="H914" s="14"/>
      <c r="I914" s="14"/>
      <c r="J914" s="29"/>
      <c r="K914" s="30"/>
      <c r="M914" s="17"/>
      <c r="N914" s="7"/>
      <c r="O914" s="5"/>
      <c r="P914" s="3"/>
      <c r="Q914" s="5"/>
      <c r="R914" s="7" t="str">
        <f t="shared" si="239"/>
        <v/>
      </c>
      <c r="S914" s="5"/>
      <c r="U914" s="10"/>
      <c r="V914" s="11"/>
      <c r="W914" s="6"/>
      <c r="Y914" s="10"/>
      <c r="Z914" s="11" t="str">
        <f t="shared" si="240"/>
        <v/>
      </c>
      <c r="AA914" s="6"/>
      <c r="AB914" s="1">
        <v>1.2</v>
      </c>
      <c r="AC914" s="21" t="str">
        <f t="shared" si="236"/>
        <v/>
      </c>
      <c r="AD914" s="27" t="str">
        <f t="shared" si="229"/>
        <v/>
      </c>
      <c r="AE914" s="27" t="str">
        <f t="shared" si="241"/>
        <v/>
      </c>
      <c r="AF914" s="14">
        <f t="shared" si="237"/>
        <v>0</v>
      </c>
      <c r="AG914" s="12">
        <f t="shared" si="232"/>
        <v>0</v>
      </c>
      <c r="AH914" s="24">
        <f t="shared" si="238"/>
        <v>0</v>
      </c>
      <c r="AI914" s="49" t="e">
        <f t="shared" si="242"/>
        <v>#VALUE!</v>
      </c>
      <c r="AK914" s="50" t="e">
        <f t="shared" si="233"/>
        <v>#VALUE!</v>
      </c>
    </row>
    <row r="915" spans="1:37" x14ac:dyDescent="0.4">
      <c r="A915" s="2">
        <v>2068</v>
      </c>
      <c r="B915" s="16"/>
      <c r="C915" s="22">
        <f t="shared" si="230"/>
        <v>0</v>
      </c>
      <c r="D915" s="23">
        <f t="shared" si="234"/>
        <v>0</v>
      </c>
      <c r="E915" s="14"/>
      <c r="F915" s="12">
        <f t="shared" si="231"/>
        <v>0</v>
      </c>
      <c r="G915" s="24">
        <f t="shared" si="235"/>
        <v>0</v>
      </c>
      <c r="H915" s="14"/>
      <c r="I915" s="14"/>
      <c r="J915" s="29"/>
      <c r="K915" s="30"/>
      <c r="M915" s="17"/>
      <c r="N915" s="7"/>
      <c r="O915" s="5"/>
      <c r="P915" s="3"/>
      <c r="Q915" s="5"/>
      <c r="R915" s="7" t="str">
        <f t="shared" si="239"/>
        <v/>
      </c>
      <c r="S915" s="5"/>
      <c r="U915" s="10"/>
      <c r="V915" s="11"/>
      <c r="W915" s="6"/>
      <c r="Y915" s="10"/>
      <c r="Z915" s="11" t="str">
        <f t="shared" si="240"/>
        <v/>
      </c>
      <c r="AA915" s="6"/>
      <c r="AB915" s="1">
        <v>1.2</v>
      </c>
      <c r="AC915" s="21" t="str">
        <f t="shared" si="236"/>
        <v/>
      </c>
      <c r="AD915" s="27" t="str">
        <f t="shared" si="229"/>
        <v/>
      </c>
      <c r="AE915" s="27" t="str">
        <f t="shared" si="241"/>
        <v/>
      </c>
      <c r="AF915" s="14">
        <f t="shared" si="237"/>
        <v>0</v>
      </c>
      <c r="AG915" s="12">
        <f t="shared" si="232"/>
        <v>0</v>
      </c>
      <c r="AH915" s="24">
        <f t="shared" si="238"/>
        <v>0</v>
      </c>
      <c r="AI915" s="49" t="e">
        <f t="shared" si="242"/>
        <v>#VALUE!</v>
      </c>
      <c r="AK915" s="50" t="e">
        <f t="shared" si="233"/>
        <v>#VALUE!</v>
      </c>
    </row>
    <row r="916" spans="1:37" x14ac:dyDescent="0.4">
      <c r="A916" s="2">
        <v>2069</v>
      </c>
      <c r="B916" s="16"/>
      <c r="C916" s="22">
        <f t="shared" si="230"/>
        <v>0</v>
      </c>
      <c r="D916" s="23">
        <f t="shared" si="234"/>
        <v>0</v>
      </c>
      <c r="E916" s="14"/>
      <c r="F916" s="12">
        <f t="shared" si="231"/>
        <v>0</v>
      </c>
      <c r="G916" s="24">
        <f t="shared" si="235"/>
        <v>0</v>
      </c>
      <c r="H916" s="14"/>
      <c r="I916" s="14"/>
      <c r="J916" s="29"/>
      <c r="K916" s="30"/>
      <c r="M916" s="17"/>
      <c r="N916" s="7"/>
      <c r="O916" s="5"/>
      <c r="P916" s="3"/>
      <c r="Q916" s="5"/>
      <c r="R916" s="7" t="str">
        <f t="shared" si="239"/>
        <v/>
      </c>
      <c r="S916" s="5"/>
      <c r="U916" s="10"/>
      <c r="V916" s="11"/>
      <c r="W916" s="6"/>
      <c r="Y916" s="10"/>
      <c r="Z916" s="11" t="str">
        <f t="shared" si="240"/>
        <v/>
      </c>
      <c r="AA916" s="6"/>
      <c r="AB916" s="1">
        <v>1.2</v>
      </c>
      <c r="AC916" s="21" t="str">
        <f t="shared" si="236"/>
        <v/>
      </c>
      <c r="AD916" s="27" t="str">
        <f t="shared" si="229"/>
        <v/>
      </c>
      <c r="AE916" s="27" t="str">
        <f t="shared" si="241"/>
        <v/>
      </c>
      <c r="AF916" s="14">
        <f t="shared" si="237"/>
        <v>0</v>
      </c>
      <c r="AG916" s="12">
        <f t="shared" si="232"/>
        <v>0</v>
      </c>
      <c r="AH916" s="24">
        <f t="shared" si="238"/>
        <v>0</v>
      </c>
      <c r="AI916" s="49" t="e">
        <f t="shared" si="242"/>
        <v>#VALUE!</v>
      </c>
      <c r="AK916" s="50" t="e">
        <f t="shared" si="233"/>
        <v>#VALUE!</v>
      </c>
    </row>
    <row r="917" spans="1:37" x14ac:dyDescent="0.4">
      <c r="A917" s="2">
        <v>2070</v>
      </c>
      <c r="B917" s="16"/>
      <c r="C917" s="22">
        <f t="shared" si="230"/>
        <v>0</v>
      </c>
      <c r="D917" s="23">
        <f t="shared" si="234"/>
        <v>0</v>
      </c>
      <c r="E917" s="14"/>
      <c r="F917" s="12">
        <f t="shared" si="231"/>
        <v>0</v>
      </c>
      <c r="G917" s="24">
        <f t="shared" si="235"/>
        <v>0</v>
      </c>
      <c r="H917" s="14"/>
      <c r="I917" s="14"/>
      <c r="J917" s="29"/>
      <c r="K917" s="30"/>
      <c r="M917" s="17"/>
      <c r="N917" s="7"/>
      <c r="O917" s="5"/>
      <c r="P917" s="3"/>
      <c r="Q917" s="5"/>
      <c r="R917" s="7" t="str">
        <f t="shared" si="239"/>
        <v/>
      </c>
      <c r="S917" s="5"/>
      <c r="U917" s="10"/>
      <c r="V917" s="11"/>
      <c r="W917" s="6"/>
      <c r="Y917" s="10"/>
      <c r="Z917" s="11" t="str">
        <f t="shared" si="240"/>
        <v/>
      </c>
      <c r="AA917" s="6"/>
      <c r="AB917" s="1">
        <v>1.2</v>
      </c>
      <c r="AC917" s="21" t="str">
        <f t="shared" si="236"/>
        <v/>
      </c>
      <c r="AD917" s="27" t="str">
        <f t="shared" si="229"/>
        <v/>
      </c>
      <c r="AE917" s="27" t="str">
        <f t="shared" si="241"/>
        <v/>
      </c>
      <c r="AF917" s="14">
        <f t="shared" si="237"/>
        <v>0</v>
      </c>
      <c r="AG917" s="12">
        <f t="shared" si="232"/>
        <v>0</v>
      </c>
      <c r="AH917" s="24">
        <f t="shared" si="238"/>
        <v>0</v>
      </c>
      <c r="AI917" s="49" t="e">
        <f t="shared" si="242"/>
        <v>#VALUE!</v>
      </c>
      <c r="AK917" s="50" t="e">
        <f t="shared" si="233"/>
        <v>#VALUE!</v>
      </c>
    </row>
    <row r="918" spans="1:37" x14ac:dyDescent="0.4">
      <c r="A918" s="2">
        <v>2071</v>
      </c>
      <c r="B918" s="16"/>
      <c r="C918" s="22">
        <f t="shared" si="230"/>
        <v>0</v>
      </c>
      <c r="D918" s="23">
        <f t="shared" si="234"/>
        <v>0</v>
      </c>
      <c r="E918" s="14"/>
      <c r="F918" s="12">
        <f t="shared" si="231"/>
        <v>0</v>
      </c>
      <c r="G918" s="24">
        <f t="shared" si="235"/>
        <v>0</v>
      </c>
      <c r="H918" s="14"/>
      <c r="I918" s="14"/>
      <c r="J918" s="29"/>
      <c r="K918" s="30"/>
      <c r="M918" s="17"/>
      <c r="N918" s="7"/>
      <c r="O918" s="5"/>
      <c r="P918" s="3"/>
      <c r="Q918" s="5"/>
      <c r="R918" s="7" t="str">
        <f t="shared" si="239"/>
        <v/>
      </c>
      <c r="S918" s="5"/>
      <c r="U918" s="10"/>
      <c r="V918" s="11"/>
      <c r="W918" s="6"/>
      <c r="Y918" s="10"/>
      <c r="Z918" s="11" t="str">
        <f t="shared" si="240"/>
        <v/>
      </c>
      <c r="AA918" s="6"/>
      <c r="AB918" s="1">
        <v>1.2</v>
      </c>
      <c r="AC918" s="21" t="str">
        <f t="shared" si="236"/>
        <v/>
      </c>
      <c r="AD918" s="27" t="str">
        <f t="shared" ref="AD918:AD981" si="243">IF(H918="","",TEXT(H918-B918,"[hh]:mm"))</f>
        <v/>
      </c>
      <c r="AE918" s="27" t="str">
        <f t="shared" si="241"/>
        <v/>
      </c>
      <c r="AF918" s="14">
        <f t="shared" si="237"/>
        <v>0</v>
      </c>
      <c r="AG918" s="12">
        <f t="shared" si="232"/>
        <v>0</v>
      </c>
      <c r="AH918" s="24">
        <f t="shared" si="238"/>
        <v>0</v>
      </c>
      <c r="AI918" s="49" t="e">
        <f t="shared" si="242"/>
        <v>#VALUE!</v>
      </c>
      <c r="AK918" s="50" t="e">
        <f t="shared" si="233"/>
        <v>#VALUE!</v>
      </c>
    </row>
    <row r="919" spans="1:37" x14ac:dyDescent="0.4">
      <c r="A919" s="2">
        <v>2072</v>
      </c>
      <c r="B919" s="16"/>
      <c r="C919" s="22">
        <f t="shared" ref="C919:C982" si="244">INT(B919)</f>
        <v>0</v>
      </c>
      <c r="D919" s="23">
        <f t="shared" si="234"/>
        <v>0</v>
      </c>
      <c r="E919" s="14"/>
      <c r="F919" s="12">
        <f t="shared" ref="F919:F982" si="245">INT(E919)</f>
        <v>0</v>
      </c>
      <c r="G919" s="24">
        <f t="shared" si="235"/>
        <v>0</v>
      </c>
      <c r="H919" s="14"/>
      <c r="I919" s="14"/>
      <c r="J919" s="29"/>
      <c r="K919" s="30"/>
      <c r="M919" s="17"/>
      <c r="N919" s="7"/>
      <c r="O919" s="5"/>
      <c r="P919" s="3"/>
      <c r="Q919" s="5"/>
      <c r="R919" s="7" t="str">
        <f t="shared" si="239"/>
        <v/>
      </c>
      <c r="S919" s="5"/>
      <c r="U919" s="10"/>
      <c r="V919" s="11"/>
      <c r="W919" s="6"/>
      <c r="Y919" s="10"/>
      <c r="Z919" s="11" t="str">
        <f t="shared" si="240"/>
        <v/>
      </c>
      <c r="AA919" s="6"/>
      <c r="AB919" s="1">
        <v>1.2</v>
      </c>
      <c r="AC919" s="21" t="str">
        <f t="shared" si="236"/>
        <v/>
      </c>
      <c r="AD919" s="27" t="str">
        <f t="shared" si="243"/>
        <v/>
      </c>
      <c r="AE919" s="27" t="str">
        <f t="shared" si="241"/>
        <v/>
      </c>
      <c r="AF919" s="14">
        <f t="shared" si="237"/>
        <v>0</v>
      </c>
      <c r="AG919" s="12">
        <f t="shared" ref="AG919:AG982" si="246">INT(AF919)</f>
        <v>0</v>
      </c>
      <c r="AH919" s="24">
        <f t="shared" si="238"/>
        <v>0</v>
      </c>
      <c r="AI919" s="49" t="e">
        <f t="shared" si="242"/>
        <v>#VALUE!</v>
      </c>
      <c r="AK919" s="50" t="e">
        <f t="shared" ref="AK919:AK982" si="247">IF(VALUE(AI919)&lt;=VALUE($AK$3),"BOM","RUIM")</f>
        <v>#VALUE!</v>
      </c>
    </row>
    <row r="920" spans="1:37" x14ac:dyDescent="0.4">
      <c r="A920" s="2">
        <v>2073</v>
      </c>
      <c r="B920" s="16"/>
      <c r="C920" s="22">
        <f t="shared" si="244"/>
        <v>0</v>
      </c>
      <c r="D920" s="23">
        <f t="shared" si="234"/>
        <v>0</v>
      </c>
      <c r="E920" s="14"/>
      <c r="F920" s="12">
        <f t="shared" si="245"/>
        <v>0</v>
      </c>
      <c r="G920" s="24">
        <f t="shared" si="235"/>
        <v>0</v>
      </c>
      <c r="H920" s="14"/>
      <c r="I920" s="14"/>
      <c r="J920" s="29"/>
      <c r="K920" s="30"/>
      <c r="M920" s="17"/>
      <c r="N920" s="7"/>
      <c r="O920" s="5"/>
      <c r="P920" s="3"/>
      <c r="Q920" s="5"/>
      <c r="R920" s="7" t="str">
        <f t="shared" si="239"/>
        <v/>
      </c>
      <c r="S920" s="5"/>
      <c r="U920" s="10"/>
      <c r="V920" s="11"/>
      <c r="W920" s="6"/>
      <c r="Y920" s="10"/>
      <c r="Z920" s="11" t="str">
        <f t="shared" si="240"/>
        <v/>
      </c>
      <c r="AA920" s="6"/>
      <c r="AB920" s="1">
        <v>1.2</v>
      </c>
      <c r="AC920" s="21" t="str">
        <f t="shared" si="236"/>
        <v/>
      </c>
      <c r="AD920" s="27" t="str">
        <f t="shared" si="243"/>
        <v/>
      </c>
      <c r="AE920" s="27" t="str">
        <f t="shared" si="241"/>
        <v/>
      </c>
      <c r="AF920" s="14">
        <f t="shared" si="237"/>
        <v>0</v>
      </c>
      <c r="AG920" s="12">
        <f t="shared" si="246"/>
        <v>0</v>
      </c>
      <c r="AH920" s="24">
        <f t="shared" si="238"/>
        <v>0</v>
      </c>
      <c r="AI920" s="49" t="e">
        <f t="shared" si="242"/>
        <v>#VALUE!</v>
      </c>
      <c r="AK920" s="50" t="e">
        <f t="shared" si="247"/>
        <v>#VALUE!</v>
      </c>
    </row>
    <row r="921" spans="1:37" x14ac:dyDescent="0.4">
      <c r="A921" s="2">
        <v>2074</v>
      </c>
      <c r="B921" s="16"/>
      <c r="C921" s="22">
        <f t="shared" si="244"/>
        <v>0</v>
      </c>
      <c r="D921" s="23">
        <f t="shared" si="234"/>
        <v>0</v>
      </c>
      <c r="E921" s="14"/>
      <c r="F921" s="12">
        <f t="shared" si="245"/>
        <v>0</v>
      </c>
      <c r="G921" s="24">
        <f t="shared" si="235"/>
        <v>0</v>
      </c>
      <c r="H921" s="14"/>
      <c r="I921" s="14"/>
      <c r="J921" s="29"/>
      <c r="K921" s="30"/>
      <c r="M921" s="17"/>
      <c r="N921" s="7"/>
      <c r="O921" s="5"/>
      <c r="P921" s="3"/>
      <c r="Q921" s="5"/>
      <c r="R921" s="7" t="str">
        <f t="shared" si="239"/>
        <v/>
      </c>
      <c r="S921" s="5"/>
      <c r="U921" s="10"/>
      <c r="V921" s="11"/>
      <c r="W921" s="6"/>
      <c r="Y921" s="10"/>
      <c r="Z921" s="11" t="str">
        <f t="shared" si="240"/>
        <v/>
      </c>
      <c r="AA921" s="6"/>
      <c r="AB921" s="1">
        <v>1.2</v>
      </c>
      <c r="AC921" s="21" t="str">
        <f t="shared" si="236"/>
        <v/>
      </c>
      <c r="AD921" s="27" t="str">
        <f t="shared" si="243"/>
        <v/>
      </c>
      <c r="AE921" s="27" t="str">
        <f t="shared" si="241"/>
        <v/>
      </c>
      <c r="AF921" s="14">
        <f t="shared" si="237"/>
        <v>0</v>
      </c>
      <c r="AG921" s="12">
        <f t="shared" si="246"/>
        <v>0</v>
      </c>
      <c r="AH921" s="24">
        <f t="shared" si="238"/>
        <v>0</v>
      </c>
      <c r="AI921" s="49" t="e">
        <f t="shared" si="242"/>
        <v>#VALUE!</v>
      </c>
      <c r="AK921" s="50" t="e">
        <f t="shared" si="247"/>
        <v>#VALUE!</v>
      </c>
    </row>
    <row r="922" spans="1:37" x14ac:dyDescent="0.4">
      <c r="A922" s="2">
        <v>2075</v>
      </c>
      <c r="B922" s="16"/>
      <c r="C922" s="22">
        <f t="shared" si="244"/>
        <v>0</v>
      </c>
      <c r="D922" s="23">
        <f t="shared" si="234"/>
        <v>0</v>
      </c>
      <c r="E922" s="14"/>
      <c r="F922" s="12">
        <f t="shared" si="245"/>
        <v>0</v>
      </c>
      <c r="G922" s="24">
        <f t="shared" si="235"/>
        <v>0</v>
      </c>
      <c r="H922" s="14"/>
      <c r="I922" s="14"/>
      <c r="J922" s="29"/>
      <c r="K922" s="30"/>
      <c r="M922" s="17"/>
      <c r="N922" s="7"/>
      <c r="O922" s="5"/>
      <c r="P922" s="3"/>
      <c r="Q922" s="5"/>
      <c r="R922" s="7" t="str">
        <f t="shared" si="239"/>
        <v/>
      </c>
      <c r="S922" s="5"/>
      <c r="U922" s="10"/>
      <c r="V922" s="11"/>
      <c r="W922" s="6"/>
      <c r="Y922" s="10"/>
      <c r="Z922" s="11" t="str">
        <f t="shared" si="240"/>
        <v/>
      </c>
      <c r="AA922" s="6"/>
      <c r="AB922" s="1">
        <v>1.2</v>
      </c>
      <c r="AC922" s="21" t="str">
        <f t="shared" si="236"/>
        <v/>
      </c>
      <c r="AD922" s="27" t="str">
        <f t="shared" si="243"/>
        <v/>
      </c>
      <c r="AE922" s="27" t="str">
        <f t="shared" si="241"/>
        <v/>
      </c>
      <c r="AF922" s="14">
        <f t="shared" si="237"/>
        <v>0</v>
      </c>
      <c r="AG922" s="12">
        <f t="shared" si="246"/>
        <v>0</v>
      </c>
      <c r="AH922" s="24">
        <f t="shared" si="238"/>
        <v>0</v>
      </c>
      <c r="AI922" s="49" t="e">
        <f t="shared" si="242"/>
        <v>#VALUE!</v>
      </c>
      <c r="AK922" s="50" t="e">
        <f t="shared" si="247"/>
        <v>#VALUE!</v>
      </c>
    </row>
    <row r="923" spans="1:37" x14ac:dyDescent="0.4">
      <c r="A923" s="2">
        <v>2076</v>
      </c>
      <c r="B923" s="16"/>
      <c r="C923" s="22">
        <f t="shared" si="244"/>
        <v>0</v>
      </c>
      <c r="D923" s="23">
        <f t="shared" si="234"/>
        <v>0</v>
      </c>
      <c r="E923" s="14"/>
      <c r="F923" s="12">
        <f t="shared" si="245"/>
        <v>0</v>
      </c>
      <c r="G923" s="24">
        <f t="shared" si="235"/>
        <v>0</v>
      </c>
      <c r="H923" s="14"/>
      <c r="I923" s="14"/>
      <c r="J923" s="29"/>
      <c r="K923" s="30"/>
      <c r="M923" s="17"/>
      <c r="N923" s="7"/>
      <c r="O923" s="5"/>
      <c r="P923" s="3"/>
      <c r="Q923" s="5"/>
      <c r="R923" s="7" t="str">
        <f t="shared" si="239"/>
        <v/>
      </c>
      <c r="S923" s="5"/>
      <c r="U923" s="10"/>
      <c r="V923" s="11"/>
      <c r="W923" s="6"/>
      <c r="Y923" s="10"/>
      <c r="Z923" s="11" t="str">
        <f t="shared" si="240"/>
        <v/>
      </c>
      <c r="AA923" s="6"/>
      <c r="AB923" s="1">
        <v>1.2</v>
      </c>
      <c r="AC923" s="21" t="str">
        <f t="shared" si="236"/>
        <v/>
      </c>
      <c r="AD923" s="27" t="str">
        <f t="shared" si="243"/>
        <v/>
      </c>
      <c r="AE923" s="27" t="str">
        <f t="shared" si="241"/>
        <v/>
      </c>
      <c r="AF923" s="14">
        <f t="shared" si="237"/>
        <v>0</v>
      </c>
      <c r="AG923" s="12">
        <f t="shared" si="246"/>
        <v>0</v>
      </c>
      <c r="AH923" s="24">
        <f t="shared" si="238"/>
        <v>0</v>
      </c>
      <c r="AI923" s="49" t="e">
        <f t="shared" si="242"/>
        <v>#VALUE!</v>
      </c>
      <c r="AK923" s="50" t="e">
        <f t="shared" si="247"/>
        <v>#VALUE!</v>
      </c>
    </row>
    <row r="924" spans="1:37" x14ac:dyDescent="0.4">
      <c r="A924" s="2">
        <v>2077</v>
      </c>
      <c r="B924" s="16"/>
      <c r="C924" s="22">
        <f t="shared" si="244"/>
        <v>0</v>
      </c>
      <c r="D924" s="23">
        <f t="shared" si="234"/>
        <v>0</v>
      </c>
      <c r="E924" s="14"/>
      <c r="F924" s="12">
        <f t="shared" si="245"/>
        <v>0</v>
      </c>
      <c r="G924" s="24">
        <f t="shared" si="235"/>
        <v>0</v>
      </c>
      <c r="H924" s="14"/>
      <c r="I924" s="14"/>
      <c r="J924" s="29"/>
      <c r="K924" s="30"/>
      <c r="M924" s="17"/>
      <c r="N924" s="7"/>
      <c r="O924" s="5"/>
      <c r="P924" s="3"/>
      <c r="Q924" s="5"/>
      <c r="R924" s="7" t="str">
        <f t="shared" si="239"/>
        <v/>
      </c>
      <c r="S924" s="5"/>
      <c r="U924" s="10"/>
      <c r="V924" s="11"/>
      <c r="W924" s="6"/>
      <c r="Y924" s="10"/>
      <c r="Z924" s="11" t="str">
        <f t="shared" si="240"/>
        <v/>
      </c>
      <c r="AA924" s="6"/>
      <c r="AB924" s="1">
        <v>1.2</v>
      </c>
      <c r="AC924" s="21" t="str">
        <f t="shared" si="236"/>
        <v/>
      </c>
      <c r="AD924" s="27" t="str">
        <f t="shared" si="243"/>
        <v/>
      </c>
      <c r="AE924" s="27" t="str">
        <f t="shared" si="241"/>
        <v/>
      </c>
      <c r="AF924" s="14">
        <f t="shared" si="237"/>
        <v>0</v>
      </c>
      <c r="AG924" s="12">
        <f t="shared" si="246"/>
        <v>0</v>
      </c>
      <c r="AH924" s="24">
        <f t="shared" si="238"/>
        <v>0</v>
      </c>
      <c r="AI924" s="49" t="e">
        <f t="shared" si="242"/>
        <v>#VALUE!</v>
      </c>
      <c r="AK924" s="50" t="e">
        <f t="shared" si="247"/>
        <v>#VALUE!</v>
      </c>
    </row>
    <row r="925" spans="1:37" x14ac:dyDescent="0.4">
      <c r="A925" s="2">
        <v>2078</v>
      </c>
      <c r="B925" s="16"/>
      <c r="C925" s="22">
        <f t="shared" si="244"/>
        <v>0</v>
      </c>
      <c r="D925" s="23">
        <f t="shared" si="234"/>
        <v>0</v>
      </c>
      <c r="E925" s="14"/>
      <c r="F925" s="12">
        <f t="shared" si="245"/>
        <v>0</v>
      </c>
      <c r="G925" s="24">
        <f t="shared" si="235"/>
        <v>0</v>
      </c>
      <c r="H925" s="14"/>
      <c r="I925" s="14"/>
      <c r="J925" s="29"/>
      <c r="K925" s="30"/>
      <c r="M925" s="17"/>
      <c r="N925" s="7"/>
      <c r="O925" s="5"/>
      <c r="P925" s="3"/>
      <c r="Q925" s="5"/>
      <c r="R925" s="7" t="str">
        <f t="shared" si="239"/>
        <v/>
      </c>
      <c r="S925" s="5"/>
      <c r="U925" s="10"/>
      <c r="V925" s="11"/>
      <c r="W925" s="6"/>
      <c r="Y925" s="10"/>
      <c r="Z925" s="11" t="str">
        <f t="shared" si="240"/>
        <v/>
      </c>
      <c r="AA925" s="6"/>
      <c r="AB925" s="1">
        <v>1.2</v>
      </c>
      <c r="AC925" s="21" t="str">
        <f t="shared" si="236"/>
        <v/>
      </c>
      <c r="AD925" s="27" t="str">
        <f t="shared" si="243"/>
        <v/>
      </c>
      <c r="AE925" s="27" t="str">
        <f t="shared" si="241"/>
        <v/>
      </c>
      <c r="AF925" s="14">
        <f t="shared" si="237"/>
        <v>0</v>
      </c>
      <c r="AG925" s="12">
        <f t="shared" si="246"/>
        <v>0</v>
      </c>
      <c r="AH925" s="24">
        <f t="shared" si="238"/>
        <v>0</v>
      </c>
      <c r="AI925" s="49" t="e">
        <f t="shared" si="242"/>
        <v>#VALUE!</v>
      </c>
      <c r="AK925" s="50" t="e">
        <f t="shared" si="247"/>
        <v>#VALUE!</v>
      </c>
    </row>
    <row r="926" spans="1:37" x14ac:dyDescent="0.4">
      <c r="A926" s="2">
        <v>2079</v>
      </c>
      <c r="B926" s="16"/>
      <c r="C926" s="22">
        <f t="shared" si="244"/>
        <v>0</v>
      </c>
      <c r="D926" s="23">
        <f t="shared" si="234"/>
        <v>0</v>
      </c>
      <c r="E926" s="14"/>
      <c r="F926" s="12">
        <f t="shared" si="245"/>
        <v>0</v>
      </c>
      <c r="G926" s="24">
        <f t="shared" si="235"/>
        <v>0</v>
      </c>
      <c r="H926" s="14"/>
      <c r="I926" s="14"/>
      <c r="J926" s="29"/>
      <c r="K926" s="30"/>
      <c r="M926" s="17"/>
      <c r="N926" s="7"/>
      <c r="O926" s="5"/>
      <c r="P926" s="3"/>
      <c r="Q926" s="5"/>
      <c r="R926" s="7" t="str">
        <f t="shared" si="239"/>
        <v/>
      </c>
      <c r="S926" s="5"/>
      <c r="U926" s="10"/>
      <c r="V926" s="11"/>
      <c r="W926" s="6"/>
      <c r="Y926" s="10"/>
      <c r="Z926" s="11" t="str">
        <f t="shared" si="240"/>
        <v/>
      </c>
      <c r="AA926" s="6"/>
      <c r="AB926" s="1">
        <v>1.2</v>
      </c>
      <c r="AC926" s="21" t="str">
        <f t="shared" si="236"/>
        <v/>
      </c>
      <c r="AD926" s="27" t="str">
        <f t="shared" si="243"/>
        <v/>
      </c>
      <c r="AE926" s="27" t="str">
        <f t="shared" si="241"/>
        <v/>
      </c>
      <c r="AF926" s="14">
        <f t="shared" si="237"/>
        <v>0</v>
      </c>
      <c r="AG926" s="12">
        <f t="shared" si="246"/>
        <v>0</v>
      </c>
      <c r="AH926" s="24">
        <f t="shared" si="238"/>
        <v>0</v>
      </c>
      <c r="AI926" s="49" t="e">
        <f t="shared" si="242"/>
        <v>#VALUE!</v>
      </c>
      <c r="AK926" s="50" t="e">
        <f t="shared" si="247"/>
        <v>#VALUE!</v>
      </c>
    </row>
    <row r="927" spans="1:37" x14ac:dyDescent="0.4">
      <c r="A927" s="2">
        <v>2080</v>
      </c>
      <c r="B927" s="16"/>
      <c r="C927" s="22">
        <f t="shared" si="244"/>
        <v>0</v>
      </c>
      <c r="D927" s="23">
        <f t="shared" si="234"/>
        <v>0</v>
      </c>
      <c r="E927" s="14"/>
      <c r="F927" s="12">
        <f t="shared" si="245"/>
        <v>0</v>
      </c>
      <c r="G927" s="24">
        <f t="shared" si="235"/>
        <v>0</v>
      </c>
      <c r="H927" s="14"/>
      <c r="I927" s="14"/>
      <c r="J927" s="29"/>
      <c r="K927" s="30"/>
      <c r="M927" s="17"/>
      <c r="N927" s="7"/>
      <c r="O927" s="5"/>
      <c r="P927" s="3"/>
      <c r="Q927" s="5"/>
      <c r="R927" s="7" t="str">
        <f t="shared" si="239"/>
        <v/>
      </c>
      <c r="S927" s="5"/>
      <c r="U927" s="10"/>
      <c r="V927" s="11"/>
      <c r="W927" s="6"/>
      <c r="Y927" s="10"/>
      <c r="Z927" s="11" t="str">
        <f t="shared" si="240"/>
        <v/>
      </c>
      <c r="AA927" s="6"/>
      <c r="AB927" s="1">
        <v>1.2</v>
      </c>
      <c r="AC927" s="21" t="str">
        <f t="shared" si="236"/>
        <v/>
      </c>
      <c r="AD927" s="27" t="str">
        <f t="shared" si="243"/>
        <v/>
      </c>
      <c r="AE927" s="27" t="str">
        <f t="shared" si="241"/>
        <v/>
      </c>
      <c r="AF927" s="14">
        <f t="shared" si="237"/>
        <v>0</v>
      </c>
      <c r="AG927" s="12">
        <f t="shared" si="246"/>
        <v>0</v>
      </c>
      <c r="AH927" s="24">
        <f t="shared" si="238"/>
        <v>0</v>
      </c>
      <c r="AI927" s="49" t="e">
        <f t="shared" si="242"/>
        <v>#VALUE!</v>
      </c>
      <c r="AK927" s="50" t="e">
        <f t="shared" si="247"/>
        <v>#VALUE!</v>
      </c>
    </row>
    <row r="928" spans="1:37" x14ac:dyDescent="0.4">
      <c r="A928" s="2">
        <v>2081</v>
      </c>
      <c r="B928" s="16"/>
      <c r="C928" s="22">
        <f t="shared" si="244"/>
        <v>0</v>
      </c>
      <c r="D928" s="23">
        <f t="shared" si="234"/>
        <v>0</v>
      </c>
      <c r="E928" s="14"/>
      <c r="F928" s="12">
        <f t="shared" si="245"/>
        <v>0</v>
      </c>
      <c r="G928" s="24">
        <f t="shared" si="235"/>
        <v>0</v>
      </c>
      <c r="H928" s="14"/>
      <c r="I928" s="14"/>
      <c r="J928" s="29"/>
      <c r="K928" s="30"/>
      <c r="M928" s="17"/>
      <c r="N928" s="7"/>
      <c r="O928" s="5"/>
      <c r="P928" s="3"/>
      <c r="Q928" s="5"/>
      <c r="R928" s="7" t="str">
        <f t="shared" si="239"/>
        <v/>
      </c>
      <c r="S928" s="5"/>
      <c r="U928" s="10"/>
      <c r="V928" s="11"/>
      <c r="W928" s="6"/>
      <c r="Y928" s="10"/>
      <c r="Z928" s="11" t="str">
        <f t="shared" si="240"/>
        <v/>
      </c>
      <c r="AA928" s="6"/>
      <c r="AB928" s="1">
        <v>1.2</v>
      </c>
      <c r="AC928" s="21" t="str">
        <f t="shared" si="236"/>
        <v/>
      </c>
      <c r="AD928" s="27" t="str">
        <f t="shared" si="243"/>
        <v/>
      </c>
      <c r="AE928" s="27" t="str">
        <f t="shared" si="241"/>
        <v/>
      </c>
      <c r="AF928" s="14">
        <f t="shared" si="237"/>
        <v>0</v>
      </c>
      <c r="AG928" s="12">
        <f t="shared" si="246"/>
        <v>0</v>
      </c>
      <c r="AH928" s="24">
        <f t="shared" si="238"/>
        <v>0</v>
      </c>
      <c r="AI928" s="49" t="e">
        <f t="shared" si="242"/>
        <v>#VALUE!</v>
      </c>
      <c r="AK928" s="50" t="e">
        <f t="shared" si="247"/>
        <v>#VALUE!</v>
      </c>
    </row>
    <row r="929" spans="1:37" x14ac:dyDescent="0.4">
      <c r="A929" s="2">
        <v>2082</v>
      </c>
      <c r="B929" s="16"/>
      <c r="C929" s="22">
        <f t="shared" si="244"/>
        <v>0</v>
      </c>
      <c r="D929" s="23">
        <f t="shared" si="234"/>
        <v>0</v>
      </c>
      <c r="E929" s="14"/>
      <c r="F929" s="12">
        <f t="shared" si="245"/>
        <v>0</v>
      </c>
      <c r="G929" s="24">
        <f t="shared" si="235"/>
        <v>0</v>
      </c>
      <c r="H929" s="14"/>
      <c r="I929" s="14"/>
      <c r="J929" s="29"/>
      <c r="K929" s="30"/>
      <c r="M929" s="17"/>
      <c r="N929" s="7"/>
      <c r="O929" s="5"/>
      <c r="P929" s="3"/>
      <c r="Q929" s="5"/>
      <c r="R929" s="7" t="str">
        <f t="shared" si="239"/>
        <v/>
      </c>
      <c r="S929" s="5"/>
      <c r="U929" s="10"/>
      <c r="V929" s="11"/>
      <c r="W929" s="6"/>
      <c r="Y929" s="10"/>
      <c r="Z929" s="11" t="str">
        <f t="shared" si="240"/>
        <v/>
      </c>
      <c r="AA929" s="6"/>
      <c r="AB929" s="1">
        <v>1.2</v>
      </c>
      <c r="AC929" s="21" t="str">
        <f t="shared" si="236"/>
        <v/>
      </c>
      <c r="AD929" s="27" t="str">
        <f t="shared" si="243"/>
        <v/>
      </c>
      <c r="AE929" s="27" t="str">
        <f t="shared" si="241"/>
        <v/>
      </c>
      <c r="AF929" s="14">
        <f t="shared" si="237"/>
        <v>0</v>
      </c>
      <c r="AG929" s="12">
        <f t="shared" si="246"/>
        <v>0</v>
      </c>
      <c r="AH929" s="24">
        <f t="shared" si="238"/>
        <v>0</v>
      </c>
      <c r="AI929" s="49" t="e">
        <f t="shared" si="242"/>
        <v>#VALUE!</v>
      </c>
      <c r="AK929" s="50" t="e">
        <f t="shared" si="247"/>
        <v>#VALUE!</v>
      </c>
    </row>
    <row r="930" spans="1:37" x14ac:dyDescent="0.4">
      <c r="A930" s="2">
        <v>2083</v>
      </c>
      <c r="B930" s="16"/>
      <c r="C930" s="22">
        <f t="shared" si="244"/>
        <v>0</v>
      </c>
      <c r="D930" s="23">
        <f t="shared" si="234"/>
        <v>0</v>
      </c>
      <c r="E930" s="14"/>
      <c r="F930" s="12">
        <f t="shared" si="245"/>
        <v>0</v>
      </c>
      <c r="G930" s="24">
        <f t="shared" si="235"/>
        <v>0</v>
      </c>
      <c r="H930" s="14"/>
      <c r="I930" s="14"/>
      <c r="J930" s="29"/>
      <c r="K930" s="30"/>
      <c r="M930" s="17"/>
      <c r="N930" s="7"/>
      <c r="O930" s="5"/>
      <c r="P930" s="3"/>
      <c r="Q930" s="5"/>
      <c r="R930" s="7" t="str">
        <f t="shared" si="239"/>
        <v/>
      </c>
      <c r="S930" s="5"/>
      <c r="U930" s="10"/>
      <c r="V930" s="11"/>
      <c r="W930" s="6"/>
      <c r="Y930" s="10"/>
      <c r="Z930" s="11" t="str">
        <f t="shared" si="240"/>
        <v/>
      </c>
      <c r="AA930" s="6"/>
      <c r="AB930" s="1">
        <v>1.2</v>
      </c>
      <c r="AC930" s="21" t="str">
        <f t="shared" si="236"/>
        <v/>
      </c>
      <c r="AD930" s="27" t="str">
        <f t="shared" si="243"/>
        <v/>
      </c>
      <c r="AE930" s="27" t="str">
        <f t="shared" si="241"/>
        <v/>
      </c>
      <c r="AF930" s="14">
        <f t="shared" si="237"/>
        <v>0</v>
      </c>
      <c r="AG930" s="12">
        <f t="shared" si="246"/>
        <v>0</v>
      </c>
      <c r="AH930" s="24">
        <f t="shared" si="238"/>
        <v>0</v>
      </c>
      <c r="AI930" s="49" t="e">
        <f t="shared" si="242"/>
        <v>#VALUE!</v>
      </c>
      <c r="AK930" s="50" t="e">
        <f t="shared" si="247"/>
        <v>#VALUE!</v>
      </c>
    </row>
    <row r="931" spans="1:37" x14ac:dyDescent="0.4">
      <c r="A931" s="2">
        <v>2084</v>
      </c>
      <c r="B931" s="16"/>
      <c r="C931" s="22">
        <f t="shared" si="244"/>
        <v>0</v>
      </c>
      <c r="D931" s="23">
        <f t="shared" si="234"/>
        <v>0</v>
      </c>
      <c r="E931" s="14"/>
      <c r="F931" s="12">
        <f t="shared" si="245"/>
        <v>0</v>
      </c>
      <c r="G931" s="24">
        <f t="shared" si="235"/>
        <v>0</v>
      </c>
      <c r="H931" s="14"/>
      <c r="I931" s="14"/>
      <c r="J931" s="29"/>
      <c r="K931" s="30"/>
      <c r="M931" s="17"/>
      <c r="N931" s="7"/>
      <c r="O931" s="5"/>
      <c r="P931" s="3"/>
      <c r="Q931" s="5"/>
      <c r="R931" s="7" t="str">
        <f t="shared" si="239"/>
        <v/>
      </c>
      <c r="S931" s="5"/>
      <c r="U931" s="10"/>
      <c r="V931" s="11"/>
      <c r="W931" s="6"/>
      <c r="Y931" s="10"/>
      <c r="Z931" s="11" t="str">
        <f t="shared" si="240"/>
        <v/>
      </c>
      <c r="AA931" s="6"/>
      <c r="AB931" s="1">
        <v>1.2</v>
      </c>
      <c r="AC931" s="21" t="str">
        <f t="shared" si="236"/>
        <v/>
      </c>
      <c r="AD931" s="27" t="str">
        <f t="shared" si="243"/>
        <v/>
      </c>
      <c r="AE931" s="27" t="str">
        <f t="shared" si="241"/>
        <v/>
      </c>
      <c r="AF931" s="14">
        <f t="shared" si="237"/>
        <v>0</v>
      </c>
      <c r="AG931" s="12">
        <f t="shared" si="246"/>
        <v>0</v>
      </c>
      <c r="AH931" s="24">
        <f t="shared" si="238"/>
        <v>0</v>
      </c>
      <c r="AI931" s="49" t="e">
        <f t="shared" si="242"/>
        <v>#VALUE!</v>
      </c>
      <c r="AK931" s="50" t="e">
        <f t="shared" si="247"/>
        <v>#VALUE!</v>
      </c>
    </row>
    <row r="932" spans="1:37" x14ac:dyDescent="0.4">
      <c r="A932" s="2">
        <v>2085</v>
      </c>
      <c r="B932" s="16"/>
      <c r="C932" s="22">
        <f t="shared" si="244"/>
        <v>0</v>
      </c>
      <c r="D932" s="23">
        <f t="shared" si="234"/>
        <v>0</v>
      </c>
      <c r="E932" s="14"/>
      <c r="F932" s="12">
        <f t="shared" si="245"/>
        <v>0</v>
      </c>
      <c r="G932" s="24">
        <f t="shared" si="235"/>
        <v>0</v>
      </c>
      <c r="H932" s="14"/>
      <c r="I932" s="14"/>
      <c r="J932" s="29"/>
      <c r="K932" s="30"/>
      <c r="M932" s="17"/>
      <c r="N932" s="7"/>
      <c r="O932" s="5"/>
      <c r="P932" s="3"/>
      <c r="Q932" s="5"/>
      <c r="R932" s="7" t="str">
        <f t="shared" si="239"/>
        <v/>
      </c>
      <c r="S932" s="5"/>
      <c r="U932" s="10"/>
      <c r="V932" s="11"/>
      <c r="W932" s="6"/>
      <c r="Y932" s="10"/>
      <c r="Z932" s="11" t="str">
        <f t="shared" si="240"/>
        <v/>
      </c>
      <c r="AA932" s="6"/>
      <c r="AB932" s="1">
        <v>1.2</v>
      </c>
      <c r="AC932" s="21" t="str">
        <f t="shared" si="236"/>
        <v/>
      </c>
      <c r="AD932" s="27" t="str">
        <f t="shared" si="243"/>
        <v/>
      </c>
      <c r="AE932" s="27" t="str">
        <f t="shared" si="241"/>
        <v/>
      </c>
      <c r="AF932" s="14">
        <f t="shared" si="237"/>
        <v>0</v>
      </c>
      <c r="AG932" s="12">
        <f t="shared" si="246"/>
        <v>0</v>
      </c>
      <c r="AH932" s="24">
        <f t="shared" si="238"/>
        <v>0</v>
      </c>
      <c r="AI932" s="49" t="e">
        <f t="shared" si="242"/>
        <v>#VALUE!</v>
      </c>
      <c r="AK932" s="50" t="e">
        <f t="shared" si="247"/>
        <v>#VALUE!</v>
      </c>
    </row>
    <row r="933" spans="1:37" x14ac:dyDescent="0.4">
      <c r="A933" s="2">
        <v>2086</v>
      </c>
      <c r="B933" s="16"/>
      <c r="C933" s="22">
        <f t="shared" si="244"/>
        <v>0</v>
      </c>
      <c r="D933" s="23">
        <f t="shared" si="234"/>
        <v>0</v>
      </c>
      <c r="E933" s="14"/>
      <c r="F933" s="12">
        <f t="shared" si="245"/>
        <v>0</v>
      </c>
      <c r="G933" s="24">
        <f t="shared" si="235"/>
        <v>0</v>
      </c>
      <c r="H933" s="14"/>
      <c r="I933" s="14"/>
      <c r="J933" s="29"/>
      <c r="K933" s="30"/>
      <c r="M933" s="17"/>
      <c r="N933" s="7"/>
      <c r="O933" s="5"/>
      <c r="P933" s="3"/>
      <c r="Q933" s="5"/>
      <c r="R933" s="7" t="str">
        <f t="shared" si="239"/>
        <v/>
      </c>
      <c r="S933" s="5"/>
      <c r="U933" s="10"/>
      <c r="V933" s="11"/>
      <c r="W933" s="6"/>
      <c r="Y933" s="10"/>
      <c r="Z933" s="11" t="str">
        <f t="shared" si="240"/>
        <v/>
      </c>
      <c r="AA933" s="6"/>
      <c r="AB933" s="1">
        <v>1.2</v>
      </c>
      <c r="AC933" s="21" t="str">
        <f t="shared" si="236"/>
        <v/>
      </c>
      <c r="AD933" s="27" t="str">
        <f t="shared" si="243"/>
        <v/>
      </c>
      <c r="AE933" s="27" t="str">
        <f t="shared" si="241"/>
        <v/>
      </c>
      <c r="AF933" s="14">
        <f t="shared" si="237"/>
        <v>0</v>
      </c>
      <c r="AG933" s="12">
        <f t="shared" si="246"/>
        <v>0</v>
      </c>
      <c r="AH933" s="24">
        <f t="shared" si="238"/>
        <v>0</v>
      </c>
      <c r="AI933" s="49" t="e">
        <f t="shared" si="242"/>
        <v>#VALUE!</v>
      </c>
      <c r="AK933" s="50" t="e">
        <f t="shared" si="247"/>
        <v>#VALUE!</v>
      </c>
    </row>
    <row r="934" spans="1:37" x14ac:dyDescent="0.4">
      <c r="A934" s="2">
        <v>2087</v>
      </c>
      <c r="B934" s="16"/>
      <c r="C934" s="22">
        <f t="shared" si="244"/>
        <v>0</v>
      </c>
      <c r="D934" s="23">
        <f t="shared" si="234"/>
        <v>0</v>
      </c>
      <c r="E934" s="14"/>
      <c r="F934" s="12">
        <f t="shared" si="245"/>
        <v>0</v>
      </c>
      <c r="G934" s="24">
        <f t="shared" si="235"/>
        <v>0</v>
      </c>
      <c r="H934" s="14"/>
      <c r="I934" s="14"/>
      <c r="J934" s="29"/>
      <c r="K934" s="30"/>
      <c r="M934" s="17"/>
      <c r="N934" s="7"/>
      <c r="O934" s="5"/>
      <c r="P934" s="3"/>
      <c r="Q934" s="5"/>
      <c r="R934" s="7" t="str">
        <f t="shared" si="239"/>
        <v/>
      </c>
      <c r="S934" s="5"/>
      <c r="U934" s="10"/>
      <c r="V934" s="11"/>
      <c r="W934" s="6"/>
      <c r="Y934" s="10"/>
      <c r="Z934" s="11" t="str">
        <f t="shared" si="240"/>
        <v/>
      </c>
      <c r="AA934" s="6"/>
      <c r="AB934" s="1">
        <v>1.2</v>
      </c>
      <c r="AC934" s="21" t="str">
        <f t="shared" si="236"/>
        <v/>
      </c>
      <c r="AD934" s="27" t="str">
        <f t="shared" si="243"/>
        <v/>
      </c>
      <c r="AE934" s="27" t="str">
        <f t="shared" si="241"/>
        <v/>
      </c>
      <c r="AF934" s="14">
        <f t="shared" si="237"/>
        <v>0</v>
      </c>
      <c r="AG934" s="12">
        <f t="shared" si="246"/>
        <v>0</v>
      </c>
      <c r="AH934" s="24">
        <f t="shared" si="238"/>
        <v>0</v>
      </c>
      <c r="AI934" s="49" t="e">
        <f t="shared" si="242"/>
        <v>#VALUE!</v>
      </c>
      <c r="AK934" s="50" t="e">
        <f t="shared" si="247"/>
        <v>#VALUE!</v>
      </c>
    </row>
    <row r="935" spans="1:37" x14ac:dyDescent="0.4">
      <c r="A935" s="2">
        <v>2088</v>
      </c>
      <c r="B935" s="16"/>
      <c r="C935" s="22">
        <f t="shared" si="244"/>
        <v>0</v>
      </c>
      <c r="D935" s="23">
        <f t="shared" si="234"/>
        <v>0</v>
      </c>
      <c r="E935" s="14"/>
      <c r="F935" s="12">
        <f t="shared" si="245"/>
        <v>0</v>
      </c>
      <c r="G935" s="24">
        <f t="shared" si="235"/>
        <v>0</v>
      </c>
      <c r="H935" s="14"/>
      <c r="I935" s="14"/>
      <c r="J935" s="29"/>
      <c r="K935" s="30"/>
      <c r="M935" s="17"/>
      <c r="N935" s="7"/>
      <c r="O935" s="5"/>
      <c r="P935" s="3"/>
      <c r="Q935" s="5"/>
      <c r="R935" s="7" t="str">
        <f t="shared" si="239"/>
        <v/>
      </c>
      <c r="S935" s="5"/>
      <c r="U935" s="10"/>
      <c r="V935" s="11"/>
      <c r="W935" s="6"/>
      <c r="Y935" s="10"/>
      <c r="Z935" s="11" t="str">
        <f t="shared" si="240"/>
        <v/>
      </c>
      <c r="AA935" s="6"/>
      <c r="AB935" s="1">
        <v>1.2</v>
      </c>
      <c r="AC935" s="21" t="str">
        <f t="shared" si="236"/>
        <v/>
      </c>
      <c r="AD935" s="27" t="str">
        <f t="shared" si="243"/>
        <v/>
      </c>
      <c r="AE935" s="27" t="str">
        <f t="shared" si="241"/>
        <v/>
      </c>
      <c r="AF935" s="14">
        <f t="shared" si="237"/>
        <v>0</v>
      </c>
      <c r="AG935" s="12">
        <f t="shared" si="246"/>
        <v>0</v>
      </c>
      <c r="AH935" s="24">
        <f t="shared" si="238"/>
        <v>0</v>
      </c>
      <c r="AI935" s="49" t="e">
        <f t="shared" si="242"/>
        <v>#VALUE!</v>
      </c>
      <c r="AK935" s="50" t="e">
        <f t="shared" si="247"/>
        <v>#VALUE!</v>
      </c>
    </row>
    <row r="936" spans="1:37" x14ac:dyDescent="0.4">
      <c r="A936" s="2">
        <v>2089</v>
      </c>
      <c r="B936" s="16"/>
      <c r="C936" s="22">
        <f t="shared" si="244"/>
        <v>0</v>
      </c>
      <c r="D936" s="23">
        <f t="shared" ref="D936:D999" si="248">B936-INT(B936)</f>
        <v>0</v>
      </c>
      <c r="E936" s="14"/>
      <c r="F936" s="12">
        <f t="shared" si="245"/>
        <v>0</v>
      </c>
      <c r="G936" s="24">
        <f t="shared" ref="G936:G999" si="249">E936-INT(E936)</f>
        <v>0</v>
      </c>
      <c r="H936" s="14"/>
      <c r="I936" s="14"/>
      <c r="J936" s="29"/>
      <c r="K936" s="30"/>
      <c r="M936" s="17"/>
      <c r="N936" s="7"/>
      <c r="O936" s="5"/>
      <c r="P936" s="3"/>
      <c r="Q936" s="5"/>
      <c r="R936" s="7" t="str">
        <f t="shared" si="239"/>
        <v/>
      </c>
      <c r="S936" s="5"/>
      <c r="U936" s="10"/>
      <c r="V936" s="11"/>
      <c r="W936" s="6"/>
      <c r="Y936" s="10"/>
      <c r="Z936" s="11" t="str">
        <f t="shared" si="240"/>
        <v/>
      </c>
      <c r="AA936" s="6"/>
      <c r="AB936" s="1">
        <v>1.2</v>
      </c>
      <c r="AC936" s="21" t="str">
        <f t="shared" ref="AC936:AC999" si="250">IF(B936="","",TEXT(E936-B936,"[hh]:mm"))</f>
        <v/>
      </c>
      <c r="AD936" s="27" t="str">
        <f t="shared" si="243"/>
        <v/>
      </c>
      <c r="AE936" s="27" t="str">
        <f t="shared" si="241"/>
        <v/>
      </c>
      <c r="AF936" s="14">
        <f t="shared" ref="AF936:AF999" si="251">MAX(E936,H936,I936)</f>
        <v>0</v>
      </c>
      <c r="AG936" s="12">
        <f t="shared" si="246"/>
        <v>0</v>
      </c>
      <c r="AH936" s="24">
        <f t="shared" ref="AH936:AH999" si="252">AF936-INT(AF936)</f>
        <v>0</v>
      </c>
      <c r="AI936" s="49" t="e">
        <f t="shared" si="242"/>
        <v>#VALUE!</v>
      </c>
      <c r="AK936" s="50" t="e">
        <f t="shared" si="247"/>
        <v>#VALUE!</v>
      </c>
    </row>
    <row r="937" spans="1:37" x14ac:dyDescent="0.4">
      <c r="A937" s="2">
        <v>2090</v>
      </c>
      <c r="B937" s="16"/>
      <c r="C937" s="22">
        <f t="shared" si="244"/>
        <v>0</v>
      </c>
      <c r="D937" s="23">
        <f t="shared" si="248"/>
        <v>0</v>
      </c>
      <c r="E937" s="14"/>
      <c r="F937" s="12">
        <f t="shared" si="245"/>
        <v>0</v>
      </c>
      <c r="G937" s="24">
        <f t="shared" si="249"/>
        <v>0</v>
      </c>
      <c r="H937" s="14"/>
      <c r="I937" s="14"/>
      <c r="J937" s="29"/>
      <c r="K937" s="30"/>
      <c r="M937" s="17"/>
      <c r="N937" s="7"/>
      <c r="O937" s="5"/>
      <c r="P937" s="3"/>
      <c r="Q937" s="5"/>
      <c r="R937" s="7" t="str">
        <f t="shared" si="239"/>
        <v/>
      </c>
      <c r="S937" s="5"/>
      <c r="U937" s="10"/>
      <c r="V937" s="11"/>
      <c r="W937" s="6"/>
      <c r="Y937" s="10"/>
      <c r="Z937" s="11" t="str">
        <f t="shared" si="240"/>
        <v/>
      </c>
      <c r="AA937" s="6"/>
      <c r="AB937" s="1">
        <v>1.2</v>
      </c>
      <c r="AC937" s="21" t="str">
        <f t="shared" si="250"/>
        <v/>
      </c>
      <c r="AD937" s="27" t="str">
        <f t="shared" si="243"/>
        <v/>
      </c>
      <c r="AE937" s="27" t="str">
        <f t="shared" si="241"/>
        <v/>
      </c>
      <c r="AF937" s="14">
        <f t="shared" si="251"/>
        <v>0</v>
      </c>
      <c r="AG937" s="12">
        <f t="shared" si="246"/>
        <v>0</v>
      </c>
      <c r="AH937" s="24">
        <f t="shared" si="252"/>
        <v>0</v>
      </c>
      <c r="AI937" s="49" t="e">
        <f t="shared" si="242"/>
        <v>#VALUE!</v>
      </c>
      <c r="AK937" s="50" t="e">
        <f t="shared" si="247"/>
        <v>#VALUE!</v>
      </c>
    </row>
    <row r="938" spans="1:37" x14ac:dyDescent="0.4">
      <c r="A938" s="2">
        <v>2091</v>
      </c>
      <c r="B938" s="16"/>
      <c r="C938" s="22">
        <f t="shared" si="244"/>
        <v>0</v>
      </c>
      <c r="D938" s="23">
        <f t="shared" si="248"/>
        <v>0</v>
      </c>
      <c r="E938" s="14"/>
      <c r="F938" s="12">
        <f t="shared" si="245"/>
        <v>0</v>
      </c>
      <c r="G938" s="24">
        <f t="shared" si="249"/>
        <v>0</v>
      </c>
      <c r="H938" s="14"/>
      <c r="I938" s="14"/>
      <c r="J938" s="29"/>
      <c r="K938" s="30"/>
      <c r="M938" s="17"/>
      <c r="N938" s="7"/>
      <c r="O938" s="5"/>
      <c r="P938" s="3"/>
      <c r="Q938" s="5"/>
      <c r="R938" s="7" t="str">
        <f t="shared" si="239"/>
        <v/>
      </c>
      <c r="S938" s="5"/>
      <c r="U938" s="10"/>
      <c r="V938" s="11"/>
      <c r="W938" s="6"/>
      <c r="Y938" s="10"/>
      <c r="Z938" s="11" t="str">
        <f t="shared" si="240"/>
        <v/>
      </c>
      <c r="AA938" s="6"/>
      <c r="AB938" s="1">
        <v>1.2</v>
      </c>
      <c r="AC938" s="21" t="str">
        <f t="shared" si="250"/>
        <v/>
      </c>
      <c r="AD938" s="27" t="str">
        <f t="shared" si="243"/>
        <v/>
      </c>
      <c r="AE938" s="27" t="str">
        <f t="shared" si="241"/>
        <v/>
      </c>
      <c r="AF938" s="14">
        <f t="shared" si="251"/>
        <v>0</v>
      </c>
      <c r="AG938" s="12">
        <f t="shared" si="246"/>
        <v>0</v>
      </c>
      <c r="AH938" s="24">
        <f t="shared" si="252"/>
        <v>0</v>
      </c>
      <c r="AI938" s="49" t="e">
        <f t="shared" si="242"/>
        <v>#VALUE!</v>
      </c>
      <c r="AK938" s="50" t="e">
        <f t="shared" si="247"/>
        <v>#VALUE!</v>
      </c>
    </row>
    <row r="939" spans="1:37" x14ac:dyDescent="0.4">
      <c r="A939" s="2">
        <v>2092</v>
      </c>
      <c r="B939" s="16"/>
      <c r="C939" s="22">
        <f t="shared" si="244"/>
        <v>0</v>
      </c>
      <c r="D939" s="23">
        <f t="shared" si="248"/>
        <v>0</v>
      </c>
      <c r="E939" s="14"/>
      <c r="F939" s="12">
        <f t="shared" si="245"/>
        <v>0</v>
      </c>
      <c r="G939" s="24">
        <f t="shared" si="249"/>
        <v>0</v>
      </c>
      <c r="H939" s="14"/>
      <c r="I939" s="14"/>
      <c r="J939" s="29"/>
      <c r="K939" s="30"/>
      <c r="M939" s="17"/>
      <c r="N939" s="7"/>
      <c r="O939" s="5"/>
      <c r="P939" s="3"/>
      <c r="Q939" s="5"/>
      <c r="R939" s="7" t="str">
        <f t="shared" si="239"/>
        <v/>
      </c>
      <c r="S939" s="5"/>
      <c r="U939" s="10"/>
      <c r="V939" s="11"/>
      <c r="W939" s="6"/>
      <c r="Y939" s="10"/>
      <c r="Z939" s="11" t="str">
        <f t="shared" si="240"/>
        <v/>
      </c>
      <c r="AA939" s="6"/>
      <c r="AB939" s="1">
        <v>1.2</v>
      </c>
      <c r="AC939" s="21" t="str">
        <f t="shared" si="250"/>
        <v/>
      </c>
      <c r="AD939" s="27" t="str">
        <f t="shared" si="243"/>
        <v/>
      </c>
      <c r="AE939" s="27" t="str">
        <f t="shared" si="241"/>
        <v/>
      </c>
      <c r="AF939" s="14">
        <f t="shared" si="251"/>
        <v>0</v>
      </c>
      <c r="AG939" s="12">
        <f t="shared" si="246"/>
        <v>0</v>
      </c>
      <c r="AH939" s="24">
        <f t="shared" si="252"/>
        <v>0</v>
      </c>
      <c r="AI939" s="49" t="e">
        <f t="shared" si="242"/>
        <v>#VALUE!</v>
      </c>
      <c r="AK939" s="50" t="e">
        <f t="shared" si="247"/>
        <v>#VALUE!</v>
      </c>
    </row>
    <row r="940" spans="1:37" x14ac:dyDescent="0.4">
      <c r="A940" s="2">
        <v>2093</v>
      </c>
      <c r="B940" s="16"/>
      <c r="C940" s="22">
        <f t="shared" si="244"/>
        <v>0</v>
      </c>
      <c r="D940" s="23">
        <f t="shared" si="248"/>
        <v>0</v>
      </c>
      <c r="E940" s="14"/>
      <c r="F940" s="12">
        <f t="shared" si="245"/>
        <v>0</v>
      </c>
      <c r="G940" s="24">
        <f t="shared" si="249"/>
        <v>0</v>
      </c>
      <c r="H940" s="14"/>
      <c r="I940" s="14"/>
      <c r="J940" s="29"/>
      <c r="K940" s="30"/>
      <c r="M940" s="17"/>
      <c r="N940" s="7"/>
      <c r="O940" s="5"/>
      <c r="P940" s="3"/>
      <c r="Q940" s="5"/>
      <c r="R940" s="7" t="str">
        <f t="shared" si="239"/>
        <v/>
      </c>
      <c r="S940" s="5"/>
      <c r="U940" s="10"/>
      <c r="V940" s="11"/>
      <c r="W940" s="6"/>
      <c r="Y940" s="10"/>
      <c r="Z940" s="11" t="str">
        <f t="shared" si="240"/>
        <v/>
      </c>
      <c r="AA940" s="6"/>
      <c r="AB940" s="1">
        <v>1.2</v>
      </c>
      <c r="AC940" s="21" t="str">
        <f t="shared" si="250"/>
        <v/>
      </c>
      <c r="AD940" s="27" t="str">
        <f t="shared" si="243"/>
        <v/>
      </c>
      <c r="AE940" s="27" t="str">
        <f t="shared" si="241"/>
        <v/>
      </c>
      <c r="AF940" s="14">
        <f t="shared" si="251"/>
        <v>0</v>
      </c>
      <c r="AG940" s="12">
        <f t="shared" si="246"/>
        <v>0</v>
      </c>
      <c r="AH940" s="24">
        <f t="shared" si="252"/>
        <v>0</v>
      </c>
      <c r="AI940" s="49" t="e">
        <f t="shared" si="242"/>
        <v>#VALUE!</v>
      </c>
      <c r="AK940" s="50" t="e">
        <f t="shared" si="247"/>
        <v>#VALUE!</v>
      </c>
    </row>
    <row r="941" spans="1:37" x14ac:dyDescent="0.4">
      <c r="A941" s="2">
        <v>2094</v>
      </c>
      <c r="B941" s="16"/>
      <c r="C941" s="22">
        <f t="shared" si="244"/>
        <v>0</v>
      </c>
      <c r="D941" s="23">
        <f t="shared" si="248"/>
        <v>0</v>
      </c>
      <c r="E941" s="14"/>
      <c r="F941" s="12">
        <f t="shared" si="245"/>
        <v>0</v>
      </c>
      <c r="G941" s="24">
        <f t="shared" si="249"/>
        <v>0</v>
      </c>
      <c r="H941" s="14"/>
      <c r="I941" s="14"/>
      <c r="J941" s="29"/>
      <c r="K941" s="30"/>
      <c r="M941" s="17"/>
      <c r="N941" s="7"/>
      <c r="O941" s="5"/>
      <c r="P941" s="3"/>
      <c r="Q941" s="5"/>
      <c r="R941" s="7" t="str">
        <f t="shared" si="239"/>
        <v/>
      </c>
      <c r="S941" s="5"/>
      <c r="U941" s="10"/>
      <c r="V941" s="11"/>
      <c r="W941" s="6"/>
      <c r="Y941" s="10"/>
      <c r="Z941" s="11" t="str">
        <f t="shared" si="240"/>
        <v/>
      </c>
      <c r="AA941" s="6"/>
      <c r="AB941" s="1">
        <v>1.2</v>
      </c>
      <c r="AC941" s="21" t="str">
        <f t="shared" si="250"/>
        <v/>
      </c>
      <c r="AD941" s="27" t="str">
        <f t="shared" si="243"/>
        <v/>
      </c>
      <c r="AE941" s="27" t="str">
        <f t="shared" si="241"/>
        <v/>
      </c>
      <c r="AF941" s="14">
        <f t="shared" si="251"/>
        <v>0</v>
      </c>
      <c r="AG941" s="12">
        <f t="shared" si="246"/>
        <v>0</v>
      </c>
      <c r="AH941" s="24">
        <f t="shared" si="252"/>
        <v>0</v>
      </c>
      <c r="AI941" s="49" t="e">
        <f t="shared" si="242"/>
        <v>#VALUE!</v>
      </c>
      <c r="AK941" s="50" t="e">
        <f t="shared" si="247"/>
        <v>#VALUE!</v>
      </c>
    </row>
    <row r="942" spans="1:37" x14ac:dyDescent="0.4">
      <c r="A942" s="2">
        <v>2095</v>
      </c>
      <c r="B942" s="16"/>
      <c r="C942" s="22">
        <f t="shared" si="244"/>
        <v>0</v>
      </c>
      <c r="D942" s="23">
        <f t="shared" si="248"/>
        <v>0</v>
      </c>
      <c r="E942" s="14"/>
      <c r="F942" s="12">
        <f t="shared" si="245"/>
        <v>0</v>
      </c>
      <c r="G942" s="24">
        <f t="shared" si="249"/>
        <v>0</v>
      </c>
      <c r="H942" s="14"/>
      <c r="I942" s="14"/>
      <c r="J942" s="29"/>
      <c r="K942" s="30"/>
      <c r="M942" s="17"/>
      <c r="N942" s="7"/>
      <c r="O942" s="5"/>
      <c r="P942" s="3"/>
      <c r="Q942" s="5"/>
      <c r="R942" s="7" t="str">
        <f t="shared" si="239"/>
        <v/>
      </c>
      <c r="S942" s="5"/>
      <c r="U942" s="10"/>
      <c r="V942" s="11"/>
      <c r="W942" s="6"/>
      <c r="Y942" s="10"/>
      <c r="Z942" s="11" t="str">
        <f t="shared" si="240"/>
        <v/>
      </c>
      <c r="AA942" s="6"/>
      <c r="AB942" s="1">
        <v>1.2</v>
      </c>
      <c r="AC942" s="21" t="str">
        <f t="shared" si="250"/>
        <v/>
      </c>
      <c r="AD942" s="27" t="str">
        <f t="shared" si="243"/>
        <v/>
      </c>
      <c r="AE942" s="27" t="str">
        <f t="shared" si="241"/>
        <v/>
      </c>
      <c r="AF942" s="14">
        <f t="shared" si="251"/>
        <v>0</v>
      </c>
      <c r="AG942" s="12">
        <f t="shared" si="246"/>
        <v>0</v>
      </c>
      <c r="AH942" s="24">
        <f t="shared" si="252"/>
        <v>0</v>
      </c>
      <c r="AI942" s="49" t="e">
        <f t="shared" si="242"/>
        <v>#VALUE!</v>
      </c>
      <c r="AK942" s="50" t="e">
        <f t="shared" si="247"/>
        <v>#VALUE!</v>
      </c>
    </row>
    <row r="943" spans="1:37" x14ac:dyDescent="0.4">
      <c r="A943" s="2">
        <v>2096</v>
      </c>
      <c r="B943" s="16"/>
      <c r="C943" s="22">
        <f t="shared" si="244"/>
        <v>0</v>
      </c>
      <c r="D943" s="23">
        <f t="shared" si="248"/>
        <v>0</v>
      </c>
      <c r="E943" s="14"/>
      <c r="F943" s="12">
        <f t="shared" si="245"/>
        <v>0</v>
      </c>
      <c r="G943" s="24">
        <f t="shared" si="249"/>
        <v>0</v>
      </c>
      <c r="H943" s="14"/>
      <c r="I943" s="14"/>
      <c r="J943" s="29"/>
      <c r="K943" s="30"/>
      <c r="M943" s="17"/>
      <c r="N943" s="7"/>
      <c r="O943" s="5"/>
      <c r="P943" s="3"/>
      <c r="Q943" s="5"/>
      <c r="R943" s="7" t="str">
        <f t="shared" si="239"/>
        <v/>
      </c>
      <c r="S943" s="5"/>
      <c r="U943" s="10"/>
      <c r="V943" s="11"/>
      <c r="W943" s="6"/>
      <c r="Y943" s="10"/>
      <c r="Z943" s="11" t="str">
        <f t="shared" si="240"/>
        <v/>
      </c>
      <c r="AA943" s="6"/>
      <c r="AB943" s="1">
        <v>1.2</v>
      </c>
      <c r="AC943" s="21" t="str">
        <f t="shared" si="250"/>
        <v/>
      </c>
      <c r="AD943" s="27" t="str">
        <f t="shared" si="243"/>
        <v/>
      </c>
      <c r="AE943" s="27" t="str">
        <f t="shared" si="241"/>
        <v/>
      </c>
      <c r="AF943" s="14">
        <f t="shared" si="251"/>
        <v>0</v>
      </c>
      <c r="AG943" s="12">
        <f t="shared" si="246"/>
        <v>0</v>
      </c>
      <c r="AH943" s="24">
        <f t="shared" si="252"/>
        <v>0</v>
      </c>
      <c r="AI943" s="49" t="e">
        <f t="shared" si="242"/>
        <v>#VALUE!</v>
      </c>
      <c r="AK943" s="50" t="e">
        <f t="shared" si="247"/>
        <v>#VALUE!</v>
      </c>
    </row>
    <row r="944" spans="1:37" x14ac:dyDescent="0.4">
      <c r="A944" s="2">
        <v>2097</v>
      </c>
      <c r="B944" s="16"/>
      <c r="C944" s="22">
        <f t="shared" si="244"/>
        <v>0</v>
      </c>
      <c r="D944" s="23">
        <f t="shared" si="248"/>
        <v>0</v>
      </c>
      <c r="E944" s="14"/>
      <c r="F944" s="12">
        <f t="shared" si="245"/>
        <v>0</v>
      </c>
      <c r="G944" s="24">
        <f t="shared" si="249"/>
        <v>0</v>
      </c>
      <c r="H944" s="14"/>
      <c r="I944" s="14"/>
      <c r="J944" s="29"/>
      <c r="K944" s="30"/>
      <c r="M944" s="17"/>
      <c r="N944" s="7"/>
      <c r="O944" s="5"/>
      <c r="P944" s="3"/>
      <c r="Q944" s="5"/>
      <c r="R944" s="7" t="str">
        <f t="shared" si="239"/>
        <v/>
      </c>
      <c r="S944" s="5"/>
      <c r="U944" s="10"/>
      <c r="V944" s="11"/>
      <c r="W944" s="6"/>
      <c r="Y944" s="10"/>
      <c r="Z944" s="11" t="str">
        <f t="shared" si="240"/>
        <v/>
      </c>
      <c r="AA944" s="6"/>
      <c r="AB944" s="1">
        <v>1.2</v>
      </c>
      <c r="AC944" s="21" t="str">
        <f t="shared" si="250"/>
        <v/>
      </c>
      <c r="AD944" s="27" t="str">
        <f t="shared" si="243"/>
        <v/>
      </c>
      <c r="AE944" s="27" t="str">
        <f t="shared" si="241"/>
        <v/>
      </c>
      <c r="AF944" s="14">
        <f t="shared" si="251"/>
        <v>0</v>
      </c>
      <c r="AG944" s="12">
        <f t="shared" si="246"/>
        <v>0</v>
      </c>
      <c r="AH944" s="24">
        <f t="shared" si="252"/>
        <v>0</v>
      </c>
      <c r="AI944" s="49" t="e">
        <f t="shared" si="242"/>
        <v>#VALUE!</v>
      </c>
      <c r="AK944" s="50" t="e">
        <f t="shared" si="247"/>
        <v>#VALUE!</v>
      </c>
    </row>
    <row r="945" spans="1:37" x14ac:dyDescent="0.4">
      <c r="A945" s="2">
        <v>2098</v>
      </c>
      <c r="B945" s="16"/>
      <c r="C945" s="22">
        <f t="shared" si="244"/>
        <v>0</v>
      </c>
      <c r="D945" s="23">
        <f t="shared" si="248"/>
        <v>0</v>
      </c>
      <c r="E945" s="14"/>
      <c r="F945" s="12">
        <f t="shared" si="245"/>
        <v>0</v>
      </c>
      <c r="G945" s="24">
        <f t="shared" si="249"/>
        <v>0</v>
      </c>
      <c r="H945" s="14"/>
      <c r="I945" s="14"/>
      <c r="J945" s="29"/>
      <c r="K945" s="30"/>
      <c r="M945" s="17"/>
      <c r="N945" s="7"/>
      <c r="O945" s="5"/>
      <c r="P945" s="3"/>
      <c r="Q945" s="5"/>
      <c r="R945" s="7" t="str">
        <f t="shared" si="239"/>
        <v/>
      </c>
      <c r="S945" s="5"/>
      <c r="U945" s="10"/>
      <c r="V945" s="11"/>
      <c r="W945" s="6"/>
      <c r="Y945" s="10"/>
      <c r="Z945" s="11" t="str">
        <f t="shared" si="240"/>
        <v/>
      </c>
      <c r="AA945" s="6"/>
      <c r="AB945" s="1">
        <v>1.2</v>
      </c>
      <c r="AC945" s="21" t="str">
        <f t="shared" si="250"/>
        <v/>
      </c>
      <c r="AD945" s="27" t="str">
        <f t="shared" si="243"/>
        <v/>
      </c>
      <c r="AE945" s="27" t="str">
        <f t="shared" si="241"/>
        <v/>
      </c>
      <c r="AF945" s="14">
        <f t="shared" si="251"/>
        <v>0</v>
      </c>
      <c r="AG945" s="12">
        <f t="shared" si="246"/>
        <v>0</v>
      </c>
      <c r="AH945" s="24">
        <f t="shared" si="252"/>
        <v>0</v>
      </c>
      <c r="AI945" s="49" t="e">
        <f t="shared" si="242"/>
        <v>#VALUE!</v>
      </c>
      <c r="AK945" s="50" t="e">
        <f t="shared" si="247"/>
        <v>#VALUE!</v>
      </c>
    </row>
    <row r="946" spans="1:37" x14ac:dyDescent="0.4">
      <c r="A946" s="2">
        <v>2099</v>
      </c>
      <c r="B946" s="16"/>
      <c r="C946" s="22">
        <f t="shared" si="244"/>
        <v>0</v>
      </c>
      <c r="D946" s="23">
        <f t="shared" si="248"/>
        <v>0</v>
      </c>
      <c r="E946" s="14"/>
      <c r="F946" s="12">
        <f t="shared" si="245"/>
        <v>0</v>
      </c>
      <c r="G946" s="24">
        <f t="shared" si="249"/>
        <v>0</v>
      </c>
      <c r="H946" s="14"/>
      <c r="I946" s="14"/>
      <c r="J946" s="29"/>
      <c r="K946" s="30"/>
      <c r="M946" s="17"/>
      <c r="N946" s="7"/>
      <c r="O946" s="5"/>
      <c r="P946" s="3"/>
      <c r="Q946" s="5"/>
      <c r="R946" s="7" t="str">
        <f t="shared" si="239"/>
        <v/>
      </c>
      <c r="S946" s="5"/>
      <c r="U946" s="10"/>
      <c r="V946" s="11"/>
      <c r="W946" s="6"/>
      <c r="Y946" s="10"/>
      <c r="Z946" s="11" t="str">
        <f t="shared" si="240"/>
        <v/>
      </c>
      <c r="AA946" s="6"/>
      <c r="AB946" s="1">
        <v>1.2</v>
      </c>
      <c r="AC946" s="21" t="str">
        <f t="shared" si="250"/>
        <v/>
      </c>
      <c r="AD946" s="27" t="str">
        <f t="shared" si="243"/>
        <v/>
      </c>
      <c r="AE946" s="27" t="str">
        <f t="shared" si="241"/>
        <v/>
      </c>
      <c r="AF946" s="14">
        <f t="shared" si="251"/>
        <v>0</v>
      </c>
      <c r="AG946" s="12">
        <f t="shared" si="246"/>
        <v>0</v>
      </c>
      <c r="AH946" s="24">
        <f t="shared" si="252"/>
        <v>0</v>
      </c>
      <c r="AI946" s="49" t="e">
        <f t="shared" si="242"/>
        <v>#VALUE!</v>
      </c>
      <c r="AK946" s="50" t="e">
        <f t="shared" si="247"/>
        <v>#VALUE!</v>
      </c>
    </row>
    <row r="947" spans="1:37" x14ac:dyDescent="0.4">
      <c r="A947" s="2">
        <v>2100</v>
      </c>
      <c r="B947" s="16"/>
      <c r="C947" s="22">
        <f t="shared" si="244"/>
        <v>0</v>
      </c>
      <c r="D947" s="23">
        <f t="shared" si="248"/>
        <v>0</v>
      </c>
      <c r="E947" s="14"/>
      <c r="F947" s="12">
        <f t="shared" si="245"/>
        <v>0</v>
      </c>
      <c r="G947" s="24">
        <f t="shared" si="249"/>
        <v>0</v>
      </c>
      <c r="H947" s="14"/>
      <c r="I947" s="14"/>
      <c r="J947" s="29"/>
      <c r="K947" s="30"/>
      <c r="M947" s="17"/>
      <c r="N947" s="7"/>
      <c r="O947" s="5"/>
      <c r="P947" s="3"/>
      <c r="Q947" s="5"/>
      <c r="R947" s="7" t="str">
        <f t="shared" si="239"/>
        <v/>
      </c>
      <c r="S947" s="5"/>
      <c r="U947" s="10"/>
      <c r="V947" s="11"/>
      <c r="W947" s="6"/>
      <c r="Y947" s="10"/>
      <c r="Z947" s="11" t="str">
        <f t="shared" si="240"/>
        <v/>
      </c>
      <c r="AA947" s="6"/>
      <c r="AB947" s="1">
        <v>1.2</v>
      </c>
      <c r="AC947" s="21" t="str">
        <f t="shared" si="250"/>
        <v/>
      </c>
      <c r="AD947" s="27" t="str">
        <f t="shared" si="243"/>
        <v/>
      </c>
      <c r="AE947" s="27" t="str">
        <f t="shared" si="241"/>
        <v/>
      </c>
      <c r="AF947" s="14">
        <f t="shared" si="251"/>
        <v>0</v>
      </c>
      <c r="AG947" s="12">
        <f t="shared" si="246"/>
        <v>0</v>
      </c>
      <c r="AH947" s="24">
        <f t="shared" si="252"/>
        <v>0</v>
      </c>
      <c r="AI947" s="49" t="e">
        <f t="shared" si="242"/>
        <v>#VALUE!</v>
      </c>
      <c r="AK947" s="50" t="e">
        <f t="shared" si="247"/>
        <v>#VALUE!</v>
      </c>
    </row>
    <row r="948" spans="1:37" x14ac:dyDescent="0.4">
      <c r="A948" s="2">
        <v>2101</v>
      </c>
      <c r="B948" s="16"/>
      <c r="C948" s="22">
        <f t="shared" si="244"/>
        <v>0</v>
      </c>
      <c r="D948" s="23">
        <f t="shared" si="248"/>
        <v>0</v>
      </c>
      <c r="E948" s="14"/>
      <c r="F948" s="12">
        <f t="shared" si="245"/>
        <v>0</v>
      </c>
      <c r="G948" s="24">
        <f t="shared" si="249"/>
        <v>0</v>
      </c>
      <c r="H948" s="14"/>
      <c r="I948" s="14"/>
      <c r="J948" s="29"/>
      <c r="K948" s="30"/>
      <c r="M948" s="17"/>
      <c r="N948" s="7"/>
      <c r="O948" s="5"/>
      <c r="P948" s="3"/>
      <c r="Q948" s="5"/>
      <c r="R948" s="7" t="str">
        <f t="shared" si="239"/>
        <v/>
      </c>
      <c r="S948" s="5"/>
      <c r="U948" s="10"/>
      <c r="V948" s="11"/>
      <c r="W948" s="6"/>
      <c r="Y948" s="10"/>
      <c r="Z948" s="11" t="str">
        <f t="shared" si="240"/>
        <v/>
      </c>
      <c r="AA948" s="6"/>
      <c r="AB948" s="1">
        <v>1.2</v>
      </c>
      <c r="AC948" s="21" t="str">
        <f t="shared" si="250"/>
        <v/>
      </c>
      <c r="AD948" s="27" t="str">
        <f t="shared" si="243"/>
        <v/>
      </c>
      <c r="AE948" s="27" t="str">
        <f t="shared" si="241"/>
        <v/>
      </c>
      <c r="AF948" s="14">
        <f t="shared" si="251"/>
        <v>0</v>
      </c>
      <c r="AG948" s="12">
        <f t="shared" si="246"/>
        <v>0</v>
      </c>
      <c r="AH948" s="24">
        <f t="shared" si="252"/>
        <v>0</v>
      </c>
      <c r="AI948" s="49" t="e">
        <f t="shared" si="242"/>
        <v>#VALUE!</v>
      </c>
      <c r="AK948" s="50" t="e">
        <f t="shared" si="247"/>
        <v>#VALUE!</v>
      </c>
    </row>
    <row r="949" spans="1:37" x14ac:dyDescent="0.4">
      <c r="A949" s="2">
        <v>2102</v>
      </c>
      <c r="B949" s="16"/>
      <c r="C949" s="22">
        <f t="shared" si="244"/>
        <v>0</v>
      </c>
      <c r="D949" s="23">
        <f t="shared" si="248"/>
        <v>0</v>
      </c>
      <c r="E949" s="14"/>
      <c r="F949" s="12">
        <f t="shared" si="245"/>
        <v>0</v>
      </c>
      <c r="G949" s="24">
        <f t="shared" si="249"/>
        <v>0</v>
      </c>
      <c r="H949" s="14"/>
      <c r="I949" s="14"/>
      <c r="J949" s="29"/>
      <c r="K949" s="30"/>
      <c r="M949" s="17"/>
      <c r="N949" s="7"/>
      <c r="O949" s="5"/>
      <c r="P949" s="3"/>
      <c r="Q949" s="5"/>
      <c r="R949" s="7" t="str">
        <f t="shared" si="239"/>
        <v/>
      </c>
      <c r="S949" s="5"/>
      <c r="U949" s="10"/>
      <c r="V949" s="11"/>
      <c r="W949" s="6"/>
      <c r="Y949" s="10"/>
      <c r="Z949" s="11" t="str">
        <f t="shared" si="240"/>
        <v/>
      </c>
      <c r="AA949" s="6"/>
      <c r="AB949" s="1">
        <v>1.2</v>
      </c>
      <c r="AC949" s="21" t="str">
        <f t="shared" si="250"/>
        <v/>
      </c>
      <c r="AD949" s="27" t="str">
        <f t="shared" si="243"/>
        <v/>
      </c>
      <c r="AE949" s="27" t="str">
        <f t="shared" si="241"/>
        <v/>
      </c>
      <c r="AF949" s="14">
        <f t="shared" si="251"/>
        <v>0</v>
      </c>
      <c r="AG949" s="12">
        <f t="shared" si="246"/>
        <v>0</v>
      </c>
      <c r="AH949" s="24">
        <f t="shared" si="252"/>
        <v>0</v>
      </c>
      <c r="AI949" s="49" t="e">
        <f t="shared" si="242"/>
        <v>#VALUE!</v>
      </c>
      <c r="AK949" s="50" t="e">
        <f t="shared" si="247"/>
        <v>#VALUE!</v>
      </c>
    </row>
    <row r="950" spans="1:37" x14ac:dyDescent="0.4">
      <c r="A950" s="2">
        <v>2103</v>
      </c>
      <c r="B950" s="16"/>
      <c r="C950" s="22">
        <f t="shared" si="244"/>
        <v>0</v>
      </c>
      <c r="D950" s="23">
        <f t="shared" si="248"/>
        <v>0</v>
      </c>
      <c r="E950" s="14"/>
      <c r="F950" s="12">
        <f t="shared" si="245"/>
        <v>0</v>
      </c>
      <c r="G950" s="24">
        <f t="shared" si="249"/>
        <v>0</v>
      </c>
      <c r="H950" s="14"/>
      <c r="I950" s="14"/>
      <c r="J950" s="29"/>
      <c r="K950" s="30"/>
      <c r="M950" s="17"/>
      <c r="N950" s="7"/>
      <c r="O950" s="5"/>
      <c r="P950" s="3"/>
      <c r="Q950" s="5"/>
      <c r="R950" s="7" t="str">
        <f t="shared" si="239"/>
        <v/>
      </c>
      <c r="S950" s="5"/>
      <c r="U950" s="10"/>
      <c r="V950" s="11"/>
      <c r="W950" s="6"/>
      <c r="Y950" s="10"/>
      <c r="Z950" s="11" t="str">
        <f t="shared" si="240"/>
        <v/>
      </c>
      <c r="AA950" s="6"/>
      <c r="AB950" s="1">
        <v>1.2</v>
      </c>
      <c r="AC950" s="21" t="str">
        <f t="shared" si="250"/>
        <v/>
      </c>
      <c r="AD950" s="27" t="str">
        <f t="shared" si="243"/>
        <v/>
      </c>
      <c r="AE950" s="27" t="str">
        <f t="shared" si="241"/>
        <v/>
      </c>
      <c r="AF950" s="14">
        <f t="shared" si="251"/>
        <v>0</v>
      </c>
      <c r="AG950" s="12">
        <f t="shared" si="246"/>
        <v>0</v>
      </c>
      <c r="AH950" s="24">
        <f t="shared" si="252"/>
        <v>0</v>
      </c>
      <c r="AI950" s="49" t="e">
        <f t="shared" si="242"/>
        <v>#VALUE!</v>
      </c>
      <c r="AK950" s="50" t="e">
        <f t="shared" si="247"/>
        <v>#VALUE!</v>
      </c>
    </row>
    <row r="951" spans="1:37" x14ac:dyDescent="0.4">
      <c r="A951" s="2">
        <v>2104</v>
      </c>
      <c r="B951" s="16"/>
      <c r="C951" s="22">
        <f t="shared" si="244"/>
        <v>0</v>
      </c>
      <c r="D951" s="23">
        <f t="shared" si="248"/>
        <v>0</v>
      </c>
      <c r="E951" s="14"/>
      <c r="F951" s="12">
        <f t="shared" si="245"/>
        <v>0</v>
      </c>
      <c r="G951" s="24">
        <f t="shared" si="249"/>
        <v>0</v>
      </c>
      <c r="H951" s="14"/>
      <c r="I951" s="14"/>
      <c r="J951" s="29"/>
      <c r="K951" s="30"/>
      <c r="M951" s="17"/>
      <c r="N951" s="7"/>
      <c r="O951" s="5"/>
      <c r="P951" s="3"/>
      <c r="Q951" s="5"/>
      <c r="R951" s="7" t="str">
        <f t="shared" si="239"/>
        <v/>
      </c>
      <c r="S951" s="5"/>
      <c r="U951" s="10"/>
      <c r="V951" s="11"/>
      <c r="W951" s="6"/>
      <c r="Y951" s="10"/>
      <c r="Z951" s="11" t="str">
        <f t="shared" si="240"/>
        <v/>
      </c>
      <c r="AA951" s="6"/>
      <c r="AB951" s="1">
        <v>1.2</v>
      </c>
      <c r="AC951" s="21" t="str">
        <f t="shared" si="250"/>
        <v/>
      </c>
      <c r="AD951" s="27" t="str">
        <f t="shared" si="243"/>
        <v/>
      </c>
      <c r="AE951" s="27" t="str">
        <f t="shared" si="241"/>
        <v/>
      </c>
      <c r="AF951" s="14">
        <f t="shared" si="251"/>
        <v>0</v>
      </c>
      <c r="AG951" s="12">
        <f t="shared" si="246"/>
        <v>0</v>
      </c>
      <c r="AH951" s="24">
        <f t="shared" si="252"/>
        <v>0</v>
      </c>
      <c r="AI951" s="49" t="e">
        <f t="shared" si="242"/>
        <v>#VALUE!</v>
      </c>
      <c r="AK951" s="50" t="e">
        <f t="shared" si="247"/>
        <v>#VALUE!</v>
      </c>
    </row>
    <row r="952" spans="1:37" x14ac:dyDescent="0.4">
      <c r="A952" s="2">
        <v>2105</v>
      </c>
      <c r="B952" s="16"/>
      <c r="C952" s="22">
        <f t="shared" si="244"/>
        <v>0</v>
      </c>
      <c r="D952" s="23">
        <f t="shared" si="248"/>
        <v>0</v>
      </c>
      <c r="E952" s="14"/>
      <c r="F952" s="12">
        <f t="shared" si="245"/>
        <v>0</v>
      </c>
      <c r="G952" s="24">
        <f t="shared" si="249"/>
        <v>0</v>
      </c>
      <c r="H952" s="14"/>
      <c r="I952" s="14"/>
      <c r="J952" s="29"/>
      <c r="K952" s="30"/>
      <c r="M952" s="17"/>
      <c r="N952" s="7"/>
      <c r="O952" s="5"/>
      <c r="P952" s="3"/>
      <c r="Q952" s="5"/>
      <c r="R952" s="7" t="str">
        <f t="shared" si="239"/>
        <v/>
      </c>
      <c r="S952" s="5"/>
      <c r="U952" s="10"/>
      <c r="V952" s="11"/>
      <c r="W952" s="6"/>
      <c r="Y952" s="10"/>
      <c r="Z952" s="11" t="str">
        <f t="shared" si="240"/>
        <v/>
      </c>
      <c r="AA952" s="6"/>
      <c r="AB952" s="1">
        <v>1.2</v>
      </c>
      <c r="AC952" s="21" t="str">
        <f t="shared" si="250"/>
        <v/>
      </c>
      <c r="AD952" s="27" t="str">
        <f t="shared" si="243"/>
        <v/>
      </c>
      <c r="AE952" s="27" t="str">
        <f t="shared" si="241"/>
        <v/>
      </c>
      <c r="AF952" s="14">
        <f t="shared" si="251"/>
        <v>0</v>
      </c>
      <c r="AG952" s="12">
        <f t="shared" si="246"/>
        <v>0</v>
      </c>
      <c r="AH952" s="24">
        <f t="shared" si="252"/>
        <v>0</v>
      </c>
      <c r="AI952" s="49" t="e">
        <f t="shared" si="242"/>
        <v>#VALUE!</v>
      </c>
      <c r="AK952" s="50" t="e">
        <f t="shared" si="247"/>
        <v>#VALUE!</v>
      </c>
    </row>
    <row r="953" spans="1:37" x14ac:dyDescent="0.4">
      <c r="A953" s="2">
        <v>2106</v>
      </c>
      <c r="B953" s="16"/>
      <c r="C953" s="22">
        <f t="shared" si="244"/>
        <v>0</v>
      </c>
      <c r="D953" s="23">
        <f t="shared" si="248"/>
        <v>0</v>
      </c>
      <c r="E953" s="14"/>
      <c r="F953" s="12">
        <f t="shared" si="245"/>
        <v>0</v>
      </c>
      <c r="G953" s="24">
        <f t="shared" si="249"/>
        <v>0</v>
      </c>
      <c r="H953" s="14"/>
      <c r="I953" s="14"/>
      <c r="J953" s="29"/>
      <c r="K953" s="30"/>
      <c r="M953" s="17"/>
      <c r="N953" s="7"/>
      <c r="O953" s="5"/>
      <c r="P953" s="3"/>
      <c r="Q953" s="5"/>
      <c r="R953" s="7" t="str">
        <f t="shared" si="239"/>
        <v/>
      </c>
      <c r="S953" s="5"/>
      <c r="U953" s="10"/>
      <c r="V953" s="11"/>
      <c r="W953" s="6"/>
      <c r="Y953" s="10"/>
      <c r="Z953" s="11" t="str">
        <f t="shared" si="240"/>
        <v/>
      </c>
      <c r="AA953" s="6"/>
      <c r="AB953" s="1">
        <v>1.2</v>
      </c>
      <c r="AC953" s="21" t="str">
        <f t="shared" si="250"/>
        <v/>
      </c>
      <c r="AD953" s="27" t="str">
        <f t="shared" si="243"/>
        <v/>
      </c>
      <c r="AE953" s="27" t="str">
        <f t="shared" si="241"/>
        <v/>
      </c>
      <c r="AF953" s="14">
        <f t="shared" si="251"/>
        <v>0</v>
      </c>
      <c r="AG953" s="12">
        <f t="shared" si="246"/>
        <v>0</v>
      </c>
      <c r="AH953" s="24">
        <f t="shared" si="252"/>
        <v>0</v>
      </c>
      <c r="AI953" s="49" t="e">
        <f t="shared" si="242"/>
        <v>#VALUE!</v>
      </c>
      <c r="AK953" s="50" t="e">
        <f t="shared" si="247"/>
        <v>#VALUE!</v>
      </c>
    </row>
    <row r="954" spans="1:37" x14ac:dyDescent="0.4">
      <c r="A954" s="2">
        <v>2107</v>
      </c>
      <c r="B954" s="16"/>
      <c r="C954" s="22">
        <f t="shared" si="244"/>
        <v>0</v>
      </c>
      <c r="D954" s="23">
        <f t="shared" si="248"/>
        <v>0</v>
      </c>
      <c r="E954" s="14"/>
      <c r="F954" s="12">
        <f t="shared" si="245"/>
        <v>0</v>
      </c>
      <c r="G954" s="24">
        <f t="shared" si="249"/>
        <v>0</v>
      </c>
      <c r="H954" s="14"/>
      <c r="I954" s="14"/>
      <c r="J954" s="29"/>
      <c r="K954" s="30"/>
      <c r="M954" s="17"/>
      <c r="N954" s="7"/>
      <c r="O954" s="5"/>
      <c r="P954" s="3"/>
      <c r="Q954" s="5"/>
      <c r="R954" s="7" t="str">
        <f t="shared" si="239"/>
        <v/>
      </c>
      <c r="S954" s="5"/>
      <c r="U954" s="10"/>
      <c r="V954" s="11"/>
      <c r="W954" s="6"/>
      <c r="Y954" s="10"/>
      <c r="Z954" s="11" t="str">
        <f t="shared" si="240"/>
        <v/>
      </c>
      <c r="AA954" s="6"/>
      <c r="AB954" s="1">
        <v>1.2</v>
      </c>
      <c r="AC954" s="21" t="str">
        <f t="shared" si="250"/>
        <v/>
      </c>
      <c r="AD954" s="27" t="str">
        <f t="shared" si="243"/>
        <v/>
      </c>
      <c r="AE954" s="27" t="str">
        <f t="shared" si="241"/>
        <v/>
      </c>
      <c r="AF954" s="14">
        <f t="shared" si="251"/>
        <v>0</v>
      </c>
      <c r="AG954" s="12">
        <f t="shared" si="246"/>
        <v>0</v>
      </c>
      <c r="AH954" s="24">
        <f t="shared" si="252"/>
        <v>0</v>
      </c>
      <c r="AI954" s="49" t="e">
        <f t="shared" si="242"/>
        <v>#VALUE!</v>
      </c>
      <c r="AK954" s="50" t="e">
        <f t="shared" si="247"/>
        <v>#VALUE!</v>
      </c>
    </row>
    <row r="955" spans="1:37" x14ac:dyDescent="0.4">
      <c r="A955" s="2">
        <v>2108</v>
      </c>
      <c r="B955" s="16"/>
      <c r="C955" s="22">
        <f t="shared" si="244"/>
        <v>0</v>
      </c>
      <c r="D955" s="23">
        <f t="shared" si="248"/>
        <v>0</v>
      </c>
      <c r="E955" s="14"/>
      <c r="F955" s="12">
        <f t="shared" si="245"/>
        <v>0</v>
      </c>
      <c r="G955" s="24">
        <f t="shared" si="249"/>
        <v>0</v>
      </c>
      <c r="H955" s="14"/>
      <c r="I955" s="14"/>
      <c r="J955" s="29"/>
      <c r="K955" s="30"/>
      <c r="M955" s="17"/>
      <c r="N955" s="7"/>
      <c r="O955" s="5"/>
      <c r="P955" s="3"/>
      <c r="Q955" s="5"/>
      <c r="R955" s="7"/>
      <c r="S955" s="5"/>
      <c r="U955" s="10"/>
      <c r="V955" s="11"/>
      <c r="W955" s="6"/>
      <c r="Y955" s="10"/>
      <c r="Z955" s="11" t="str">
        <f t="shared" si="240"/>
        <v/>
      </c>
      <c r="AA955" s="6"/>
      <c r="AB955" s="1">
        <v>1.2</v>
      </c>
      <c r="AC955" s="21" t="str">
        <f t="shared" si="250"/>
        <v/>
      </c>
      <c r="AD955" s="27" t="str">
        <f t="shared" si="243"/>
        <v/>
      </c>
      <c r="AE955" s="27" t="str">
        <f t="shared" si="241"/>
        <v/>
      </c>
      <c r="AF955" s="14">
        <f t="shared" si="251"/>
        <v>0</v>
      </c>
      <c r="AG955" s="12">
        <f t="shared" si="246"/>
        <v>0</v>
      </c>
      <c r="AH955" s="24">
        <f t="shared" si="252"/>
        <v>0</v>
      </c>
      <c r="AI955" s="49" t="e">
        <f t="shared" si="242"/>
        <v>#VALUE!</v>
      </c>
      <c r="AK955" s="50" t="e">
        <f t="shared" si="247"/>
        <v>#VALUE!</v>
      </c>
    </row>
    <row r="956" spans="1:37" x14ac:dyDescent="0.4">
      <c r="A956" s="2">
        <v>2109</v>
      </c>
      <c r="B956" s="16"/>
      <c r="C956" s="22">
        <f t="shared" si="244"/>
        <v>0</v>
      </c>
      <c r="D956" s="23">
        <f t="shared" si="248"/>
        <v>0</v>
      </c>
      <c r="E956" s="14"/>
      <c r="F956" s="12">
        <f t="shared" si="245"/>
        <v>0</v>
      </c>
      <c r="G956" s="24">
        <f t="shared" si="249"/>
        <v>0</v>
      </c>
      <c r="H956" s="14"/>
      <c r="I956" s="14"/>
      <c r="J956" s="29"/>
      <c r="K956" s="30"/>
      <c r="M956" s="17"/>
      <c r="N956" s="7"/>
      <c r="O956" s="5"/>
      <c r="P956" s="3"/>
      <c r="Q956" s="5"/>
      <c r="R956" s="7"/>
      <c r="S956" s="5"/>
      <c r="U956" s="10"/>
      <c r="V956" s="11"/>
      <c r="W956" s="6"/>
      <c r="Y956" s="10"/>
      <c r="Z956" s="11" t="str">
        <f t="shared" si="240"/>
        <v/>
      </c>
      <c r="AA956" s="6"/>
      <c r="AB956" s="1">
        <v>1.2</v>
      </c>
      <c r="AC956" s="21" t="str">
        <f t="shared" si="250"/>
        <v/>
      </c>
      <c r="AD956" s="27" t="str">
        <f t="shared" si="243"/>
        <v/>
      </c>
      <c r="AE956" s="27" t="str">
        <f t="shared" si="241"/>
        <v/>
      </c>
      <c r="AF956" s="14">
        <f t="shared" si="251"/>
        <v>0</v>
      </c>
      <c r="AG956" s="12">
        <f t="shared" si="246"/>
        <v>0</v>
      </c>
      <c r="AH956" s="24">
        <f t="shared" si="252"/>
        <v>0</v>
      </c>
      <c r="AI956" s="49" t="e">
        <f t="shared" si="242"/>
        <v>#VALUE!</v>
      </c>
      <c r="AK956" s="50" t="e">
        <f t="shared" si="247"/>
        <v>#VALUE!</v>
      </c>
    </row>
    <row r="957" spans="1:37" x14ac:dyDescent="0.4">
      <c r="A957" s="2">
        <v>2110</v>
      </c>
      <c r="B957" s="16"/>
      <c r="C957" s="22">
        <f t="shared" si="244"/>
        <v>0</v>
      </c>
      <c r="D957" s="23">
        <f t="shared" si="248"/>
        <v>0</v>
      </c>
      <c r="E957" s="14"/>
      <c r="F957" s="12">
        <f t="shared" si="245"/>
        <v>0</v>
      </c>
      <c r="G957" s="24">
        <f t="shared" si="249"/>
        <v>0</v>
      </c>
      <c r="H957" s="14"/>
      <c r="I957" s="14"/>
      <c r="J957" s="29"/>
      <c r="K957" s="30"/>
      <c r="M957" s="17"/>
      <c r="N957" s="7"/>
      <c r="O957" s="5"/>
      <c r="P957" s="3"/>
      <c r="Q957" s="5"/>
      <c r="R957" s="7"/>
      <c r="S957" s="5"/>
      <c r="U957" s="10"/>
      <c r="V957" s="11"/>
      <c r="W957" s="6"/>
      <c r="Y957" s="10"/>
      <c r="Z957" s="11" t="str">
        <f t="shared" si="240"/>
        <v/>
      </c>
      <c r="AA957" s="6"/>
      <c r="AB957" s="1">
        <v>1.2</v>
      </c>
      <c r="AC957" s="21" t="str">
        <f t="shared" si="250"/>
        <v/>
      </c>
      <c r="AD957" s="27" t="str">
        <f t="shared" si="243"/>
        <v/>
      </c>
      <c r="AE957" s="27" t="str">
        <f t="shared" si="241"/>
        <v/>
      </c>
      <c r="AF957" s="14">
        <f t="shared" si="251"/>
        <v>0</v>
      </c>
      <c r="AG957" s="12">
        <f t="shared" si="246"/>
        <v>0</v>
      </c>
      <c r="AH957" s="24">
        <f t="shared" si="252"/>
        <v>0</v>
      </c>
      <c r="AI957" s="49" t="e">
        <f t="shared" si="242"/>
        <v>#VALUE!</v>
      </c>
      <c r="AK957" s="50" t="e">
        <f t="shared" si="247"/>
        <v>#VALUE!</v>
      </c>
    </row>
    <row r="958" spans="1:37" x14ac:dyDescent="0.4">
      <c r="A958" s="2">
        <v>2111</v>
      </c>
      <c r="B958" s="16"/>
      <c r="C958" s="22">
        <f t="shared" si="244"/>
        <v>0</v>
      </c>
      <c r="D958" s="23">
        <f t="shared" si="248"/>
        <v>0</v>
      </c>
      <c r="E958" s="14"/>
      <c r="F958" s="12">
        <f t="shared" si="245"/>
        <v>0</v>
      </c>
      <c r="G958" s="24">
        <f t="shared" si="249"/>
        <v>0</v>
      </c>
      <c r="H958" s="14"/>
      <c r="I958" s="14"/>
      <c r="J958" s="29"/>
      <c r="K958" s="30"/>
      <c r="M958" s="17"/>
      <c r="N958" s="7"/>
      <c r="O958" s="5"/>
      <c r="P958" s="3"/>
      <c r="Q958" s="5"/>
      <c r="R958" s="7"/>
      <c r="S958" s="5"/>
      <c r="U958" s="10"/>
      <c r="V958" s="11"/>
      <c r="W958" s="6"/>
      <c r="Y958" s="10"/>
      <c r="Z958" s="11" t="str">
        <f t="shared" si="240"/>
        <v/>
      </c>
      <c r="AA958" s="6"/>
      <c r="AB958" s="1">
        <v>1.2</v>
      </c>
      <c r="AC958" s="21" t="str">
        <f t="shared" si="250"/>
        <v/>
      </c>
      <c r="AD958" s="27" t="str">
        <f t="shared" si="243"/>
        <v/>
      </c>
      <c r="AE958" s="27" t="str">
        <f t="shared" si="241"/>
        <v/>
      </c>
      <c r="AF958" s="14">
        <f t="shared" si="251"/>
        <v>0</v>
      </c>
      <c r="AG958" s="12">
        <f t="shared" si="246"/>
        <v>0</v>
      </c>
      <c r="AH958" s="24">
        <f t="shared" si="252"/>
        <v>0</v>
      </c>
      <c r="AI958" s="49" t="e">
        <f t="shared" si="242"/>
        <v>#VALUE!</v>
      </c>
      <c r="AK958" s="50" t="e">
        <f t="shared" si="247"/>
        <v>#VALUE!</v>
      </c>
    </row>
    <row r="959" spans="1:37" x14ac:dyDescent="0.4">
      <c r="A959" s="2">
        <v>2112</v>
      </c>
      <c r="B959" s="16"/>
      <c r="C959" s="22">
        <f t="shared" si="244"/>
        <v>0</v>
      </c>
      <c r="D959" s="23">
        <f t="shared" si="248"/>
        <v>0</v>
      </c>
      <c r="E959" s="14"/>
      <c r="F959" s="12">
        <f t="shared" si="245"/>
        <v>0</v>
      </c>
      <c r="G959" s="24">
        <f t="shared" si="249"/>
        <v>0</v>
      </c>
      <c r="H959" s="14"/>
      <c r="I959" s="14"/>
      <c r="J959" s="29"/>
      <c r="K959" s="30"/>
      <c r="M959" s="17"/>
      <c r="N959" s="7"/>
      <c r="O959" s="5"/>
      <c r="P959" s="3"/>
      <c r="Q959" s="5"/>
      <c r="R959" s="7"/>
      <c r="S959" s="5"/>
      <c r="U959" s="10"/>
      <c r="V959" s="11"/>
      <c r="W959" s="6"/>
      <c r="Y959" s="10"/>
      <c r="Z959" s="11" t="str">
        <f t="shared" si="240"/>
        <v/>
      </c>
      <c r="AA959" s="6"/>
      <c r="AB959" s="1">
        <v>1.2</v>
      </c>
      <c r="AC959" s="21" t="str">
        <f t="shared" si="250"/>
        <v/>
      </c>
      <c r="AD959" s="27" t="str">
        <f t="shared" si="243"/>
        <v/>
      </c>
      <c r="AE959" s="27" t="str">
        <f t="shared" si="241"/>
        <v/>
      </c>
      <c r="AF959" s="14">
        <f t="shared" si="251"/>
        <v>0</v>
      </c>
      <c r="AG959" s="12">
        <f t="shared" si="246"/>
        <v>0</v>
      </c>
      <c r="AH959" s="24">
        <f t="shared" si="252"/>
        <v>0</v>
      </c>
      <c r="AI959" s="49" t="e">
        <f t="shared" si="242"/>
        <v>#VALUE!</v>
      </c>
      <c r="AK959" s="50" t="e">
        <f t="shared" si="247"/>
        <v>#VALUE!</v>
      </c>
    </row>
    <row r="960" spans="1:37" x14ac:dyDescent="0.4">
      <c r="A960" s="2">
        <v>2113</v>
      </c>
      <c r="B960" s="16"/>
      <c r="C960" s="22">
        <f t="shared" si="244"/>
        <v>0</v>
      </c>
      <c r="D960" s="23">
        <f t="shared" si="248"/>
        <v>0</v>
      </c>
      <c r="E960" s="14"/>
      <c r="F960" s="12">
        <f t="shared" si="245"/>
        <v>0</v>
      </c>
      <c r="G960" s="24">
        <f t="shared" si="249"/>
        <v>0</v>
      </c>
      <c r="H960" s="14"/>
      <c r="I960" s="14"/>
      <c r="J960" s="29"/>
      <c r="K960" s="30"/>
      <c r="M960" s="17"/>
      <c r="N960" s="7"/>
      <c r="O960" s="5"/>
      <c r="P960" s="3"/>
      <c r="Q960" s="5"/>
      <c r="R960" s="7"/>
      <c r="S960" s="5"/>
      <c r="U960" s="10"/>
      <c r="V960" s="11"/>
      <c r="W960" s="6"/>
      <c r="Y960" s="10"/>
      <c r="Z960" s="11" t="str">
        <f t="shared" si="240"/>
        <v/>
      </c>
      <c r="AA960" s="6"/>
      <c r="AB960" s="1">
        <v>1.2</v>
      </c>
      <c r="AC960" s="21" t="str">
        <f t="shared" si="250"/>
        <v/>
      </c>
      <c r="AD960" s="27" t="str">
        <f t="shared" si="243"/>
        <v/>
      </c>
      <c r="AE960" s="27" t="str">
        <f t="shared" si="241"/>
        <v/>
      </c>
      <c r="AF960" s="14">
        <f t="shared" si="251"/>
        <v>0</v>
      </c>
      <c r="AG960" s="12">
        <f t="shared" si="246"/>
        <v>0</v>
      </c>
      <c r="AH960" s="24">
        <f t="shared" si="252"/>
        <v>0</v>
      </c>
      <c r="AI960" s="49" t="e">
        <f t="shared" si="242"/>
        <v>#VALUE!</v>
      </c>
      <c r="AK960" s="50" t="e">
        <f t="shared" si="247"/>
        <v>#VALUE!</v>
      </c>
    </row>
    <row r="961" spans="1:37" x14ac:dyDescent="0.4">
      <c r="A961" s="2">
        <v>2114</v>
      </c>
      <c r="B961" s="16"/>
      <c r="C961" s="22">
        <f t="shared" si="244"/>
        <v>0</v>
      </c>
      <c r="D961" s="23">
        <f t="shared" si="248"/>
        <v>0</v>
      </c>
      <c r="E961" s="14"/>
      <c r="F961" s="12">
        <f t="shared" si="245"/>
        <v>0</v>
      </c>
      <c r="G961" s="24">
        <f t="shared" si="249"/>
        <v>0</v>
      </c>
      <c r="H961" s="14"/>
      <c r="I961" s="14"/>
      <c r="J961" s="29"/>
      <c r="K961" s="30"/>
      <c r="M961" s="17"/>
      <c r="N961" s="7"/>
      <c r="O961" s="5"/>
      <c r="P961" s="3"/>
      <c r="Q961" s="5"/>
      <c r="R961" s="7"/>
      <c r="S961" s="5"/>
      <c r="U961" s="10"/>
      <c r="V961" s="11"/>
      <c r="W961" s="6"/>
      <c r="Y961" s="10"/>
      <c r="Z961" s="11" t="str">
        <f t="shared" si="240"/>
        <v/>
      </c>
      <c r="AA961" s="6"/>
      <c r="AB961" s="1">
        <v>1.2</v>
      </c>
      <c r="AC961" s="21" t="str">
        <f t="shared" si="250"/>
        <v/>
      </c>
      <c r="AD961" s="27" t="str">
        <f t="shared" si="243"/>
        <v/>
      </c>
      <c r="AE961" s="27" t="str">
        <f t="shared" si="241"/>
        <v/>
      </c>
      <c r="AF961" s="14">
        <f t="shared" si="251"/>
        <v>0</v>
      </c>
      <c r="AG961" s="12">
        <f t="shared" si="246"/>
        <v>0</v>
      </c>
      <c r="AH961" s="24">
        <f t="shared" si="252"/>
        <v>0</v>
      </c>
      <c r="AI961" s="49" t="e">
        <f t="shared" si="242"/>
        <v>#VALUE!</v>
      </c>
      <c r="AK961" s="50" t="e">
        <f t="shared" si="247"/>
        <v>#VALUE!</v>
      </c>
    </row>
    <row r="962" spans="1:37" x14ac:dyDescent="0.4">
      <c r="A962" s="2">
        <v>2115</v>
      </c>
      <c r="B962" s="16"/>
      <c r="C962" s="22">
        <f t="shared" si="244"/>
        <v>0</v>
      </c>
      <c r="D962" s="23">
        <f t="shared" si="248"/>
        <v>0</v>
      </c>
      <c r="E962" s="14"/>
      <c r="F962" s="12">
        <f t="shared" si="245"/>
        <v>0</v>
      </c>
      <c r="G962" s="24">
        <f t="shared" si="249"/>
        <v>0</v>
      </c>
      <c r="H962" s="14"/>
      <c r="I962" s="14"/>
      <c r="J962" s="29"/>
      <c r="K962" s="30"/>
      <c r="M962" s="17"/>
      <c r="N962" s="7"/>
      <c r="O962" s="5"/>
      <c r="P962" s="3"/>
      <c r="Q962" s="5"/>
      <c r="R962" s="7"/>
      <c r="S962" s="5"/>
      <c r="U962" s="10"/>
      <c r="V962" s="11"/>
      <c r="W962" s="6"/>
      <c r="Y962" s="10"/>
      <c r="Z962" s="11" t="str">
        <f t="shared" si="240"/>
        <v/>
      </c>
      <c r="AA962" s="6"/>
      <c r="AB962" s="1">
        <v>1.2</v>
      </c>
      <c r="AC962" s="21" t="str">
        <f t="shared" si="250"/>
        <v/>
      </c>
      <c r="AD962" s="27" t="str">
        <f t="shared" si="243"/>
        <v/>
      </c>
      <c r="AE962" s="27" t="str">
        <f t="shared" si="241"/>
        <v/>
      </c>
      <c r="AF962" s="14">
        <f t="shared" si="251"/>
        <v>0</v>
      </c>
      <c r="AG962" s="12">
        <f t="shared" si="246"/>
        <v>0</v>
      </c>
      <c r="AH962" s="24">
        <f t="shared" si="252"/>
        <v>0</v>
      </c>
      <c r="AI962" s="49" t="e">
        <f t="shared" si="242"/>
        <v>#VALUE!</v>
      </c>
      <c r="AK962" s="50" t="e">
        <f t="shared" si="247"/>
        <v>#VALUE!</v>
      </c>
    </row>
    <row r="963" spans="1:37" x14ac:dyDescent="0.4">
      <c r="A963" s="2">
        <v>2116</v>
      </c>
      <c r="B963" s="16"/>
      <c r="C963" s="22">
        <f t="shared" si="244"/>
        <v>0</v>
      </c>
      <c r="D963" s="23">
        <f t="shared" si="248"/>
        <v>0</v>
      </c>
      <c r="E963" s="14"/>
      <c r="F963" s="12">
        <f t="shared" si="245"/>
        <v>0</v>
      </c>
      <c r="G963" s="24">
        <f t="shared" si="249"/>
        <v>0</v>
      </c>
      <c r="H963" s="14"/>
      <c r="I963" s="14"/>
      <c r="J963" s="29"/>
      <c r="K963" s="30"/>
      <c r="M963" s="17"/>
      <c r="N963" s="7"/>
      <c r="O963" s="5"/>
      <c r="P963" s="3"/>
      <c r="Q963" s="5"/>
      <c r="R963" s="7"/>
      <c r="S963" s="5"/>
      <c r="U963" s="10"/>
      <c r="V963" s="11"/>
      <c r="W963" s="6"/>
      <c r="Y963" s="10"/>
      <c r="Z963" s="11" t="str">
        <f t="shared" si="240"/>
        <v/>
      </c>
      <c r="AA963" s="6"/>
      <c r="AB963" s="1">
        <v>1.2</v>
      </c>
      <c r="AC963" s="21" t="str">
        <f t="shared" si="250"/>
        <v/>
      </c>
      <c r="AD963" s="27" t="str">
        <f t="shared" si="243"/>
        <v/>
      </c>
      <c r="AE963" s="27" t="str">
        <f t="shared" si="241"/>
        <v/>
      </c>
      <c r="AF963" s="14">
        <f t="shared" si="251"/>
        <v>0</v>
      </c>
      <c r="AG963" s="12">
        <f t="shared" si="246"/>
        <v>0</v>
      </c>
      <c r="AH963" s="24">
        <f t="shared" si="252"/>
        <v>0</v>
      </c>
      <c r="AI963" s="49" t="e">
        <f t="shared" si="242"/>
        <v>#VALUE!</v>
      </c>
      <c r="AK963" s="50" t="e">
        <f t="shared" si="247"/>
        <v>#VALUE!</v>
      </c>
    </row>
    <row r="964" spans="1:37" x14ac:dyDescent="0.4">
      <c r="A964" s="2">
        <v>2117</v>
      </c>
      <c r="B964" s="16"/>
      <c r="C964" s="22">
        <f t="shared" si="244"/>
        <v>0</v>
      </c>
      <c r="D964" s="23">
        <f t="shared" si="248"/>
        <v>0</v>
      </c>
      <c r="E964" s="14"/>
      <c r="F964" s="12">
        <f t="shared" si="245"/>
        <v>0</v>
      </c>
      <c r="G964" s="24">
        <f t="shared" si="249"/>
        <v>0</v>
      </c>
      <c r="H964" s="14"/>
      <c r="I964" s="14"/>
      <c r="J964" s="29"/>
      <c r="K964" s="30"/>
      <c r="M964" s="17"/>
      <c r="N964" s="7"/>
      <c r="O964" s="5"/>
      <c r="P964" s="3"/>
      <c r="Q964" s="5"/>
      <c r="R964" s="7"/>
      <c r="S964" s="5"/>
      <c r="U964" s="10"/>
      <c r="V964" s="11"/>
      <c r="W964" s="6"/>
      <c r="Y964" s="10"/>
      <c r="Z964" s="11" t="str">
        <f t="shared" si="240"/>
        <v/>
      </c>
      <c r="AA964" s="6"/>
      <c r="AB964" s="1">
        <v>1.2</v>
      </c>
      <c r="AC964" s="21" t="str">
        <f t="shared" si="250"/>
        <v/>
      </c>
      <c r="AD964" s="27" t="str">
        <f t="shared" si="243"/>
        <v/>
      </c>
      <c r="AE964" s="27" t="str">
        <f t="shared" si="241"/>
        <v/>
      </c>
      <c r="AF964" s="14">
        <f t="shared" si="251"/>
        <v>0</v>
      </c>
      <c r="AG964" s="12">
        <f t="shared" si="246"/>
        <v>0</v>
      </c>
      <c r="AH964" s="24">
        <f t="shared" si="252"/>
        <v>0</v>
      </c>
      <c r="AI964" s="49" t="e">
        <f t="shared" si="242"/>
        <v>#VALUE!</v>
      </c>
      <c r="AK964" s="50" t="e">
        <f t="shared" si="247"/>
        <v>#VALUE!</v>
      </c>
    </row>
    <row r="965" spans="1:37" x14ac:dyDescent="0.4">
      <c r="A965" s="2">
        <v>2118</v>
      </c>
      <c r="B965" s="16"/>
      <c r="C965" s="22">
        <f t="shared" si="244"/>
        <v>0</v>
      </c>
      <c r="D965" s="23">
        <f t="shared" si="248"/>
        <v>0</v>
      </c>
      <c r="E965" s="14"/>
      <c r="F965" s="12">
        <f t="shared" si="245"/>
        <v>0</v>
      </c>
      <c r="G965" s="24">
        <f t="shared" si="249"/>
        <v>0</v>
      </c>
      <c r="H965" s="14"/>
      <c r="I965" s="14"/>
      <c r="J965" s="29"/>
      <c r="K965" s="30"/>
      <c r="M965" s="17"/>
      <c r="N965" s="7"/>
      <c r="O965" s="5"/>
      <c r="P965" s="3"/>
      <c r="Q965" s="5"/>
      <c r="R965" s="7"/>
      <c r="S965" s="5"/>
      <c r="U965" s="10"/>
      <c r="V965" s="11"/>
      <c r="W965" s="6"/>
      <c r="Y965" s="10"/>
      <c r="Z965" s="11" t="str">
        <f t="shared" si="240"/>
        <v/>
      </c>
      <c r="AA965" s="6"/>
      <c r="AB965" s="1">
        <v>1.2</v>
      </c>
      <c r="AC965" s="21" t="str">
        <f t="shared" si="250"/>
        <v/>
      </c>
      <c r="AD965" s="27" t="str">
        <f t="shared" si="243"/>
        <v/>
      </c>
      <c r="AE965" s="27" t="str">
        <f t="shared" si="241"/>
        <v/>
      </c>
      <c r="AF965" s="14">
        <f t="shared" si="251"/>
        <v>0</v>
      </c>
      <c r="AG965" s="12">
        <f t="shared" si="246"/>
        <v>0</v>
      </c>
      <c r="AH965" s="24">
        <f t="shared" si="252"/>
        <v>0</v>
      </c>
      <c r="AI965" s="49" t="e">
        <f t="shared" si="242"/>
        <v>#VALUE!</v>
      </c>
      <c r="AK965" s="50" t="e">
        <f t="shared" si="247"/>
        <v>#VALUE!</v>
      </c>
    </row>
    <row r="966" spans="1:37" x14ac:dyDescent="0.4">
      <c r="A966" s="2">
        <v>2119</v>
      </c>
      <c r="B966" s="16"/>
      <c r="C966" s="22">
        <f t="shared" si="244"/>
        <v>0</v>
      </c>
      <c r="D966" s="23">
        <f t="shared" si="248"/>
        <v>0</v>
      </c>
      <c r="E966" s="14"/>
      <c r="F966" s="12">
        <f t="shared" si="245"/>
        <v>0</v>
      </c>
      <c r="G966" s="24">
        <f t="shared" si="249"/>
        <v>0</v>
      </c>
      <c r="H966" s="14"/>
      <c r="I966" s="14"/>
      <c r="J966" s="29"/>
      <c r="K966" s="30"/>
      <c r="M966" s="17"/>
      <c r="N966" s="7"/>
      <c r="O966" s="5"/>
      <c r="P966" s="3"/>
      <c r="Q966" s="5"/>
      <c r="R966" s="7"/>
      <c r="S966" s="5"/>
      <c r="U966" s="10"/>
      <c r="V966" s="11"/>
      <c r="W966" s="6"/>
      <c r="Y966" s="10"/>
      <c r="Z966" s="11" t="str">
        <f t="shared" si="240"/>
        <v/>
      </c>
      <c r="AA966" s="6"/>
      <c r="AB966" s="1">
        <v>1.2</v>
      </c>
      <c r="AC966" s="21" t="str">
        <f t="shared" si="250"/>
        <v/>
      </c>
      <c r="AD966" s="27" t="str">
        <f t="shared" si="243"/>
        <v/>
      </c>
      <c r="AE966" s="27" t="str">
        <f t="shared" si="241"/>
        <v/>
      </c>
      <c r="AF966" s="14">
        <f t="shared" si="251"/>
        <v>0</v>
      </c>
      <c r="AG966" s="12">
        <f t="shared" si="246"/>
        <v>0</v>
      </c>
      <c r="AH966" s="24">
        <f t="shared" si="252"/>
        <v>0</v>
      </c>
      <c r="AI966" s="49" t="e">
        <f t="shared" si="242"/>
        <v>#VALUE!</v>
      </c>
      <c r="AK966" s="50" t="e">
        <f t="shared" si="247"/>
        <v>#VALUE!</v>
      </c>
    </row>
    <row r="967" spans="1:37" x14ac:dyDescent="0.4">
      <c r="A967" s="2">
        <v>2120</v>
      </c>
      <c r="B967" s="16"/>
      <c r="C967" s="22">
        <f t="shared" si="244"/>
        <v>0</v>
      </c>
      <c r="D967" s="23">
        <f t="shared" si="248"/>
        <v>0</v>
      </c>
      <c r="E967" s="14"/>
      <c r="F967" s="12">
        <f t="shared" si="245"/>
        <v>0</v>
      </c>
      <c r="G967" s="24">
        <f t="shared" si="249"/>
        <v>0</v>
      </c>
      <c r="H967" s="14"/>
      <c r="I967" s="14"/>
      <c r="J967" s="29"/>
      <c r="K967" s="30"/>
      <c r="M967" s="17"/>
      <c r="N967" s="7"/>
      <c r="O967" s="5"/>
      <c r="P967" s="3"/>
      <c r="Q967" s="5"/>
      <c r="R967" s="7"/>
      <c r="S967" s="5"/>
      <c r="U967" s="10"/>
      <c r="V967" s="11"/>
      <c r="W967" s="6"/>
      <c r="Y967" s="10"/>
      <c r="Z967" s="11" t="str">
        <f t="shared" si="240"/>
        <v/>
      </c>
      <c r="AA967" s="6"/>
      <c r="AB967" s="1">
        <v>1.2</v>
      </c>
      <c r="AC967" s="21" t="str">
        <f t="shared" si="250"/>
        <v/>
      </c>
      <c r="AD967" s="27" t="str">
        <f t="shared" si="243"/>
        <v/>
      </c>
      <c r="AE967" s="27" t="str">
        <f t="shared" si="241"/>
        <v/>
      </c>
      <c r="AF967" s="14">
        <f t="shared" si="251"/>
        <v>0</v>
      </c>
      <c r="AG967" s="12">
        <f t="shared" si="246"/>
        <v>0</v>
      </c>
      <c r="AH967" s="24">
        <f t="shared" si="252"/>
        <v>0</v>
      </c>
      <c r="AI967" s="49" t="e">
        <f t="shared" si="242"/>
        <v>#VALUE!</v>
      </c>
      <c r="AK967" s="50" t="e">
        <f t="shared" si="247"/>
        <v>#VALUE!</v>
      </c>
    </row>
    <row r="968" spans="1:37" x14ac:dyDescent="0.4">
      <c r="A968" s="2">
        <v>2121</v>
      </c>
      <c r="B968" s="16"/>
      <c r="C968" s="22">
        <f t="shared" si="244"/>
        <v>0</v>
      </c>
      <c r="D968" s="23">
        <f t="shared" si="248"/>
        <v>0</v>
      </c>
      <c r="E968" s="14"/>
      <c r="F968" s="12">
        <f t="shared" si="245"/>
        <v>0</v>
      </c>
      <c r="G968" s="24">
        <f t="shared" si="249"/>
        <v>0</v>
      </c>
      <c r="H968" s="14"/>
      <c r="I968" s="14"/>
      <c r="J968" s="29"/>
      <c r="K968" s="30"/>
      <c r="M968" s="17"/>
      <c r="N968" s="7"/>
      <c r="O968" s="5"/>
      <c r="P968" s="3"/>
      <c r="Q968" s="5"/>
      <c r="R968" s="7"/>
      <c r="S968" s="5"/>
      <c r="U968" s="10"/>
      <c r="V968" s="11"/>
      <c r="W968" s="6"/>
      <c r="Y968" s="10"/>
      <c r="Z968" s="11" t="str">
        <f t="shared" ref="Z968:Z1031" si="253">IF(Y968="","",Y968*AB968)</f>
        <v/>
      </c>
      <c r="AA968" s="6"/>
      <c r="AB968" s="1">
        <v>1.2</v>
      </c>
      <c r="AC968" s="21" t="str">
        <f t="shared" si="250"/>
        <v/>
      </c>
      <c r="AD968" s="27" t="str">
        <f t="shared" si="243"/>
        <v/>
      </c>
      <c r="AE968" s="27" t="str">
        <f t="shared" si="241"/>
        <v/>
      </c>
      <c r="AF968" s="14">
        <f t="shared" si="251"/>
        <v>0</v>
      </c>
      <c r="AG968" s="12">
        <f t="shared" si="246"/>
        <v>0</v>
      </c>
      <c r="AH968" s="24">
        <f t="shared" si="252"/>
        <v>0</v>
      </c>
      <c r="AI968" s="49" t="e">
        <f t="shared" si="242"/>
        <v>#VALUE!</v>
      </c>
      <c r="AK968" s="50" t="e">
        <f t="shared" si="247"/>
        <v>#VALUE!</v>
      </c>
    </row>
    <row r="969" spans="1:37" x14ac:dyDescent="0.4">
      <c r="A969" s="2">
        <v>2122</v>
      </c>
      <c r="B969" s="16"/>
      <c r="C969" s="22">
        <f t="shared" si="244"/>
        <v>0</v>
      </c>
      <c r="D969" s="23">
        <f t="shared" si="248"/>
        <v>0</v>
      </c>
      <c r="E969" s="14"/>
      <c r="F969" s="12">
        <f t="shared" si="245"/>
        <v>0</v>
      </c>
      <c r="G969" s="24">
        <f t="shared" si="249"/>
        <v>0</v>
      </c>
      <c r="H969" s="14"/>
      <c r="I969" s="14"/>
      <c r="J969" s="29"/>
      <c r="K969" s="30"/>
      <c r="M969" s="17"/>
      <c r="N969" s="7"/>
      <c r="O969" s="5"/>
      <c r="P969" s="3"/>
      <c r="Q969" s="5"/>
      <c r="R969" s="7"/>
      <c r="S969" s="5"/>
      <c r="U969" s="10"/>
      <c r="V969" s="11"/>
      <c r="W969" s="6"/>
      <c r="Y969" s="10"/>
      <c r="Z969" s="11" t="str">
        <f t="shared" si="253"/>
        <v/>
      </c>
      <c r="AA969" s="6"/>
      <c r="AB969" s="1">
        <v>1.2</v>
      </c>
      <c r="AC969" s="21" t="str">
        <f t="shared" si="250"/>
        <v/>
      </c>
      <c r="AD969" s="27" t="str">
        <f t="shared" si="243"/>
        <v/>
      </c>
      <c r="AE969" s="27" t="str">
        <f t="shared" si="241"/>
        <v/>
      </c>
      <c r="AF969" s="14">
        <f t="shared" si="251"/>
        <v>0</v>
      </c>
      <c r="AG969" s="12">
        <f t="shared" si="246"/>
        <v>0</v>
      </c>
      <c r="AH969" s="24">
        <f t="shared" si="252"/>
        <v>0</v>
      </c>
      <c r="AI969" s="49" t="e">
        <f t="shared" si="242"/>
        <v>#VALUE!</v>
      </c>
      <c r="AK969" s="50" t="e">
        <f t="shared" si="247"/>
        <v>#VALUE!</v>
      </c>
    </row>
    <row r="970" spans="1:37" x14ac:dyDescent="0.4">
      <c r="A970" s="2">
        <v>2123</v>
      </c>
      <c r="B970" s="16"/>
      <c r="C970" s="22">
        <f t="shared" si="244"/>
        <v>0</v>
      </c>
      <c r="D970" s="23">
        <f t="shared" si="248"/>
        <v>0</v>
      </c>
      <c r="E970" s="14"/>
      <c r="F970" s="12">
        <f t="shared" si="245"/>
        <v>0</v>
      </c>
      <c r="G970" s="24">
        <f t="shared" si="249"/>
        <v>0</v>
      </c>
      <c r="H970" s="14"/>
      <c r="I970" s="14"/>
      <c r="J970" s="29"/>
      <c r="K970" s="30"/>
      <c r="M970" s="17"/>
      <c r="N970" s="7"/>
      <c r="O970" s="5"/>
      <c r="P970" s="3"/>
      <c r="Q970" s="5"/>
      <c r="R970" s="7"/>
      <c r="S970" s="5"/>
      <c r="U970" s="10"/>
      <c r="V970" s="11"/>
      <c r="W970" s="6"/>
      <c r="Y970" s="10"/>
      <c r="Z970" s="11" t="str">
        <f t="shared" si="253"/>
        <v/>
      </c>
      <c r="AA970" s="6"/>
      <c r="AB970" s="1">
        <v>1.2</v>
      </c>
      <c r="AC970" s="21" t="str">
        <f t="shared" si="250"/>
        <v/>
      </c>
      <c r="AD970" s="27" t="str">
        <f t="shared" si="243"/>
        <v/>
      </c>
      <c r="AE970" s="27" t="str">
        <f t="shared" si="241"/>
        <v/>
      </c>
      <c r="AF970" s="14">
        <f t="shared" si="251"/>
        <v>0</v>
      </c>
      <c r="AG970" s="12">
        <f t="shared" si="246"/>
        <v>0</v>
      </c>
      <c r="AH970" s="24">
        <f t="shared" si="252"/>
        <v>0</v>
      </c>
      <c r="AI970" s="49" t="e">
        <f t="shared" si="242"/>
        <v>#VALUE!</v>
      </c>
      <c r="AK970" s="50" t="e">
        <f t="shared" si="247"/>
        <v>#VALUE!</v>
      </c>
    </row>
    <row r="971" spans="1:37" x14ac:dyDescent="0.4">
      <c r="A971" s="2">
        <v>2124</v>
      </c>
      <c r="B971" s="16"/>
      <c r="C971" s="22">
        <f t="shared" si="244"/>
        <v>0</v>
      </c>
      <c r="D971" s="23">
        <f t="shared" si="248"/>
        <v>0</v>
      </c>
      <c r="E971" s="14"/>
      <c r="F971" s="12">
        <f t="shared" si="245"/>
        <v>0</v>
      </c>
      <c r="G971" s="24">
        <f t="shared" si="249"/>
        <v>0</v>
      </c>
      <c r="H971" s="14"/>
      <c r="I971" s="14"/>
      <c r="J971" s="29"/>
      <c r="K971" s="30"/>
      <c r="M971" s="17"/>
      <c r="N971" s="7"/>
      <c r="O971" s="5"/>
      <c r="P971" s="3"/>
      <c r="Q971" s="5"/>
      <c r="R971" s="7"/>
      <c r="S971" s="5"/>
      <c r="U971" s="10"/>
      <c r="V971" s="11"/>
      <c r="W971" s="6"/>
      <c r="Y971" s="10"/>
      <c r="Z971" s="11" t="str">
        <f t="shared" si="253"/>
        <v/>
      </c>
      <c r="AA971" s="6"/>
      <c r="AB971" s="1">
        <v>1.2</v>
      </c>
      <c r="AC971" s="21" t="str">
        <f t="shared" si="250"/>
        <v/>
      </c>
      <c r="AD971" s="27" t="str">
        <f t="shared" si="243"/>
        <v/>
      </c>
      <c r="AE971" s="27" t="str">
        <f t="shared" si="241"/>
        <v/>
      </c>
      <c r="AF971" s="14">
        <f t="shared" si="251"/>
        <v>0</v>
      </c>
      <c r="AG971" s="12">
        <f t="shared" si="246"/>
        <v>0</v>
      </c>
      <c r="AH971" s="24">
        <f t="shared" si="252"/>
        <v>0</v>
      </c>
      <c r="AI971" s="49" t="e">
        <f t="shared" si="242"/>
        <v>#VALUE!</v>
      </c>
      <c r="AK971" s="50" t="e">
        <f t="shared" si="247"/>
        <v>#VALUE!</v>
      </c>
    </row>
    <row r="972" spans="1:37" x14ac:dyDescent="0.4">
      <c r="A972" s="2">
        <v>2125</v>
      </c>
      <c r="B972" s="16"/>
      <c r="C972" s="22">
        <f t="shared" si="244"/>
        <v>0</v>
      </c>
      <c r="D972" s="23">
        <f t="shared" si="248"/>
        <v>0</v>
      </c>
      <c r="E972" s="14"/>
      <c r="F972" s="12">
        <f t="shared" si="245"/>
        <v>0</v>
      </c>
      <c r="G972" s="24">
        <f t="shared" si="249"/>
        <v>0</v>
      </c>
      <c r="H972" s="14"/>
      <c r="I972" s="14"/>
      <c r="J972" s="29"/>
      <c r="K972" s="30"/>
      <c r="M972" s="17"/>
      <c r="N972" s="7"/>
      <c r="O972" s="5"/>
      <c r="P972" s="3"/>
      <c r="Q972" s="5"/>
      <c r="R972" s="7"/>
      <c r="S972" s="5"/>
      <c r="U972" s="10"/>
      <c r="V972" s="11"/>
      <c r="W972" s="6"/>
      <c r="Y972" s="10"/>
      <c r="Z972" s="11" t="str">
        <f t="shared" si="253"/>
        <v/>
      </c>
      <c r="AA972" s="6"/>
      <c r="AB972" s="1">
        <v>1.2</v>
      </c>
      <c r="AC972" s="21" t="str">
        <f t="shared" si="250"/>
        <v/>
      </c>
      <c r="AD972" s="27" t="str">
        <f t="shared" si="243"/>
        <v/>
      </c>
      <c r="AE972" s="27" t="str">
        <f t="shared" si="241"/>
        <v/>
      </c>
      <c r="AF972" s="14">
        <f t="shared" si="251"/>
        <v>0</v>
      </c>
      <c r="AG972" s="12">
        <f t="shared" si="246"/>
        <v>0</v>
      </c>
      <c r="AH972" s="24">
        <f t="shared" si="252"/>
        <v>0</v>
      </c>
      <c r="AI972" s="49" t="e">
        <f t="shared" si="242"/>
        <v>#VALUE!</v>
      </c>
      <c r="AK972" s="50" t="e">
        <f t="shared" si="247"/>
        <v>#VALUE!</v>
      </c>
    </row>
    <row r="973" spans="1:37" x14ac:dyDescent="0.4">
      <c r="A973" s="2">
        <v>2126</v>
      </c>
      <c r="B973" s="16"/>
      <c r="C973" s="22">
        <f t="shared" si="244"/>
        <v>0</v>
      </c>
      <c r="D973" s="23">
        <f t="shared" si="248"/>
        <v>0</v>
      </c>
      <c r="E973" s="14"/>
      <c r="F973" s="12">
        <f t="shared" si="245"/>
        <v>0</v>
      </c>
      <c r="G973" s="24">
        <f t="shared" si="249"/>
        <v>0</v>
      </c>
      <c r="H973" s="14"/>
      <c r="I973" s="14"/>
      <c r="J973" s="29"/>
      <c r="K973" s="30"/>
      <c r="M973" s="17"/>
      <c r="N973" s="7"/>
      <c r="O973" s="5"/>
      <c r="P973" s="3"/>
      <c r="Q973" s="5"/>
      <c r="R973" s="7"/>
      <c r="S973" s="5"/>
      <c r="U973" s="10"/>
      <c r="V973" s="11"/>
      <c r="W973" s="6"/>
      <c r="Y973" s="10"/>
      <c r="Z973" s="11" t="str">
        <f t="shared" si="253"/>
        <v/>
      </c>
      <c r="AA973" s="6"/>
      <c r="AB973" s="1">
        <v>1.2</v>
      </c>
      <c r="AC973" s="21" t="str">
        <f t="shared" si="250"/>
        <v/>
      </c>
      <c r="AD973" s="27" t="str">
        <f t="shared" si="243"/>
        <v/>
      </c>
      <c r="AE973" s="27" t="str">
        <f t="shared" ref="AE973:AE1036" si="254">IF(I973="","",TEXT(I973-B973,"[hh]:mm"))</f>
        <v/>
      </c>
      <c r="AF973" s="14">
        <f t="shared" si="251"/>
        <v>0</v>
      </c>
      <c r="AG973" s="12">
        <f t="shared" si="246"/>
        <v>0</v>
      </c>
      <c r="AH973" s="24">
        <f t="shared" si="252"/>
        <v>0</v>
      </c>
      <c r="AI973" s="49" t="e">
        <f t="shared" ref="AI973:AI1036" si="255">MAX(VALUE(AC973),VALUE(AD973),VALUE(AE973))</f>
        <v>#VALUE!</v>
      </c>
      <c r="AK973" s="50" t="e">
        <f t="shared" si="247"/>
        <v>#VALUE!</v>
      </c>
    </row>
    <row r="974" spans="1:37" x14ac:dyDescent="0.4">
      <c r="A974" s="2">
        <v>2127</v>
      </c>
      <c r="B974" s="16"/>
      <c r="C974" s="22">
        <f t="shared" si="244"/>
        <v>0</v>
      </c>
      <c r="D974" s="23">
        <f t="shared" si="248"/>
        <v>0</v>
      </c>
      <c r="E974" s="14"/>
      <c r="F974" s="12">
        <f t="shared" si="245"/>
        <v>0</v>
      </c>
      <c r="G974" s="24">
        <f t="shared" si="249"/>
        <v>0</v>
      </c>
      <c r="H974" s="14"/>
      <c r="I974" s="14"/>
      <c r="J974" s="29"/>
      <c r="K974" s="30"/>
      <c r="M974" s="17"/>
      <c r="N974" s="7"/>
      <c r="O974" s="5"/>
      <c r="P974" s="3"/>
      <c r="Q974" s="5"/>
      <c r="R974" s="7"/>
      <c r="S974" s="5"/>
      <c r="U974" s="10"/>
      <c r="V974" s="11"/>
      <c r="W974" s="6"/>
      <c r="Y974" s="10"/>
      <c r="Z974" s="11" t="str">
        <f t="shared" si="253"/>
        <v/>
      </c>
      <c r="AA974" s="6"/>
      <c r="AB974" s="1">
        <v>1.2</v>
      </c>
      <c r="AC974" s="21" t="str">
        <f t="shared" si="250"/>
        <v/>
      </c>
      <c r="AD974" s="27" t="str">
        <f t="shared" si="243"/>
        <v/>
      </c>
      <c r="AE974" s="27" t="str">
        <f t="shared" si="254"/>
        <v/>
      </c>
      <c r="AF974" s="14">
        <f t="shared" si="251"/>
        <v>0</v>
      </c>
      <c r="AG974" s="12">
        <f t="shared" si="246"/>
        <v>0</v>
      </c>
      <c r="AH974" s="24">
        <f t="shared" si="252"/>
        <v>0</v>
      </c>
      <c r="AI974" s="49" t="e">
        <f t="shared" si="255"/>
        <v>#VALUE!</v>
      </c>
      <c r="AK974" s="50" t="e">
        <f t="shared" si="247"/>
        <v>#VALUE!</v>
      </c>
    </row>
    <row r="975" spans="1:37" x14ac:dyDescent="0.4">
      <c r="A975" s="2">
        <v>2128</v>
      </c>
      <c r="B975" s="16"/>
      <c r="C975" s="22">
        <f t="shared" si="244"/>
        <v>0</v>
      </c>
      <c r="D975" s="23">
        <f t="shared" si="248"/>
        <v>0</v>
      </c>
      <c r="E975" s="14"/>
      <c r="F975" s="12">
        <f t="shared" si="245"/>
        <v>0</v>
      </c>
      <c r="G975" s="24">
        <f t="shared" si="249"/>
        <v>0</v>
      </c>
      <c r="H975" s="14"/>
      <c r="I975" s="14"/>
      <c r="J975" s="29"/>
      <c r="K975" s="30"/>
      <c r="M975" s="17"/>
      <c r="N975" s="7"/>
      <c r="O975" s="5"/>
      <c r="P975" s="3"/>
      <c r="Q975" s="5"/>
      <c r="R975" s="7"/>
      <c r="S975" s="5"/>
      <c r="U975" s="10"/>
      <c r="V975" s="11"/>
      <c r="W975" s="6"/>
      <c r="Y975" s="10"/>
      <c r="Z975" s="11" t="str">
        <f t="shared" si="253"/>
        <v/>
      </c>
      <c r="AA975" s="6"/>
      <c r="AB975" s="1">
        <v>1.2</v>
      </c>
      <c r="AC975" s="21" t="str">
        <f t="shared" si="250"/>
        <v/>
      </c>
      <c r="AD975" s="27" t="str">
        <f t="shared" si="243"/>
        <v/>
      </c>
      <c r="AE975" s="27" t="str">
        <f t="shared" si="254"/>
        <v/>
      </c>
      <c r="AF975" s="14">
        <f t="shared" si="251"/>
        <v>0</v>
      </c>
      <c r="AG975" s="12">
        <f t="shared" si="246"/>
        <v>0</v>
      </c>
      <c r="AH975" s="24">
        <f t="shared" si="252"/>
        <v>0</v>
      </c>
      <c r="AI975" s="49" t="e">
        <f t="shared" si="255"/>
        <v>#VALUE!</v>
      </c>
      <c r="AK975" s="50" t="e">
        <f t="shared" si="247"/>
        <v>#VALUE!</v>
      </c>
    </row>
    <row r="976" spans="1:37" x14ac:dyDescent="0.4">
      <c r="A976" s="2">
        <v>2129</v>
      </c>
      <c r="B976" s="16"/>
      <c r="C976" s="22">
        <f t="shared" si="244"/>
        <v>0</v>
      </c>
      <c r="D976" s="23">
        <f t="shared" si="248"/>
        <v>0</v>
      </c>
      <c r="E976" s="14"/>
      <c r="F976" s="12">
        <f t="shared" si="245"/>
        <v>0</v>
      </c>
      <c r="G976" s="24">
        <f t="shared" si="249"/>
        <v>0</v>
      </c>
      <c r="H976" s="14"/>
      <c r="I976" s="14"/>
      <c r="J976" s="29"/>
      <c r="K976" s="30"/>
      <c r="M976" s="17"/>
      <c r="N976" s="7"/>
      <c r="O976" s="5"/>
      <c r="P976" s="3"/>
      <c r="Q976" s="5"/>
      <c r="R976" s="7"/>
      <c r="S976" s="5"/>
      <c r="U976" s="10"/>
      <c r="V976" s="11"/>
      <c r="W976" s="6"/>
      <c r="Y976" s="10"/>
      <c r="Z976" s="11" t="str">
        <f t="shared" si="253"/>
        <v/>
      </c>
      <c r="AA976" s="6"/>
      <c r="AB976" s="1">
        <v>1.2</v>
      </c>
      <c r="AC976" s="21" t="str">
        <f t="shared" si="250"/>
        <v/>
      </c>
      <c r="AD976" s="27" t="str">
        <f t="shared" si="243"/>
        <v/>
      </c>
      <c r="AE976" s="27" t="str">
        <f t="shared" si="254"/>
        <v/>
      </c>
      <c r="AF976" s="14">
        <f t="shared" si="251"/>
        <v>0</v>
      </c>
      <c r="AG976" s="12">
        <f t="shared" si="246"/>
        <v>0</v>
      </c>
      <c r="AH976" s="24">
        <f t="shared" si="252"/>
        <v>0</v>
      </c>
      <c r="AI976" s="49" t="e">
        <f t="shared" si="255"/>
        <v>#VALUE!</v>
      </c>
      <c r="AK976" s="50" t="e">
        <f t="shared" si="247"/>
        <v>#VALUE!</v>
      </c>
    </row>
    <row r="977" spans="1:37" x14ac:dyDescent="0.4">
      <c r="A977" s="2">
        <v>2130</v>
      </c>
      <c r="B977" s="16"/>
      <c r="C977" s="22">
        <f t="shared" si="244"/>
        <v>0</v>
      </c>
      <c r="D977" s="23">
        <f t="shared" si="248"/>
        <v>0</v>
      </c>
      <c r="E977" s="14"/>
      <c r="F977" s="12">
        <f t="shared" si="245"/>
        <v>0</v>
      </c>
      <c r="G977" s="24">
        <f t="shared" si="249"/>
        <v>0</v>
      </c>
      <c r="H977" s="14"/>
      <c r="I977" s="14"/>
      <c r="J977" s="29"/>
      <c r="K977" s="30"/>
      <c r="M977" s="17"/>
      <c r="N977" s="7"/>
      <c r="O977" s="5"/>
      <c r="P977" s="3"/>
      <c r="Q977" s="5"/>
      <c r="R977" s="7"/>
      <c r="S977" s="5"/>
      <c r="U977" s="10"/>
      <c r="V977" s="11"/>
      <c r="W977" s="6"/>
      <c r="Y977" s="10"/>
      <c r="Z977" s="11" t="str">
        <f t="shared" si="253"/>
        <v/>
      </c>
      <c r="AA977" s="6"/>
      <c r="AB977" s="1">
        <v>1.2</v>
      </c>
      <c r="AC977" s="21" t="str">
        <f t="shared" si="250"/>
        <v/>
      </c>
      <c r="AD977" s="27" t="str">
        <f t="shared" si="243"/>
        <v/>
      </c>
      <c r="AE977" s="27" t="str">
        <f t="shared" si="254"/>
        <v/>
      </c>
      <c r="AF977" s="14">
        <f t="shared" si="251"/>
        <v>0</v>
      </c>
      <c r="AG977" s="12">
        <f t="shared" si="246"/>
        <v>0</v>
      </c>
      <c r="AH977" s="24">
        <f t="shared" si="252"/>
        <v>0</v>
      </c>
      <c r="AI977" s="49" t="e">
        <f t="shared" si="255"/>
        <v>#VALUE!</v>
      </c>
      <c r="AK977" s="50" t="e">
        <f t="shared" si="247"/>
        <v>#VALUE!</v>
      </c>
    </row>
    <row r="978" spans="1:37" x14ac:dyDescent="0.4">
      <c r="A978" s="2">
        <v>2131</v>
      </c>
      <c r="B978" s="16"/>
      <c r="C978" s="22">
        <f t="shared" si="244"/>
        <v>0</v>
      </c>
      <c r="D978" s="23">
        <f t="shared" si="248"/>
        <v>0</v>
      </c>
      <c r="E978" s="14"/>
      <c r="F978" s="12">
        <f t="shared" si="245"/>
        <v>0</v>
      </c>
      <c r="G978" s="24">
        <f t="shared" si="249"/>
        <v>0</v>
      </c>
      <c r="H978" s="14"/>
      <c r="I978" s="14"/>
      <c r="J978" s="29"/>
      <c r="K978" s="30"/>
      <c r="M978" s="17"/>
      <c r="N978" s="7"/>
      <c r="O978" s="5"/>
      <c r="P978" s="3"/>
      <c r="Q978" s="5"/>
      <c r="R978" s="7"/>
      <c r="S978" s="5"/>
      <c r="U978" s="10"/>
      <c r="V978" s="11"/>
      <c r="W978" s="6"/>
      <c r="Y978" s="10"/>
      <c r="Z978" s="11" t="str">
        <f t="shared" si="253"/>
        <v/>
      </c>
      <c r="AA978" s="6"/>
      <c r="AB978" s="1">
        <v>1.2</v>
      </c>
      <c r="AC978" s="21" t="str">
        <f t="shared" si="250"/>
        <v/>
      </c>
      <c r="AD978" s="27" t="str">
        <f t="shared" si="243"/>
        <v/>
      </c>
      <c r="AE978" s="27" t="str">
        <f t="shared" si="254"/>
        <v/>
      </c>
      <c r="AF978" s="14">
        <f t="shared" si="251"/>
        <v>0</v>
      </c>
      <c r="AG978" s="12">
        <f t="shared" si="246"/>
        <v>0</v>
      </c>
      <c r="AH978" s="24">
        <f t="shared" si="252"/>
        <v>0</v>
      </c>
      <c r="AI978" s="49" t="e">
        <f t="shared" si="255"/>
        <v>#VALUE!</v>
      </c>
      <c r="AK978" s="50" t="e">
        <f t="shared" si="247"/>
        <v>#VALUE!</v>
      </c>
    </row>
    <row r="979" spans="1:37" x14ac:dyDescent="0.4">
      <c r="A979" s="2">
        <v>2132</v>
      </c>
      <c r="B979" s="16"/>
      <c r="C979" s="22">
        <f t="shared" si="244"/>
        <v>0</v>
      </c>
      <c r="D979" s="23">
        <f t="shared" si="248"/>
        <v>0</v>
      </c>
      <c r="E979" s="14"/>
      <c r="F979" s="12">
        <f t="shared" si="245"/>
        <v>0</v>
      </c>
      <c r="G979" s="24">
        <f t="shared" si="249"/>
        <v>0</v>
      </c>
      <c r="H979" s="14"/>
      <c r="I979" s="14"/>
      <c r="J979" s="29"/>
      <c r="K979" s="30"/>
      <c r="M979" s="17"/>
      <c r="N979" s="7"/>
      <c r="O979" s="5"/>
      <c r="P979" s="3"/>
      <c r="Q979" s="5"/>
      <c r="R979" s="7"/>
      <c r="S979" s="5"/>
      <c r="U979" s="10"/>
      <c r="V979" s="11"/>
      <c r="W979" s="6"/>
      <c r="Y979" s="10"/>
      <c r="Z979" s="11" t="str">
        <f t="shared" si="253"/>
        <v/>
      </c>
      <c r="AA979" s="6"/>
      <c r="AB979" s="1">
        <v>1.2</v>
      </c>
      <c r="AC979" s="21" t="str">
        <f t="shared" si="250"/>
        <v/>
      </c>
      <c r="AD979" s="27" t="str">
        <f t="shared" si="243"/>
        <v/>
      </c>
      <c r="AE979" s="27" t="str">
        <f t="shared" si="254"/>
        <v/>
      </c>
      <c r="AF979" s="14">
        <f t="shared" si="251"/>
        <v>0</v>
      </c>
      <c r="AG979" s="12">
        <f t="shared" si="246"/>
        <v>0</v>
      </c>
      <c r="AH979" s="24">
        <f t="shared" si="252"/>
        <v>0</v>
      </c>
      <c r="AI979" s="49" t="e">
        <f t="shared" si="255"/>
        <v>#VALUE!</v>
      </c>
      <c r="AK979" s="50" t="e">
        <f t="shared" si="247"/>
        <v>#VALUE!</v>
      </c>
    </row>
    <row r="980" spans="1:37" x14ac:dyDescent="0.4">
      <c r="A980" s="2">
        <v>2133</v>
      </c>
      <c r="B980" s="16"/>
      <c r="C980" s="22">
        <f t="shared" si="244"/>
        <v>0</v>
      </c>
      <c r="D980" s="23">
        <f t="shared" si="248"/>
        <v>0</v>
      </c>
      <c r="E980" s="14"/>
      <c r="F980" s="12">
        <f t="shared" si="245"/>
        <v>0</v>
      </c>
      <c r="G980" s="24">
        <f t="shared" si="249"/>
        <v>0</v>
      </c>
      <c r="H980" s="14"/>
      <c r="I980" s="14"/>
      <c r="J980" s="29"/>
      <c r="K980" s="30"/>
      <c r="M980" s="17"/>
      <c r="N980" s="7"/>
      <c r="O980" s="5"/>
      <c r="P980" s="3"/>
      <c r="Q980" s="5"/>
      <c r="R980" s="7"/>
      <c r="S980" s="5"/>
      <c r="U980" s="10"/>
      <c r="V980" s="11"/>
      <c r="W980" s="6"/>
      <c r="Y980" s="10"/>
      <c r="Z980" s="11" t="str">
        <f t="shared" si="253"/>
        <v/>
      </c>
      <c r="AA980" s="6"/>
      <c r="AB980" s="1">
        <v>1.2</v>
      </c>
      <c r="AC980" s="21" t="str">
        <f t="shared" si="250"/>
        <v/>
      </c>
      <c r="AD980" s="27" t="str">
        <f t="shared" si="243"/>
        <v/>
      </c>
      <c r="AE980" s="27" t="str">
        <f t="shared" si="254"/>
        <v/>
      </c>
      <c r="AF980" s="14">
        <f t="shared" si="251"/>
        <v>0</v>
      </c>
      <c r="AG980" s="12">
        <f t="shared" si="246"/>
        <v>0</v>
      </c>
      <c r="AH980" s="24">
        <f t="shared" si="252"/>
        <v>0</v>
      </c>
      <c r="AI980" s="49" t="e">
        <f t="shared" si="255"/>
        <v>#VALUE!</v>
      </c>
      <c r="AK980" s="50" t="e">
        <f t="shared" si="247"/>
        <v>#VALUE!</v>
      </c>
    </row>
    <row r="981" spans="1:37" x14ac:dyDescent="0.4">
      <c r="A981" s="2">
        <v>2134</v>
      </c>
      <c r="B981" s="16"/>
      <c r="C981" s="22">
        <f t="shared" si="244"/>
        <v>0</v>
      </c>
      <c r="D981" s="23">
        <f t="shared" si="248"/>
        <v>0</v>
      </c>
      <c r="E981" s="14"/>
      <c r="F981" s="12">
        <f t="shared" si="245"/>
        <v>0</v>
      </c>
      <c r="G981" s="24">
        <f t="shared" si="249"/>
        <v>0</v>
      </c>
      <c r="H981" s="14"/>
      <c r="I981" s="14"/>
      <c r="J981" s="29"/>
      <c r="K981" s="30"/>
      <c r="M981" s="17"/>
      <c r="N981" s="7"/>
      <c r="O981" s="5"/>
      <c r="P981" s="3"/>
      <c r="Q981" s="5"/>
      <c r="R981" s="7"/>
      <c r="S981" s="5"/>
      <c r="U981" s="10"/>
      <c r="V981" s="11"/>
      <c r="W981" s="6"/>
      <c r="Y981" s="10"/>
      <c r="Z981" s="11" t="str">
        <f t="shared" si="253"/>
        <v/>
      </c>
      <c r="AA981" s="6"/>
      <c r="AB981" s="1">
        <v>1.2</v>
      </c>
      <c r="AC981" s="21" t="str">
        <f t="shared" si="250"/>
        <v/>
      </c>
      <c r="AD981" s="27" t="str">
        <f t="shared" si="243"/>
        <v/>
      </c>
      <c r="AE981" s="27" t="str">
        <f t="shared" si="254"/>
        <v/>
      </c>
      <c r="AF981" s="14">
        <f t="shared" si="251"/>
        <v>0</v>
      </c>
      <c r="AG981" s="12">
        <f t="shared" si="246"/>
        <v>0</v>
      </c>
      <c r="AH981" s="24">
        <f t="shared" si="252"/>
        <v>0</v>
      </c>
      <c r="AI981" s="49" t="e">
        <f t="shared" si="255"/>
        <v>#VALUE!</v>
      </c>
      <c r="AK981" s="50" t="e">
        <f t="shared" si="247"/>
        <v>#VALUE!</v>
      </c>
    </row>
    <row r="982" spans="1:37" x14ac:dyDescent="0.4">
      <c r="A982" s="2">
        <v>2135</v>
      </c>
      <c r="B982" s="16"/>
      <c r="C982" s="22">
        <f t="shared" si="244"/>
        <v>0</v>
      </c>
      <c r="D982" s="23">
        <f t="shared" si="248"/>
        <v>0</v>
      </c>
      <c r="E982" s="14"/>
      <c r="F982" s="12">
        <f t="shared" si="245"/>
        <v>0</v>
      </c>
      <c r="G982" s="24">
        <f t="shared" si="249"/>
        <v>0</v>
      </c>
      <c r="H982" s="14"/>
      <c r="I982" s="14"/>
      <c r="J982" s="29"/>
      <c r="K982" s="30"/>
      <c r="M982" s="17"/>
      <c r="N982" s="7"/>
      <c r="O982" s="5"/>
      <c r="P982" s="3"/>
      <c r="Q982" s="5"/>
      <c r="R982" s="7"/>
      <c r="S982" s="5"/>
      <c r="U982" s="10"/>
      <c r="V982" s="11"/>
      <c r="W982" s="6"/>
      <c r="Y982" s="10"/>
      <c r="Z982" s="11" t="str">
        <f t="shared" si="253"/>
        <v/>
      </c>
      <c r="AA982" s="6"/>
      <c r="AB982" s="1">
        <v>1.2</v>
      </c>
      <c r="AC982" s="21" t="str">
        <f t="shared" si="250"/>
        <v/>
      </c>
      <c r="AD982" s="27" t="str">
        <f t="shared" ref="AD982:AD1045" si="256">IF(H982="","",TEXT(H982-B982,"[hh]:mm"))</f>
        <v/>
      </c>
      <c r="AE982" s="27" t="str">
        <f t="shared" si="254"/>
        <v/>
      </c>
      <c r="AF982" s="14">
        <f t="shared" si="251"/>
        <v>0</v>
      </c>
      <c r="AG982" s="12">
        <f t="shared" si="246"/>
        <v>0</v>
      </c>
      <c r="AH982" s="24">
        <f t="shared" si="252"/>
        <v>0</v>
      </c>
      <c r="AI982" s="49" t="e">
        <f t="shared" si="255"/>
        <v>#VALUE!</v>
      </c>
      <c r="AK982" s="50" t="e">
        <f t="shared" si="247"/>
        <v>#VALUE!</v>
      </c>
    </row>
    <row r="983" spans="1:37" x14ac:dyDescent="0.4">
      <c r="A983" s="2">
        <v>2136</v>
      </c>
      <c r="B983" s="16"/>
      <c r="C983" s="22">
        <f t="shared" ref="C983:C1046" si="257">INT(B983)</f>
        <v>0</v>
      </c>
      <c r="D983" s="23">
        <f t="shared" si="248"/>
        <v>0</v>
      </c>
      <c r="E983" s="14"/>
      <c r="F983" s="12">
        <f t="shared" ref="F983:F1046" si="258">INT(E983)</f>
        <v>0</v>
      </c>
      <c r="G983" s="24">
        <f t="shared" si="249"/>
        <v>0</v>
      </c>
      <c r="H983" s="14"/>
      <c r="I983" s="14"/>
      <c r="J983" s="29"/>
      <c r="K983" s="30"/>
      <c r="M983" s="17"/>
      <c r="N983" s="7"/>
      <c r="O983" s="5"/>
      <c r="P983" s="3"/>
      <c r="Q983" s="5"/>
      <c r="R983" s="7"/>
      <c r="S983" s="5"/>
      <c r="U983" s="10"/>
      <c r="V983" s="11"/>
      <c r="W983" s="6"/>
      <c r="Y983" s="10"/>
      <c r="Z983" s="11" t="str">
        <f t="shared" si="253"/>
        <v/>
      </c>
      <c r="AA983" s="6"/>
      <c r="AB983" s="1">
        <v>1.2</v>
      </c>
      <c r="AC983" s="21" t="str">
        <f t="shared" si="250"/>
        <v/>
      </c>
      <c r="AD983" s="27" t="str">
        <f t="shared" si="256"/>
        <v/>
      </c>
      <c r="AE983" s="27" t="str">
        <f t="shared" si="254"/>
        <v/>
      </c>
      <c r="AF983" s="14">
        <f t="shared" si="251"/>
        <v>0</v>
      </c>
      <c r="AG983" s="12">
        <f t="shared" ref="AG983:AG1046" si="259">INT(AF983)</f>
        <v>0</v>
      </c>
      <c r="AH983" s="24">
        <f t="shared" si="252"/>
        <v>0</v>
      </c>
      <c r="AI983" s="49" t="e">
        <f t="shared" si="255"/>
        <v>#VALUE!</v>
      </c>
      <c r="AK983" s="50" t="e">
        <f t="shared" ref="AK983:AK1046" si="260">IF(VALUE(AI983)&lt;=VALUE($AK$3),"BOM","RUIM")</f>
        <v>#VALUE!</v>
      </c>
    </row>
    <row r="984" spans="1:37" x14ac:dyDescent="0.4">
      <c r="A984" s="2">
        <v>2137</v>
      </c>
      <c r="B984" s="16"/>
      <c r="C984" s="22">
        <f t="shared" si="257"/>
        <v>0</v>
      </c>
      <c r="D984" s="23">
        <f t="shared" si="248"/>
        <v>0</v>
      </c>
      <c r="E984" s="14"/>
      <c r="F984" s="12">
        <f t="shared" si="258"/>
        <v>0</v>
      </c>
      <c r="G984" s="24">
        <f t="shared" si="249"/>
        <v>0</v>
      </c>
      <c r="H984" s="14"/>
      <c r="I984" s="14"/>
      <c r="J984" s="29"/>
      <c r="K984" s="30"/>
      <c r="M984" s="17"/>
      <c r="N984" s="7"/>
      <c r="O984" s="5"/>
      <c r="P984" s="3"/>
      <c r="Q984" s="5"/>
      <c r="R984" s="7"/>
      <c r="S984" s="5"/>
      <c r="U984" s="10"/>
      <c r="V984" s="11"/>
      <c r="W984" s="6"/>
      <c r="Y984" s="10"/>
      <c r="Z984" s="11" t="str">
        <f t="shared" si="253"/>
        <v/>
      </c>
      <c r="AA984" s="6"/>
      <c r="AB984" s="1">
        <v>1.2</v>
      </c>
      <c r="AC984" s="21" t="str">
        <f t="shared" si="250"/>
        <v/>
      </c>
      <c r="AD984" s="27" t="str">
        <f t="shared" si="256"/>
        <v/>
      </c>
      <c r="AE984" s="27" t="str">
        <f t="shared" si="254"/>
        <v/>
      </c>
      <c r="AF984" s="14">
        <f t="shared" si="251"/>
        <v>0</v>
      </c>
      <c r="AG984" s="12">
        <f t="shared" si="259"/>
        <v>0</v>
      </c>
      <c r="AH984" s="24">
        <f t="shared" si="252"/>
        <v>0</v>
      </c>
      <c r="AI984" s="49" t="e">
        <f t="shared" si="255"/>
        <v>#VALUE!</v>
      </c>
      <c r="AK984" s="50" t="e">
        <f t="shared" si="260"/>
        <v>#VALUE!</v>
      </c>
    </row>
    <row r="985" spans="1:37" x14ac:dyDescent="0.4">
      <c r="A985" s="2">
        <v>2138</v>
      </c>
      <c r="B985" s="16"/>
      <c r="C985" s="22">
        <f t="shared" si="257"/>
        <v>0</v>
      </c>
      <c r="D985" s="23">
        <f t="shared" si="248"/>
        <v>0</v>
      </c>
      <c r="E985" s="14"/>
      <c r="F985" s="12">
        <f t="shared" si="258"/>
        <v>0</v>
      </c>
      <c r="G985" s="24">
        <f t="shared" si="249"/>
        <v>0</v>
      </c>
      <c r="H985" s="14"/>
      <c r="I985" s="14"/>
      <c r="J985" s="29"/>
      <c r="K985" s="30"/>
      <c r="M985" s="17"/>
      <c r="N985" s="7"/>
      <c r="O985" s="5"/>
      <c r="P985" s="3"/>
      <c r="Q985" s="5"/>
      <c r="R985" s="7"/>
      <c r="S985" s="5"/>
      <c r="U985" s="10"/>
      <c r="V985" s="11"/>
      <c r="W985" s="6"/>
      <c r="Y985" s="10"/>
      <c r="Z985" s="11" t="str">
        <f t="shared" si="253"/>
        <v/>
      </c>
      <c r="AA985" s="6"/>
      <c r="AB985" s="1">
        <v>1.2</v>
      </c>
      <c r="AC985" s="21" t="str">
        <f t="shared" si="250"/>
        <v/>
      </c>
      <c r="AD985" s="27" t="str">
        <f t="shared" si="256"/>
        <v/>
      </c>
      <c r="AE985" s="27" t="str">
        <f t="shared" si="254"/>
        <v/>
      </c>
      <c r="AF985" s="14">
        <f t="shared" si="251"/>
        <v>0</v>
      </c>
      <c r="AG985" s="12">
        <f t="shared" si="259"/>
        <v>0</v>
      </c>
      <c r="AH985" s="24">
        <f t="shared" si="252"/>
        <v>0</v>
      </c>
      <c r="AI985" s="49" t="e">
        <f t="shared" si="255"/>
        <v>#VALUE!</v>
      </c>
      <c r="AK985" s="50" t="e">
        <f t="shared" si="260"/>
        <v>#VALUE!</v>
      </c>
    </row>
    <row r="986" spans="1:37" x14ac:dyDescent="0.4">
      <c r="A986" s="2">
        <v>2139</v>
      </c>
      <c r="B986" s="16"/>
      <c r="C986" s="22">
        <f t="shared" si="257"/>
        <v>0</v>
      </c>
      <c r="D986" s="23">
        <f t="shared" si="248"/>
        <v>0</v>
      </c>
      <c r="E986" s="14"/>
      <c r="F986" s="12">
        <f t="shared" si="258"/>
        <v>0</v>
      </c>
      <c r="G986" s="24">
        <f t="shared" si="249"/>
        <v>0</v>
      </c>
      <c r="H986" s="14"/>
      <c r="I986" s="14"/>
      <c r="J986" s="29"/>
      <c r="K986" s="30"/>
      <c r="M986" s="17"/>
      <c r="N986" s="7"/>
      <c r="O986" s="5"/>
      <c r="P986" s="3"/>
      <c r="Q986" s="5"/>
      <c r="R986" s="7"/>
      <c r="S986" s="5"/>
      <c r="U986" s="10"/>
      <c r="V986" s="11"/>
      <c r="W986" s="6"/>
      <c r="Y986" s="10"/>
      <c r="Z986" s="11" t="str">
        <f t="shared" si="253"/>
        <v/>
      </c>
      <c r="AA986" s="6"/>
      <c r="AB986" s="1">
        <v>1.2</v>
      </c>
      <c r="AC986" s="21" t="str">
        <f t="shared" si="250"/>
        <v/>
      </c>
      <c r="AD986" s="27" t="str">
        <f t="shared" si="256"/>
        <v/>
      </c>
      <c r="AE986" s="27" t="str">
        <f t="shared" si="254"/>
        <v/>
      </c>
      <c r="AF986" s="14">
        <f t="shared" si="251"/>
        <v>0</v>
      </c>
      <c r="AG986" s="12">
        <f t="shared" si="259"/>
        <v>0</v>
      </c>
      <c r="AH986" s="24">
        <f t="shared" si="252"/>
        <v>0</v>
      </c>
      <c r="AI986" s="49" t="e">
        <f t="shared" si="255"/>
        <v>#VALUE!</v>
      </c>
      <c r="AK986" s="50" t="e">
        <f t="shared" si="260"/>
        <v>#VALUE!</v>
      </c>
    </row>
    <row r="987" spans="1:37" x14ac:dyDescent="0.4">
      <c r="A987" s="2">
        <v>2140</v>
      </c>
      <c r="B987" s="16"/>
      <c r="C987" s="22">
        <f t="shared" si="257"/>
        <v>0</v>
      </c>
      <c r="D987" s="23">
        <f t="shared" si="248"/>
        <v>0</v>
      </c>
      <c r="E987" s="14"/>
      <c r="F987" s="12">
        <f t="shared" si="258"/>
        <v>0</v>
      </c>
      <c r="G987" s="24">
        <f t="shared" si="249"/>
        <v>0</v>
      </c>
      <c r="H987" s="14"/>
      <c r="I987" s="14"/>
      <c r="J987" s="29"/>
      <c r="K987" s="30"/>
      <c r="M987" s="17"/>
      <c r="N987" s="7"/>
      <c r="O987" s="5"/>
      <c r="P987" s="3"/>
      <c r="Q987" s="5"/>
      <c r="R987" s="7"/>
      <c r="S987" s="5"/>
      <c r="U987" s="10"/>
      <c r="V987" s="11"/>
      <c r="W987" s="6"/>
      <c r="Y987" s="10"/>
      <c r="Z987" s="11" t="str">
        <f t="shared" si="253"/>
        <v/>
      </c>
      <c r="AA987" s="6"/>
      <c r="AB987" s="1">
        <v>1.2</v>
      </c>
      <c r="AC987" s="21" t="str">
        <f t="shared" si="250"/>
        <v/>
      </c>
      <c r="AD987" s="27" t="str">
        <f t="shared" si="256"/>
        <v/>
      </c>
      <c r="AE987" s="27" t="str">
        <f t="shared" si="254"/>
        <v/>
      </c>
      <c r="AF987" s="14">
        <f t="shared" si="251"/>
        <v>0</v>
      </c>
      <c r="AG987" s="12">
        <f t="shared" si="259"/>
        <v>0</v>
      </c>
      <c r="AH987" s="24">
        <f t="shared" si="252"/>
        <v>0</v>
      </c>
      <c r="AI987" s="49" t="e">
        <f t="shared" si="255"/>
        <v>#VALUE!</v>
      </c>
      <c r="AK987" s="50" t="e">
        <f t="shared" si="260"/>
        <v>#VALUE!</v>
      </c>
    </row>
    <row r="988" spans="1:37" x14ac:dyDescent="0.4">
      <c r="A988" s="2">
        <v>2141</v>
      </c>
      <c r="B988" s="16"/>
      <c r="C988" s="22">
        <f t="shared" si="257"/>
        <v>0</v>
      </c>
      <c r="D988" s="23">
        <f t="shared" si="248"/>
        <v>0</v>
      </c>
      <c r="E988" s="14"/>
      <c r="F988" s="12">
        <f t="shared" si="258"/>
        <v>0</v>
      </c>
      <c r="G988" s="24">
        <f t="shared" si="249"/>
        <v>0</v>
      </c>
      <c r="H988" s="14"/>
      <c r="I988" s="14"/>
      <c r="J988" s="29"/>
      <c r="K988" s="30"/>
      <c r="M988" s="17"/>
      <c r="N988" s="7"/>
      <c r="O988" s="5"/>
      <c r="P988" s="3"/>
      <c r="Q988" s="5"/>
      <c r="R988" s="7"/>
      <c r="S988" s="5"/>
      <c r="U988" s="10"/>
      <c r="V988" s="11"/>
      <c r="W988" s="6"/>
      <c r="Y988" s="10"/>
      <c r="Z988" s="11" t="str">
        <f t="shared" si="253"/>
        <v/>
      </c>
      <c r="AA988" s="6"/>
      <c r="AB988" s="1">
        <v>1.2</v>
      </c>
      <c r="AC988" s="21" t="str">
        <f t="shared" si="250"/>
        <v/>
      </c>
      <c r="AD988" s="27" t="str">
        <f t="shared" si="256"/>
        <v/>
      </c>
      <c r="AE988" s="27" t="str">
        <f t="shared" si="254"/>
        <v/>
      </c>
      <c r="AF988" s="14">
        <f t="shared" si="251"/>
        <v>0</v>
      </c>
      <c r="AG988" s="12">
        <f t="shared" si="259"/>
        <v>0</v>
      </c>
      <c r="AH988" s="24">
        <f t="shared" si="252"/>
        <v>0</v>
      </c>
      <c r="AI988" s="49" t="e">
        <f t="shared" si="255"/>
        <v>#VALUE!</v>
      </c>
      <c r="AK988" s="50" t="e">
        <f t="shared" si="260"/>
        <v>#VALUE!</v>
      </c>
    </row>
    <row r="989" spans="1:37" x14ac:dyDescent="0.4">
      <c r="A989" s="2">
        <v>2142</v>
      </c>
      <c r="B989" s="16"/>
      <c r="C989" s="22">
        <f t="shared" si="257"/>
        <v>0</v>
      </c>
      <c r="D989" s="23">
        <f t="shared" si="248"/>
        <v>0</v>
      </c>
      <c r="E989" s="14"/>
      <c r="F989" s="12">
        <f t="shared" si="258"/>
        <v>0</v>
      </c>
      <c r="G989" s="24">
        <f t="shared" si="249"/>
        <v>0</v>
      </c>
      <c r="H989" s="14"/>
      <c r="I989" s="14"/>
      <c r="J989" s="29"/>
      <c r="K989" s="30"/>
      <c r="M989" s="17"/>
      <c r="N989" s="7"/>
      <c r="O989" s="5"/>
      <c r="P989" s="3"/>
      <c r="Q989" s="5"/>
      <c r="R989" s="7"/>
      <c r="S989" s="5"/>
      <c r="U989" s="10"/>
      <c r="V989" s="11"/>
      <c r="W989" s="6"/>
      <c r="Y989" s="10"/>
      <c r="Z989" s="11" t="str">
        <f t="shared" si="253"/>
        <v/>
      </c>
      <c r="AA989" s="6"/>
      <c r="AB989" s="1">
        <v>1.2</v>
      </c>
      <c r="AC989" s="21" t="str">
        <f t="shared" si="250"/>
        <v/>
      </c>
      <c r="AD989" s="27" t="str">
        <f t="shared" si="256"/>
        <v/>
      </c>
      <c r="AE989" s="27" t="str">
        <f t="shared" si="254"/>
        <v/>
      </c>
      <c r="AF989" s="14">
        <f t="shared" si="251"/>
        <v>0</v>
      </c>
      <c r="AG989" s="12">
        <f t="shared" si="259"/>
        <v>0</v>
      </c>
      <c r="AH989" s="24">
        <f t="shared" si="252"/>
        <v>0</v>
      </c>
      <c r="AI989" s="49" t="e">
        <f t="shared" si="255"/>
        <v>#VALUE!</v>
      </c>
      <c r="AK989" s="50" t="e">
        <f t="shared" si="260"/>
        <v>#VALUE!</v>
      </c>
    </row>
    <row r="990" spans="1:37" x14ac:dyDescent="0.4">
      <c r="A990" s="2">
        <v>2143</v>
      </c>
      <c r="B990" s="16"/>
      <c r="C990" s="22">
        <f t="shared" si="257"/>
        <v>0</v>
      </c>
      <c r="D990" s="23">
        <f t="shared" si="248"/>
        <v>0</v>
      </c>
      <c r="E990" s="14"/>
      <c r="F990" s="12">
        <f t="shared" si="258"/>
        <v>0</v>
      </c>
      <c r="G990" s="24">
        <f t="shared" si="249"/>
        <v>0</v>
      </c>
      <c r="H990" s="14"/>
      <c r="I990" s="14"/>
      <c r="J990" s="29"/>
      <c r="K990" s="30"/>
      <c r="M990" s="17"/>
      <c r="N990" s="7"/>
      <c r="O990" s="5"/>
      <c r="P990" s="3"/>
      <c r="Q990" s="5"/>
      <c r="R990" s="7"/>
      <c r="S990" s="5"/>
      <c r="U990" s="10"/>
      <c r="V990" s="11"/>
      <c r="W990" s="6"/>
      <c r="Y990" s="10"/>
      <c r="Z990" s="11" t="str">
        <f t="shared" si="253"/>
        <v/>
      </c>
      <c r="AA990" s="6"/>
      <c r="AB990" s="1">
        <v>1.2</v>
      </c>
      <c r="AC990" s="21" t="str">
        <f t="shared" si="250"/>
        <v/>
      </c>
      <c r="AD990" s="27" t="str">
        <f t="shared" si="256"/>
        <v/>
      </c>
      <c r="AE990" s="27" t="str">
        <f t="shared" si="254"/>
        <v/>
      </c>
      <c r="AF990" s="14">
        <f t="shared" si="251"/>
        <v>0</v>
      </c>
      <c r="AG990" s="12">
        <f t="shared" si="259"/>
        <v>0</v>
      </c>
      <c r="AH990" s="24">
        <f t="shared" si="252"/>
        <v>0</v>
      </c>
      <c r="AI990" s="49" t="e">
        <f t="shared" si="255"/>
        <v>#VALUE!</v>
      </c>
      <c r="AK990" s="50" t="e">
        <f t="shared" si="260"/>
        <v>#VALUE!</v>
      </c>
    </row>
    <row r="991" spans="1:37" x14ac:dyDescent="0.4">
      <c r="A991" s="2">
        <v>2144</v>
      </c>
      <c r="B991" s="16"/>
      <c r="C991" s="22">
        <f t="shared" si="257"/>
        <v>0</v>
      </c>
      <c r="D991" s="23">
        <f t="shared" si="248"/>
        <v>0</v>
      </c>
      <c r="E991" s="14"/>
      <c r="F991" s="12">
        <f t="shared" si="258"/>
        <v>0</v>
      </c>
      <c r="G991" s="24">
        <f t="shared" si="249"/>
        <v>0</v>
      </c>
      <c r="H991" s="14"/>
      <c r="I991" s="14"/>
      <c r="J991" s="29"/>
      <c r="K991" s="30"/>
      <c r="M991" s="17"/>
      <c r="N991" s="7"/>
      <c r="O991" s="5"/>
      <c r="P991" s="3"/>
      <c r="Q991" s="5"/>
      <c r="R991" s="7"/>
      <c r="S991" s="5"/>
      <c r="U991" s="10"/>
      <c r="V991" s="11"/>
      <c r="W991" s="6"/>
      <c r="Y991" s="10"/>
      <c r="Z991" s="11" t="str">
        <f t="shared" si="253"/>
        <v/>
      </c>
      <c r="AA991" s="6"/>
      <c r="AB991" s="1">
        <v>1.2</v>
      </c>
      <c r="AC991" s="21" t="str">
        <f t="shared" si="250"/>
        <v/>
      </c>
      <c r="AD991" s="27" t="str">
        <f t="shared" si="256"/>
        <v/>
      </c>
      <c r="AE991" s="27" t="str">
        <f t="shared" si="254"/>
        <v/>
      </c>
      <c r="AF991" s="14">
        <f t="shared" si="251"/>
        <v>0</v>
      </c>
      <c r="AG991" s="12">
        <f t="shared" si="259"/>
        <v>0</v>
      </c>
      <c r="AH991" s="24">
        <f t="shared" si="252"/>
        <v>0</v>
      </c>
      <c r="AI991" s="49" t="e">
        <f t="shared" si="255"/>
        <v>#VALUE!</v>
      </c>
      <c r="AK991" s="50" t="e">
        <f t="shared" si="260"/>
        <v>#VALUE!</v>
      </c>
    </row>
    <row r="992" spans="1:37" x14ac:dyDescent="0.4">
      <c r="A992" s="2">
        <v>2145</v>
      </c>
      <c r="B992" s="16"/>
      <c r="C992" s="22">
        <f t="shared" si="257"/>
        <v>0</v>
      </c>
      <c r="D992" s="23">
        <f t="shared" si="248"/>
        <v>0</v>
      </c>
      <c r="E992" s="14"/>
      <c r="F992" s="12">
        <f t="shared" si="258"/>
        <v>0</v>
      </c>
      <c r="G992" s="24">
        <f t="shared" si="249"/>
        <v>0</v>
      </c>
      <c r="H992" s="14"/>
      <c r="I992" s="14"/>
      <c r="J992" s="29"/>
      <c r="K992" s="30"/>
      <c r="M992" s="17"/>
      <c r="N992" s="7"/>
      <c r="O992" s="5"/>
      <c r="P992" s="3"/>
      <c r="Q992" s="5"/>
      <c r="R992" s="7"/>
      <c r="S992" s="5"/>
      <c r="U992" s="10"/>
      <c r="V992" s="11"/>
      <c r="W992" s="6"/>
      <c r="Y992" s="10"/>
      <c r="Z992" s="11" t="str">
        <f t="shared" si="253"/>
        <v/>
      </c>
      <c r="AA992" s="6"/>
      <c r="AB992" s="1">
        <v>1.2</v>
      </c>
      <c r="AC992" s="21" t="str">
        <f t="shared" si="250"/>
        <v/>
      </c>
      <c r="AD992" s="27" t="str">
        <f t="shared" si="256"/>
        <v/>
      </c>
      <c r="AE992" s="27" t="str">
        <f t="shared" si="254"/>
        <v/>
      </c>
      <c r="AF992" s="14">
        <f t="shared" si="251"/>
        <v>0</v>
      </c>
      <c r="AG992" s="12">
        <f t="shared" si="259"/>
        <v>0</v>
      </c>
      <c r="AH992" s="24">
        <f t="shared" si="252"/>
        <v>0</v>
      </c>
      <c r="AI992" s="49" t="e">
        <f t="shared" si="255"/>
        <v>#VALUE!</v>
      </c>
      <c r="AK992" s="50" t="e">
        <f t="shared" si="260"/>
        <v>#VALUE!</v>
      </c>
    </row>
    <row r="993" spans="1:37" x14ac:dyDescent="0.4">
      <c r="A993" s="2">
        <v>2146</v>
      </c>
      <c r="B993" s="16"/>
      <c r="C993" s="22">
        <f t="shared" si="257"/>
        <v>0</v>
      </c>
      <c r="D993" s="23">
        <f t="shared" si="248"/>
        <v>0</v>
      </c>
      <c r="E993" s="14"/>
      <c r="F993" s="12">
        <f t="shared" si="258"/>
        <v>0</v>
      </c>
      <c r="G993" s="24">
        <f t="shared" si="249"/>
        <v>0</v>
      </c>
      <c r="H993" s="14"/>
      <c r="I993" s="14"/>
      <c r="J993" s="29"/>
      <c r="K993" s="30"/>
      <c r="M993" s="17"/>
      <c r="N993" s="7"/>
      <c r="O993" s="5"/>
      <c r="P993" s="3"/>
      <c r="Q993" s="5"/>
      <c r="R993" s="7"/>
      <c r="S993" s="5"/>
      <c r="U993" s="10"/>
      <c r="V993" s="11"/>
      <c r="W993" s="6"/>
      <c r="Y993" s="10"/>
      <c r="Z993" s="11" t="str">
        <f t="shared" si="253"/>
        <v/>
      </c>
      <c r="AA993" s="6"/>
      <c r="AB993" s="1">
        <v>1.2</v>
      </c>
      <c r="AC993" s="21" t="str">
        <f t="shared" si="250"/>
        <v/>
      </c>
      <c r="AD993" s="27" t="str">
        <f t="shared" si="256"/>
        <v/>
      </c>
      <c r="AE993" s="27" t="str">
        <f t="shared" si="254"/>
        <v/>
      </c>
      <c r="AF993" s="14">
        <f t="shared" si="251"/>
        <v>0</v>
      </c>
      <c r="AG993" s="12">
        <f t="shared" si="259"/>
        <v>0</v>
      </c>
      <c r="AH993" s="24">
        <f t="shared" si="252"/>
        <v>0</v>
      </c>
      <c r="AI993" s="49" t="e">
        <f t="shared" si="255"/>
        <v>#VALUE!</v>
      </c>
      <c r="AK993" s="50" t="e">
        <f t="shared" si="260"/>
        <v>#VALUE!</v>
      </c>
    </row>
    <row r="994" spans="1:37" x14ac:dyDescent="0.4">
      <c r="A994" s="2">
        <v>2147</v>
      </c>
      <c r="B994" s="16"/>
      <c r="C994" s="22">
        <f t="shared" si="257"/>
        <v>0</v>
      </c>
      <c r="D994" s="23">
        <f t="shared" si="248"/>
        <v>0</v>
      </c>
      <c r="E994" s="14"/>
      <c r="F994" s="12">
        <f t="shared" si="258"/>
        <v>0</v>
      </c>
      <c r="G994" s="24">
        <f t="shared" si="249"/>
        <v>0</v>
      </c>
      <c r="H994" s="14"/>
      <c r="I994" s="14"/>
      <c r="J994" s="29"/>
      <c r="K994" s="30"/>
      <c r="M994" s="17"/>
      <c r="N994" s="7"/>
      <c r="O994" s="5"/>
      <c r="P994" s="3"/>
      <c r="Q994" s="5"/>
      <c r="R994" s="7"/>
      <c r="S994" s="5"/>
      <c r="U994" s="10"/>
      <c r="V994" s="11"/>
      <c r="W994" s="6"/>
      <c r="Y994" s="10"/>
      <c r="Z994" s="11" t="str">
        <f t="shared" si="253"/>
        <v/>
      </c>
      <c r="AA994" s="6"/>
      <c r="AB994" s="1">
        <v>1.2</v>
      </c>
      <c r="AC994" s="21" t="str">
        <f t="shared" si="250"/>
        <v/>
      </c>
      <c r="AD994" s="27" t="str">
        <f t="shared" si="256"/>
        <v/>
      </c>
      <c r="AE994" s="27" t="str">
        <f t="shared" si="254"/>
        <v/>
      </c>
      <c r="AF994" s="14">
        <f t="shared" si="251"/>
        <v>0</v>
      </c>
      <c r="AG994" s="12">
        <f t="shared" si="259"/>
        <v>0</v>
      </c>
      <c r="AH994" s="24">
        <f t="shared" si="252"/>
        <v>0</v>
      </c>
      <c r="AI994" s="49" t="e">
        <f t="shared" si="255"/>
        <v>#VALUE!</v>
      </c>
      <c r="AK994" s="50" t="e">
        <f t="shared" si="260"/>
        <v>#VALUE!</v>
      </c>
    </row>
    <row r="995" spans="1:37" x14ac:dyDescent="0.4">
      <c r="A995" s="2">
        <v>2148</v>
      </c>
      <c r="B995" s="16"/>
      <c r="C995" s="22">
        <f t="shared" si="257"/>
        <v>0</v>
      </c>
      <c r="D995" s="23">
        <f t="shared" si="248"/>
        <v>0</v>
      </c>
      <c r="E995" s="14"/>
      <c r="F995" s="12">
        <f t="shared" si="258"/>
        <v>0</v>
      </c>
      <c r="G995" s="24">
        <f t="shared" si="249"/>
        <v>0</v>
      </c>
      <c r="H995" s="14"/>
      <c r="I995" s="14"/>
      <c r="J995" s="29"/>
      <c r="K995" s="30"/>
      <c r="M995" s="17"/>
      <c r="N995" s="7"/>
      <c r="O995" s="5"/>
      <c r="P995" s="3"/>
      <c r="Q995" s="5"/>
      <c r="R995" s="7"/>
      <c r="S995" s="5"/>
      <c r="U995" s="10"/>
      <c r="V995" s="11"/>
      <c r="W995" s="6"/>
      <c r="Y995" s="10"/>
      <c r="Z995" s="11" t="str">
        <f t="shared" si="253"/>
        <v/>
      </c>
      <c r="AA995" s="6"/>
      <c r="AB995" s="1">
        <v>1.2</v>
      </c>
      <c r="AC995" s="21" t="str">
        <f t="shared" si="250"/>
        <v/>
      </c>
      <c r="AD995" s="27" t="str">
        <f t="shared" si="256"/>
        <v/>
      </c>
      <c r="AE995" s="27" t="str">
        <f t="shared" si="254"/>
        <v/>
      </c>
      <c r="AF995" s="14">
        <f t="shared" si="251"/>
        <v>0</v>
      </c>
      <c r="AG995" s="12">
        <f t="shared" si="259"/>
        <v>0</v>
      </c>
      <c r="AH995" s="24">
        <f t="shared" si="252"/>
        <v>0</v>
      </c>
      <c r="AI995" s="49" t="e">
        <f t="shared" si="255"/>
        <v>#VALUE!</v>
      </c>
      <c r="AK995" s="50" t="e">
        <f t="shared" si="260"/>
        <v>#VALUE!</v>
      </c>
    </row>
    <row r="996" spans="1:37" x14ac:dyDescent="0.4">
      <c r="A996" s="2">
        <v>2149</v>
      </c>
      <c r="B996" s="16"/>
      <c r="C996" s="22">
        <f t="shared" si="257"/>
        <v>0</v>
      </c>
      <c r="D996" s="23">
        <f t="shared" si="248"/>
        <v>0</v>
      </c>
      <c r="E996" s="14"/>
      <c r="F996" s="12">
        <f t="shared" si="258"/>
        <v>0</v>
      </c>
      <c r="G996" s="24">
        <f t="shared" si="249"/>
        <v>0</v>
      </c>
      <c r="H996" s="14"/>
      <c r="I996" s="14"/>
      <c r="J996" s="29"/>
      <c r="K996" s="30"/>
      <c r="M996" s="17"/>
      <c r="N996" s="7"/>
      <c r="O996" s="5"/>
      <c r="P996" s="3"/>
      <c r="Q996" s="5"/>
      <c r="R996" s="7"/>
      <c r="S996" s="5"/>
      <c r="U996" s="10"/>
      <c r="V996" s="11"/>
      <c r="W996" s="6"/>
      <c r="Y996" s="10"/>
      <c r="Z996" s="11" t="str">
        <f t="shared" si="253"/>
        <v/>
      </c>
      <c r="AA996" s="6"/>
      <c r="AB996" s="1">
        <v>1.2</v>
      </c>
      <c r="AC996" s="21" t="str">
        <f t="shared" si="250"/>
        <v/>
      </c>
      <c r="AD996" s="27" t="str">
        <f t="shared" si="256"/>
        <v/>
      </c>
      <c r="AE996" s="27" t="str">
        <f t="shared" si="254"/>
        <v/>
      </c>
      <c r="AF996" s="14">
        <f t="shared" si="251"/>
        <v>0</v>
      </c>
      <c r="AG996" s="12">
        <f t="shared" si="259"/>
        <v>0</v>
      </c>
      <c r="AH996" s="24">
        <f t="shared" si="252"/>
        <v>0</v>
      </c>
      <c r="AI996" s="49" t="e">
        <f t="shared" si="255"/>
        <v>#VALUE!</v>
      </c>
      <c r="AK996" s="50" t="e">
        <f t="shared" si="260"/>
        <v>#VALUE!</v>
      </c>
    </row>
    <row r="997" spans="1:37" x14ac:dyDescent="0.4">
      <c r="A997" s="2">
        <v>2150</v>
      </c>
      <c r="B997" s="16"/>
      <c r="C997" s="22">
        <f t="shared" si="257"/>
        <v>0</v>
      </c>
      <c r="D997" s="23">
        <f t="shared" si="248"/>
        <v>0</v>
      </c>
      <c r="E997" s="14"/>
      <c r="F997" s="12">
        <f t="shared" si="258"/>
        <v>0</v>
      </c>
      <c r="G997" s="24">
        <f t="shared" si="249"/>
        <v>0</v>
      </c>
      <c r="H997" s="14"/>
      <c r="I997" s="14"/>
      <c r="J997" s="29"/>
      <c r="K997" s="30"/>
      <c r="M997" s="17"/>
      <c r="N997" s="7"/>
      <c r="O997" s="5"/>
      <c r="P997" s="3"/>
      <c r="Q997" s="5"/>
      <c r="R997" s="7"/>
      <c r="S997" s="5"/>
      <c r="U997" s="10"/>
      <c r="V997" s="11"/>
      <c r="W997" s="6"/>
      <c r="Y997" s="10"/>
      <c r="Z997" s="11" t="str">
        <f t="shared" si="253"/>
        <v/>
      </c>
      <c r="AA997" s="6"/>
      <c r="AB997" s="1">
        <v>1.2</v>
      </c>
      <c r="AC997" s="21" t="str">
        <f t="shared" si="250"/>
        <v/>
      </c>
      <c r="AD997" s="27" t="str">
        <f t="shared" si="256"/>
        <v/>
      </c>
      <c r="AE997" s="27" t="str">
        <f t="shared" si="254"/>
        <v/>
      </c>
      <c r="AF997" s="14">
        <f t="shared" si="251"/>
        <v>0</v>
      </c>
      <c r="AG997" s="12">
        <f t="shared" si="259"/>
        <v>0</v>
      </c>
      <c r="AH997" s="24">
        <f t="shared" si="252"/>
        <v>0</v>
      </c>
      <c r="AI997" s="49" t="e">
        <f t="shared" si="255"/>
        <v>#VALUE!</v>
      </c>
      <c r="AK997" s="50" t="e">
        <f t="shared" si="260"/>
        <v>#VALUE!</v>
      </c>
    </row>
    <row r="998" spans="1:37" x14ac:dyDescent="0.4">
      <c r="A998" s="2">
        <v>2151</v>
      </c>
      <c r="B998" s="16"/>
      <c r="C998" s="22">
        <f t="shared" si="257"/>
        <v>0</v>
      </c>
      <c r="D998" s="23">
        <f t="shared" si="248"/>
        <v>0</v>
      </c>
      <c r="E998" s="14"/>
      <c r="F998" s="12">
        <f t="shared" si="258"/>
        <v>0</v>
      </c>
      <c r="G998" s="24">
        <f t="shared" si="249"/>
        <v>0</v>
      </c>
      <c r="H998" s="14"/>
      <c r="I998" s="14"/>
      <c r="J998" s="29"/>
      <c r="K998" s="30"/>
      <c r="M998" s="17"/>
      <c r="N998" s="7"/>
      <c r="O998" s="5"/>
      <c r="P998" s="3"/>
      <c r="Q998" s="5"/>
      <c r="R998" s="7"/>
      <c r="S998" s="5"/>
      <c r="U998" s="10"/>
      <c r="V998" s="11"/>
      <c r="W998" s="6"/>
      <c r="Y998" s="10"/>
      <c r="Z998" s="11" t="str">
        <f t="shared" si="253"/>
        <v/>
      </c>
      <c r="AA998" s="6"/>
      <c r="AB998" s="1">
        <v>1.2</v>
      </c>
      <c r="AC998" s="21" t="str">
        <f t="shared" si="250"/>
        <v/>
      </c>
      <c r="AD998" s="27" t="str">
        <f t="shared" si="256"/>
        <v/>
      </c>
      <c r="AE998" s="27" t="str">
        <f t="shared" si="254"/>
        <v/>
      </c>
      <c r="AF998" s="14">
        <f t="shared" si="251"/>
        <v>0</v>
      </c>
      <c r="AG998" s="12">
        <f t="shared" si="259"/>
        <v>0</v>
      </c>
      <c r="AH998" s="24">
        <f t="shared" si="252"/>
        <v>0</v>
      </c>
      <c r="AI998" s="49" t="e">
        <f t="shared" si="255"/>
        <v>#VALUE!</v>
      </c>
      <c r="AK998" s="50" t="e">
        <f t="shared" si="260"/>
        <v>#VALUE!</v>
      </c>
    </row>
    <row r="999" spans="1:37" x14ac:dyDescent="0.4">
      <c r="A999" s="2">
        <v>2152</v>
      </c>
      <c r="B999" s="16"/>
      <c r="C999" s="22">
        <f t="shared" si="257"/>
        <v>0</v>
      </c>
      <c r="D999" s="23">
        <f t="shared" si="248"/>
        <v>0</v>
      </c>
      <c r="E999" s="14"/>
      <c r="F999" s="12">
        <f t="shared" si="258"/>
        <v>0</v>
      </c>
      <c r="G999" s="24">
        <f t="shared" si="249"/>
        <v>0</v>
      </c>
      <c r="H999" s="14"/>
      <c r="I999" s="14"/>
      <c r="J999" s="29"/>
      <c r="K999" s="30"/>
      <c r="M999" s="17"/>
      <c r="N999" s="7"/>
      <c r="O999" s="5"/>
      <c r="P999" s="3"/>
      <c r="Q999" s="5"/>
      <c r="R999" s="7"/>
      <c r="S999" s="5"/>
      <c r="U999" s="10"/>
      <c r="V999" s="11"/>
      <c r="W999" s="6"/>
      <c r="Y999" s="10"/>
      <c r="Z999" s="11" t="str">
        <f t="shared" si="253"/>
        <v/>
      </c>
      <c r="AA999" s="6"/>
      <c r="AB999" s="1">
        <v>1.2</v>
      </c>
      <c r="AC999" s="21" t="str">
        <f t="shared" si="250"/>
        <v/>
      </c>
      <c r="AD999" s="27" t="str">
        <f t="shared" si="256"/>
        <v/>
      </c>
      <c r="AE999" s="27" t="str">
        <f t="shared" si="254"/>
        <v/>
      </c>
      <c r="AF999" s="14">
        <f t="shared" si="251"/>
        <v>0</v>
      </c>
      <c r="AG999" s="12">
        <f t="shared" si="259"/>
        <v>0</v>
      </c>
      <c r="AH999" s="24">
        <f t="shared" si="252"/>
        <v>0</v>
      </c>
      <c r="AI999" s="49" t="e">
        <f t="shared" si="255"/>
        <v>#VALUE!</v>
      </c>
      <c r="AK999" s="50" t="e">
        <f t="shared" si="260"/>
        <v>#VALUE!</v>
      </c>
    </row>
    <row r="1000" spans="1:37" x14ac:dyDescent="0.4">
      <c r="A1000" s="2">
        <v>2153</v>
      </c>
      <c r="B1000" s="16"/>
      <c r="C1000" s="22">
        <f t="shared" si="257"/>
        <v>0</v>
      </c>
      <c r="D1000" s="23">
        <f t="shared" ref="D1000:D1063" si="261">B1000-INT(B1000)</f>
        <v>0</v>
      </c>
      <c r="E1000" s="14"/>
      <c r="F1000" s="12">
        <f t="shared" si="258"/>
        <v>0</v>
      </c>
      <c r="G1000" s="24">
        <f t="shared" ref="G1000:G1063" si="262">E1000-INT(E1000)</f>
        <v>0</v>
      </c>
      <c r="H1000" s="14"/>
      <c r="I1000" s="14"/>
      <c r="J1000" s="29"/>
      <c r="K1000" s="30"/>
      <c r="M1000" s="17"/>
      <c r="N1000" s="7"/>
      <c r="O1000" s="5"/>
      <c r="P1000" s="3"/>
      <c r="Q1000" s="5"/>
      <c r="R1000" s="7"/>
      <c r="S1000" s="5"/>
      <c r="U1000" s="10"/>
      <c r="V1000" s="11"/>
      <c r="W1000" s="6"/>
      <c r="Y1000" s="10"/>
      <c r="Z1000" s="11" t="str">
        <f t="shared" si="253"/>
        <v/>
      </c>
      <c r="AA1000" s="6"/>
      <c r="AB1000" s="1">
        <v>1.2</v>
      </c>
      <c r="AC1000" s="21" t="str">
        <f t="shared" ref="AC1000:AC1063" si="263">IF(B1000="","",TEXT(E1000-B1000,"[hh]:mm"))</f>
        <v/>
      </c>
      <c r="AD1000" s="27" t="str">
        <f t="shared" si="256"/>
        <v/>
      </c>
      <c r="AE1000" s="27" t="str">
        <f t="shared" si="254"/>
        <v/>
      </c>
      <c r="AF1000" s="14">
        <f t="shared" ref="AF1000:AF1063" si="264">MAX(E1000,H1000,I1000)</f>
        <v>0</v>
      </c>
      <c r="AG1000" s="12">
        <f t="shared" si="259"/>
        <v>0</v>
      </c>
      <c r="AH1000" s="24">
        <f t="shared" ref="AH1000:AH1063" si="265">AF1000-INT(AF1000)</f>
        <v>0</v>
      </c>
      <c r="AI1000" s="49" t="e">
        <f t="shared" si="255"/>
        <v>#VALUE!</v>
      </c>
      <c r="AK1000" s="50" t="e">
        <f t="shared" si="260"/>
        <v>#VALUE!</v>
      </c>
    </row>
    <row r="1001" spans="1:37" x14ac:dyDescent="0.4">
      <c r="A1001" s="2">
        <v>2154</v>
      </c>
      <c r="B1001" s="16"/>
      <c r="C1001" s="22">
        <f t="shared" si="257"/>
        <v>0</v>
      </c>
      <c r="D1001" s="23">
        <f t="shared" si="261"/>
        <v>0</v>
      </c>
      <c r="E1001" s="14"/>
      <c r="F1001" s="12">
        <f t="shared" si="258"/>
        <v>0</v>
      </c>
      <c r="G1001" s="24">
        <f t="shared" si="262"/>
        <v>0</v>
      </c>
      <c r="H1001" s="14"/>
      <c r="I1001" s="14"/>
      <c r="J1001" s="29"/>
      <c r="K1001" s="30"/>
      <c r="M1001" s="17"/>
      <c r="N1001" s="7"/>
      <c r="O1001" s="5"/>
      <c r="P1001" s="3"/>
      <c r="Q1001" s="5"/>
      <c r="R1001" s="7"/>
      <c r="S1001" s="5"/>
      <c r="U1001" s="10"/>
      <c r="V1001" s="11"/>
      <c r="W1001" s="6"/>
      <c r="Y1001" s="10"/>
      <c r="Z1001" s="11" t="str">
        <f t="shared" si="253"/>
        <v/>
      </c>
      <c r="AA1001" s="6"/>
      <c r="AB1001" s="1">
        <v>1.2</v>
      </c>
      <c r="AC1001" s="21" t="str">
        <f t="shared" si="263"/>
        <v/>
      </c>
      <c r="AD1001" s="27" t="str">
        <f t="shared" si="256"/>
        <v/>
      </c>
      <c r="AE1001" s="27" t="str">
        <f t="shared" si="254"/>
        <v/>
      </c>
      <c r="AF1001" s="14">
        <f t="shared" si="264"/>
        <v>0</v>
      </c>
      <c r="AG1001" s="12">
        <f t="shared" si="259"/>
        <v>0</v>
      </c>
      <c r="AH1001" s="24">
        <f t="shared" si="265"/>
        <v>0</v>
      </c>
      <c r="AI1001" s="49" t="e">
        <f t="shared" si="255"/>
        <v>#VALUE!</v>
      </c>
      <c r="AK1001" s="50" t="e">
        <f t="shared" si="260"/>
        <v>#VALUE!</v>
      </c>
    </row>
    <row r="1002" spans="1:37" x14ac:dyDescent="0.4">
      <c r="A1002" s="2">
        <v>2155</v>
      </c>
      <c r="B1002" s="16"/>
      <c r="C1002" s="22">
        <f t="shared" si="257"/>
        <v>0</v>
      </c>
      <c r="D1002" s="23">
        <f t="shared" si="261"/>
        <v>0</v>
      </c>
      <c r="E1002" s="14"/>
      <c r="F1002" s="12">
        <f t="shared" si="258"/>
        <v>0</v>
      </c>
      <c r="G1002" s="24">
        <f t="shared" si="262"/>
        <v>0</v>
      </c>
      <c r="H1002" s="14"/>
      <c r="I1002" s="14"/>
      <c r="J1002" s="29"/>
      <c r="K1002" s="30"/>
      <c r="M1002" s="17"/>
      <c r="N1002" s="7"/>
      <c r="O1002" s="5"/>
      <c r="P1002" s="3"/>
      <c r="Q1002" s="5"/>
      <c r="R1002" s="7"/>
      <c r="S1002" s="5"/>
      <c r="U1002" s="10"/>
      <c r="V1002" s="11"/>
      <c r="W1002" s="6"/>
      <c r="Y1002" s="10"/>
      <c r="Z1002" s="11" t="str">
        <f t="shared" si="253"/>
        <v/>
      </c>
      <c r="AA1002" s="6"/>
      <c r="AB1002" s="1">
        <v>1.2</v>
      </c>
      <c r="AC1002" s="21" t="str">
        <f t="shared" si="263"/>
        <v/>
      </c>
      <c r="AD1002" s="27" t="str">
        <f t="shared" si="256"/>
        <v/>
      </c>
      <c r="AE1002" s="27" t="str">
        <f t="shared" si="254"/>
        <v/>
      </c>
      <c r="AF1002" s="14">
        <f t="shared" si="264"/>
        <v>0</v>
      </c>
      <c r="AG1002" s="12">
        <f t="shared" si="259"/>
        <v>0</v>
      </c>
      <c r="AH1002" s="24">
        <f t="shared" si="265"/>
        <v>0</v>
      </c>
      <c r="AI1002" s="49" t="e">
        <f t="shared" si="255"/>
        <v>#VALUE!</v>
      </c>
      <c r="AK1002" s="50" t="e">
        <f t="shared" si="260"/>
        <v>#VALUE!</v>
      </c>
    </row>
    <row r="1003" spans="1:37" x14ac:dyDescent="0.4">
      <c r="A1003" s="2">
        <v>2156</v>
      </c>
      <c r="B1003" s="16"/>
      <c r="C1003" s="22">
        <f t="shared" si="257"/>
        <v>0</v>
      </c>
      <c r="D1003" s="23">
        <f t="shared" si="261"/>
        <v>0</v>
      </c>
      <c r="E1003" s="14"/>
      <c r="F1003" s="12">
        <f t="shared" si="258"/>
        <v>0</v>
      </c>
      <c r="G1003" s="24">
        <f t="shared" si="262"/>
        <v>0</v>
      </c>
      <c r="H1003" s="14"/>
      <c r="I1003" s="14"/>
      <c r="J1003" s="29"/>
      <c r="K1003" s="30"/>
      <c r="M1003" s="17"/>
      <c r="N1003" s="7"/>
      <c r="O1003" s="5"/>
      <c r="P1003" s="3"/>
      <c r="Q1003" s="5"/>
      <c r="R1003" s="7"/>
      <c r="S1003" s="5"/>
      <c r="U1003" s="10"/>
      <c r="V1003" s="11"/>
      <c r="W1003" s="6"/>
      <c r="Y1003" s="10"/>
      <c r="Z1003" s="11" t="str">
        <f t="shared" si="253"/>
        <v/>
      </c>
      <c r="AA1003" s="6"/>
      <c r="AB1003" s="1">
        <v>1.2</v>
      </c>
      <c r="AC1003" s="21" t="str">
        <f t="shared" si="263"/>
        <v/>
      </c>
      <c r="AD1003" s="27" t="str">
        <f t="shared" si="256"/>
        <v/>
      </c>
      <c r="AE1003" s="27" t="str">
        <f t="shared" si="254"/>
        <v/>
      </c>
      <c r="AF1003" s="14">
        <f t="shared" si="264"/>
        <v>0</v>
      </c>
      <c r="AG1003" s="12">
        <f t="shared" si="259"/>
        <v>0</v>
      </c>
      <c r="AH1003" s="24">
        <f t="shared" si="265"/>
        <v>0</v>
      </c>
      <c r="AI1003" s="49" t="e">
        <f t="shared" si="255"/>
        <v>#VALUE!</v>
      </c>
      <c r="AK1003" s="50" t="e">
        <f t="shared" si="260"/>
        <v>#VALUE!</v>
      </c>
    </row>
    <row r="1004" spans="1:37" x14ac:dyDescent="0.4">
      <c r="A1004" s="2">
        <v>2157</v>
      </c>
      <c r="B1004" s="16"/>
      <c r="C1004" s="22">
        <f t="shared" si="257"/>
        <v>0</v>
      </c>
      <c r="D1004" s="23">
        <f t="shared" si="261"/>
        <v>0</v>
      </c>
      <c r="E1004" s="14"/>
      <c r="F1004" s="12">
        <f t="shared" si="258"/>
        <v>0</v>
      </c>
      <c r="G1004" s="24">
        <f t="shared" si="262"/>
        <v>0</v>
      </c>
      <c r="H1004" s="14"/>
      <c r="I1004" s="14"/>
      <c r="J1004" s="29"/>
      <c r="K1004" s="30"/>
      <c r="M1004" s="17"/>
      <c r="N1004" s="7"/>
      <c r="O1004" s="5"/>
      <c r="P1004" s="3"/>
      <c r="Q1004" s="5"/>
      <c r="R1004" s="7"/>
      <c r="S1004" s="5"/>
      <c r="U1004" s="10"/>
      <c r="V1004" s="11"/>
      <c r="W1004" s="6"/>
      <c r="Y1004" s="10"/>
      <c r="Z1004" s="11" t="str">
        <f t="shared" si="253"/>
        <v/>
      </c>
      <c r="AA1004" s="6"/>
      <c r="AB1004" s="1">
        <v>1.2</v>
      </c>
      <c r="AC1004" s="21" t="str">
        <f t="shared" si="263"/>
        <v/>
      </c>
      <c r="AD1004" s="27" t="str">
        <f t="shared" si="256"/>
        <v/>
      </c>
      <c r="AE1004" s="27" t="str">
        <f t="shared" si="254"/>
        <v/>
      </c>
      <c r="AF1004" s="14">
        <f t="shared" si="264"/>
        <v>0</v>
      </c>
      <c r="AG1004" s="12">
        <f t="shared" si="259"/>
        <v>0</v>
      </c>
      <c r="AH1004" s="24">
        <f t="shared" si="265"/>
        <v>0</v>
      </c>
      <c r="AI1004" s="49" t="e">
        <f t="shared" si="255"/>
        <v>#VALUE!</v>
      </c>
      <c r="AK1004" s="50" t="e">
        <f t="shared" si="260"/>
        <v>#VALUE!</v>
      </c>
    </row>
    <row r="1005" spans="1:37" x14ac:dyDescent="0.4">
      <c r="A1005" s="2">
        <v>2158</v>
      </c>
      <c r="B1005" s="16"/>
      <c r="C1005" s="22">
        <f t="shared" si="257"/>
        <v>0</v>
      </c>
      <c r="D1005" s="23">
        <f t="shared" si="261"/>
        <v>0</v>
      </c>
      <c r="E1005" s="14"/>
      <c r="F1005" s="12">
        <f t="shared" si="258"/>
        <v>0</v>
      </c>
      <c r="G1005" s="24">
        <f t="shared" si="262"/>
        <v>0</v>
      </c>
      <c r="H1005" s="14"/>
      <c r="I1005" s="14"/>
      <c r="J1005" s="29"/>
      <c r="K1005" s="30"/>
      <c r="M1005" s="17"/>
      <c r="N1005" s="7"/>
      <c r="O1005" s="5"/>
      <c r="P1005" s="3"/>
      <c r="Q1005" s="5"/>
      <c r="R1005" s="7"/>
      <c r="S1005" s="5"/>
      <c r="U1005" s="10"/>
      <c r="V1005" s="11"/>
      <c r="W1005" s="6"/>
      <c r="Y1005" s="10"/>
      <c r="Z1005" s="11" t="str">
        <f t="shared" si="253"/>
        <v/>
      </c>
      <c r="AA1005" s="6"/>
      <c r="AB1005" s="1">
        <v>1.2</v>
      </c>
      <c r="AC1005" s="21" t="str">
        <f t="shared" si="263"/>
        <v/>
      </c>
      <c r="AD1005" s="27" t="str">
        <f t="shared" si="256"/>
        <v/>
      </c>
      <c r="AE1005" s="27" t="str">
        <f t="shared" si="254"/>
        <v/>
      </c>
      <c r="AF1005" s="14">
        <f t="shared" si="264"/>
        <v>0</v>
      </c>
      <c r="AG1005" s="12">
        <f t="shared" si="259"/>
        <v>0</v>
      </c>
      <c r="AH1005" s="24">
        <f t="shared" si="265"/>
        <v>0</v>
      </c>
      <c r="AI1005" s="49" t="e">
        <f t="shared" si="255"/>
        <v>#VALUE!</v>
      </c>
      <c r="AK1005" s="50" t="e">
        <f t="shared" si="260"/>
        <v>#VALUE!</v>
      </c>
    </row>
    <row r="1006" spans="1:37" x14ac:dyDescent="0.4">
      <c r="A1006" s="2">
        <v>2159</v>
      </c>
      <c r="B1006" s="16"/>
      <c r="C1006" s="22">
        <f t="shared" si="257"/>
        <v>0</v>
      </c>
      <c r="D1006" s="23">
        <f t="shared" si="261"/>
        <v>0</v>
      </c>
      <c r="E1006" s="14"/>
      <c r="F1006" s="12">
        <f t="shared" si="258"/>
        <v>0</v>
      </c>
      <c r="G1006" s="24">
        <f t="shared" si="262"/>
        <v>0</v>
      </c>
      <c r="H1006" s="14"/>
      <c r="I1006" s="14"/>
      <c r="J1006" s="29"/>
      <c r="K1006" s="30"/>
      <c r="M1006" s="17"/>
      <c r="N1006" s="7"/>
      <c r="O1006" s="5"/>
      <c r="P1006" s="3"/>
      <c r="Q1006" s="5"/>
      <c r="R1006" s="7"/>
      <c r="S1006" s="5"/>
      <c r="U1006" s="10"/>
      <c r="V1006" s="11"/>
      <c r="W1006" s="6"/>
      <c r="Y1006" s="10"/>
      <c r="Z1006" s="11" t="str">
        <f t="shared" si="253"/>
        <v/>
      </c>
      <c r="AA1006" s="6"/>
      <c r="AB1006" s="1">
        <v>1.2</v>
      </c>
      <c r="AC1006" s="21" t="str">
        <f t="shared" si="263"/>
        <v/>
      </c>
      <c r="AD1006" s="27" t="str">
        <f t="shared" si="256"/>
        <v/>
      </c>
      <c r="AE1006" s="27" t="str">
        <f t="shared" si="254"/>
        <v/>
      </c>
      <c r="AF1006" s="14">
        <f t="shared" si="264"/>
        <v>0</v>
      </c>
      <c r="AG1006" s="12">
        <f t="shared" si="259"/>
        <v>0</v>
      </c>
      <c r="AH1006" s="24">
        <f t="shared" si="265"/>
        <v>0</v>
      </c>
      <c r="AI1006" s="49" t="e">
        <f t="shared" si="255"/>
        <v>#VALUE!</v>
      </c>
      <c r="AK1006" s="50" t="e">
        <f t="shared" si="260"/>
        <v>#VALUE!</v>
      </c>
    </row>
    <row r="1007" spans="1:37" x14ac:dyDescent="0.4">
      <c r="A1007" s="2">
        <v>2160</v>
      </c>
      <c r="B1007" s="16"/>
      <c r="C1007" s="22">
        <f t="shared" si="257"/>
        <v>0</v>
      </c>
      <c r="D1007" s="23">
        <f t="shared" si="261"/>
        <v>0</v>
      </c>
      <c r="E1007" s="14"/>
      <c r="F1007" s="12">
        <f t="shared" si="258"/>
        <v>0</v>
      </c>
      <c r="G1007" s="24">
        <f t="shared" si="262"/>
        <v>0</v>
      </c>
      <c r="H1007" s="14"/>
      <c r="I1007" s="14"/>
      <c r="J1007" s="29"/>
      <c r="K1007" s="30"/>
      <c r="M1007" s="17"/>
      <c r="N1007" s="7"/>
      <c r="O1007" s="5"/>
      <c r="P1007" s="3"/>
      <c r="Q1007" s="5"/>
      <c r="R1007" s="7"/>
      <c r="S1007" s="5"/>
      <c r="U1007" s="10"/>
      <c r="V1007" s="11"/>
      <c r="W1007" s="6"/>
      <c r="Y1007" s="10"/>
      <c r="Z1007" s="11" t="str">
        <f t="shared" si="253"/>
        <v/>
      </c>
      <c r="AA1007" s="6"/>
      <c r="AB1007" s="1">
        <v>1.2</v>
      </c>
      <c r="AC1007" s="21" t="str">
        <f t="shared" si="263"/>
        <v/>
      </c>
      <c r="AD1007" s="27" t="str">
        <f t="shared" si="256"/>
        <v/>
      </c>
      <c r="AE1007" s="27" t="str">
        <f t="shared" si="254"/>
        <v/>
      </c>
      <c r="AF1007" s="14">
        <f t="shared" si="264"/>
        <v>0</v>
      </c>
      <c r="AG1007" s="12">
        <f t="shared" si="259"/>
        <v>0</v>
      </c>
      <c r="AH1007" s="24">
        <f t="shared" si="265"/>
        <v>0</v>
      </c>
      <c r="AI1007" s="49" t="e">
        <f t="shared" si="255"/>
        <v>#VALUE!</v>
      </c>
      <c r="AK1007" s="50" t="e">
        <f t="shared" si="260"/>
        <v>#VALUE!</v>
      </c>
    </row>
    <row r="1008" spans="1:37" x14ac:dyDescent="0.4">
      <c r="A1008" s="2">
        <v>2161</v>
      </c>
      <c r="B1008" s="16"/>
      <c r="C1008" s="22">
        <f t="shared" si="257"/>
        <v>0</v>
      </c>
      <c r="D1008" s="23">
        <f t="shared" si="261"/>
        <v>0</v>
      </c>
      <c r="E1008" s="14"/>
      <c r="F1008" s="12">
        <f t="shared" si="258"/>
        <v>0</v>
      </c>
      <c r="G1008" s="24">
        <f t="shared" si="262"/>
        <v>0</v>
      </c>
      <c r="H1008" s="14"/>
      <c r="I1008" s="14"/>
      <c r="J1008" s="29"/>
      <c r="K1008" s="30"/>
      <c r="M1008" s="17"/>
      <c r="N1008" s="7"/>
      <c r="O1008" s="5"/>
      <c r="P1008" s="3"/>
      <c r="Q1008" s="5"/>
      <c r="R1008" s="7"/>
      <c r="S1008" s="5"/>
      <c r="U1008" s="10"/>
      <c r="V1008" s="11"/>
      <c r="W1008" s="6"/>
      <c r="Y1008" s="10"/>
      <c r="Z1008" s="11" t="str">
        <f t="shared" si="253"/>
        <v/>
      </c>
      <c r="AA1008" s="6"/>
      <c r="AB1008" s="1">
        <v>1.2</v>
      </c>
      <c r="AC1008" s="21" t="str">
        <f t="shared" si="263"/>
        <v/>
      </c>
      <c r="AD1008" s="27" t="str">
        <f t="shared" si="256"/>
        <v/>
      </c>
      <c r="AE1008" s="27" t="str">
        <f t="shared" si="254"/>
        <v/>
      </c>
      <c r="AF1008" s="14">
        <f t="shared" si="264"/>
        <v>0</v>
      </c>
      <c r="AG1008" s="12">
        <f t="shared" si="259"/>
        <v>0</v>
      </c>
      <c r="AH1008" s="24">
        <f t="shared" si="265"/>
        <v>0</v>
      </c>
      <c r="AI1008" s="49" t="e">
        <f t="shared" si="255"/>
        <v>#VALUE!</v>
      </c>
      <c r="AK1008" s="50" t="e">
        <f t="shared" si="260"/>
        <v>#VALUE!</v>
      </c>
    </row>
    <row r="1009" spans="1:37" x14ac:dyDescent="0.4">
      <c r="A1009" s="2">
        <v>2162</v>
      </c>
      <c r="B1009" s="16"/>
      <c r="C1009" s="22">
        <f t="shared" si="257"/>
        <v>0</v>
      </c>
      <c r="D1009" s="23">
        <f t="shared" si="261"/>
        <v>0</v>
      </c>
      <c r="E1009" s="14"/>
      <c r="F1009" s="12">
        <f t="shared" si="258"/>
        <v>0</v>
      </c>
      <c r="G1009" s="24">
        <f t="shared" si="262"/>
        <v>0</v>
      </c>
      <c r="H1009" s="14"/>
      <c r="I1009" s="14"/>
      <c r="J1009" s="29"/>
      <c r="K1009" s="30"/>
      <c r="M1009" s="17"/>
      <c r="N1009" s="7"/>
      <c r="O1009" s="5"/>
      <c r="P1009" s="3"/>
      <c r="Q1009" s="5"/>
      <c r="R1009" s="7"/>
      <c r="S1009" s="5"/>
      <c r="U1009" s="10"/>
      <c r="V1009" s="11"/>
      <c r="W1009" s="6"/>
      <c r="Y1009" s="10"/>
      <c r="Z1009" s="11" t="str">
        <f t="shared" si="253"/>
        <v/>
      </c>
      <c r="AA1009" s="6"/>
      <c r="AB1009" s="1">
        <v>1.2</v>
      </c>
      <c r="AC1009" s="21" t="str">
        <f t="shared" si="263"/>
        <v/>
      </c>
      <c r="AD1009" s="27" t="str">
        <f t="shared" si="256"/>
        <v/>
      </c>
      <c r="AE1009" s="27" t="str">
        <f t="shared" si="254"/>
        <v/>
      </c>
      <c r="AF1009" s="14">
        <f t="shared" si="264"/>
        <v>0</v>
      </c>
      <c r="AG1009" s="12">
        <f t="shared" si="259"/>
        <v>0</v>
      </c>
      <c r="AH1009" s="24">
        <f t="shared" si="265"/>
        <v>0</v>
      </c>
      <c r="AI1009" s="49" t="e">
        <f t="shared" si="255"/>
        <v>#VALUE!</v>
      </c>
      <c r="AK1009" s="50" t="e">
        <f t="shared" si="260"/>
        <v>#VALUE!</v>
      </c>
    </row>
    <row r="1010" spans="1:37" x14ac:dyDescent="0.4">
      <c r="A1010" s="2">
        <v>2163</v>
      </c>
      <c r="B1010" s="16"/>
      <c r="C1010" s="22">
        <f t="shared" si="257"/>
        <v>0</v>
      </c>
      <c r="D1010" s="23">
        <f t="shared" si="261"/>
        <v>0</v>
      </c>
      <c r="E1010" s="14"/>
      <c r="F1010" s="12">
        <f t="shared" si="258"/>
        <v>0</v>
      </c>
      <c r="G1010" s="24">
        <f t="shared" si="262"/>
        <v>0</v>
      </c>
      <c r="H1010" s="14"/>
      <c r="I1010" s="14"/>
      <c r="J1010" s="29"/>
      <c r="K1010" s="30"/>
      <c r="M1010" s="17"/>
      <c r="N1010" s="7"/>
      <c r="O1010" s="5"/>
      <c r="P1010" s="3"/>
      <c r="Q1010" s="5"/>
      <c r="R1010" s="7"/>
      <c r="S1010" s="5"/>
      <c r="U1010" s="10"/>
      <c r="V1010" s="11"/>
      <c r="W1010" s="6"/>
      <c r="Y1010" s="10"/>
      <c r="Z1010" s="11" t="str">
        <f t="shared" si="253"/>
        <v/>
      </c>
      <c r="AA1010" s="6"/>
      <c r="AB1010" s="1">
        <v>1.2</v>
      </c>
      <c r="AC1010" s="21" t="str">
        <f t="shared" si="263"/>
        <v/>
      </c>
      <c r="AD1010" s="27" t="str">
        <f t="shared" si="256"/>
        <v/>
      </c>
      <c r="AE1010" s="27" t="str">
        <f t="shared" si="254"/>
        <v/>
      </c>
      <c r="AF1010" s="14">
        <f t="shared" si="264"/>
        <v>0</v>
      </c>
      <c r="AG1010" s="12">
        <f t="shared" si="259"/>
        <v>0</v>
      </c>
      <c r="AH1010" s="24">
        <f t="shared" si="265"/>
        <v>0</v>
      </c>
      <c r="AI1010" s="49" t="e">
        <f t="shared" si="255"/>
        <v>#VALUE!</v>
      </c>
      <c r="AK1010" s="50" t="e">
        <f t="shared" si="260"/>
        <v>#VALUE!</v>
      </c>
    </row>
    <row r="1011" spans="1:37" x14ac:dyDescent="0.4">
      <c r="A1011" s="2">
        <v>2164</v>
      </c>
      <c r="B1011" s="16"/>
      <c r="C1011" s="22">
        <f t="shared" si="257"/>
        <v>0</v>
      </c>
      <c r="D1011" s="23">
        <f t="shared" si="261"/>
        <v>0</v>
      </c>
      <c r="E1011" s="14"/>
      <c r="F1011" s="12">
        <f t="shared" si="258"/>
        <v>0</v>
      </c>
      <c r="G1011" s="24">
        <f t="shared" si="262"/>
        <v>0</v>
      </c>
      <c r="H1011" s="14"/>
      <c r="I1011" s="14"/>
      <c r="J1011" s="29"/>
      <c r="K1011" s="30"/>
      <c r="M1011" s="17"/>
      <c r="N1011" s="7"/>
      <c r="O1011" s="5"/>
      <c r="P1011" s="3"/>
      <c r="Q1011" s="5"/>
      <c r="R1011" s="7"/>
      <c r="S1011" s="5"/>
      <c r="U1011" s="10"/>
      <c r="V1011" s="11"/>
      <c r="W1011" s="6"/>
      <c r="Y1011" s="10"/>
      <c r="Z1011" s="11" t="str">
        <f t="shared" si="253"/>
        <v/>
      </c>
      <c r="AA1011" s="6"/>
      <c r="AB1011" s="1">
        <v>1.2</v>
      </c>
      <c r="AC1011" s="21" t="str">
        <f t="shared" si="263"/>
        <v/>
      </c>
      <c r="AD1011" s="27" t="str">
        <f t="shared" si="256"/>
        <v/>
      </c>
      <c r="AE1011" s="27" t="str">
        <f t="shared" si="254"/>
        <v/>
      </c>
      <c r="AF1011" s="14">
        <f t="shared" si="264"/>
        <v>0</v>
      </c>
      <c r="AG1011" s="12">
        <f t="shared" si="259"/>
        <v>0</v>
      </c>
      <c r="AH1011" s="24">
        <f t="shared" si="265"/>
        <v>0</v>
      </c>
      <c r="AI1011" s="49" t="e">
        <f t="shared" si="255"/>
        <v>#VALUE!</v>
      </c>
      <c r="AK1011" s="50" t="e">
        <f t="shared" si="260"/>
        <v>#VALUE!</v>
      </c>
    </row>
    <row r="1012" spans="1:37" x14ac:dyDescent="0.4">
      <c r="A1012" s="2">
        <v>2165</v>
      </c>
      <c r="B1012" s="16"/>
      <c r="C1012" s="22">
        <f t="shared" si="257"/>
        <v>0</v>
      </c>
      <c r="D1012" s="23">
        <f t="shared" si="261"/>
        <v>0</v>
      </c>
      <c r="E1012" s="14"/>
      <c r="F1012" s="12">
        <f t="shared" si="258"/>
        <v>0</v>
      </c>
      <c r="G1012" s="24">
        <f t="shared" si="262"/>
        <v>0</v>
      </c>
      <c r="H1012" s="14"/>
      <c r="I1012" s="14"/>
      <c r="J1012" s="29"/>
      <c r="K1012" s="30"/>
      <c r="M1012" s="17"/>
      <c r="N1012" s="7"/>
      <c r="O1012" s="5"/>
      <c r="P1012" s="3"/>
      <c r="Q1012" s="5"/>
      <c r="R1012" s="7"/>
      <c r="S1012" s="5"/>
      <c r="U1012" s="10"/>
      <c r="V1012" s="11"/>
      <c r="W1012" s="6"/>
      <c r="Y1012" s="10"/>
      <c r="Z1012" s="11" t="str">
        <f t="shared" si="253"/>
        <v/>
      </c>
      <c r="AA1012" s="6"/>
      <c r="AB1012" s="1">
        <v>1.2</v>
      </c>
      <c r="AC1012" s="21" t="str">
        <f t="shared" si="263"/>
        <v/>
      </c>
      <c r="AD1012" s="27" t="str">
        <f t="shared" si="256"/>
        <v/>
      </c>
      <c r="AE1012" s="27" t="str">
        <f t="shared" si="254"/>
        <v/>
      </c>
      <c r="AF1012" s="14">
        <f t="shared" si="264"/>
        <v>0</v>
      </c>
      <c r="AG1012" s="12">
        <f t="shared" si="259"/>
        <v>0</v>
      </c>
      <c r="AH1012" s="24">
        <f t="shared" si="265"/>
        <v>0</v>
      </c>
      <c r="AI1012" s="49" t="e">
        <f t="shared" si="255"/>
        <v>#VALUE!</v>
      </c>
      <c r="AK1012" s="50" t="e">
        <f t="shared" si="260"/>
        <v>#VALUE!</v>
      </c>
    </row>
    <row r="1013" spans="1:37" x14ac:dyDescent="0.4">
      <c r="A1013" s="2">
        <v>2166</v>
      </c>
      <c r="B1013" s="16"/>
      <c r="C1013" s="22">
        <f t="shared" si="257"/>
        <v>0</v>
      </c>
      <c r="D1013" s="23">
        <f t="shared" si="261"/>
        <v>0</v>
      </c>
      <c r="E1013" s="14"/>
      <c r="F1013" s="12">
        <f t="shared" si="258"/>
        <v>0</v>
      </c>
      <c r="G1013" s="24">
        <f t="shared" si="262"/>
        <v>0</v>
      </c>
      <c r="H1013" s="14"/>
      <c r="I1013" s="14"/>
      <c r="J1013" s="29"/>
      <c r="K1013" s="30"/>
      <c r="M1013" s="17"/>
      <c r="N1013" s="7"/>
      <c r="O1013" s="5"/>
      <c r="P1013" s="3"/>
      <c r="Q1013" s="5"/>
      <c r="R1013" s="7"/>
      <c r="S1013" s="5"/>
      <c r="U1013" s="10"/>
      <c r="V1013" s="11"/>
      <c r="W1013" s="6"/>
      <c r="Y1013" s="10"/>
      <c r="Z1013" s="11" t="str">
        <f t="shared" si="253"/>
        <v/>
      </c>
      <c r="AA1013" s="6"/>
      <c r="AB1013" s="1">
        <v>1.2</v>
      </c>
      <c r="AC1013" s="21" t="str">
        <f t="shared" si="263"/>
        <v/>
      </c>
      <c r="AD1013" s="27" t="str">
        <f t="shared" si="256"/>
        <v/>
      </c>
      <c r="AE1013" s="27" t="str">
        <f t="shared" si="254"/>
        <v/>
      </c>
      <c r="AF1013" s="14">
        <f t="shared" si="264"/>
        <v>0</v>
      </c>
      <c r="AG1013" s="12">
        <f t="shared" si="259"/>
        <v>0</v>
      </c>
      <c r="AH1013" s="24">
        <f t="shared" si="265"/>
        <v>0</v>
      </c>
      <c r="AI1013" s="49" t="e">
        <f t="shared" si="255"/>
        <v>#VALUE!</v>
      </c>
      <c r="AK1013" s="50" t="e">
        <f t="shared" si="260"/>
        <v>#VALUE!</v>
      </c>
    </row>
    <row r="1014" spans="1:37" x14ac:dyDescent="0.4">
      <c r="A1014" s="2">
        <v>2167</v>
      </c>
      <c r="B1014" s="16"/>
      <c r="C1014" s="22">
        <f t="shared" si="257"/>
        <v>0</v>
      </c>
      <c r="D1014" s="23">
        <f t="shared" si="261"/>
        <v>0</v>
      </c>
      <c r="E1014" s="14"/>
      <c r="F1014" s="12">
        <f t="shared" si="258"/>
        <v>0</v>
      </c>
      <c r="G1014" s="24">
        <f t="shared" si="262"/>
        <v>0</v>
      </c>
      <c r="H1014" s="14"/>
      <c r="I1014" s="14"/>
      <c r="J1014" s="29"/>
      <c r="K1014" s="30"/>
      <c r="M1014" s="17"/>
      <c r="N1014" s="7"/>
      <c r="O1014" s="5"/>
      <c r="P1014" s="3"/>
      <c r="Q1014" s="5"/>
      <c r="R1014" s="7"/>
      <c r="S1014" s="5"/>
      <c r="U1014" s="10"/>
      <c r="V1014" s="11"/>
      <c r="W1014" s="6"/>
      <c r="Y1014" s="10"/>
      <c r="Z1014" s="11" t="str">
        <f t="shared" si="253"/>
        <v/>
      </c>
      <c r="AA1014" s="6"/>
      <c r="AB1014" s="1">
        <v>1.2</v>
      </c>
      <c r="AC1014" s="21" t="str">
        <f t="shared" si="263"/>
        <v/>
      </c>
      <c r="AD1014" s="27" t="str">
        <f t="shared" si="256"/>
        <v/>
      </c>
      <c r="AE1014" s="27" t="str">
        <f t="shared" si="254"/>
        <v/>
      </c>
      <c r="AF1014" s="14">
        <f t="shared" si="264"/>
        <v>0</v>
      </c>
      <c r="AG1014" s="12">
        <f t="shared" si="259"/>
        <v>0</v>
      </c>
      <c r="AH1014" s="24">
        <f t="shared" si="265"/>
        <v>0</v>
      </c>
      <c r="AI1014" s="49" t="e">
        <f t="shared" si="255"/>
        <v>#VALUE!</v>
      </c>
      <c r="AK1014" s="50" t="e">
        <f t="shared" si="260"/>
        <v>#VALUE!</v>
      </c>
    </row>
    <row r="1015" spans="1:37" x14ac:dyDescent="0.4">
      <c r="A1015" s="2">
        <v>2168</v>
      </c>
      <c r="B1015" s="16"/>
      <c r="C1015" s="22">
        <f t="shared" si="257"/>
        <v>0</v>
      </c>
      <c r="D1015" s="23">
        <f t="shared" si="261"/>
        <v>0</v>
      </c>
      <c r="E1015" s="14"/>
      <c r="F1015" s="12">
        <f t="shared" si="258"/>
        <v>0</v>
      </c>
      <c r="G1015" s="24">
        <f t="shared" si="262"/>
        <v>0</v>
      </c>
      <c r="H1015" s="14"/>
      <c r="I1015" s="14"/>
      <c r="J1015" s="29"/>
      <c r="K1015" s="30"/>
      <c r="M1015" s="17"/>
      <c r="N1015" s="7"/>
      <c r="O1015" s="5"/>
      <c r="P1015" s="3"/>
      <c r="Q1015" s="5"/>
      <c r="R1015" s="7"/>
      <c r="S1015" s="5"/>
      <c r="U1015" s="10"/>
      <c r="V1015" s="11"/>
      <c r="W1015" s="6"/>
      <c r="Y1015" s="10"/>
      <c r="Z1015" s="11" t="str">
        <f t="shared" si="253"/>
        <v/>
      </c>
      <c r="AA1015" s="6"/>
      <c r="AB1015" s="1">
        <v>1.2</v>
      </c>
      <c r="AC1015" s="21" t="str">
        <f t="shared" si="263"/>
        <v/>
      </c>
      <c r="AD1015" s="27" t="str">
        <f t="shared" si="256"/>
        <v/>
      </c>
      <c r="AE1015" s="27" t="str">
        <f t="shared" si="254"/>
        <v/>
      </c>
      <c r="AF1015" s="14">
        <f t="shared" si="264"/>
        <v>0</v>
      </c>
      <c r="AG1015" s="12">
        <f t="shared" si="259"/>
        <v>0</v>
      </c>
      <c r="AH1015" s="24">
        <f t="shared" si="265"/>
        <v>0</v>
      </c>
      <c r="AI1015" s="49" t="e">
        <f t="shared" si="255"/>
        <v>#VALUE!</v>
      </c>
      <c r="AK1015" s="50" t="e">
        <f t="shared" si="260"/>
        <v>#VALUE!</v>
      </c>
    </row>
    <row r="1016" spans="1:37" x14ac:dyDescent="0.4">
      <c r="A1016" s="2">
        <v>2169</v>
      </c>
      <c r="B1016" s="16"/>
      <c r="C1016" s="22">
        <f t="shared" si="257"/>
        <v>0</v>
      </c>
      <c r="D1016" s="23">
        <f t="shared" si="261"/>
        <v>0</v>
      </c>
      <c r="E1016" s="14"/>
      <c r="F1016" s="12">
        <f t="shared" si="258"/>
        <v>0</v>
      </c>
      <c r="G1016" s="24">
        <f t="shared" si="262"/>
        <v>0</v>
      </c>
      <c r="H1016" s="14"/>
      <c r="I1016" s="14"/>
      <c r="J1016" s="29"/>
      <c r="K1016" s="30"/>
      <c r="M1016" s="17"/>
      <c r="N1016" s="7"/>
      <c r="O1016" s="5"/>
      <c r="P1016" s="3"/>
      <c r="Q1016" s="5"/>
      <c r="R1016" s="7"/>
      <c r="S1016" s="5"/>
      <c r="U1016" s="10"/>
      <c r="V1016" s="11"/>
      <c r="W1016" s="6"/>
      <c r="Y1016" s="10"/>
      <c r="Z1016" s="11" t="str">
        <f t="shared" si="253"/>
        <v/>
      </c>
      <c r="AA1016" s="6"/>
      <c r="AB1016" s="1">
        <v>1.2</v>
      </c>
      <c r="AC1016" s="21" t="str">
        <f t="shared" si="263"/>
        <v/>
      </c>
      <c r="AD1016" s="27" t="str">
        <f t="shared" si="256"/>
        <v/>
      </c>
      <c r="AE1016" s="27" t="str">
        <f t="shared" si="254"/>
        <v/>
      </c>
      <c r="AF1016" s="14">
        <f t="shared" si="264"/>
        <v>0</v>
      </c>
      <c r="AG1016" s="12">
        <f t="shared" si="259"/>
        <v>0</v>
      </c>
      <c r="AH1016" s="24">
        <f t="shared" si="265"/>
        <v>0</v>
      </c>
      <c r="AI1016" s="49" t="e">
        <f t="shared" si="255"/>
        <v>#VALUE!</v>
      </c>
      <c r="AK1016" s="50" t="e">
        <f t="shared" si="260"/>
        <v>#VALUE!</v>
      </c>
    </row>
    <row r="1017" spans="1:37" x14ac:dyDescent="0.4">
      <c r="A1017" s="2">
        <v>2170</v>
      </c>
      <c r="B1017" s="16"/>
      <c r="C1017" s="22">
        <f t="shared" si="257"/>
        <v>0</v>
      </c>
      <c r="D1017" s="23">
        <f t="shared" si="261"/>
        <v>0</v>
      </c>
      <c r="E1017" s="14"/>
      <c r="F1017" s="12">
        <f t="shared" si="258"/>
        <v>0</v>
      </c>
      <c r="G1017" s="24">
        <f t="shared" si="262"/>
        <v>0</v>
      </c>
      <c r="H1017" s="14"/>
      <c r="I1017" s="14"/>
      <c r="J1017" s="29"/>
      <c r="K1017" s="30"/>
      <c r="M1017" s="17"/>
      <c r="N1017" s="7"/>
      <c r="O1017" s="5"/>
      <c r="P1017" s="3"/>
      <c r="Q1017" s="5"/>
      <c r="R1017" s="7"/>
      <c r="S1017" s="5"/>
      <c r="U1017" s="10"/>
      <c r="V1017" s="11"/>
      <c r="W1017" s="6"/>
      <c r="Y1017" s="10"/>
      <c r="Z1017" s="11" t="str">
        <f t="shared" si="253"/>
        <v/>
      </c>
      <c r="AA1017" s="6"/>
      <c r="AB1017" s="1">
        <v>1.2</v>
      </c>
      <c r="AC1017" s="21" t="str">
        <f t="shared" si="263"/>
        <v/>
      </c>
      <c r="AD1017" s="27" t="str">
        <f t="shared" si="256"/>
        <v/>
      </c>
      <c r="AE1017" s="27" t="str">
        <f t="shared" si="254"/>
        <v/>
      </c>
      <c r="AF1017" s="14">
        <f t="shared" si="264"/>
        <v>0</v>
      </c>
      <c r="AG1017" s="12">
        <f t="shared" si="259"/>
        <v>0</v>
      </c>
      <c r="AH1017" s="24">
        <f t="shared" si="265"/>
        <v>0</v>
      </c>
      <c r="AI1017" s="49" t="e">
        <f t="shared" si="255"/>
        <v>#VALUE!</v>
      </c>
      <c r="AK1017" s="50" t="e">
        <f t="shared" si="260"/>
        <v>#VALUE!</v>
      </c>
    </row>
    <row r="1018" spans="1:37" x14ac:dyDescent="0.4">
      <c r="A1018" s="2">
        <v>2171</v>
      </c>
      <c r="B1018" s="16"/>
      <c r="C1018" s="22">
        <f t="shared" si="257"/>
        <v>0</v>
      </c>
      <c r="D1018" s="23">
        <f t="shared" si="261"/>
        <v>0</v>
      </c>
      <c r="E1018" s="14"/>
      <c r="F1018" s="12">
        <f t="shared" si="258"/>
        <v>0</v>
      </c>
      <c r="G1018" s="24">
        <f t="shared" si="262"/>
        <v>0</v>
      </c>
      <c r="H1018" s="14"/>
      <c r="I1018" s="14"/>
      <c r="J1018" s="29"/>
      <c r="K1018" s="30"/>
      <c r="M1018" s="17"/>
      <c r="N1018" s="7"/>
      <c r="O1018" s="5"/>
      <c r="P1018" s="3"/>
      <c r="Q1018" s="5"/>
      <c r="R1018" s="7"/>
      <c r="S1018" s="5"/>
      <c r="U1018" s="10"/>
      <c r="V1018" s="11"/>
      <c r="W1018" s="6"/>
      <c r="Y1018" s="10"/>
      <c r="Z1018" s="11" t="str">
        <f t="shared" si="253"/>
        <v/>
      </c>
      <c r="AA1018" s="6"/>
      <c r="AB1018" s="1">
        <v>1.2</v>
      </c>
      <c r="AC1018" s="21" t="str">
        <f t="shared" si="263"/>
        <v/>
      </c>
      <c r="AD1018" s="27" t="str">
        <f t="shared" si="256"/>
        <v/>
      </c>
      <c r="AE1018" s="27" t="str">
        <f t="shared" si="254"/>
        <v/>
      </c>
      <c r="AF1018" s="14">
        <f t="shared" si="264"/>
        <v>0</v>
      </c>
      <c r="AG1018" s="12">
        <f t="shared" si="259"/>
        <v>0</v>
      </c>
      <c r="AH1018" s="24">
        <f t="shared" si="265"/>
        <v>0</v>
      </c>
      <c r="AI1018" s="49" t="e">
        <f t="shared" si="255"/>
        <v>#VALUE!</v>
      </c>
      <c r="AK1018" s="50" t="e">
        <f t="shared" si="260"/>
        <v>#VALUE!</v>
      </c>
    </row>
    <row r="1019" spans="1:37" x14ac:dyDescent="0.4">
      <c r="A1019" s="2">
        <v>2172</v>
      </c>
      <c r="B1019" s="16"/>
      <c r="C1019" s="22">
        <f t="shared" si="257"/>
        <v>0</v>
      </c>
      <c r="D1019" s="23">
        <f t="shared" si="261"/>
        <v>0</v>
      </c>
      <c r="E1019" s="14"/>
      <c r="F1019" s="12">
        <f t="shared" si="258"/>
        <v>0</v>
      </c>
      <c r="G1019" s="24">
        <f t="shared" si="262"/>
        <v>0</v>
      </c>
      <c r="H1019" s="14"/>
      <c r="I1019" s="14"/>
      <c r="J1019" s="29"/>
      <c r="K1019" s="30"/>
      <c r="M1019" s="17"/>
      <c r="N1019" s="7"/>
      <c r="O1019" s="5"/>
      <c r="P1019" s="3"/>
      <c r="Q1019" s="5"/>
      <c r="R1019" s="7"/>
      <c r="S1019" s="5"/>
      <c r="U1019" s="10"/>
      <c r="V1019" s="11"/>
      <c r="W1019" s="6"/>
      <c r="Y1019" s="10"/>
      <c r="Z1019" s="11" t="str">
        <f t="shared" si="253"/>
        <v/>
      </c>
      <c r="AA1019" s="6"/>
      <c r="AB1019" s="1">
        <v>1.2</v>
      </c>
      <c r="AC1019" s="21" t="str">
        <f t="shared" si="263"/>
        <v/>
      </c>
      <c r="AD1019" s="27" t="str">
        <f t="shared" si="256"/>
        <v/>
      </c>
      <c r="AE1019" s="27" t="str">
        <f t="shared" si="254"/>
        <v/>
      </c>
      <c r="AF1019" s="14">
        <f t="shared" si="264"/>
        <v>0</v>
      </c>
      <c r="AG1019" s="12">
        <f t="shared" si="259"/>
        <v>0</v>
      </c>
      <c r="AH1019" s="24">
        <f t="shared" si="265"/>
        <v>0</v>
      </c>
      <c r="AI1019" s="49" t="e">
        <f t="shared" si="255"/>
        <v>#VALUE!</v>
      </c>
      <c r="AK1019" s="50" t="e">
        <f t="shared" si="260"/>
        <v>#VALUE!</v>
      </c>
    </row>
    <row r="1020" spans="1:37" x14ac:dyDescent="0.4">
      <c r="A1020" s="2">
        <v>2173</v>
      </c>
      <c r="B1020" s="16"/>
      <c r="C1020" s="22">
        <f t="shared" si="257"/>
        <v>0</v>
      </c>
      <c r="D1020" s="23">
        <f t="shared" si="261"/>
        <v>0</v>
      </c>
      <c r="E1020" s="14"/>
      <c r="F1020" s="12">
        <f t="shared" si="258"/>
        <v>0</v>
      </c>
      <c r="G1020" s="24">
        <f t="shared" si="262"/>
        <v>0</v>
      </c>
      <c r="H1020" s="14"/>
      <c r="I1020" s="14"/>
      <c r="J1020" s="29"/>
      <c r="K1020" s="30"/>
      <c r="M1020" s="17"/>
      <c r="N1020" s="7"/>
      <c r="O1020" s="5"/>
      <c r="P1020" s="3"/>
      <c r="Q1020" s="5"/>
      <c r="R1020" s="7"/>
      <c r="S1020" s="5"/>
      <c r="U1020" s="10"/>
      <c r="V1020" s="11"/>
      <c r="W1020" s="6"/>
      <c r="Y1020" s="10"/>
      <c r="Z1020" s="11" t="str">
        <f t="shared" si="253"/>
        <v/>
      </c>
      <c r="AA1020" s="6"/>
      <c r="AB1020" s="1">
        <v>1.2</v>
      </c>
      <c r="AC1020" s="21" t="str">
        <f t="shared" si="263"/>
        <v/>
      </c>
      <c r="AD1020" s="27" t="str">
        <f t="shared" si="256"/>
        <v/>
      </c>
      <c r="AE1020" s="27" t="str">
        <f t="shared" si="254"/>
        <v/>
      </c>
      <c r="AF1020" s="14">
        <f t="shared" si="264"/>
        <v>0</v>
      </c>
      <c r="AG1020" s="12">
        <f t="shared" si="259"/>
        <v>0</v>
      </c>
      <c r="AH1020" s="24">
        <f t="shared" si="265"/>
        <v>0</v>
      </c>
      <c r="AI1020" s="49" t="e">
        <f t="shared" si="255"/>
        <v>#VALUE!</v>
      </c>
      <c r="AK1020" s="50" t="e">
        <f t="shared" si="260"/>
        <v>#VALUE!</v>
      </c>
    </row>
    <row r="1021" spans="1:37" x14ac:dyDescent="0.4">
      <c r="A1021" s="2">
        <v>2174</v>
      </c>
      <c r="B1021" s="16"/>
      <c r="C1021" s="22">
        <f t="shared" si="257"/>
        <v>0</v>
      </c>
      <c r="D1021" s="23">
        <f t="shared" si="261"/>
        <v>0</v>
      </c>
      <c r="E1021" s="14"/>
      <c r="F1021" s="12">
        <f t="shared" si="258"/>
        <v>0</v>
      </c>
      <c r="G1021" s="24">
        <f t="shared" si="262"/>
        <v>0</v>
      </c>
      <c r="H1021" s="14"/>
      <c r="I1021" s="14"/>
      <c r="J1021" s="29"/>
      <c r="K1021" s="30"/>
      <c r="M1021" s="17"/>
      <c r="N1021" s="7"/>
      <c r="O1021" s="5"/>
      <c r="P1021" s="3"/>
      <c r="Q1021" s="5"/>
      <c r="R1021" s="7"/>
      <c r="S1021" s="5"/>
      <c r="U1021" s="10"/>
      <c r="V1021" s="11"/>
      <c r="W1021" s="6"/>
      <c r="Y1021" s="10"/>
      <c r="Z1021" s="11" t="str">
        <f t="shared" si="253"/>
        <v/>
      </c>
      <c r="AA1021" s="6"/>
      <c r="AB1021" s="1">
        <v>1.2</v>
      </c>
      <c r="AC1021" s="21" t="str">
        <f t="shared" si="263"/>
        <v/>
      </c>
      <c r="AD1021" s="27" t="str">
        <f t="shared" si="256"/>
        <v/>
      </c>
      <c r="AE1021" s="27" t="str">
        <f t="shared" si="254"/>
        <v/>
      </c>
      <c r="AF1021" s="14">
        <f t="shared" si="264"/>
        <v>0</v>
      </c>
      <c r="AG1021" s="12">
        <f t="shared" si="259"/>
        <v>0</v>
      </c>
      <c r="AH1021" s="24">
        <f t="shared" si="265"/>
        <v>0</v>
      </c>
      <c r="AI1021" s="49" t="e">
        <f t="shared" si="255"/>
        <v>#VALUE!</v>
      </c>
      <c r="AK1021" s="50" t="e">
        <f t="shared" si="260"/>
        <v>#VALUE!</v>
      </c>
    </row>
    <row r="1022" spans="1:37" x14ac:dyDescent="0.4">
      <c r="A1022" s="2">
        <v>2175</v>
      </c>
      <c r="B1022" s="16"/>
      <c r="C1022" s="22">
        <f t="shared" si="257"/>
        <v>0</v>
      </c>
      <c r="D1022" s="23">
        <f t="shared" si="261"/>
        <v>0</v>
      </c>
      <c r="E1022" s="14"/>
      <c r="F1022" s="12">
        <f t="shared" si="258"/>
        <v>0</v>
      </c>
      <c r="G1022" s="24">
        <f t="shared" si="262"/>
        <v>0</v>
      </c>
      <c r="H1022" s="14"/>
      <c r="I1022" s="14"/>
      <c r="J1022" s="29"/>
      <c r="K1022" s="30"/>
      <c r="M1022" s="17"/>
      <c r="N1022" s="7"/>
      <c r="O1022" s="5"/>
      <c r="P1022" s="3"/>
      <c r="Q1022" s="5"/>
      <c r="R1022" s="7"/>
      <c r="S1022" s="5"/>
      <c r="U1022" s="10"/>
      <c r="V1022" s="11"/>
      <c r="W1022" s="6"/>
      <c r="Y1022" s="10"/>
      <c r="Z1022" s="11" t="str">
        <f t="shared" si="253"/>
        <v/>
      </c>
      <c r="AA1022" s="6"/>
      <c r="AB1022" s="1">
        <v>1.2</v>
      </c>
      <c r="AC1022" s="21" t="str">
        <f t="shared" si="263"/>
        <v/>
      </c>
      <c r="AD1022" s="27" t="str">
        <f t="shared" si="256"/>
        <v/>
      </c>
      <c r="AE1022" s="27" t="str">
        <f t="shared" si="254"/>
        <v/>
      </c>
      <c r="AF1022" s="14">
        <f t="shared" si="264"/>
        <v>0</v>
      </c>
      <c r="AG1022" s="12">
        <f t="shared" si="259"/>
        <v>0</v>
      </c>
      <c r="AH1022" s="24">
        <f t="shared" si="265"/>
        <v>0</v>
      </c>
      <c r="AI1022" s="49" t="e">
        <f t="shared" si="255"/>
        <v>#VALUE!</v>
      </c>
      <c r="AK1022" s="50" t="e">
        <f t="shared" si="260"/>
        <v>#VALUE!</v>
      </c>
    </row>
    <row r="1023" spans="1:37" x14ac:dyDescent="0.4">
      <c r="A1023" s="2">
        <v>2176</v>
      </c>
      <c r="B1023" s="16"/>
      <c r="C1023" s="22">
        <f t="shared" si="257"/>
        <v>0</v>
      </c>
      <c r="D1023" s="23">
        <f t="shared" si="261"/>
        <v>0</v>
      </c>
      <c r="E1023" s="14"/>
      <c r="F1023" s="12">
        <f t="shared" si="258"/>
        <v>0</v>
      </c>
      <c r="G1023" s="24">
        <f t="shared" si="262"/>
        <v>0</v>
      </c>
      <c r="H1023" s="14"/>
      <c r="I1023" s="14"/>
      <c r="J1023" s="29"/>
      <c r="K1023" s="30"/>
      <c r="M1023" s="17"/>
      <c r="N1023" s="7"/>
      <c r="O1023" s="5"/>
      <c r="P1023" s="3"/>
      <c r="Q1023" s="5"/>
      <c r="R1023" s="7"/>
      <c r="S1023" s="5"/>
      <c r="U1023" s="10"/>
      <c r="V1023" s="11"/>
      <c r="W1023" s="6"/>
      <c r="Y1023" s="10"/>
      <c r="Z1023" s="11" t="str">
        <f t="shared" si="253"/>
        <v/>
      </c>
      <c r="AA1023" s="6"/>
      <c r="AB1023" s="1">
        <v>1.2</v>
      </c>
      <c r="AC1023" s="21" t="str">
        <f t="shared" si="263"/>
        <v/>
      </c>
      <c r="AD1023" s="27" t="str">
        <f t="shared" si="256"/>
        <v/>
      </c>
      <c r="AE1023" s="27" t="str">
        <f t="shared" si="254"/>
        <v/>
      </c>
      <c r="AF1023" s="14">
        <f t="shared" si="264"/>
        <v>0</v>
      </c>
      <c r="AG1023" s="12">
        <f t="shared" si="259"/>
        <v>0</v>
      </c>
      <c r="AH1023" s="24">
        <f t="shared" si="265"/>
        <v>0</v>
      </c>
      <c r="AI1023" s="49" t="e">
        <f t="shared" si="255"/>
        <v>#VALUE!</v>
      </c>
      <c r="AK1023" s="50" t="e">
        <f t="shared" si="260"/>
        <v>#VALUE!</v>
      </c>
    </row>
    <row r="1024" spans="1:37" x14ac:dyDescent="0.4">
      <c r="A1024" s="2">
        <v>2177</v>
      </c>
      <c r="B1024" s="16"/>
      <c r="C1024" s="22">
        <f t="shared" si="257"/>
        <v>0</v>
      </c>
      <c r="D1024" s="23">
        <f t="shared" si="261"/>
        <v>0</v>
      </c>
      <c r="E1024" s="14"/>
      <c r="F1024" s="12">
        <f t="shared" si="258"/>
        <v>0</v>
      </c>
      <c r="G1024" s="24">
        <f t="shared" si="262"/>
        <v>0</v>
      </c>
      <c r="H1024" s="14"/>
      <c r="I1024" s="14"/>
      <c r="J1024" s="29"/>
      <c r="K1024" s="30"/>
      <c r="M1024" s="17"/>
      <c r="N1024" s="7"/>
      <c r="O1024" s="5"/>
      <c r="P1024" s="3"/>
      <c r="Q1024" s="5"/>
      <c r="R1024" s="7"/>
      <c r="S1024" s="5"/>
      <c r="U1024" s="10"/>
      <c r="V1024" s="11"/>
      <c r="W1024" s="6"/>
      <c r="Y1024" s="10"/>
      <c r="Z1024" s="11" t="str">
        <f t="shared" si="253"/>
        <v/>
      </c>
      <c r="AA1024" s="6"/>
      <c r="AB1024" s="1">
        <v>1.2</v>
      </c>
      <c r="AC1024" s="21" t="str">
        <f t="shared" si="263"/>
        <v/>
      </c>
      <c r="AD1024" s="27" t="str">
        <f t="shared" si="256"/>
        <v/>
      </c>
      <c r="AE1024" s="27" t="str">
        <f t="shared" si="254"/>
        <v/>
      </c>
      <c r="AF1024" s="14">
        <f t="shared" si="264"/>
        <v>0</v>
      </c>
      <c r="AG1024" s="12">
        <f t="shared" si="259"/>
        <v>0</v>
      </c>
      <c r="AH1024" s="24">
        <f t="shared" si="265"/>
        <v>0</v>
      </c>
      <c r="AI1024" s="49" t="e">
        <f t="shared" si="255"/>
        <v>#VALUE!</v>
      </c>
      <c r="AK1024" s="50" t="e">
        <f t="shared" si="260"/>
        <v>#VALUE!</v>
      </c>
    </row>
    <row r="1025" spans="1:37" x14ac:dyDescent="0.4">
      <c r="A1025" s="2">
        <v>2178</v>
      </c>
      <c r="B1025" s="16"/>
      <c r="C1025" s="22">
        <f t="shared" si="257"/>
        <v>0</v>
      </c>
      <c r="D1025" s="23">
        <f t="shared" si="261"/>
        <v>0</v>
      </c>
      <c r="E1025" s="14"/>
      <c r="F1025" s="12">
        <f t="shared" si="258"/>
        <v>0</v>
      </c>
      <c r="G1025" s="24">
        <f t="shared" si="262"/>
        <v>0</v>
      </c>
      <c r="H1025" s="14"/>
      <c r="I1025" s="14"/>
      <c r="J1025" s="29"/>
      <c r="K1025" s="30"/>
      <c r="M1025" s="17"/>
      <c r="N1025" s="7"/>
      <c r="O1025" s="5"/>
      <c r="P1025" s="3"/>
      <c r="Q1025" s="5"/>
      <c r="R1025" s="7"/>
      <c r="S1025" s="5"/>
      <c r="U1025" s="10"/>
      <c r="V1025" s="11"/>
      <c r="W1025" s="6"/>
      <c r="Y1025" s="10"/>
      <c r="Z1025" s="11" t="str">
        <f t="shared" si="253"/>
        <v/>
      </c>
      <c r="AA1025" s="6"/>
      <c r="AB1025" s="1">
        <v>1.2</v>
      </c>
      <c r="AC1025" s="21" t="str">
        <f t="shared" si="263"/>
        <v/>
      </c>
      <c r="AD1025" s="27" t="str">
        <f t="shared" si="256"/>
        <v/>
      </c>
      <c r="AE1025" s="27" t="str">
        <f t="shared" si="254"/>
        <v/>
      </c>
      <c r="AF1025" s="14">
        <f t="shared" si="264"/>
        <v>0</v>
      </c>
      <c r="AG1025" s="12">
        <f t="shared" si="259"/>
        <v>0</v>
      </c>
      <c r="AH1025" s="24">
        <f t="shared" si="265"/>
        <v>0</v>
      </c>
      <c r="AI1025" s="49" t="e">
        <f t="shared" si="255"/>
        <v>#VALUE!</v>
      </c>
      <c r="AK1025" s="50" t="e">
        <f t="shared" si="260"/>
        <v>#VALUE!</v>
      </c>
    </row>
    <row r="1026" spans="1:37" x14ac:dyDescent="0.4">
      <c r="A1026" s="2">
        <v>2179</v>
      </c>
      <c r="B1026" s="16"/>
      <c r="C1026" s="22">
        <f t="shared" si="257"/>
        <v>0</v>
      </c>
      <c r="D1026" s="23">
        <f t="shared" si="261"/>
        <v>0</v>
      </c>
      <c r="E1026" s="14"/>
      <c r="F1026" s="12">
        <f t="shared" si="258"/>
        <v>0</v>
      </c>
      <c r="G1026" s="24">
        <f t="shared" si="262"/>
        <v>0</v>
      </c>
      <c r="H1026" s="14"/>
      <c r="I1026" s="14"/>
      <c r="J1026" s="29"/>
      <c r="K1026" s="30"/>
      <c r="M1026" s="17"/>
      <c r="N1026" s="7"/>
      <c r="O1026" s="5"/>
      <c r="P1026" s="3"/>
      <c r="Q1026" s="5"/>
      <c r="R1026" s="7"/>
      <c r="S1026" s="5"/>
      <c r="U1026" s="10"/>
      <c r="V1026" s="11"/>
      <c r="W1026" s="6"/>
      <c r="Y1026" s="10"/>
      <c r="Z1026" s="11" t="str">
        <f t="shared" si="253"/>
        <v/>
      </c>
      <c r="AA1026" s="6"/>
      <c r="AB1026" s="1">
        <v>1.2</v>
      </c>
      <c r="AC1026" s="21" t="str">
        <f t="shared" si="263"/>
        <v/>
      </c>
      <c r="AD1026" s="27" t="str">
        <f t="shared" si="256"/>
        <v/>
      </c>
      <c r="AE1026" s="27" t="str">
        <f t="shared" si="254"/>
        <v/>
      </c>
      <c r="AF1026" s="14">
        <f t="shared" si="264"/>
        <v>0</v>
      </c>
      <c r="AG1026" s="12">
        <f t="shared" si="259"/>
        <v>0</v>
      </c>
      <c r="AH1026" s="24">
        <f t="shared" si="265"/>
        <v>0</v>
      </c>
      <c r="AI1026" s="49" t="e">
        <f t="shared" si="255"/>
        <v>#VALUE!</v>
      </c>
      <c r="AK1026" s="50" t="e">
        <f t="shared" si="260"/>
        <v>#VALUE!</v>
      </c>
    </row>
    <row r="1027" spans="1:37" x14ac:dyDescent="0.4">
      <c r="A1027" s="2">
        <v>2180</v>
      </c>
      <c r="B1027" s="16"/>
      <c r="C1027" s="22">
        <f t="shared" si="257"/>
        <v>0</v>
      </c>
      <c r="D1027" s="23">
        <f t="shared" si="261"/>
        <v>0</v>
      </c>
      <c r="E1027" s="14"/>
      <c r="F1027" s="12">
        <f t="shared" si="258"/>
        <v>0</v>
      </c>
      <c r="G1027" s="24">
        <f t="shared" si="262"/>
        <v>0</v>
      </c>
      <c r="H1027" s="14"/>
      <c r="I1027" s="14"/>
      <c r="J1027" s="29"/>
      <c r="K1027" s="30"/>
      <c r="M1027" s="17"/>
      <c r="N1027" s="7"/>
      <c r="O1027" s="5"/>
      <c r="P1027" s="3"/>
      <c r="Q1027" s="5"/>
      <c r="R1027" s="7"/>
      <c r="S1027" s="5"/>
      <c r="U1027" s="10"/>
      <c r="V1027" s="11"/>
      <c r="W1027" s="6"/>
      <c r="Y1027" s="10"/>
      <c r="Z1027" s="11" t="str">
        <f t="shared" si="253"/>
        <v/>
      </c>
      <c r="AA1027" s="6"/>
      <c r="AB1027" s="1">
        <v>1.2</v>
      </c>
      <c r="AC1027" s="21" t="str">
        <f t="shared" si="263"/>
        <v/>
      </c>
      <c r="AD1027" s="27" t="str">
        <f t="shared" si="256"/>
        <v/>
      </c>
      <c r="AE1027" s="27" t="str">
        <f t="shared" si="254"/>
        <v/>
      </c>
      <c r="AF1027" s="14">
        <f t="shared" si="264"/>
        <v>0</v>
      </c>
      <c r="AG1027" s="12">
        <f t="shared" si="259"/>
        <v>0</v>
      </c>
      <c r="AH1027" s="24">
        <f t="shared" si="265"/>
        <v>0</v>
      </c>
      <c r="AI1027" s="49" t="e">
        <f t="shared" si="255"/>
        <v>#VALUE!</v>
      </c>
      <c r="AK1027" s="50" t="e">
        <f t="shared" si="260"/>
        <v>#VALUE!</v>
      </c>
    </row>
    <row r="1028" spans="1:37" x14ac:dyDescent="0.4">
      <c r="A1028" s="2">
        <v>2181</v>
      </c>
      <c r="B1028" s="16"/>
      <c r="C1028" s="22">
        <f t="shared" si="257"/>
        <v>0</v>
      </c>
      <c r="D1028" s="23">
        <f t="shared" si="261"/>
        <v>0</v>
      </c>
      <c r="E1028" s="14"/>
      <c r="F1028" s="12">
        <f t="shared" si="258"/>
        <v>0</v>
      </c>
      <c r="G1028" s="24">
        <f t="shared" si="262"/>
        <v>0</v>
      </c>
      <c r="H1028" s="14"/>
      <c r="I1028" s="14"/>
      <c r="J1028" s="29"/>
      <c r="K1028" s="30"/>
      <c r="M1028" s="17"/>
      <c r="N1028" s="7"/>
      <c r="O1028" s="5"/>
      <c r="P1028" s="3"/>
      <c r="Q1028" s="5"/>
      <c r="R1028" s="7"/>
      <c r="S1028" s="5"/>
      <c r="U1028" s="10"/>
      <c r="V1028" s="11"/>
      <c r="W1028" s="6"/>
      <c r="Y1028" s="10"/>
      <c r="Z1028" s="11" t="str">
        <f t="shared" si="253"/>
        <v/>
      </c>
      <c r="AA1028" s="6"/>
      <c r="AB1028" s="1">
        <v>1.2</v>
      </c>
      <c r="AC1028" s="21" t="str">
        <f t="shared" si="263"/>
        <v/>
      </c>
      <c r="AD1028" s="27" t="str">
        <f t="shared" si="256"/>
        <v/>
      </c>
      <c r="AE1028" s="27" t="str">
        <f t="shared" si="254"/>
        <v/>
      </c>
      <c r="AF1028" s="14">
        <f t="shared" si="264"/>
        <v>0</v>
      </c>
      <c r="AG1028" s="12">
        <f t="shared" si="259"/>
        <v>0</v>
      </c>
      <c r="AH1028" s="24">
        <f t="shared" si="265"/>
        <v>0</v>
      </c>
      <c r="AI1028" s="49" t="e">
        <f t="shared" si="255"/>
        <v>#VALUE!</v>
      </c>
      <c r="AK1028" s="50" t="e">
        <f t="shared" si="260"/>
        <v>#VALUE!</v>
      </c>
    </row>
    <row r="1029" spans="1:37" x14ac:dyDescent="0.4">
      <c r="A1029" s="2">
        <v>2182</v>
      </c>
      <c r="B1029" s="16"/>
      <c r="C1029" s="22">
        <f t="shared" si="257"/>
        <v>0</v>
      </c>
      <c r="D1029" s="23">
        <f t="shared" si="261"/>
        <v>0</v>
      </c>
      <c r="E1029" s="14"/>
      <c r="F1029" s="12">
        <f t="shared" si="258"/>
        <v>0</v>
      </c>
      <c r="G1029" s="24">
        <f t="shared" si="262"/>
        <v>0</v>
      </c>
      <c r="H1029" s="14"/>
      <c r="I1029" s="14"/>
      <c r="J1029" s="29"/>
      <c r="K1029" s="30"/>
      <c r="M1029" s="17"/>
      <c r="N1029" s="7"/>
      <c r="O1029" s="5"/>
      <c r="P1029" s="3"/>
      <c r="Q1029" s="5"/>
      <c r="R1029" s="7"/>
      <c r="S1029" s="5"/>
      <c r="U1029" s="10"/>
      <c r="V1029" s="11"/>
      <c r="W1029" s="6"/>
      <c r="Y1029" s="10"/>
      <c r="Z1029" s="11" t="str">
        <f t="shared" si="253"/>
        <v/>
      </c>
      <c r="AA1029" s="6"/>
      <c r="AB1029" s="1">
        <v>1.2</v>
      </c>
      <c r="AC1029" s="21" t="str">
        <f t="shared" si="263"/>
        <v/>
      </c>
      <c r="AD1029" s="27" t="str">
        <f t="shared" si="256"/>
        <v/>
      </c>
      <c r="AE1029" s="27" t="str">
        <f t="shared" si="254"/>
        <v/>
      </c>
      <c r="AF1029" s="14">
        <f t="shared" si="264"/>
        <v>0</v>
      </c>
      <c r="AG1029" s="12">
        <f t="shared" si="259"/>
        <v>0</v>
      </c>
      <c r="AH1029" s="24">
        <f t="shared" si="265"/>
        <v>0</v>
      </c>
      <c r="AI1029" s="49" t="e">
        <f t="shared" si="255"/>
        <v>#VALUE!</v>
      </c>
      <c r="AK1029" s="50" t="e">
        <f t="shared" si="260"/>
        <v>#VALUE!</v>
      </c>
    </row>
    <row r="1030" spans="1:37" x14ac:dyDescent="0.4">
      <c r="A1030" s="2">
        <v>2183</v>
      </c>
      <c r="B1030" s="16"/>
      <c r="C1030" s="22">
        <f t="shared" si="257"/>
        <v>0</v>
      </c>
      <c r="D1030" s="23">
        <f t="shared" si="261"/>
        <v>0</v>
      </c>
      <c r="E1030" s="14"/>
      <c r="F1030" s="12">
        <f t="shared" si="258"/>
        <v>0</v>
      </c>
      <c r="G1030" s="24">
        <f t="shared" si="262"/>
        <v>0</v>
      </c>
      <c r="H1030" s="14"/>
      <c r="I1030" s="14"/>
      <c r="J1030" s="29"/>
      <c r="K1030" s="30"/>
      <c r="M1030" s="17"/>
      <c r="N1030" s="7"/>
      <c r="O1030" s="5"/>
      <c r="P1030" s="3"/>
      <c r="Q1030" s="5"/>
      <c r="R1030" s="7"/>
      <c r="S1030" s="5"/>
      <c r="U1030" s="10"/>
      <c r="V1030" s="11"/>
      <c r="W1030" s="6"/>
      <c r="Y1030" s="10"/>
      <c r="Z1030" s="11" t="str">
        <f t="shared" si="253"/>
        <v/>
      </c>
      <c r="AA1030" s="6"/>
      <c r="AB1030" s="1">
        <v>1.2</v>
      </c>
      <c r="AC1030" s="21" t="str">
        <f t="shared" si="263"/>
        <v/>
      </c>
      <c r="AD1030" s="27" t="str">
        <f t="shared" si="256"/>
        <v/>
      </c>
      <c r="AE1030" s="27" t="str">
        <f t="shared" si="254"/>
        <v/>
      </c>
      <c r="AF1030" s="14">
        <f t="shared" si="264"/>
        <v>0</v>
      </c>
      <c r="AG1030" s="12">
        <f t="shared" si="259"/>
        <v>0</v>
      </c>
      <c r="AH1030" s="24">
        <f t="shared" si="265"/>
        <v>0</v>
      </c>
      <c r="AI1030" s="49" t="e">
        <f t="shared" si="255"/>
        <v>#VALUE!</v>
      </c>
      <c r="AK1030" s="50" t="e">
        <f t="shared" si="260"/>
        <v>#VALUE!</v>
      </c>
    </row>
    <row r="1031" spans="1:37" x14ac:dyDescent="0.4">
      <c r="A1031" s="2">
        <v>2184</v>
      </c>
      <c r="B1031" s="16"/>
      <c r="C1031" s="22">
        <f t="shared" si="257"/>
        <v>0</v>
      </c>
      <c r="D1031" s="23">
        <f t="shared" si="261"/>
        <v>0</v>
      </c>
      <c r="E1031" s="14"/>
      <c r="F1031" s="12">
        <f t="shared" si="258"/>
        <v>0</v>
      </c>
      <c r="G1031" s="24">
        <f t="shared" si="262"/>
        <v>0</v>
      </c>
      <c r="H1031" s="14"/>
      <c r="I1031" s="14"/>
      <c r="J1031" s="29"/>
      <c r="K1031" s="30"/>
      <c r="M1031" s="17"/>
      <c r="N1031" s="7"/>
      <c r="O1031" s="5"/>
      <c r="P1031" s="3"/>
      <c r="Q1031" s="5"/>
      <c r="R1031" s="7"/>
      <c r="S1031" s="5"/>
      <c r="U1031" s="10"/>
      <c r="V1031" s="11"/>
      <c r="W1031" s="6"/>
      <c r="Y1031" s="10"/>
      <c r="Z1031" s="11" t="str">
        <f t="shared" si="253"/>
        <v/>
      </c>
      <c r="AA1031" s="6"/>
      <c r="AB1031" s="1">
        <v>1.2</v>
      </c>
      <c r="AC1031" s="21" t="str">
        <f t="shared" si="263"/>
        <v/>
      </c>
      <c r="AD1031" s="27" t="str">
        <f t="shared" si="256"/>
        <v/>
      </c>
      <c r="AE1031" s="27" t="str">
        <f t="shared" si="254"/>
        <v/>
      </c>
      <c r="AF1031" s="14">
        <f t="shared" si="264"/>
        <v>0</v>
      </c>
      <c r="AG1031" s="12">
        <f t="shared" si="259"/>
        <v>0</v>
      </c>
      <c r="AH1031" s="24">
        <f t="shared" si="265"/>
        <v>0</v>
      </c>
      <c r="AI1031" s="49" t="e">
        <f t="shared" si="255"/>
        <v>#VALUE!</v>
      </c>
      <c r="AK1031" s="50" t="e">
        <f t="shared" si="260"/>
        <v>#VALUE!</v>
      </c>
    </row>
    <row r="1032" spans="1:37" x14ac:dyDescent="0.4">
      <c r="A1032" s="2">
        <v>2185</v>
      </c>
      <c r="B1032" s="16"/>
      <c r="C1032" s="22">
        <f t="shared" si="257"/>
        <v>0</v>
      </c>
      <c r="D1032" s="23">
        <f t="shared" si="261"/>
        <v>0</v>
      </c>
      <c r="E1032" s="14"/>
      <c r="F1032" s="12">
        <f t="shared" si="258"/>
        <v>0</v>
      </c>
      <c r="G1032" s="24">
        <f t="shared" si="262"/>
        <v>0</v>
      </c>
      <c r="H1032" s="14"/>
      <c r="I1032" s="14"/>
      <c r="J1032" s="29"/>
      <c r="K1032" s="30"/>
      <c r="M1032" s="17"/>
      <c r="N1032" s="7"/>
      <c r="O1032" s="5"/>
      <c r="P1032" s="3"/>
      <c r="Q1032" s="5"/>
      <c r="R1032" s="7"/>
      <c r="S1032" s="5"/>
      <c r="U1032" s="10"/>
      <c r="V1032" s="11"/>
      <c r="W1032" s="6"/>
      <c r="Y1032" s="10"/>
      <c r="Z1032" s="11" t="str">
        <f t="shared" ref="Z1032:Z1095" si="266">IF(Y1032="","",Y1032*AB1032)</f>
        <v/>
      </c>
      <c r="AA1032" s="6"/>
      <c r="AB1032" s="1">
        <v>1.2</v>
      </c>
      <c r="AC1032" s="21" t="str">
        <f t="shared" si="263"/>
        <v/>
      </c>
      <c r="AD1032" s="27" t="str">
        <f t="shared" si="256"/>
        <v/>
      </c>
      <c r="AE1032" s="27" t="str">
        <f t="shared" si="254"/>
        <v/>
      </c>
      <c r="AF1032" s="14">
        <f t="shared" si="264"/>
        <v>0</v>
      </c>
      <c r="AG1032" s="12">
        <f t="shared" si="259"/>
        <v>0</v>
      </c>
      <c r="AH1032" s="24">
        <f t="shared" si="265"/>
        <v>0</v>
      </c>
      <c r="AI1032" s="49" t="e">
        <f t="shared" si="255"/>
        <v>#VALUE!</v>
      </c>
      <c r="AK1032" s="50" t="e">
        <f t="shared" si="260"/>
        <v>#VALUE!</v>
      </c>
    </row>
    <row r="1033" spans="1:37" x14ac:dyDescent="0.4">
      <c r="A1033" s="2">
        <v>2186</v>
      </c>
      <c r="B1033" s="16"/>
      <c r="C1033" s="22">
        <f t="shared" si="257"/>
        <v>0</v>
      </c>
      <c r="D1033" s="23">
        <f t="shared" si="261"/>
        <v>0</v>
      </c>
      <c r="E1033" s="14"/>
      <c r="F1033" s="12">
        <f t="shared" si="258"/>
        <v>0</v>
      </c>
      <c r="G1033" s="24">
        <f t="shared" si="262"/>
        <v>0</v>
      </c>
      <c r="H1033" s="14"/>
      <c r="I1033" s="14"/>
      <c r="J1033" s="29"/>
      <c r="K1033" s="30"/>
      <c r="M1033" s="17"/>
      <c r="N1033" s="7"/>
      <c r="O1033" s="5"/>
      <c r="P1033" s="3"/>
      <c r="Q1033" s="5"/>
      <c r="R1033" s="7"/>
      <c r="S1033" s="5"/>
      <c r="U1033" s="10"/>
      <c r="V1033" s="11"/>
      <c r="W1033" s="6"/>
      <c r="Y1033" s="10"/>
      <c r="Z1033" s="11" t="str">
        <f t="shared" si="266"/>
        <v/>
      </c>
      <c r="AA1033" s="6"/>
      <c r="AB1033" s="1">
        <v>1.2</v>
      </c>
      <c r="AC1033" s="21" t="str">
        <f t="shared" si="263"/>
        <v/>
      </c>
      <c r="AD1033" s="27" t="str">
        <f t="shared" si="256"/>
        <v/>
      </c>
      <c r="AE1033" s="27" t="str">
        <f t="shared" si="254"/>
        <v/>
      </c>
      <c r="AF1033" s="14">
        <f t="shared" si="264"/>
        <v>0</v>
      </c>
      <c r="AG1033" s="12">
        <f t="shared" si="259"/>
        <v>0</v>
      </c>
      <c r="AH1033" s="24">
        <f t="shared" si="265"/>
        <v>0</v>
      </c>
      <c r="AI1033" s="49" t="e">
        <f t="shared" si="255"/>
        <v>#VALUE!</v>
      </c>
      <c r="AK1033" s="50" t="e">
        <f t="shared" si="260"/>
        <v>#VALUE!</v>
      </c>
    </row>
    <row r="1034" spans="1:37" x14ac:dyDescent="0.4">
      <c r="A1034" s="2">
        <v>2187</v>
      </c>
      <c r="B1034" s="16"/>
      <c r="C1034" s="22">
        <f t="shared" si="257"/>
        <v>0</v>
      </c>
      <c r="D1034" s="23">
        <f t="shared" si="261"/>
        <v>0</v>
      </c>
      <c r="E1034" s="14"/>
      <c r="F1034" s="12">
        <f t="shared" si="258"/>
        <v>0</v>
      </c>
      <c r="G1034" s="24">
        <f t="shared" si="262"/>
        <v>0</v>
      </c>
      <c r="H1034" s="14"/>
      <c r="I1034" s="14"/>
      <c r="J1034" s="29"/>
      <c r="K1034" s="30"/>
      <c r="M1034" s="17"/>
      <c r="N1034" s="7"/>
      <c r="O1034" s="5"/>
      <c r="P1034" s="3"/>
      <c r="Q1034" s="5"/>
      <c r="R1034" s="7"/>
      <c r="S1034" s="5"/>
      <c r="U1034" s="10"/>
      <c r="V1034" s="11"/>
      <c r="W1034" s="6"/>
      <c r="Y1034" s="10"/>
      <c r="Z1034" s="11" t="str">
        <f t="shared" si="266"/>
        <v/>
      </c>
      <c r="AA1034" s="6"/>
      <c r="AB1034" s="1">
        <v>1.2</v>
      </c>
      <c r="AC1034" s="21" t="str">
        <f t="shared" si="263"/>
        <v/>
      </c>
      <c r="AD1034" s="27" t="str">
        <f t="shared" si="256"/>
        <v/>
      </c>
      <c r="AE1034" s="27" t="str">
        <f t="shared" si="254"/>
        <v/>
      </c>
      <c r="AF1034" s="14">
        <f t="shared" si="264"/>
        <v>0</v>
      </c>
      <c r="AG1034" s="12">
        <f t="shared" si="259"/>
        <v>0</v>
      </c>
      <c r="AH1034" s="24">
        <f t="shared" si="265"/>
        <v>0</v>
      </c>
      <c r="AI1034" s="49" t="e">
        <f t="shared" si="255"/>
        <v>#VALUE!</v>
      </c>
      <c r="AK1034" s="50" t="e">
        <f t="shared" si="260"/>
        <v>#VALUE!</v>
      </c>
    </row>
    <row r="1035" spans="1:37" x14ac:dyDescent="0.4">
      <c r="A1035" s="2">
        <v>2188</v>
      </c>
      <c r="B1035" s="16"/>
      <c r="C1035" s="22">
        <f t="shared" si="257"/>
        <v>0</v>
      </c>
      <c r="D1035" s="23">
        <f t="shared" si="261"/>
        <v>0</v>
      </c>
      <c r="E1035" s="14"/>
      <c r="F1035" s="12">
        <f t="shared" si="258"/>
        <v>0</v>
      </c>
      <c r="G1035" s="24">
        <f t="shared" si="262"/>
        <v>0</v>
      </c>
      <c r="H1035" s="14"/>
      <c r="I1035" s="14"/>
      <c r="J1035" s="29"/>
      <c r="K1035" s="30"/>
      <c r="M1035" s="17"/>
      <c r="N1035" s="7"/>
      <c r="O1035" s="5"/>
      <c r="P1035" s="3"/>
      <c r="Q1035" s="5"/>
      <c r="R1035" s="7"/>
      <c r="S1035" s="5"/>
      <c r="U1035" s="10"/>
      <c r="V1035" s="11"/>
      <c r="W1035" s="6"/>
      <c r="Y1035" s="10"/>
      <c r="Z1035" s="11" t="str">
        <f t="shared" si="266"/>
        <v/>
      </c>
      <c r="AA1035" s="6"/>
      <c r="AB1035" s="1">
        <v>1.2</v>
      </c>
      <c r="AC1035" s="21" t="str">
        <f t="shared" si="263"/>
        <v/>
      </c>
      <c r="AD1035" s="27" t="str">
        <f t="shared" si="256"/>
        <v/>
      </c>
      <c r="AE1035" s="27" t="str">
        <f t="shared" si="254"/>
        <v/>
      </c>
      <c r="AF1035" s="14">
        <f t="shared" si="264"/>
        <v>0</v>
      </c>
      <c r="AG1035" s="12">
        <f t="shared" si="259"/>
        <v>0</v>
      </c>
      <c r="AH1035" s="24">
        <f t="shared" si="265"/>
        <v>0</v>
      </c>
      <c r="AI1035" s="49" t="e">
        <f t="shared" si="255"/>
        <v>#VALUE!</v>
      </c>
      <c r="AK1035" s="50" t="e">
        <f t="shared" si="260"/>
        <v>#VALUE!</v>
      </c>
    </row>
    <row r="1036" spans="1:37" x14ac:dyDescent="0.4">
      <c r="A1036" s="2">
        <v>2189</v>
      </c>
      <c r="B1036" s="16"/>
      <c r="C1036" s="22">
        <f t="shared" si="257"/>
        <v>0</v>
      </c>
      <c r="D1036" s="23">
        <f t="shared" si="261"/>
        <v>0</v>
      </c>
      <c r="E1036" s="14"/>
      <c r="F1036" s="12">
        <f t="shared" si="258"/>
        <v>0</v>
      </c>
      <c r="G1036" s="24">
        <f t="shared" si="262"/>
        <v>0</v>
      </c>
      <c r="H1036" s="14"/>
      <c r="I1036" s="14"/>
      <c r="J1036" s="29"/>
      <c r="K1036" s="30"/>
      <c r="M1036" s="17"/>
      <c r="N1036" s="7"/>
      <c r="O1036" s="5"/>
      <c r="P1036" s="3"/>
      <c r="Q1036" s="5"/>
      <c r="R1036" s="7"/>
      <c r="S1036" s="5"/>
      <c r="U1036" s="10"/>
      <c r="V1036" s="11"/>
      <c r="W1036" s="6"/>
      <c r="Y1036" s="10"/>
      <c r="Z1036" s="11" t="str">
        <f t="shared" si="266"/>
        <v/>
      </c>
      <c r="AA1036" s="6"/>
      <c r="AB1036" s="1">
        <v>1.2</v>
      </c>
      <c r="AC1036" s="21" t="str">
        <f t="shared" si="263"/>
        <v/>
      </c>
      <c r="AD1036" s="27" t="str">
        <f t="shared" si="256"/>
        <v/>
      </c>
      <c r="AE1036" s="27" t="str">
        <f t="shared" si="254"/>
        <v/>
      </c>
      <c r="AF1036" s="14">
        <f t="shared" si="264"/>
        <v>0</v>
      </c>
      <c r="AG1036" s="12">
        <f t="shared" si="259"/>
        <v>0</v>
      </c>
      <c r="AH1036" s="24">
        <f t="shared" si="265"/>
        <v>0</v>
      </c>
      <c r="AI1036" s="49" t="e">
        <f t="shared" si="255"/>
        <v>#VALUE!</v>
      </c>
      <c r="AK1036" s="50" t="e">
        <f t="shared" si="260"/>
        <v>#VALUE!</v>
      </c>
    </row>
    <row r="1037" spans="1:37" x14ac:dyDescent="0.4">
      <c r="A1037" s="2">
        <v>2190</v>
      </c>
      <c r="B1037" s="16"/>
      <c r="C1037" s="22">
        <f t="shared" si="257"/>
        <v>0</v>
      </c>
      <c r="D1037" s="23">
        <f t="shared" si="261"/>
        <v>0</v>
      </c>
      <c r="E1037" s="14"/>
      <c r="F1037" s="12">
        <f t="shared" si="258"/>
        <v>0</v>
      </c>
      <c r="G1037" s="24">
        <f t="shared" si="262"/>
        <v>0</v>
      </c>
      <c r="H1037" s="14"/>
      <c r="I1037" s="14"/>
      <c r="J1037" s="29"/>
      <c r="K1037" s="30"/>
      <c r="M1037" s="17"/>
      <c r="N1037" s="7"/>
      <c r="O1037" s="5"/>
      <c r="P1037" s="3"/>
      <c r="Q1037" s="5"/>
      <c r="R1037" s="7"/>
      <c r="S1037" s="5"/>
      <c r="U1037" s="10"/>
      <c r="V1037" s="11"/>
      <c r="W1037" s="6"/>
      <c r="Y1037" s="10"/>
      <c r="Z1037" s="11" t="str">
        <f t="shared" si="266"/>
        <v/>
      </c>
      <c r="AA1037" s="6"/>
      <c r="AB1037" s="1">
        <v>1.2</v>
      </c>
      <c r="AC1037" s="21" t="str">
        <f t="shared" si="263"/>
        <v/>
      </c>
      <c r="AD1037" s="27" t="str">
        <f t="shared" si="256"/>
        <v/>
      </c>
      <c r="AE1037" s="27" t="str">
        <f t="shared" ref="AE1037:AE1100" si="267">IF(I1037="","",TEXT(I1037-B1037,"[hh]:mm"))</f>
        <v/>
      </c>
      <c r="AF1037" s="14">
        <f t="shared" si="264"/>
        <v>0</v>
      </c>
      <c r="AG1037" s="12">
        <f t="shared" si="259"/>
        <v>0</v>
      </c>
      <c r="AH1037" s="24">
        <f t="shared" si="265"/>
        <v>0</v>
      </c>
      <c r="AI1037" s="49" t="e">
        <f t="shared" ref="AI1037:AI1100" si="268">MAX(VALUE(AC1037),VALUE(AD1037),VALUE(AE1037))</f>
        <v>#VALUE!</v>
      </c>
      <c r="AK1037" s="50" t="e">
        <f t="shared" si="260"/>
        <v>#VALUE!</v>
      </c>
    </row>
    <row r="1038" spans="1:37" x14ac:dyDescent="0.4">
      <c r="A1038" s="2">
        <v>2191</v>
      </c>
      <c r="B1038" s="16"/>
      <c r="C1038" s="22">
        <f t="shared" si="257"/>
        <v>0</v>
      </c>
      <c r="D1038" s="23">
        <f t="shared" si="261"/>
        <v>0</v>
      </c>
      <c r="E1038" s="14"/>
      <c r="F1038" s="12">
        <f t="shared" si="258"/>
        <v>0</v>
      </c>
      <c r="G1038" s="24">
        <f t="shared" si="262"/>
        <v>0</v>
      </c>
      <c r="H1038" s="14"/>
      <c r="I1038" s="14"/>
      <c r="J1038" s="29"/>
      <c r="K1038" s="30"/>
      <c r="M1038" s="17"/>
      <c r="N1038" s="7"/>
      <c r="O1038" s="5"/>
      <c r="P1038" s="3"/>
      <c r="Q1038" s="5"/>
      <c r="R1038" s="7"/>
      <c r="S1038" s="5"/>
      <c r="U1038" s="10"/>
      <c r="V1038" s="11"/>
      <c r="W1038" s="6"/>
      <c r="Y1038" s="10"/>
      <c r="Z1038" s="11" t="str">
        <f t="shared" si="266"/>
        <v/>
      </c>
      <c r="AA1038" s="6"/>
      <c r="AB1038" s="1">
        <v>1.2</v>
      </c>
      <c r="AC1038" s="21" t="str">
        <f t="shared" si="263"/>
        <v/>
      </c>
      <c r="AD1038" s="27" t="str">
        <f t="shared" si="256"/>
        <v/>
      </c>
      <c r="AE1038" s="27" t="str">
        <f t="shared" si="267"/>
        <v/>
      </c>
      <c r="AF1038" s="14">
        <f t="shared" si="264"/>
        <v>0</v>
      </c>
      <c r="AG1038" s="12">
        <f t="shared" si="259"/>
        <v>0</v>
      </c>
      <c r="AH1038" s="24">
        <f t="shared" si="265"/>
        <v>0</v>
      </c>
      <c r="AI1038" s="49" t="e">
        <f t="shared" si="268"/>
        <v>#VALUE!</v>
      </c>
      <c r="AK1038" s="50" t="e">
        <f t="shared" si="260"/>
        <v>#VALUE!</v>
      </c>
    </row>
    <row r="1039" spans="1:37" x14ac:dyDescent="0.4">
      <c r="A1039" s="2">
        <v>2192</v>
      </c>
      <c r="B1039" s="16"/>
      <c r="C1039" s="22">
        <f t="shared" si="257"/>
        <v>0</v>
      </c>
      <c r="D1039" s="23">
        <f t="shared" si="261"/>
        <v>0</v>
      </c>
      <c r="E1039" s="14"/>
      <c r="F1039" s="12">
        <f t="shared" si="258"/>
        <v>0</v>
      </c>
      <c r="G1039" s="24">
        <f t="shared" si="262"/>
        <v>0</v>
      </c>
      <c r="H1039" s="14"/>
      <c r="I1039" s="14"/>
      <c r="J1039" s="29"/>
      <c r="K1039" s="30"/>
      <c r="M1039" s="17"/>
      <c r="N1039" s="7"/>
      <c r="O1039" s="5"/>
      <c r="P1039" s="3"/>
      <c r="Q1039" s="5"/>
      <c r="R1039" s="7"/>
      <c r="S1039" s="5"/>
      <c r="U1039" s="10"/>
      <c r="V1039" s="11"/>
      <c r="W1039" s="6"/>
      <c r="Y1039" s="10"/>
      <c r="Z1039" s="11" t="str">
        <f t="shared" si="266"/>
        <v/>
      </c>
      <c r="AA1039" s="6"/>
      <c r="AB1039" s="1">
        <v>1.2</v>
      </c>
      <c r="AC1039" s="21" t="str">
        <f t="shared" si="263"/>
        <v/>
      </c>
      <c r="AD1039" s="27" t="str">
        <f t="shared" si="256"/>
        <v/>
      </c>
      <c r="AE1039" s="27" t="str">
        <f t="shared" si="267"/>
        <v/>
      </c>
      <c r="AF1039" s="14">
        <f t="shared" si="264"/>
        <v>0</v>
      </c>
      <c r="AG1039" s="12">
        <f t="shared" si="259"/>
        <v>0</v>
      </c>
      <c r="AH1039" s="24">
        <f t="shared" si="265"/>
        <v>0</v>
      </c>
      <c r="AI1039" s="49" t="e">
        <f t="shared" si="268"/>
        <v>#VALUE!</v>
      </c>
      <c r="AK1039" s="50" t="e">
        <f t="shared" si="260"/>
        <v>#VALUE!</v>
      </c>
    </row>
    <row r="1040" spans="1:37" x14ac:dyDescent="0.4">
      <c r="A1040" s="2">
        <v>2193</v>
      </c>
      <c r="B1040" s="16"/>
      <c r="C1040" s="22">
        <f t="shared" si="257"/>
        <v>0</v>
      </c>
      <c r="D1040" s="23">
        <f t="shared" si="261"/>
        <v>0</v>
      </c>
      <c r="E1040" s="14"/>
      <c r="F1040" s="12">
        <f t="shared" si="258"/>
        <v>0</v>
      </c>
      <c r="G1040" s="24">
        <f t="shared" si="262"/>
        <v>0</v>
      </c>
      <c r="H1040" s="14"/>
      <c r="I1040" s="14"/>
      <c r="J1040" s="29"/>
      <c r="K1040" s="30"/>
      <c r="M1040" s="17"/>
      <c r="N1040" s="7"/>
      <c r="O1040" s="5"/>
      <c r="P1040" s="3"/>
      <c r="Q1040" s="5"/>
      <c r="R1040" s="7"/>
      <c r="S1040" s="5"/>
      <c r="U1040" s="10"/>
      <c r="V1040" s="11"/>
      <c r="W1040" s="6"/>
      <c r="Y1040" s="10"/>
      <c r="Z1040" s="11" t="str">
        <f t="shared" si="266"/>
        <v/>
      </c>
      <c r="AA1040" s="6"/>
      <c r="AB1040" s="1">
        <v>1.2</v>
      </c>
      <c r="AC1040" s="21" t="str">
        <f t="shared" si="263"/>
        <v/>
      </c>
      <c r="AD1040" s="27" t="str">
        <f t="shared" si="256"/>
        <v/>
      </c>
      <c r="AE1040" s="27" t="str">
        <f t="shared" si="267"/>
        <v/>
      </c>
      <c r="AF1040" s="14">
        <f t="shared" si="264"/>
        <v>0</v>
      </c>
      <c r="AG1040" s="12">
        <f t="shared" si="259"/>
        <v>0</v>
      </c>
      <c r="AH1040" s="24">
        <f t="shared" si="265"/>
        <v>0</v>
      </c>
      <c r="AI1040" s="49" t="e">
        <f t="shared" si="268"/>
        <v>#VALUE!</v>
      </c>
      <c r="AK1040" s="50" t="e">
        <f t="shared" si="260"/>
        <v>#VALUE!</v>
      </c>
    </row>
    <row r="1041" spans="1:37" x14ac:dyDescent="0.4">
      <c r="A1041" s="2">
        <v>2194</v>
      </c>
      <c r="B1041" s="16"/>
      <c r="C1041" s="22">
        <f t="shared" si="257"/>
        <v>0</v>
      </c>
      <c r="D1041" s="23">
        <f t="shared" si="261"/>
        <v>0</v>
      </c>
      <c r="E1041" s="14"/>
      <c r="F1041" s="12">
        <f t="shared" si="258"/>
        <v>0</v>
      </c>
      <c r="G1041" s="24">
        <f t="shared" si="262"/>
        <v>0</v>
      </c>
      <c r="H1041" s="14"/>
      <c r="I1041" s="14"/>
      <c r="J1041" s="29"/>
      <c r="K1041" s="30"/>
      <c r="M1041" s="17"/>
      <c r="N1041" s="7"/>
      <c r="O1041" s="5"/>
      <c r="P1041" s="3"/>
      <c r="Q1041" s="5"/>
      <c r="R1041" s="7"/>
      <c r="S1041" s="5"/>
      <c r="U1041" s="10"/>
      <c r="V1041" s="11"/>
      <c r="W1041" s="6"/>
      <c r="Y1041" s="10"/>
      <c r="Z1041" s="11" t="str">
        <f t="shared" si="266"/>
        <v/>
      </c>
      <c r="AA1041" s="6"/>
      <c r="AB1041" s="1">
        <v>1.2</v>
      </c>
      <c r="AC1041" s="21" t="str">
        <f t="shared" si="263"/>
        <v/>
      </c>
      <c r="AD1041" s="27" t="str">
        <f t="shared" si="256"/>
        <v/>
      </c>
      <c r="AE1041" s="27" t="str">
        <f t="shared" si="267"/>
        <v/>
      </c>
      <c r="AF1041" s="14">
        <f t="shared" si="264"/>
        <v>0</v>
      </c>
      <c r="AG1041" s="12">
        <f t="shared" si="259"/>
        <v>0</v>
      </c>
      <c r="AH1041" s="24">
        <f t="shared" si="265"/>
        <v>0</v>
      </c>
      <c r="AI1041" s="49" t="e">
        <f t="shared" si="268"/>
        <v>#VALUE!</v>
      </c>
      <c r="AK1041" s="50" t="e">
        <f t="shared" si="260"/>
        <v>#VALUE!</v>
      </c>
    </row>
    <row r="1042" spans="1:37" x14ac:dyDescent="0.4">
      <c r="A1042" s="2">
        <v>2195</v>
      </c>
      <c r="B1042" s="16"/>
      <c r="C1042" s="22">
        <f t="shared" si="257"/>
        <v>0</v>
      </c>
      <c r="D1042" s="23">
        <f t="shared" si="261"/>
        <v>0</v>
      </c>
      <c r="E1042" s="14"/>
      <c r="F1042" s="12">
        <f t="shared" si="258"/>
        <v>0</v>
      </c>
      <c r="G1042" s="24">
        <f t="shared" si="262"/>
        <v>0</v>
      </c>
      <c r="H1042" s="14"/>
      <c r="I1042" s="14"/>
      <c r="J1042" s="29"/>
      <c r="K1042" s="30"/>
      <c r="M1042" s="17"/>
      <c r="N1042" s="7"/>
      <c r="O1042" s="5"/>
      <c r="P1042" s="3"/>
      <c r="Q1042" s="5"/>
      <c r="R1042" s="7"/>
      <c r="S1042" s="5"/>
      <c r="U1042" s="10"/>
      <c r="V1042" s="11"/>
      <c r="W1042" s="6"/>
      <c r="Y1042" s="10"/>
      <c r="Z1042" s="11" t="str">
        <f t="shared" si="266"/>
        <v/>
      </c>
      <c r="AA1042" s="6"/>
      <c r="AB1042" s="1">
        <v>1.2</v>
      </c>
      <c r="AC1042" s="21" t="str">
        <f t="shared" si="263"/>
        <v/>
      </c>
      <c r="AD1042" s="27" t="str">
        <f t="shared" si="256"/>
        <v/>
      </c>
      <c r="AE1042" s="27" t="str">
        <f t="shared" si="267"/>
        <v/>
      </c>
      <c r="AF1042" s="14">
        <f t="shared" si="264"/>
        <v>0</v>
      </c>
      <c r="AG1042" s="12">
        <f t="shared" si="259"/>
        <v>0</v>
      </c>
      <c r="AH1042" s="24">
        <f t="shared" si="265"/>
        <v>0</v>
      </c>
      <c r="AI1042" s="49" t="e">
        <f t="shared" si="268"/>
        <v>#VALUE!</v>
      </c>
      <c r="AK1042" s="50" t="e">
        <f t="shared" si="260"/>
        <v>#VALUE!</v>
      </c>
    </row>
    <row r="1043" spans="1:37" x14ac:dyDescent="0.4">
      <c r="A1043" s="2">
        <v>2196</v>
      </c>
      <c r="B1043" s="16"/>
      <c r="C1043" s="22">
        <f t="shared" si="257"/>
        <v>0</v>
      </c>
      <c r="D1043" s="23">
        <f t="shared" si="261"/>
        <v>0</v>
      </c>
      <c r="E1043" s="14"/>
      <c r="F1043" s="12">
        <f t="shared" si="258"/>
        <v>0</v>
      </c>
      <c r="G1043" s="24">
        <f t="shared" si="262"/>
        <v>0</v>
      </c>
      <c r="H1043" s="14"/>
      <c r="I1043" s="14"/>
      <c r="J1043" s="29"/>
      <c r="K1043" s="30"/>
      <c r="M1043" s="17"/>
      <c r="N1043" s="7"/>
      <c r="O1043" s="5"/>
      <c r="P1043" s="3"/>
      <c r="Q1043" s="5"/>
      <c r="R1043" s="7"/>
      <c r="S1043" s="5"/>
      <c r="U1043" s="10"/>
      <c r="V1043" s="11"/>
      <c r="W1043" s="6"/>
      <c r="Y1043" s="10"/>
      <c r="Z1043" s="11" t="str">
        <f t="shared" si="266"/>
        <v/>
      </c>
      <c r="AA1043" s="6"/>
      <c r="AB1043" s="1">
        <v>1.2</v>
      </c>
      <c r="AC1043" s="21" t="str">
        <f t="shared" si="263"/>
        <v/>
      </c>
      <c r="AD1043" s="27" t="str">
        <f t="shared" si="256"/>
        <v/>
      </c>
      <c r="AE1043" s="27" t="str">
        <f t="shared" si="267"/>
        <v/>
      </c>
      <c r="AF1043" s="14">
        <f t="shared" si="264"/>
        <v>0</v>
      </c>
      <c r="AG1043" s="12">
        <f t="shared" si="259"/>
        <v>0</v>
      </c>
      <c r="AH1043" s="24">
        <f t="shared" si="265"/>
        <v>0</v>
      </c>
      <c r="AI1043" s="49" t="e">
        <f t="shared" si="268"/>
        <v>#VALUE!</v>
      </c>
      <c r="AK1043" s="50" t="e">
        <f t="shared" si="260"/>
        <v>#VALUE!</v>
      </c>
    </row>
    <row r="1044" spans="1:37" x14ac:dyDescent="0.4">
      <c r="A1044" s="2">
        <v>2197</v>
      </c>
      <c r="B1044" s="16"/>
      <c r="C1044" s="22">
        <f t="shared" si="257"/>
        <v>0</v>
      </c>
      <c r="D1044" s="23">
        <f t="shared" si="261"/>
        <v>0</v>
      </c>
      <c r="E1044" s="14"/>
      <c r="F1044" s="12">
        <f t="shared" si="258"/>
        <v>0</v>
      </c>
      <c r="G1044" s="24">
        <f t="shared" si="262"/>
        <v>0</v>
      </c>
      <c r="H1044" s="14"/>
      <c r="I1044" s="14"/>
      <c r="J1044" s="29"/>
      <c r="K1044" s="30"/>
      <c r="M1044" s="17"/>
      <c r="N1044" s="7"/>
      <c r="O1044" s="5"/>
      <c r="P1044" s="3"/>
      <c r="Q1044" s="5"/>
      <c r="R1044" s="7"/>
      <c r="S1044" s="5"/>
      <c r="U1044" s="10"/>
      <c r="V1044" s="11"/>
      <c r="W1044" s="6"/>
      <c r="Y1044" s="10"/>
      <c r="Z1044" s="11" t="str">
        <f t="shared" si="266"/>
        <v/>
      </c>
      <c r="AA1044" s="6"/>
      <c r="AB1044" s="1">
        <v>1.2</v>
      </c>
      <c r="AC1044" s="21" t="str">
        <f t="shared" si="263"/>
        <v/>
      </c>
      <c r="AD1044" s="27" t="str">
        <f t="shared" si="256"/>
        <v/>
      </c>
      <c r="AE1044" s="27" t="str">
        <f t="shared" si="267"/>
        <v/>
      </c>
      <c r="AF1044" s="14">
        <f t="shared" si="264"/>
        <v>0</v>
      </c>
      <c r="AG1044" s="12">
        <f t="shared" si="259"/>
        <v>0</v>
      </c>
      <c r="AH1044" s="24">
        <f t="shared" si="265"/>
        <v>0</v>
      </c>
      <c r="AI1044" s="49" t="e">
        <f t="shared" si="268"/>
        <v>#VALUE!</v>
      </c>
      <c r="AK1044" s="50" t="e">
        <f t="shared" si="260"/>
        <v>#VALUE!</v>
      </c>
    </row>
    <row r="1045" spans="1:37" x14ac:dyDescent="0.4">
      <c r="A1045" s="2">
        <v>2198</v>
      </c>
      <c r="B1045" s="16"/>
      <c r="C1045" s="22">
        <f t="shared" si="257"/>
        <v>0</v>
      </c>
      <c r="D1045" s="23">
        <f t="shared" si="261"/>
        <v>0</v>
      </c>
      <c r="E1045" s="14"/>
      <c r="F1045" s="12">
        <f t="shared" si="258"/>
        <v>0</v>
      </c>
      <c r="G1045" s="24">
        <f t="shared" si="262"/>
        <v>0</v>
      </c>
      <c r="H1045" s="14"/>
      <c r="I1045" s="14"/>
      <c r="J1045" s="29"/>
      <c r="K1045" s="30"/>
      <c r="M1045" s="17"/>
      <c r="N1045" s="7"/>
      <c r="O1045" s="5"/>
      <c r="P1045" s="3"/>
      <c r="Q1045" s="5"/>
      <c r="R1045" s="7"/>
      <c r="S1045" s="5"/>
      <c r="U1045" s="10"/>
      <c r="V1045" s="11"/>
      <c r="W1045" s="6"/>
      <c r="Y1045" s="10"/>
      <c r="Z1045" s="11" t="str">
        <f t="shared" si="266"/>
        <v/>
      </c>
      <c r="AA1045" s="6"/>
      <c r="AB1045" s="1">
        <v>1.2</v>
      </c>
      <c r="AC1045" s="21" t="str">
        <f t="shared" si="263"/>
        <v/>
      </c>
      <c r="AD1045" s="27" t="str">
        <f t="shared" si="256"/>
        <v/>
      </c>
      <c r="AE1045" s="27" t="str">
        <f t="shared" si="267"/>
        <v/>
      </c>
      <c r="AF1045" s="14">
        <f t="shared" si="264"/>
        <v>0</v>
      </c>
      <c r="AG1045" s="12">
        <f t="shared" si="259"/>
        <v>0</v>
      </c>
      <c r="AH1045" s="24">
        <f t="shared" si="265"/>
        <v>0</v>
      </c>
      <c r="AI1045" s="49" t="e">
        <f t="shared" si="268"/>
        <v>#VALUE!</v>
      </c>
      <c r="AK1045" s="50" t="e">
        <f t="shared" si="260"/>
        <v>#VALUE!</v>
      </c>
    </row>
    <row r="1046" spans="1:37" x14ac:dyDescent="0.4">
      <c r="A1046" s="2">
        <v>2199</v>
      </c>
      <c r="B1046" s="16"/>
      <c r="C1046" s="22">
        <f t="shared" si="257"/>
        <v>0</v>
      </c>
      <c r="D1046" s="23">
        <f t="shared" si="261"/>
        <v>0</v>
      </c>
      <c r="E1046" s="14"/>
      <c r="F1046" s="12">
        <f t="shared" si="258"/>
        <v>0</v>
      </c>
      <c r="G1046" s="24">
        <f t="shared" si="262"/>
        <v>0</v>
      </c>
      <c r="H1046" s="14"/>
      <c r="I1046" s="14"/>
      <c r="J1046" s="29"/>
      <c r="K1046" s="30"/>
      <c r="M1046" s="17"/>
      <c r="N1046" s="7"/>
      <c r="O1046" s="5"/>
      <c r="P1046" s="3"/>
      <c r="Q1046" s="5"/>
      <c r="R1046" s="7"/>
      <c r="S1046" s="5"/>
      <c r="U1046" s="10"/>
      <c r="V1046" s="11"/>
      <c r="W1046" s="6"/>
      <c r="Y1046" s="10"/>
      <c r="Z1046" s="11" t="str">
        <f t="shared" si="266"/>
        <v/>
      </c>
      <c r="AA1046" s="6"/>
      <c r="AB1046" s="1">
        <v>1.2</v>
      </c>
      <c r="AC1046" s="21" t="str">
        <f t="shared" si="263"/>
        <v/>
      </c>
      <c r="AD1046" s="27" t="str">
        <f t="shared" ref="AD1046:AD1109" si="269">IF(H1046="","",TEXT(H1046-B1046,"[hh]:mm"))</f>
        <v/>
      </c>
      <c r="AE1046" s="27" t="str">
        <f t="shared" si="267"/>
        <v/>
      </c>
      <c r="AF1046" s="14">
        <f t="shared" si="264"/>
        <v>0</v>
      </c>
      <c r="AG1046" s="12">
        <f t="shared" si="259"/>
        <v>0</v>
      </c>
      <c r="AH1046" s="24">
        <f t="shared" si="265"/>
        <v>0</v>
      </c>
      <c r="AI1046" s="49" t="e">
        <f t="shared" si="268"/>
        <v>#VALUE!</v>
      </c>
      <c r="AK1046" s="50" t="e">
        <f t="shared" si="260"/>
        <v>#VALUE!</v>
      </c>
    </row>
    <row r="1047" spans="1:37" x14ac:dyDescent="0.4">
      <c r="A1047" s="2">
        <v>2200</v>
      </c>
      <c r="B1047" s="16"/>
      <c r="C1047" s="22">
        <f t="shared" ref="C1047:C1110" si="270">INT(B1047)</f>
        <v>0</v>
      </c>
      <c r="D1047" s="23">
        <f t="shared" si="261"/>
        <v>0</v>
      </c>
      <c r="E1047" s="14"/>
      <c r="F1047" s="12">
        <f t="shared" ref="F1047:F1110" si="271">INT(E1047)</f>
        <v>0</v>
      </c>
      <c r="G1047" s="24">
        <f t="shared" si="262"/>
        <v>0</v>
      </c>
      <c r="H1047" s="14"/>
      <c r="I1047" s="14"/>
      <c r="J1047" s="29"/>
      <c r="K1047" s="30"/>
      <c r="M1047" s="17"/>
      <c r="N1047" s="7"/>
      <c r="O1047" s="5"/>
      <c r="P1047" s="3"/>
      <c r="Q1047" s="5"/>
      <c r="R1047" s="7"/>
      <c r="S1047" s="5"/>
      <c r="U1047" s="10"/>
      <c r="V1047" s="11"/>
      <c r="W1047" s="6"/>
      <c r="Y1047" s="10"/>
      <c r="Z1047" s="11" t="str">
        <f t="shared" si="266"/>
        <v/>
      </c>
      <c r="AA1047" s="6"/>
      <c r="AB1047" s="1">
        <v>1.2</v>
      </c>
      <c r="AC1047" s="21" t="str">
        <f t="shared" si="263"/>
        <v/>
      </c>
      <c r="AD1047" s="27" t="str">
        <f t="shared" si="269"/>
        <v/>
      </c>
      <c r="AE1047" s="27" t="str">
        <f t="shared" si="267"/>
        <v/>
      </c>
      <c r="AF1047" s="14">
        <f t="shared" si="264"/>
        <v>0</v>
      </c>
      <c r="AG1047" s="12">
        <f t="shared" ref="AG1047:AG1110" si="272">INT(AF1047)</f>
        <v>0</v>
      </c>
      <c r="AH1047" s="24">
        <f t="shared" si="265"/>
        <v>0</v>
      </c>
      <c r="AI1047" s="49" t="e">
        <f t="shared" si="268"/>
        <v>#VALUE!</v>
      </c>
      <c r="AK1047" s="50" t="e">
        <f t="shared" ref="AK1047:AK1110" si="273">IF(VALUE(AI1047)&lt;=VALUE($AK$3),"BOM","RUIM")</f>
        <v>#VALUE!</v>
      </c>
    </row>
    <row r="1048" spans="1:37" x14ac:dyDescent="0.4">
      <c r="A1048" s="2">
        <v>2201</v>
      </c>
      <c r="B1048" s="16"/>
      <c r="C1048" s="22">
        <f t="shared" si="270"/>
        <v>0</v>
      </c>
      <c r="D1048" s="23">
        <f t="shared" si="261"/>
        <v>0</v>
      </c>
      <c r="E1048" s="14"/>
      <c r="F1048" s="12">
        <f t="shared" si="271"/>
        <v>0</v>
      </c>
      <c r="G1048" s="24">
        <f t="shared" si="262"/>
        <v>0</v>
      </c>
      <c r="H1048" s="14"/>
      <c r="I1048" s="14"/>
      <c r="J1048" s="29"/>
      <c r="K1048" s="30"/>
      <c r="M1048" s="17"/>
      <c r="N1048" s="7"/>
      <c r="O1048" s="5"/>
      <c r="P1048" s="3"/>
      <c r="Q1048" s="5"/>
      <c r="R1048" s="7"/>
      <c r="S1048" s="5"/>
      <c r="U1048" s="10"/>
      <c r="V1048" s="11"/>
      <c r="W1048" s="6"/>
      <c r="Y1048" s="10"/>
      <c r="Z1048" s="11" t="str">
        <f t="shared" si="266"/>
        <v/>
      </c>
      <c r="AA1048" s="6"/>
      <c r="AB1048" s="1">
        <v>1.2</v>
      </c>
      <c r="AC1048" s="21" t="str">
        <f t="shared" si="263"/>
        <v/>
      </c>
      <c r="AD1048" s="27" t="str">
        <f t="shared" si="269"/>
        <v/>
      </c>
      <c r="AE1048" s="27" t="str">
        <f t="shared" si="267"/>
        <v/>
      </c>
      <c r="AF1048" s="14">
        <f t="shared" si="264"/>
        <v>0</v>
      </c>
      <c r="AG1048" s="12">
        <f t="shared" si="272"/>
        <v>0</v>
      </c>
      <c r="AH1048" s="24">
        <f t="shared" si="265"/>
        <v>0</v>
      </c>
      <c r="AI1048" s="49" t="e">
        <f t="shared" si="268"/>
        <v>#VALUE!</v>
      </c>
      <c r="AK1048" s="50" t="e">
        <f t="shared" si="273"/>
        <v>#VALUE!</v>
      </c>
    </row>
    <row r="1049" spans="1:37" x14ac:dyDescent="0.4">
      <c r="A1049" s="2">
        <v>2202</v>
      </c>
      <c r="B1049" s="16"/>
      <c r="C1049" s="22">
        <f t="shared" si="270"/>
        <v>0</v>
      </c>
      <c r="D1049" s="23">
        <f t="shared" si="261"/>
        <v>0</v>
      </c>
      <c r="E1049" s="14"/>
      <c r="F1049" s="12">
        <f t="shared" si="271"/>
        <v>0</v>
      </c>
      <c r="G1049" s="24">
        <f t="shared" si="262"/>
        <v>0</v>
      </c>
      <c r="H1049" s="14"/>
      <c r="I1049" s="14"/>
      <c r="J1049" s="29"/>
      <c r="K1049" s="30"/>
      <c r="M1049" s="17"/>
      <c r="N1049" s="7"/>
      <c r="O1049" s="5"/>
      <c r="P1049" s="3"/>
      <c r="Q1049" s="5"/>
      <c r="R1049" s="7"/>
      <c r="S1049" s="5"/>
      <c r="U1049" s="10"/>
      <c r="V1049" s="11"/>
      <c r="W1049" s="6"/>
      <c r="Y1049" s="10"/>
      <c r="Z1049" s="11" t="str">
        <f t="shared" si="266"/>
        <v/>
      </c>
      <c r="AA1049" s="6"/>
      <c r="AB1049" s="1">
        <v>1.2</v>
      </c>
      <c r="AC1049" s="21" t="str">
        <f t="shared" si="263"/>
        <v/>
      </c>
      <c r="AD1049" s="27" t="str">
        <f t="shared" si="269"/>
        <v/>
      </c>
      <c r="AE1049" s="27" t="str">
        <f t="shared" si="267"/>
        <v/>
      </c>
      <c r="AF1049" s="14">
        <f t="shared" si="264"/>
        <v>0</v>
      </c>
      <c r="AG1049" s="12">
        <f t="shared" si="272"/>
        <v>0</v>
      </c>
      <c r="AH1049" s="24">
        <f t="shared" si="265"/>
        <v>0</v>
      </c>
      <c r="AI1049" s="49" t="e">
        <f t="shared" si="268"/>
        <v>#VALUE!</v>
      </c>
      <c r="AK1049" s="50" t="e">
        <f t="shared" si="273"/>
        <v>#VALUE!</v>
      </c>
    </row>
    <row r="1050" spans="1:37" x14ac:dyDescent="0.4">
      <c r="A1050" s="2">
        <v>2203</v>
      </c>
      <c r="B1050" s="16"/>
      <c r="C1050" s="22">
        <f t="shared" si="270"/>
        <v>0</v>
      </c>
      <c r="D1050" s="23">
        <f t="shared" si="261"/>
        <v>0</v>
      </c>
      <c r="E1050" s="14"/>
      <c r="F1050" s="12">
        <f t="shared" si="271"/>
        <v>0</v>
      </c>
      <c r="G1050" s="24">
        <f t="shared" si="262"/>
        <v>0</v>
      </c>
      <c r="H1050" s="14"/>
      <c r="I1050" s="14"/>
      <c r="J1050" s="29"/>
      <c r="K1050" s="30"/>
      <c r="M1050" s="17"/>
      <c r="N1050" s="7"/>
      <c r="O1050" s="5"/>
      <c r="P1050" s="3"/>
      <c r="Q1050" s="5"/>
      <c r="R1050" s="7"/>
      <c r="S1050" s="5"/>
      <c r="U1050" s="10"/>
      <c r="V1050" s="11"/>
      <c r="W1050" s="6"/>
      <c r="Y1050" s="10"/>
      <c r="Z1050" s="11" t="str">
        <f t="shared" si="266"/>
        <v/>
      </c>
      <c r="AA1050" s="6"/>
      <c r="AB1050" s="1">
        <v>1.2</v>
      </c>
      <c r="AC1050" s="21" t="str">
        <f t="shared" si="263"/>
        <v/>
      </c>
      <c r="AD1050" s="27" t="str">
        <f t="shared" si="269"/>
        <v/>
      </c>
      <c r="AE1050" s="27" t="str">
        <f t="shared" si="267"/>
        <v/>
      </c>
      <c r="AF1050" s="14">
        <f t="shared" si="264"/>
        <v>0</v>
      </c>
      <c r="AG1050" s="12">
        <f t="shared" si="272"/>
        <v>0</v>
      </c>
      <c r="AH1050" s="24">
        <f t="shared" si="265"/>
        <v>0</v>
      </c>
      <c r="AI1050" s="49" t="e">
        <f t="shared" si="268"/>
        <v>#VALUE!</v>
      </c>
      <c r="AK1050" s="50" t="e">
        <f t="shared" si="273"/>
        <v>#VALUE!</v>
      </c>
    </row>
    <row r="1051" spans="1:37" x14ac:dyDescent="0.4">
      <c r="A1051" s="2">
        <v>2204</v>
      </c>
      <c r="B1051" s="16"/>
      <c r="C1051" s="22">
        <f t="shared" si="270"/>
        <v>0</v>
      </c>
      <c r="D1051" s="23">
        <f t="shared" si="261"/>
        <v>0</v>
      </c>
      <c r="E1051" s="14"/>
      <c r="F1051" s="12">
        <f t="shared" si="271"/>
        <v>0</v>
      </c>
      <c r="G1051" s="24">
        <f t="shared" si="262"/>
        <v>0</v>
      </c>
      <c r="H1051" s="14"/>
      <c r="I1051" s="14"/>
      <c r="J1051" s="29"/>
      <c r="K1051" s="30"/>
      <c r="M1051" s="17"/>
      <c r="N1051" s="7"/>
      <c r="O1051" s="5"/>
      <c r="P1051" s="3"/>
      <c r="Q1051" s="5"/>
      <c r="R1051" s="7"/>
      <c r="S1051" s="5"/>
      <c r="U1051" s="10"/>
      <c r="V1051" s="11"/>
      <c r="W1051" s="6"/>
      <c r="Y1051" s="10"/>
      <c r="Z1051" s="11" t="str">
        <f t="shared" si="266"/>
        <v/>
      </c>
      <c r="AA1051" s="6"/>
      <c r="AB1051" s="1">
        <v>1.2</v>
      </c>
      <c r="AC1051" s="21" t="str">
        <f t="shared" si="263"/>
        <v/>
      </c>
      <c r="AD1051" s="27" t="str">
        <f t="shared" si="269"/>
        <v/>
      </c>
      <c r="AE1051" s="27" t="str">
        <f t="shared" si="267"/>
        <v/>
      </c>
      <c r="AF1051" s="14">
        <f t="shared" si="264"/>
        <v>0</v>
      </c>
      <c r="AG1051" s="12">
        <f t="shared" si="272"/>
        <v>0</v>
      </c>
      <c r="AH1051" s="24">
        <f t="shared" si="265"/>
        <v>0</v>
      </c>
      <c r="AI1051" s="49" t="e">
        <f t="shared" si="268"/>
        <v>#VALUE!</v>
      </c>
      <c r="AK1051" s="50" t="e">
        <f t="shared" si="273"/>
        <v>#VALUE!</v>
      </c>
    </row>
    <row r="1052" spans="1:37" x14ac:dyDescent="0.4">
      <c r="A1052" s="2">
        <v>2205</v>
      </c>
      <c r="B1052" s="16"/>
      <c r="C1052" s="22">
        <f t="shared" si="270"/>
        <v>0</v>
      </c>
      <c r="D1052" s="23">
        <f t="shared" si="261"/>
        <v>0</v>
      </c>
      <c r="E1052" s="14"/>
      <c r="F1052" s="12">
        <f t="shared" si="271"/>
        <v>0</v>
      </c>
      <c r="G1052" s="24">
        <f t="shared" si="262"/>
        <v>0</v>
      </c>
      <c r="H1052" s="14"/>
      <c r="I1052" s="14"/>
      <c r="J1052" s="29"/>
      <c r="K1052" s="30"/>
      <c r="M1052" s="17"/>
      <c r="N1052" s="7"/>
      <c r="O1052" s="5"/>
      <c r="P1052" s="3"/>
      <c r="Q1052" s="5"/>
      <c r="R1052" s="7"/>
      <c r="S1052" s="5"/>
      <c r="U1052" s="10"/>
      <c r="V1052" s="11"/>
      <c r="W1052" s="6"/>
      <c r="Y1052" s="10"/>
      <c r="Z1052" s="11" t="str">
        <f t="shared" si="266"/>
        <v/>
      </c>
      <c r="AA1052" s="6"/>
      <c r="AB1052" s="1">
        <v>1.2</v>
      </c>
      <c r="AC1052" s="21" t="str">
        <f t="shared" si="263"/>
        <v/>
      </c>
      <c r="AD1052" s="27" t="str">
        <f t="shared" si="269"/>
        <v/>
      </c>
      <c r="AE1052" s="27" t="str">
        <f t="shared" si="267"/>
        <v/>
      </c>
      <c r="AF1052" s="14">
        <f t="shared" si="264"/>
        <v>0</v>
      </c>
      <c r="AG1052" s="12">
        <f t="shared" si="272"/>
        <v>0</v>
      </c>
      <c r="AH1052" s="24">
        <f t="shared" si="265"/>
        <v>0</v>
      </c>
      <c r="AI1052" s="49" t="e">
        <f t="shared" si="268"/>
        <v>#VALUE!</v>
      </c>
      <c r="AK1052" s="50" t="e">
        <f t="shared" si="273"/>
        <v>#VALUE!</v>
      </c>
    </row>
    <row r="1053" spans="1:37" x14ac:dyDescent="0.4">
      <c r="A1053" s="2">
        <v>2206</v>
      </c>
      <c r="B1053" s="16"/>
      <c r="C1053" s="22">
        <f t="shared" si="270"/>
        <v>0</v>
      </c>
      <c r="D1053" s="23">
        <f t="shared" si="261"/>
        <v>0</v>
      </c>
      <c r="E1053" s="14"/>
      <c r="F1053" s="12">
        <f t="shared" si="271"/>
        <v>0</v>
      </c>
      <c r="G1053" s="24">
        <f t="shared" si="262"/>
        <v>0</v>
      </c>
      <c r="H1053" s="14"/>
      <c r="I1053" s="14"/>
      <c r="J1053" s="29"/>
      <c r="K1053" s="30"/>
      <c r="M1053" s="17"/>
      <c r="N1053" s="7"/>
      <c r="O1053" s="5"/>
      <c r="P1053" s="3"/>
      <c r="Q1053" s="5"/>
      <c r="R1053" s="7"/>
      <c r="S1053" s="5"/>
      <c r="U1053" s="10"/>
      <c r="V1053" s="11"/>
      <c r="W1053" s="6"/>
      <c r="Y1053" s="10"/>
      <c r="Z1053" s="11" t="str">
        <f t="shared" si="266"/>
        <v/>
      </c>
      <c r="AA1053" s="6"/>
      <c r="AB1053" s="1">
        <v>1.2</v>
      </c>
      <c r="AC1053" s="21" t="str">
        <f t="shared" si="263"/>
        <v/>
      </c>
      <c r="AD1053" s="27" t="str">
        <f t="shared" si="269"/>
        <v/>
      </c>
      <c r="AE1053" s="27" t="str">
        <f t="shared" si="267"/>
        <v/>
      </c>
      <c r="AF1053" s="14">
        <f t="shared" si="264"/>
        <v>0</v>
      </c>
      <c r="AG1053" s="12">
        <f t="shared" si="272"/>
        <v>0</v>
      </c>
      <c r="AH1053" s="24">
        <f t="shared" si="265"/>
        <v>0</v>
      </c>
      <c r="AI1053" s="49" t="e">
        <f t="shared" si="268"/>
        <v>#VALUE!</v>
      </c>
      <c r="AK1053" s="50" t="e">
        <f t="shared" si="273"/>
        <v>#VALUE!</v>
      </c>
    </row>
    <row r="1054" spans="1:37" x14ac:dyDescent="0.4">
      <c r="A1054" s="2">
        <v>2207</v>
      </c>
      <c r="B1054" s="16"/>
      <c r="C1054" s="22">
        <f t="shared" si="270"/>
        <v>0</v>
      </c>
      <c r="D1054" s="23">
        <f t="shared" si="261"/>
        <v>0</v>
      </c>
      <c r="E1054" s="14"/>
      <c r="F1054" s="12">
        <f t="shared" si="271"/>
        <v>0</v>
      </c>
      <c r="G1054" s="24">
        <f t="shared" si="262"/>
        <v>0</v>
      </c>
      <c r="H1054" s="14"/>
      <c r="I1054" s="14"/>
      <c r="J1054" s="29"/>
      <c r="K1054" s="30"/>
      <c r="M1054" s="17"/>
      <c r="N1054" s="7"/>
      <c r="O1054" s="5"/>
      <c r="P1054" s="3"/>
      <c r="Q1054" s="5"/>
      <c r="R1054" s="7"/>
      <c r="S1054" s="5"/>
      <c r="U1054" s="10"/>
      <c r="V1054" s="11"/>
      <c r="W1054" s="6"/>
      <c r="Y1054" s="10"/>
      <c r="Z1054" s="11" t="str">
        <f t="shared" si="266"/>
        <v/>
      </c>
      <c r="AA1054" s="6"/>
      <c r="AB1054" s="1">
        <v>1.2</v>
      </c>
      <c r="AC1054" s="21" t="str">
        <f t="shared" si="263"/>
        <v/>
      </c>
      <c r="AD1054" s="27" t="str">
        <f t="shared" si="269"/>
        <v/>
      </c>
      <c r="AE1054" s="27" t="str">
        <f t="shared" si="267"/>
        <v/>
      </c>
      <c r="AF1054" s="14">
        <f t="shared" si="264"/>
        <v>0</v>
      </c>
      <c r="AG1054" s="12">
        <f t="shared" si="272"/>
        <v>0</v>
      </c>
      <c r="AH1054" s="24">
        <f t="shared" si="265"/>
        <v>0</v>
      </c>
      <c r="AI1054" s="49" t="e">
        <f t="shared" si="268"/>
        <v>#VALUE!</v>
      </c>
      <c r="AK1054" s="50" t="e">
        <f t="shared" si="273"/>
        <v>#VALUE!</v>
      </c>
    </row>
    <row r="1055" spans="1:37" x14ac:dyDescent="0.4">
      <c r="A1055" s="2">
        <v>2208</v>
      </c>
      <c r="B1055" s="16"/>
      <c r="C1055" s="22">
        <f t="shared" si="270"/>
        <v>0</v>
      </c>
      <c r="D1055" s="23">
        <f t="shared" si="261"/>
        <v>0</v>
      </c>
      <c r="E1055" s="14"/>
      <c r="F1055" s="12">
        <f t="shared" si="271"/>
        <v>0</v>
      </c>
      <c r="G1055" s="24">
        <f t="shared" si="262"/>
        <v>0</v>
      </c>
      <c r="H1055" s="14"/>
      <c r="I1055" s="14"/>
      <c r="J1055" s="29"/>
      <c r="K1055" s="30"/>
      <c r="M1055" s="17"/>
      <c r="N1055" s="7"/>
      <c r="O1055" s="5"/>
      <c r="P1055" s="3"/>
      <c r="Q1055" s="5"/>
      <c r="R1055" s="7"/>
      <c r="S1055" s="5"/>
      <c r="U1055" s="10"/>
      <c r="V1055" s="11"/>
      <c r="W1055" s="6"/>
      <c r="Y1055" s="10"/>
      <c r="Z1055" s="11" t="str">
        <f t="shared" si="266"/>
        <v/>
      </c>
      <c r="AA1055" s="6"/>
      <c r="AB1055" s="1">
        <v>1.2</v>
      </c>
      <c r="AC1055" s="21" t="str">
        <f t="shared" si="263"/>
        <v/>
      </c>
      <c r="AD1055" s="27" t="str">
        <f t="shared" si="269"/>
        <v/>
      </c>
      <c r="AE1055" s="27" t="str">
        <f t="shared" si="267"/>
        <v/>
      </c>
      <c r="AF1055" s="14">
        <f t="shared" si="264"/>
        <v>0</v>
      </c>
      <c r="AG1055" s="12">
        <f t="shared" si="272"/>
        <v>0</v>
      </c>
      <c r="AH1055" s="24">
        <f t="shared" si="265"/>
        <v>0</v>
      </c>
      <c r="AI1055" s="49" t="e">
        <f t="shared" si="268"/>
        <v>#VALUE!</v>
      </c>
      <c r="AK1055" s="50" t="e">
        <f t="shared" si="273"/>
        <v>#VALUE!</v>
      </c>
    </row>
    <row r="1056" spans="1:37" x14ac:dyDescent="0.4">
      <c r="A1056" s="2">
        <v>2209</v>
      </c>
      <c r="B1056" s="16"/>
      <c r="C1056" s="22">
        <f t="shared" si="270"/>
        <v>0</v>
      </c>
      <c r="D1056" s="23">
        <f t="shared" si="261"/>
        <v>0</v>
      </c>
      <c r="E1056" s="14"/>
      <c r="F1056" s="12">
        <f t="shared" si="271"/>
        <v>0</v>
      </c>
      <c r="G1056" s="24">
        <f t="shared" si="262"/>
        <v>0</v>
      </c>
      <c r="H1056" s="14"/>
      <c r="I1056" s="14"/>
      <c r="J1056" s="29"/>
      <c r="K1056" s="30"/>
      <c r="M1056" s="17"/>
      <c r="N1056" s="7"/>
      <c r="O1056" s="5"/>
      <c r="P1056" s="3"/>
      <c r="Q1056" s="5"/>
      <c r="R1056" s="7"/>
      <c r="S1056" s="5"/>
      <c r="U1056" s="10"/>
      <c r="V1056" s="11"/>
      <c r="W1056" s="6"/>
      <c r="Y1056" s="10"/>
      <c r="Z1056" s="11" t="str">
        <f t="shared" si="266"/>
        <v/>
      </c>
      <c r="AA1056" s="6"/>
      <c r="AB1056" s="1">
        <v>1.2</v>
      </c>
      <c r="AC1056" s="21" t="str">
        <f t="shared" si="263"/>
        <v/>
      </c>
      <c r="AD1056" s="27" t="str">
        <f t="shared" si="269"/>
        <v/>
      </c>
      <c r="AE1056" s="27" t="str">
        <f t="shared" si="267"/>
        <v/>
      </c>
      <c r="AF1056" s="14">
        <f t="shared" si="264"/>
        <v>0</v>
      </c>
      <c r="AG1056" s="12">
        <f t="shared" si="272"/>
        <v>0</v>
      </c>
      <c r="AH1056" s="24">
        <f t="shared" si="265"/>
        <v>0</v>
      </c>
      <c r="AI1056" s="49" t="e">
        <f t="shared" si="268"/>
        <v>#VALUE!</v>
      </c>
      <c r="AK1056" s="50" t="e">
        <f t="shared" si="273"/>
        <v>#VALUE!</v>
      </c>
    </row>
    <row r="1057" spans="1:37" x14ac:dyDescent="0.4">
      <c r="A1057" s="2">
        <v>2210</v>
      </c>
      <c r="B1057" s="16"/>
      <c r="C1057" s="22">
        <f t="shared" si="270"/>
        <v>0</v>
      </c>
      <c r="D1057" s="23">
        <f t="shared" si="261"/>
        <v>0</v>
      </c>
      <c r="E1057" s="14"/>
      <c r="F1057" s="12">
        <f t="shared" si="271"/>
        <v>0</v>
      </c>
      <c r="G1057" s="24">
        <f t="shared" si="262"/>
        <v>0</v>
      </c>
      <c r="H1057" s="14"/>
      <c r="I1057" s="14"/>
      <c r="J1057" s="29"/>
      <c r="K1057" s="30"/>
      <c r="M1057" s="17"/>
      <c r="N1057" s="7"/>
      <c r="O1057" s="5"/>
      <c r="P1057" s="3"/>
      <c r="Q1057" s="5"/>
      <c r="R1057" s="7"/>
      <c r="S1057" s="5"/>
      <c r="U1057" s="10"/>
      <c r="V1057" s="11"/>
      <c r="W1057" s="6"/>
      <c r="Y1057" s="10"/>
      <c r="Z1057" s="11" t="str">
        <f t="shared" si="266"/>
        <v/>
      </c>
      <c r="AA1057" s="6"/>
      <c r="AB1057" s="1">
        <v>1.2</v>
      </c>
      <c r="AC1057" s="21" t="str">
        <f t="shared" si="263"/>
        <v/>
      </c>
      <c r="AD1057" s="27" t="str">
        <f t="shared" si="269"/>
        <v/>
      </c>
      <c r="AE1057" s="27" t="str">
        <f t="shared" si="267"/>
        <v/>
      </c>
      <c r="AF1057" s="14">
        <f t="shared" si="264"/>
        <v>0</v>
      </c>
      <c r="AG1057" s="12">
        <f t="shared" si="272"/>
        <v>0</v>
      </c>
      <c r="AH1057" s="24">
        <f t="shared" si="265"/>
        <v>0</v>
      </c>
      <c r="AI1057" s="49" t="e">
        <f t="shared" si="268"/>
        <v>#VALUE!</v>
      </c>
      <c r="AK1057" s="50" t="e">
        <f t="shared" si="273"/>
        <v>#VALUE!</v>
      </c>
    </row>
    <row r="1058" spans="1:37" x14ac:dyDescent="0.4">
      <c r="A1058" s="2">
        <v>2211</v>
      </c>
      <c r="B1058" s="16"/>
      <c r="C1058" s="22">
        <f t="shared" si="270"/>
        <v>0</v>
      </c>
      <c r="D1058" s="23">
        <f t="shared" si="261"/>
        <v>0</v>
      </c>
      <c r="E1058" s="14"/>
      <c r="F1058" s="12">
        <f t="shared" si="271"/>
        <v>0</v>
      </c>
      <c r="G1058" s="24">
        <f t="shared" si="262"/>
        <v>0</v>
      </c>
      <c r="H1058" s="14"/>
      <c r="I1058" s="14"/>
      <c r="J1058" s="29"/>
      <c r="K1058" s="30"/>
      <c r="M1058" s="17"/>
      <c r="N1058" s="7"/>
      <c r="O1058" s="5"/>
      <c r="P1058" s="3"/>
      <c r="Q1058" s="5"/>
      <c r="R1058" s="7"/>
      <c r="S1058" s="5"/>
      <c r="U1058" s="10"/>
      <c r="V1058" s="11"/>
      <c r="W1058" s="6"/>
      <c r="Y1058" s="10"/>
      <c r="Z1058" s="11" t="str">
        <f t="shared" si="266"/>
        <v/>
      </c>
      <c r="AA1058" s="6"/>
      <c r="AB1058" s="1">
        <v>1.2</v>
      </c>
      <c r="AC1058" s="21" t="str">
        <f t="shared" si="263"/>
        <v/>
      </c>
      <c r="AD1058" s="27" t="str">
        <f t="shared" si="269"/>
        <v/>
      </c>
      <c r="AE1058" s="27" t="str">
        <f t="shared" si="267"/>
        <v/>
      </c>
      <c r="AF1058" s="14">
        <f t="shared" si="264"/>
        <v>0</v>
      </c>
      <c r="AG1058" s="12">
        <f t="shared" si="272"/>
        <v>0</v>
      </c>
      <c r="AH1058" s="24">
        <f t="shared" si="265"/>
        <v>0</v>
      </c>
      <c r="AI1058" s="49" t="e">
        <f t="shared" si="268"/>
        <v>#VALUE!</v>
      </c>
      <c r="AK1058" s="50" t="e">
        <f t="shared" si="273"/>
        <v>#VALUE!</v>
      </c>
    </row>
    <row r="1059" spans="1:37" x14ac:dyDescent="0.4">
      <c r="A1059" s="2">
        <v>2212</v>
      </c>
      <c r="B1059" s="16"/>
      <c r="C1059" s="22">
        <f t="shared" si="270"/>
        <v>0</v>
      </c>
      <c r="D1059" s="23">
        <f t="shared" si="261"/>
        <v>0</v>
      </c>
      <c r="E1059" s="14"/>
      <c r="F1059" s="12">
        <f t="shared" si="271"/>
        <v>0</v>
      </c>
      <c r="G1059" s="24">
        <f t="shared" si="262"/>
        <v>0</v>
      </c>
      <c r="H1059" s="14"/>
      <c r="I1059" s="14"/>
      <c r="J1059" s="29"/>
      <c r="K1059" s="30"/>
      <c r="M1059" s="17"/>
      <c r="N1059" s="7"/>
      <c r="O1059" s="5"/>
      <c r="P1059" s="3"/>
      <c r="Q1059" s="5"/>
      <c r="R1059" s="7"/>
      <c r="S1059" s="5"/>
      <c r="U1059" s="10"/>
      <c r="V1059" s="11"/>
      <c r="W1059" s="6"/>
      <c r="Y1059" s="10"/>
      <c r="Z1059" s="11" t="str">
        <f t="shared" si="266"/>
        <v/>
      </c>
      <c r="AA1059" s="6"/>
      <c r="AB1059" s="1">
        <v>1.2</v>
      </c>
      <c r="AC1059" s="21" t="str">
        <f t="shared" si="263"/>
        <v/>
      </c>
      <c r="AD1059" s="27" t="str">
        <f t="shared" si="269"/>
        <v/>
      </c>
      <c r="AE1059" s="27" t="str">
        <f t="shared" si="267"/>
        <v/>
      </c>
      <c r="AF1059" s="14">
        <f t="shared" si="264"/>
        <v>0</v>
      </c>
      <c r="AG1059" s="12">
        <f t="shared" si="272"/>
        <v>0</v>
      </c>
      <c r="AH1059" s="24">
        <f t="shared" si="265"/>
        <v>0</v>
      </c>
      <c r="AI1059" s="49" t="e">
        <f t="shared" si="268"/>
        <v>#VALUE!</v>
      </c>
      <c r="AK1059" s="50" t="e">
        <f t="shared" si="273"/>
        <v>#VALUE!</v>
      </c>
    </row>
    <row r="1060" spans="1:37" x14ac:dyDescent="0.4">
      <c r="A1060" s="2">
        <v>2213</v>
      </c>
      <c r="B1060" s="16"/>
      <c r="C1060" s="22">
        <f t="shared" si="270"/>
        <v>0</v>
      </c>
      <c r="D1060" s="23">
        <f t="shared" si="261"/>
        <v>0</v>
      </c>
      <c r="E1060" s="14"/>
      <c r="F1060" s="12">
        <f t="shared" si="271"/>
        <v>0</v>
      </c>
      <c r="G1060" s="24">
        <f t="shared" si="262"/>
        <v>0</v>
      </c>
      <c r="H1060" s="14"/>
      <c r="I1060" s="14"/>
      <c r="J1060" s="29"/>
      <c r="K1060" s="30"/>
      <c r="M1060" s="17"/>
      <c r="N1060" s="7"/>
      <c r="O1060" s="5"/>
      <c r="P1060" s="3"/>
      <c r="Q1060" s="5"/>
      <c r="R1060" s="7"/>
      <c r="S1060" s="5"/>
      <c r="U1060" s="10"/>
      <c r="V1060" s="11"/>
      <c r="W1060" s="6"/>
      <c r="Y1060" s="10"/>
      <c r="Z1060" s="11" t="str">
        <f t="shared" si="266"/>
        <v/>
      </c>
      <c r="AA1060" s="6"/>
      <c r="AB1060" s="1">
        <v>1.2</v>
      </c>
      <c r="AC1060" s="21" t="str">
        <f t="shared" si="263"/>
        <v/>
      </c>
      <c r="AD1060" s="27" t="str">
        <f t="shared" si="269"/>
        <v/>
      </c>
      <c r="AE1060" s="27" t="str">
        <f t="shared" si="267"/>
        <v/>
      </c>
      <c r="AF1060" s="14">
        <f t="shared" si="264"/>
        <v>0</v>
      </c>
      <c r="AG1060" s="12">
        <f t="shared" si="272"/>
        <v>0</v>
      </c>
      <c r="AH1060" s="24">
        <f t="shared" si="265"/>
        <v>0</v>
      </c>
      <c r="AI1060" s="49" t="e">
        <f t="shared" si="268"/>
        <v>#VALUE!</v>
      </c>
      <c r="AK1060" s="50" t="e">
        <f t="shared" si="273"/>
        <v>#VALUE!</v>
      </c>
    </row>
    <row r="1061" spans="1:37" x14ac:dyDescent="0.4">
      <c r="A1061" s="2">
        <v>2214</v>
      </c>
      <c r="B1061" s="16"/>
      <c r="C1061" s="22">
        <f t="shared" si="270"/>
        <v>0</v>
      </c>
      <c r="D1061" s="23">
        <f t="shared" si="261"/>
        <v>0</v>
      </c>
      <c r="E1061" s="14"/>
      <c r="F1061" s="12">
        <f t="shared" si="271"/>
        <v>0</v>
      </c>
      <c r="G1061" s="24">
        <f t="shared" si="262"/>
        <v>0</v>
      </c>
      <c r="H1061" s="14"/>
      <c r="I1061" s="14"/>
      <c r="J1061" s="29"/>
      <c r="K1061" s="30"/>
      <c r="M1061" s="17"/>
      <c r="N1061" s="7"/>
      <c r="O1061" s="5"/>
      <c r="P1061" s="3"/>
      <c r="Q1061" s="5"/>
      <c r="R1061" s="7"/>
      <c r="S1061" s="5"/>
      <c r="U1061" s="10"/>
      <c r="V1061" s="11"/>
      <c r="W1061" s="6"/>
      <c r="Y1061" s="10"/>
      <c r="Z1061" s="11" t="str">
        <f t="shared" si="266"/>
        <v/>
      </c>
      <c r="AA1061" s="6"/>
      <c r="AB1061" s="1">
        <v>1.2</v>
      </c>
      <c r="AC1061" s="21" t="str">
        <f t="shared" si="263"/>
        <v/>
      </c>
      <c r="AD1061" s="27" t="str">
        <f t="shared" si="269"/>
        <v/>
      </c>
      <c r="AE1061" s="27" t="str">
        <f t="shared" si="267"/>
        <v/>
      </c>
      <c r="AF1061" s="14">
        <f t="shared" si="264"/>
        <v>0</v>
      </c>
      <c r="AG1061" s="12">
        <f t="shared" si="272"/>
        <v>0</v>
      </c>
      <c r="AH1061" s="24">
        <f t="shared" si="265"/>
        <v>0</v>
      </c>
      <c r="AI1061" s="49" t="e">
        <f t="shared" si="268"/>
        <v>#VALUE!</v>
      </c>
      <c r="AK1061" s="50" t="e">
        <f t="shared" si="273"/>
        <v>#VALUE!</v>
      </c>
    </row>
    <row r="1062" spans="1:37" x14ac:dyDescent="0.4">
      <c r="A1062" s="2">
        <v>2215</v>
      </c>
      <c r="B1062" s="16"/>
      <c r="C1062" s="22">
        <f t="shared" si="270"/>
        <v>0</v>
      </c>
      <c r="D1062" s="23">
        <f t="shared" si="261"/>
        <v>0</v>
      </c>
      <c r="E1062" s="14"/>
      <c r="F1062" s="12">
        <f t="shared" si="271"/>
        <v>0</v>
      </c>
      <c r="G1062" s="24">
        <f t="shared" si="262"/>
        <v>0</v>
      </c>
      <c r="H1062" s="14"/>
      <c r="I1062" s="14"/>
      <c r="J1062" s="29"/>
      <c r="K1062" s="30"/>
      <c r="M1062" s="17"/>
      <c r="N1062" s="7"/>
      <c r="O1062" s="5"/>
      <c r="P1062" s="3"/>
      <c r="Q1062" s="5"/>
      <c r="R1062" s="7"/>
      <c r="S1062" s="5"/>
      <c r="U1062" s="10"/>
      <c r="V1062" s="11"/>
      <c r="W1062" s="6"/>
      <c r="Y1062" s="10"/>
      <c r="Z1062" s="11" t="str">
        <f t="shared" si="266"/>
        <v/>
      </c>
      <c r="AA1062" s="6"/>
      <c r="AB1062" s="1">
        <v>1.2</v>
      </c>
      <c r="AC1062" s="21" t="str">
        <f t="shared" si="263"/>
        <v/>
      </c>
      <c r="AD1062" s="27" t="str">
        <f t="shared" si="269"/>
        <v/>
      </c>
      <c r="AE1062" s="27" t="str">
        <f t="shared" si="267"/>
        <v/>
      </c>
      <c r="AF1062" s="14">
        <f t="shared" si="264"/>
        <v>0</v>
      </c>
      <c r="AG1062" s="12">
        <f t="shared" si="272"/>
        <v>0</v>
      </c>
      <c r="AH1062" s="24">
        <f t="shared" si="265"/>
        <v>0</v>
      </c>
      <c r="AI1062" s="49" t="e">
        <f t="shared" si="268"/>
        <v>#VALUE!</v>
      </c>
      <c r="AK1062" s="50" t="e">
        <f t="shared" si="273"/>
        <v>#VALUE!</v>
      </c>
    </row>
    <row r="1063" spans="1:37" x14ac:dyDescent="0.4">
      <c r="A1063" s="2">
        <v>2216</v>
      </c>
      <c r="B1063" s="16"/>
      <c r="C1063" s="22">
        <f t="shared" si="270"/>
        <v>0</v>
      </c>
      <c r="D1063" s="23">
        <f t="shared" si="261"/>
        <v>0</v>
      </c>
      <c r="E1063" s="14"/>
      <c r="F1063" s="12">
        <f t="shared" si="271"/>
        <v>0</v>
      </c>
      <c r="G1063" s="24">
        <f t="shared" si="262"/>
        <v>0</v>
      </c>
      <c r="H1063" s="14"/>
      <c r="I1063" s="14"/>
      <c r="J1063" s="29"/>
      <c r="K1063" s="30"/>
      <c r="M1063" s="17"/>
      <c r="N1063" s="7"/>
      <c r="O1063" s="5"/>
      <c r="P1063" s="3"/>
      <c r="Q1063" s="5"/>
      <c r="R1063" s="7"/>
      <c r="S1063" s="5"/>
      <c r="U1063" s="10"/>
      <c r="V1063" s="11"/>
      <c r="W1063" s="6"/>
      <c r="Y1063" s="10"/>
      <c r="Z1063" s="11" t="str">
        <f t="shared" si="266"/>
        <v/>
      </c>
      <c r="AA1063" s="6"/>
      <c r="AB1063" s="1">
        <v>1.2</v>
      </c>
      <c r="AC1063" s="21" t="str">
        <f t="shared" si="263"/>
        <v/>
      </c>
      <c r="AD1063" s="27" t="str">
        <f t="shared" si="269"/>
        <v/>
      </c>
      <c r="AE1063" s="27" t="str">
        <f t="shared" si="267"/>
        <v/>
      </c>
      <c r="AF1063" s="14">
        <f t="shared" si="264"/>
        <v>0</v>
      </c>
      <c r="AG1063" s="12">
        <f t="shared" si="272"/>
        <v>0</v>
      </c>
      <c r="AH1063" s="24">
        <f t="shared" si="265"/>
        <v>0</v>
      </c>
      <c r="AI1063" s="49" t="e">
        <f t="shared" si="268"/>
        <v>#VALUE!</v>
      </c>
      <c r="AK1063" s="50" t="e">
        <f t="shared" si="273"/>
        <v>#VALUE!</v>
      </c>
    </row>
    <row r="1064" spans="1:37" x14ac:dyDescent="0.4">
      <c r="A1064" s="2">
        <v>2217</v>
      </c>
      <c r="B1064" s="16"/>
      <c r="C1064" s="22">
        <f t="shared" si="270"/>
        <v>0</v>
      </c>
      <c r="D1064" s="23">
        <f t="shared" ref="D1064:D1127" si="274">B1064-INT(B1064)</f>
        <v>0</v>
      </c>
      <c r="E1064" s="14"/>
      <c r="F1064" s="12">
        <f t="shared" si="271"/>
        <v>0</v>
      </c>
      <c r="G1064" s="24">
        <f t="shared" ref="G1064:G1127" si="275">E1064-INT(E1064)</f>
        <v>0</v>
      </c>
      <c r="H1064" s="14"/>
      <c r="I1064" s="14"/>
      <c r="J1064" s="29"/>
      <c r="K1064" s="30"/>
      <c r="M1064" s="17"/>
      <c r="N1064" s="7"/>
      <c r="O1064" s="5"/>
      <c r="P1064" s="3"/>
      <c r="Q1064" s="5"/>
      <c r="R1064" s="7"/>
      <c r="S1064" s="5"/>
      <c r="U1064" s="10"/>
      <c r="V1064" s="11"/>
      <c r="W1064" s="6"/>
      <c r="Y1064" s="10"/>
      <c r="Z1064" s="11" t="str">
        <f t="shared" si="266"/>
        <v/>
      </c>
      <c r="AA1064" s="6"/>
      <c r="AB1064" s="1">
        <v>1.2</v>
      </c>
      <c r="AC1064" s="21" t="str">
        <f t="shared" ref="AC1064:AC1127" si="276">IF(B1064="","",TEXT(E1064-B1064,"[hh]:mm"))</f>
        <v/>
      </c>
      <c r="AD1064" s="27" t="str">
        <f t="shared" si="269"/>
        <v/>
      </c>
      <c r="AE1064" s="27" t="str">
        <f t="shared" si="267"/>
        <v/>
      </c>
      <c r="AF1064" s="14">
        <f t="shared" ref="AF1064:AF1127" si="277">MAX(E1064,H1064,I1064)</f>
        <v>0</v>
      </c>
      <c r="AG1064" s="12">
        <f t="shared" si="272"/>
        <v>0</v>
      </c>
      <c r="AH1064" s="24">
        <f t="shared" ref="AH1064:AH1127" si="278">AF1064-INT(AF1064)</f>
        <v>0</v>
      </c>
      <c r="AI1064" s="49" t="e">
        <f t="shared" si="268"/>
        <v>#VALUE!</v>
      </c>
      <c r="AK1064" s="50" t="e">
        <f t="shared" si="273"/>
        <v>#VALUE!</v>
      </c>
    </row>
    <row r="1065" spans="1:37" x14ac:dyDescent="0.4">
      <c r="A1065" s="2">
        <v>2218</v>
      </c>
      <c r="B1065" s="16"/>
      <c r="C1065" s="22">
        <f t="shared" si="270"/>
        <v>0</v>
      </c>
      <c r="D1065" s="23">
        <f t="shared" si="274"/>
        <v>0</v>
      </c>
      <c r="E1065" s="14"/>
      <c r="F1065" s="12">
        <f t="shared" si="271"/>
        <v>0</v>
      </c>
      <c r="G1065" s="24">
        <f t="shared" si="275"/>
        <v>0</v>
      </c>
      <c r="H1065" s="14"/>
      <c r="I1065" s="14"/>
      <c r="J1065" s="29"/>
      <c r="K1065" s="30"/>
      <c r="M1065" s="17"/>
      <c r="N1065" s="7"/>
      <c r="O1065" s="5"/>
      <c r="P1065" s="3"/>
      <c r="Q1065" s="5"/>
      <c r="R1065" s="7"/>
      <c r="S1065" s="5"/>
      <c r="U1065" s="10"/>
      <c r="V1065" s="11"/>
      <c r="W1065" s="6"/>
      <c r="Y1065" s="10"/>
      <c r="Z1065" s="11" t="str">
        <f t="shared" si="266"/>
        <v/>
      </c>
      <c r="AA1065" s="6"/>
      <c r="AB1065" s="1">
        <v>1.2</v>
      </c>
      <c r="AC1065" s="21" t="str">
        <f t="shared" si="276"/>
        <v/>
      </c>
      <c r="AD1065" s="27" t="str">
        <f t="shared" si="269"/>
        <v/>
      </c>
      <c r="AE1065" s="27" t="str">
        <f t="shared" si="267"/>
        <v/>
      </c>
      <c r="AF1065" s="14">
        <f t="shared" si="277"/>
        <v>0</v>
      </c>
      <c r="AG1065" s="12">
        <f t="shared" si="272"/>
        <v>0</v>
      </c>
      <c r="AH1065" s="24">
        <f t="shared" si="278"/>
        <v>0</v>
      </c>
      <c r="AI1065" s="49" t="e">
        <f t="shared" si="268"/>
        <v>#VALUE!</v>
      </c>
      <c r="AK1065" s="50" t="e">
        <f t="shared" si="273"/>
        <v>#VALUE!</v>
      </c>
    </row>
    <row r="1066" spans="1:37" x14ac:dyDescent="0.4">
      <c r="A1066" s="2">
        <v>2219</v>
      </c>
      <c r="B1066" s="16"/>
      <c r="C1066" s="22">
        <f t="shared" si="270"/>
        <v>0</v>
      </c>
      <c r="D1066" s="23">
        <f t="shared" si="274"/>
        <v>0</v>
      </c>
      <c r="E1066" s="14"/>
      <c r="F1066" s="12">
        <f t="shared" si="271"/>
        <v>0</v>
      </c>
      <c r="G1066" s="24">
        <f t="shared" si="275"/>
        <v>0</v>
      </c>
      <c r="H1066" s="14"/>
      <c r="I1066" s="14"/>
      <c r="J1066" s="29"/>
      <c r="K1066" s="30"/>
      <c r="M1066" s="17"/>
      <c r="N1066" s="7"/>
      <c r="O1066" s="5"/>
      <c r="P1066" s="3"/>
      <c r="Q1066" s="5"/>
      <c r="R1066" s="7"/>
      <c r="S1066" s="5"/>
      <c r="U1066" s="10"/>
      <c r="V1066" s="11"/>
      <c r="W1066" s="6"/>
      <c r="Y1066" s="10"/>
      <c r="Z1066" s="11" t="str">
        <f t="shared" si="266"/>
        <v/>
      </c>
      <c r="AA1066" s="6"/>
      <c r="AB1066" s="1">
        <v>1.2</v>
      </c>
      <c r="AC1066" s="21" t="str">
        <f t="shared" si="276"/>
        <v/>
      </c>
      <c r="AD1066" s="27" t="str">
        <f t="shared" si="269"/>
        <v/>
      </c>
      <c r="AE1066" s="27" t="str">
        <f t="shared" si="267"/>
        <v/>
      </c>
      <c r="AF1066" s="14">
        <f t="shared" si="277"/>
        <v>0</v>
      </c>
      <c r="AG1066" s="12">
        <f t="shared" si="272"/>
        <v>0</v>
      </c>
      <c r="AH1066" s="24">
        <f t="shared" si="278"/>
        <v>0</v>
      </c>
      <c r="AI1066" s="49" t="e">
        <f t="shared" si="268"/>
        <v>#VALUE!</v>
      </c>
      <c r="AK1066" s="50" t="e">
        <f t="shared" si="273"/>
        <v>#VALUE!</v>
      </c>
    </row>
    <row r="1067" spans="1:37" x14ac:dyDescent="0.4">
      <c r="A1067" s="2">
        <v>2220</v>
      </c>
      <c r="B1067" s="16"/>
      <c r="C1067" s="22">
        <f t="shared" si="270"/>
        <v>0</v>
      </c>
      <c r="D1067" s="23">
        <f t="shared" si="274"/>
        <v>0</v>
      </c>
      <c r="E1067" s="14"/>
      <c r="F1067" s="12">
        <f t="shared" si="271"/>
        <v>0</v>
      </c>
      <c r="G1067" s="24">
        <f t="shared" si="275"/>
        <v>0</v>
      </c>
      <c r="H1067" s="14"/>
      <c r="I1067" s="14"/>
      <c r="J1067" s="29"/>
      <c r="K1067" s="30"/>
      <c r="M1067" s="17"/>
      <c r="N1067" s="7"/>
      <c r="O1067" s="5"/>
      <c r="P1067" s="3"/>
      <c r="Q1067" s="5"/>
      <c r="R1067" s="7"/>
      <c r="S1067" s="5"/>
      <c r="U1067" s="10"/>
      <c r="V1067" s="11"/>
      <c r="W1067" s="6"/>
      <c r="Y1067" s="10"/>
      <c r="Z1067" s="11" t="str">
        <f t="shared" si="266"/>
        <v/>
      </c>
      <c r="AA1067" s="6"/>
      <c r="AB1067" s="1">
        <v>1.2</v>
      </c>
      <c r="AC1067" s="21" t="str">
        <f t="shared" si="276"/>
        <v/>
      </c>
      <c r="AD1067" s="27" t="str">
        <f t="shared" si="269"/>
        <v/>
      </c>
      <c r="AE1067" s="27" t="str">
        <f t="shared" si="267"/>
        <v/>
      </c>
      <c r="AF1067" s="14">
        <f t="shared" si="277"/>
        <v>0</v>
      </c>
      <c r="AG1067" s="12">
        <f t="shared" si="272"/>
        <v>0</v>
      </c>
      <c r="AH1067" s="24">
        <f t="shared" si="278"/>
        <v>0</v>
      </c>
      <c r="AI1067" s="49" t="e">
        <f t="shared" si="268"/>
        <v>#VALUE!</v>
      </c>
      <c r="AK1067" s="50" t="e">
        <f t="shared" si="273"/>
        <v>#VALUE!</v>
      </c>
    </row>
    <row r="1068" spans="1:37" x14ac:dyDescent="0.4">
      <c r="A1068" s="2">
        <v>2221</v>
      </c>
      <c r="B1068" s="16"/>
      <c r="C1068" s="22">
        <f t="shared" si="270"/>
        <v>0</v>
      </c>
      <c r="D1068" s="23">
        <f t="shared" si="274"/>
        <v>0</v>
      </c>
      <c r="E1068" s="14"/>
      <c r="F1068" s="12">
        <f t="shared" si="271"/>
        <v>0</v>
      </c>
      <c r="G1068" s="24">
        <f t="shared" si="275"/>
        <v>0</v>
      </c>
      <c r="H1068" s="14"/>
      <c r="I1068" s="14"/>
      <c r="J1068" s="29"/>
      <c r="K1068" s="30"/>
      <c r="M1068" s="17"/>
      <c r="N1068" s="7"/>
      <c r="O1068" s="5"/>
      <c r="P1068" s="3"/>
      <c r="Q1068" s="5"/>
      <c r="R1068" s="7"/>
      <c r="S1068" s="5"/>
      <c r="U1068" s="10"/>
      <c r="V1068" s="11"/>
      <c r="W1068" s="6"/>
      <c r="Y1068" s="10"/>
      <c r="Z1068" s="11" t="str">
        <f t="shared" si="266"/>
        <v/>
      </c>
      <c r="AA1068" s="6"/>
      <c r="AB1068" s="1">
        <v>1.2</v>
      </c>
      <c r="AC1068" s="21" t="str">
        <f t="shared" si="276"/>
        <v/>
      </c>
      <c r="AD1068" s="27" t="str">
        <f t="shared" si="269"/>
        <v/>
      </c>
      <c r="AE1068" s="27" t="str">
        <f t="shared" si="267"/>
        <v/>
      </c>
      <c r="AF1068" s="14">
        <f t="shared" si="277"/>
        <v>0</v>
      </c>
      <c r="AG1068" s="12">
        <f t="shared" si="272"/>
        <v>0</v>
      </c>
      <c r="AH1068" s="24">
        <f t="shared" si="278"/>
        <v>0</v>
      </c>
      <c r="AI1068" s="49" t="e">
        <f t="shared" si="268"/>
        <v>#VALUE!</v>
      </c>
      <c r="AK1068" s="50" t="e">
        <f t="shared" si="273"/>
        <v>#VALUE!</v>
      </c>
    </row>
    <row r="1069" spans="1:37" x14ac:dyDescent="0.4">
      <c r="A1069" s="2">
        <v>2222</v>
      </c>
      <c r="B1069" s="16"/>
      <c r="C1069" s="22">
        <f t="shared" si="270"/>
        <v>0</v>
      </c>
      <c r="D1069" s="23">
        <f t="shared" si="274"/>
        <v>0</v>
      </c>
      <c r="E1069" s="14"/>
      <c r="F1069" s="12">
        <f t="shared" si="271"/>
        <v>0</v>
      </c>
      <c r="G1069" s="24">
        <f t="shared" si="275"/>
        <v>0</v>
      </c>
      <c r="H1069" s="14"/>
      <c r="I1069" s="14"/>
      <c r="J1069" s="29"/>
      <c r="K1069" s="30"/>
      <c r="M1069" s="17"/>
      <c r="N1069" s="7"/>
      <c r="O1069" s="5"/>
      <c r="P1069" s="3"/>
      <c r="Q1069" s="5"/>
      <c r="R1069" s="7"/>
      <c r="S1069" s="5"/>
      <c r="U1069" s="10"/>
      <c r="V1069" s="11"/>
      <c r="W1069" s="6"/>
      <c r="Y1069" s="10"/>
      <c r="Z1069" s="11" t="str">
        <f t="shared" si="266"/>
        <v/>
      </c>
      <c r="AA1069" s="6"/>
      <c r="AB1069" s="1">
        <v>1.2</v>
      </c>
      <c r="AC1069" s="21" t="str">
        <f t="shared" si="276"/>
        <v/>
      </c>
      <c r="AD1069" s="27" t="str">
        <f t="shared" si="269"/>
        <v/>
      </c>
      <c r="AE1069" s="27" t="str">
        <f t="shared" si="267"/>
        <v/>
      </c>
      <c r="AF1069" s="14">
        <f t="shared" si="277"/>
        <v>0</v>
      </c>
      <c r="AG1069" s="12">
        <f t="shared" si="272"/>
        <v>0</v>
      </c>
      <c r="AH1069" s="24">
        <f t="shared" si="278"/>
        <v>0</v>
      </c>
      <c r="AI1069" s="49" t="e">
        <f t="shared" si="268"/>
        <v>#VALUE!</v>
      </c>
      <c r="AK1069" s="50" t="e">
        <f t="shared" si="273"/>
        <v>#VALUE!</v>
      </c>
    </row>
    <row r="1070" spans="1:37" x14ac:dyDescent="0.4">
      <c r="A1070" s="2">
        <v>2223</v>
      </c>
      <c r="B1070" s="16"/>
      <c r="C1070" s="22">
        <f t="shared" si="270"/>
        <v>0</v>
      </c>
      <c r="D1070" s="23">
        <f t="shared" si="274"/>
        <v>0</v>
      </c>
      <c r="E1070" s="14"/>
      <c r="F1070" s="12">
        <f t="shared" si="271"/>
        <v>0</v>
      </c>
      <c r="G1070" s="24">
        <f t="shared" si="275"/>
        <v>0</v>
      </c>
      <c r="H1070" s="14"/>
      <c r="I1070" s="14"/>
      <c r="J1070" s="29"/>
      <c r="K1070" s="30"/>
      <c r="M1070" s="17"/>
      <c r="N1070" s="7"/>
      <c r="O1070" s="5"/>
      <c r="P1070" s="3"/>
      <c r="Q1070" s="5"/>
      <c r="R1070" s="7"/>
      <c r="S1070" s="5"/>
      <c r="U1070" s="10"/>
      <c r="V1070" s="11"/>
      <c r="W1070" s="6"/>
      <c r="Y1070" s="10"/>
      <c r="Z1070" s="11" t="str">
        <f t="shared" si="266"/>
        <v/>
      </c>
      <c r="AA1070" s="6"/>
      <c r="AB1070" s="1">
        <v>1.2</v>
      </c>
      <c r="AC1070" s="21" t="str">
        <f t="shared" si="276"/>
        <v/>
      </c>
      <c r="AD1070" s="27" t="str">
        <f t="shared" si="269"/>
        <v/>
      </c>
      <c r="AE1070" s="27" t="str">
        <f t="shared" si="267"/>
        <v/>
      </c>
      <c r="AF1070" s="14">
        <f t="shared" si="277"/>
        <v>0</v>
      </c>
      <c r="AG1070" s="12">
        <f t="shared" si="272"/>
        <v>0</v>
      </c>
      <c r="AH1070" s="24">
        <f t="shared" si="278"/>
        <v>0</v>
      </c>
      <c r="AI1070" s="49" t="e">
        <f t="shared" si="268"/>
        <v>#VALUE!</v>
      </c>
      <c r="AK1070" s="50" t="e">
        <f t="shared" si="273"/>
        <v>#VALUE!</v>
      </c>
    </row>
    <row r="1071" spans="1:37" x14ac:dyDescent="0.4">
      <c r="A1071" s="2">
        <v>2224</v>
      </c>
      <c r="B1071" s="16"/>
      <c r="C1071" s="22">
        <f t="shared" si="270"/>
        <v>0</v>
      </c>
      <c r="D1071" s="23">
        <f t="shared" si="274"/>
        <v>0</v>
      </c>
      <c r="E1071" s="14"/>
      <c r="F1071" s="12">
        <f t="shared" si="271"/>
        <v>0</v>
      </c>
      <c r="G1071" s="24">
        <f t="shared" si="275"/>
        <v>0</v>
      </c>
      <c r="H1071" s="14"/>
      <c r="I1071" s="14"/>
      <c r="J1071" s="29"/>
      <c r="K1071" s="30"/>
      <c r="M1071" s="17"/>
      <c r="N1071" s="7"/>
      <c r="O1071" s="5"/>
      <c r="P1071" s="3"/>
      <c r="Q1071" s="5"/>
      <c r="R1071" s="7"/>
      <c r="S1071" s="5"/>
      <c r="U1071" s="10"/>
      <c r="V1071" s="11"/>
      <c r="W1071" s="6"/>
      <c r="Y1071" s="10"/>
      <c r="Z1071" s="11" t="str">
        <f t="shared" si="266"/>
        <v/>
      </c>
      <c r="AA1071" s="6"/>
      <c r="AB1071" s="1">
        <v>1.2</v>
      </c>
      <c r="AC1071" s="21" t="str">
        <f t="shared" si="276"/>
        <v/>
      </c>
      <c r="AD1071" s="27" t="str">
        <f t="shared" si="269"/>
        <v/>
      </c>
      <c r="AE1071" s="27" t="str">
        <f t="shared" si="267"/>
        <v/>
      </c>
      <c r="AF1071" s="14">
        <f t="shared" si="277"/>
        <v>0</v>
      </c>
      <c r="AG1071" s="12">
        <f t="shared" si="272"/>
        <v>0</v>
      </c>
      <c r="AH1071" s="24">
        <f t="shared" si="278"/>
        <v>0</v>
      </c>
      <c r="AI1071" s="49" t="e">
        <f t="shared" si="268"/>
        <v>#VALUE!</v>
      </c>
      <c r="AK1071" s="50" t="e">
        <f t="shared" si="273"/>
        <v>#VALUE!</v>
      </c>
    </row>
    <row r="1072" spans="1:37" x14ac:dyDescent="0.4">
      <c r="A1072" s="2">
        <v>2225</v>
      </c>
      <c r="B1072" s="16"/>
      <c r="C1072" s="22">
        <f t="shared" si="270"/>
        <v>0</v>
      </c>
      <c r="D1072" s="23">
        <f t="shared" si="274"/>
        <v>0</v>
      </c>
      <c r="E1072" s="14"/>
      <c r="F1072" s="12">
        <f t="shared" si="271"/>
        <v>0</v>
      </c>
      <c r="G1072" s="24">
        <f t="shared" si="275"/>
        <v>0</v>
      </c>
      <c r="H1072" s="14"/>
      <c r="I1072" s="14"/>
      <c r="J1072" s="29"/>
      <c r="K1072" s="30"/>
      <c r="M1072" s="17"/>
      <c r="N1072" s="7"/>
      <c r="O1072" s="5"/>
      <c r="P1072" s="3"/>
      <c r="Q1072" s="5"/>
      <c r="R1072" s="7"/>
      <c r="S1072" s="5"/>
      <c r="U1072" s="10"/>
      <c r="V1072" s="11"/>
      <c r="W1072" s="6"/>
      <c r="Y1072" s="10"/>
      <c r="Z1072" s="11" t="str">
        <f t="shared" si="266"/>
        <v/>
      </c>
      <c r="AA1072" s="6"/>
      <c r="AB1072" s="1">
        <v>1.2</v>
      </c>
      <c r="AC1072" s="21" t="str">
        <f t="shared" si="276"/>
        <v/>
      </c>
      <c r="AD1072" s="27" t="str">
        <f t="shared" si="269"/>
        <v/>
      </c>
      <c r="AE1072" s="27" t="str">
        <f t="shared" si="267"/>
        <v/>
      </c>
      <c r="AF1072" s="14">
        <f t="shared" si="277"/>
        <v>0</v>
      </c>
      <c r="AG1072" s="12">
        <f t="shared" si="272"/>
        <v>0</v>
      </c>
      <c r="AH1072" s="24">
        <f t="shared" si="278"/>
        <v>0</v>
      </c>
      <c r="AI1072" s="49" t="e">
        <f t="shared" si="268"/>
        <v>#VALUE!</v>
      </c>
      <c r="AK1072" s="50" t="e">
        <f t="shared" si="273"/>
        <v>#VALUE!</v>
      </c>
    </row>
    <row r="1073" spans="1:37" x14ac:dyDescent="0.4">
      <c r="A1073" s="2">
        <v>2226</v>
      </c>
      <c r="B1073" s="16"/>
      <c r="C1073" s="22">
        <f t="shared" si="270"/>
        <v>0</v>
      </c>
      <c r="D1073" s="23">
        <f t="shared" si="274"/>
        <v>0</v>
      </c>
      <c r="E1073" s="14"/>
      <c r="F1073" s="12">
        <f t="shared" si="271"/>
        <v>0</v>
      </c>
      <c r="G1073" s="24">
        <f t="shared" si="275"/>
        <v>0</v>
      </c>
      <c r="H1073" s="14"/>
      <c r="I1073" s="14"/>
      <c r="J1073" s="29"/>
      <c r="K1073" s="30"/>
      <c r="M1073" s="17"/>
      <c r="N1073" s="7"/>
      <c r="O1073" s="5"/>
      <c r="P1073" s="3"/>
      <c r="Q1073" s="5"/>
      <c r="R1073" s="7"/>
      <c r="S1073" s="5"/>
      <c r="U1073" s="10"/>
      <c r="V1073" s="11"/>
      <c r="W1073" s="6"/>
      <c r="Y1073" s="10"/>
      <c r="Z1073" s="11" t="str">
        <f t="shared" si="266"/>
        <v/>
      </c>
      <c r="AA1073" s="6"/>
      <c r="AB1073" s="1">
        <v>1.2</v>
      </c>
      <c r="AC1073" s="21" t="str">
        <f t="shared" si="276"/>
        <v/>
      </c>
      <c r="AD1073" s="27" t="str">
        <f t="shared" si="269"/>
        <v/>
      </c>
      <c r="AE1073" s="27" t="str">
        <f t="shared" si="267"/>
        <v/>
      </c>
      <c r="AF1073" s="14">
        <f t="shared" si="277"/>
        <v>0</v>
      </c>
      <c r="AG1073" s="12">
        <f t="shared" si="272"/>
        <v>0</v>
      </c>
      <c r="AH1073" s="24">
        <f t="shared" si="278"/>
        <v>0</v>
      </c>
      <c r="AI1073" s="49" t="e">
        <f t="shared" si="268"/>
        <v>#VALUE!</v>
      </c>
      <c r="AK1073" s="50" t="e">
        <f t="shared" si="273"/>
        <v>#VALUE!</v>
      </c>
    </row>
    <row r="1074" spans="1:37" x14ac:dyDescent="0.4">
      <c r="A1074" s="2">
        <v>2227</v>
      </c>
      <c r="B1074" s="16"/>
      <c r="C1074" s="22">
        <f t="shared" si="270"/>
        <v>0</v>
      </c>
      <c r="D1074" s="23">
        <f t="shared" si="274"/>
        <v>0</v>
      </c>
      <c r="E1074" s="14"/>
      <c r="F1074" s="12">
        <f t="shared" si="271"/>
        <v>0</v>
      </c>
      <c r="G1074" s="24">
        <f t="shared" si="275"/>
        <v>0</v>
      </c>
      <c r="H1074" s="14"/>
      <c r="I1074" s="14"/>
      <c r="J1074" s="29"/>
      <c r="K1074" s="30"/>
      <c r="M1074" s="17"/>
      <c r="N1074" s="7"/>
      <c r="O1074" s="5"/>
      <c r="P1074" s="3"/>
      <c r="Q1074" s="5"/>
      <c r="R1074" s="7"/>
      <c r="S1074" s="5"/>
      <c r="U1074" s="10"/>
      <c r="V1074" s="11"/>
      <c r="W1074" s="6"/>
      <c r="Y1074" s="10"/>
      <c r="Z1074" s="11" t="str">
        <f t="shared" si="266"/>
        <v/>
      </c>
      <c r="AA1074" s="6"/>
      <c r="AB1074" s="1">
        <v>1.2</v>
      </c>
      <c r="AC1074" s="21" t="str">
        <f t="shared" si="276"/>
        <v/>
      </c>
      <c r="AD1074" s="27" t="str">
        <f t="shared" si="269"/>
        <v/>
      </c>
      <c r="AE1074" s="27" t="str">
        <f t="shared" si="267"/>
        <v/>
      </c>
      <c r="AF1074" s="14">
        <f t="shared" si="277"/>
        <v>0</v>
      </c>
      <c r="AG1074" s="12">
        <f t="shared" si="272"/>
        <v>0</v>
      </c>
      <c r="AH1074" s="24">
        <f t="shared" si="278"/>
        <v>0</v>
      </c>
      <c r="AI1074" s="49" t="e">
        <f t="shared" si="268"/>
        <v>#VALUE!</v>
      </c>
      <c r="AK1074" s="50" t="e">
        <f t="shared" si="273"/>
        <v>#VALUE!</v>
      </c>
    </row>
    <row r="1075" spans="1:37" x14ac:dyDescent="0.4">
      <c r="A1075" s="2">
        <v>2228</v>
      </c>
      <c r="B1075" s="16"/>
      <c r="C1075" s="22">
        <f t="shared" si="270"/>
        <v>0</v>
      </c>
      <c r="D1075" s="23">
        <f t="shared" si="274"/>
        <v>0</v>
      </c>
      <c r="E1075" s="14"/>
      <c r="F1075" s="12">
        <f t="shared" si="271"/>
        <v>0</v>
      </c>
      <c r="G1075" s="24">
        <f t="shared" si="275"/>
        <v>0</v>
      </c>
      <c r="H1075" s="14"/>
      <c r="I1075" s="14"/>
      <c r="J1075" s="29"/>
      <c r="K1075" s="30"/>
      <c r="M1075" s="17"/>
      <c r="N1075" s="7"/>
      <c r="O1075" s="5"/>
      <c r="P1075" s="3"/>
      <c r="Q1075" s="5"/>
      <c r="R1075" s="7"/>
      <c r="S1075" s="5"/>
      <c r="U1075" s="10"/>
      <c r="V1075" s="11"/>
      <c r="W1075" s="6"/>
      <c r="Y1075" s="10"/>
      <c r="Z1075" s="11" t="str">
        <f t="shared" si="266"/>
        <v/>
      </c>
      <c r="AA1075" s="6"/>
      <c r="AB1075" s="1">
        <v>1.2</v>
      </c>
      <c r="AC1075" s="21" t="str">
        <f t="shared" si="276"/>
        <v/>
      </c>
      <c r="AD1075" s="27" t="str">
        <f t="shared" si="269"/>
        <v/>
      </c>
      <c r="AE1075" s="27" t="str">
        <f t="shared" si="267"/>
        <v/>
      </c>
      <c r="AF1075" s="14">
        <f t="shared" si="277"/>
        <v>0</v>
      </c>
      <c r="AG1075" s="12">
        <f t="shared" si="272"/>
        <v>0</v>
      </c>
      <c r="AH1075" s="24">
        <f t="shared" si="278"/>
        <v>0</v>
      </c>
      <c r="AI1075" s="49" t="e">
        <f t="shared" si="268"/>
        <v>#VALUE!</v>
      </c>
      <c r="AK1075" s="50" t="e">
        <f t="shared" si="273"/>
        <v>#VALUE!</v>
      </c>
    </row>
    <row r="1076" spans="1:37" x14ac:dyDescent="0.4">
      <c r="A1076" s="2">
        <v>2229</v>
      </c>
      <c r="B1076" s="16"/>
      <c r="C1076" s="22">
        <f t="shared" si="270"/>
        <v>0</v>
      </c>
      <c r="D1076" s="23">
        <f t="shared" si="274"/>
        <v>0</v>
      </c>
      <c r="E1076" s="14"/>
      <c r="F1076" s="12">
        <f t="shared" si="271"/>
        <v>0</v>
      </c>
      <c r="G1076" s="24">
        <f t="shared" si="275"/>
        <v>0</v>
      </c>
      <c r="H1076" s="14"/>
      <c r="I1076" s="14"/>
      <c r="J1076" s="29"/>
      <c r="K1076" s="30"/>
      <c r="M1076" s="17"/>
      <c r="N1076" s="7"/>
      <c r="O1076" s="5"/>
      <c r="P1076" s="3"/>
      <c r="Q1076" s="5"/>
      <c r="R1076" s="7"/>
      <c r="S1076" s="5"/>
      <c r="U1076" s="10"/>
      <c r="V1076" s="11"/>
      <c r="W1076" s="6"/>
      <c r="Y1076" s="10"/>
      <c r="Z1076" s="11" t="str">
        <f t="shared" si="266"/>
        <v/>
      </c>
      <c r="AA1076" s="6"/>
      <c r="AB1076" s="1">
        <v>1.2</v>
      </c>
      <c r="AC1076" s="21" t="str">
        <f t="shared" si="276"/>
        <v/>
      </c>
      <c r="AD1076" s="27" t="str">
        <f t="shared" si="269"/>
        <v/>
      </c>
      <c r="AE1076" s="27" t="str">
        <f t="shared" si="267"/>
        <v/>
      </c>
      <c r="AF1076" s="14">
        <f t="shared" si="277"/>
        <v>0</v>
      </c>
      <c r="AG1076" s="12">
        <f t="shared" si="272"/>
        <v>0</v>
      </c>
      <c r="AH1076" s="24">
        <f t="shared" si="278"/>
        <v>0</v>
      </c>
      <c r="AI1076" s="49" t="e">
        <f t="shared" si="268"/>
        <v>#VALUE!</v>
      </c>
      <c r="AK1076" s="50" t="e">
        <f t="shared" si="273"/>
        <v>#VALUE!</v>
      </c>
    </row>
    <row r="1077" spans="1:37" x14ac:dyDescent="0.4">
      <c r="A1077" s="2">
        <v>2230</v>
      </c>
      <c r="B1077" s="16"/>
      <c r="C1077" s="22">
        <f t="shared" si="270"/>
        <v>0</v>
      </c>
      <c r="D1077" s="23">
        <f t="shared" si="274"/>
        <v>0</v>
      </c>
      <c r="E1077" s="14"/>
      <c r="F1077" s="12">
        <f t="shared" si="271"/>
        <v>0</v>
      </c>
      <c r="G1077" s="24">
        <f t="shared" si="275"/>
        <v>0</v>
      </c>
      <c r="H1077" s="14"/>
      <c r="I1077" s="14"/>
      <c r="J1077" s="29"/>
      <c r="K1077" s="30"/>
      <c r="M1077" s="17"/>
      <c r="N1077" s="7"/>
      <c r="O1077" s="5"/>
      <c r="P1077" s="3"/>
      <c r="Q1077" s="5"/>
      <c r="R1077" s="7"/>
      <c r="S1077" s="5"/>
      <c r="U1077" s="10"/>
      <c r="V1077" s="11"/>
      <c r="W1077" s="6"/>
      <c r="Y1077" s="10"/>
      <c r="Z1077" s="11" t="str">
        <f t="shared" si="266"/>
        <v/>
      </c>
      <c r="AA1077" s="6"/>
      <c r="AB1077" s="1">
        <v>1.2</v>
      </c>
      <c r="AC1077" s="21" t="str">
        <f t="shared" si="276"/>
        <v/>
      </c>
      <c r="AD1077" s="27" t="str">
        <f t="shared" si="269"/>
        <v/>
      </c>
      <c r="AE1077" s="27" t="str">
        <f t="shared" si="267"/>
        <v/>
      </c>
      <c r="AF1077" s="14">
        <f t="shared" si="277"/>
        <v>0</v>
      </c>
      <c r="AG1077" s="12">
        <f t="shared" si="272"/>
        <v>0</v>
      </c>
      <c r="AH1077" s="24">
        <f t="shared" si="278"/>
        <v>0</v>
      </c>
      <c r="AI1077" s="49" t="e">
        <f t="shared" si="268"/>
        <v>#VALUE!</v>
      </c>
      <c r="AK1077" s="50" t="e">
        <f t="shared" si="273"/>
        <v>#VALUE!</v>
      </c>
    </row>
    <row r="1078" spans="1:37" x14ac:dyDescent="0.4">
      <c r="A1078" s="2">
        <v>2231</v>
      </c>
      <c r="B1078" s="16"/>
      <c r="C1078" s="22">
        <f t="shared" si="270"/>
        <v>0</v>
      </c>
      <c r="D1078" s="23">
        <f t="shared" si="274"/>
        <v>0</v>
      </c>
      <c r="E1078" s="14"/>
      <c r="F1078" s="12">
        <f t="shared" si="271"/>
        <v>0</v>
      </c>
      <c r="G1078" s="24">
        <f t="shared" si="275"/>
        <v>0</v>
      </c>
      <c r="H1078" s="14"/>
      <c r="I1078" s="14"/>
      <c r="J1078" s="29"/>
      <c r="K1078" s="30"/>
      <c r="M1078" s="17"/>
      <c r="N1078" s="7"/>
      <c r="O1078" s="5"/>
      <c r="P1078" s="3"/>
      <c r="Q1078" s="5"/>
      <c r="R1078" s="7"/>
      <c r="S1078" s="5"/>
      <c r="U1078" s="10"/>
      <c r="V1078" s="11"/>
      <c r="W1078" s="6"/>
      <c r="Y1078" s="10"/>
      <c r="Z1078" s="11" t="str">
        <f t="shared" si="266"/>
        <v/>
      </c>
      <c r="AA1078" s="6"/>
      <c r="AB1078" s="1">
        <v>1.2</v>
      </c>
      <c r="AC1078" s="21" t="str">
        <f t="shared" si="276"/>
        <v/>
      </c>
      <c r="AD1078" s="27" t="str">
        <f t="shared" si="269"/>
        <v/>
      </c>
      <c r="AE1078" s="27" t="str">
        <f t="shared" si="267"/>
        <v/>
      </c>
      <c r="AF1078" s="14">
        <f t="shared" si="277"/>
        <v>0</v>
      </c>
      <c r="AG1078" s="12">
        <f t="shared" si="272"/>
        <v>0</v>
      </c>
      <c r="AH1078" s="24">
        <f t="shared" si="278"/>
        <v>0</v>
      </c>
      <c r="AI1078" s="49" t="e">
        <f t="shared" si="268"/>
        <v>#VALUE!</v>
      </c>
      <c r="AK1078" s="50" t="e">
        <f t="shared" si="273"/>
        <v>#VALUE!</v>
      </c>
    </row>
    <row r="1079" spans="1:37" x14ac:dyDescent="0.4">
      <c r="A1079" s="2">
        <v>2232</v>
      </c>
      <c r="B1079" s="16"/>
      <c r="C1079" s="22">
        <f t="shared" si="270"/>
        <v>0</v>
      </c>
      <c r="D1079" s="23">
        <f t="shared" si="274"/>
        <v>0</v>
      </c>
      <c r="E1079" s="14"/>
      <c r="F1079" s="12">
        <f t="shared" si="271"/>
        <v>0</v>
      </c>
      <c r="G1079" s="24">
        <f t="shared" si="275"/>
        <v>0</v>
      </c>
      <c r="H1079" s="14"/>
      <c r="I1079" s="14"/>
      <c r="J1079" s="29"/>
      <c r="K1079" s="30"/>
      <c r="M1079" s="17"/>
      <c r="N1079" s="7"/>
      <c r="O1079" s="5"/>
      <c r="P1079" s="3"/>
      <c r="Q1079" s="5"/>
      <c r="R1079" s="7"/>
      <c r="S1079" s="5"/>
      <c r="U1079" s="10"/>
      <c r="V1079" s="11"/>
      <c r="W1079" s="6"/>
      <c r="Y1079" s="10"/>
      <c r="Z1079" s="11" t="str">
        <f t="shared" si="266"/>
        <v/>
      </c>
      <c r="AA1079" s="6"/>
      <c r="AB1079" s="1">
        <v>1.2</v>
      </c>
      <c r="AC1079" s="21" t="str">
        <f t="shared" si="276"/>
        <v/>
      </c>
      <c r="AD1079" s="27" t="str">
        <f t="shared" si="269"/>
        <v/>
      </c>
      <c r="AE1079" s="27" t="str">
        <f t="shared" si="267"/>
        <v/>
      </c>
      <c r="AF1079" s="14">
        <f t="shared" si="277"/>
        <v>0</v>
      </c>
      <c r="AG1079" s="12">
        <f t="shared" si="272"/>
        <v>0</v>
      </c>
      <c r="AH1079" s="24">
        <f t="shared" si="278"/>
        <v>0</v>
      </c>
      <c r="AI1079" s="49" t="e">
        <f t="shared" si="268"/>
        <v>#VALUE!</v>
      </c>
      <c r="AK1079" s="50" t="e">
        <f t="shared" si="273"/>
        <v>#VALUE!</v>
      </c>
    </row>
    <row r="1080" spans="1:37" x14ac:dyDescent="0.4">
      <c r="A1080" s="2">
        <v>2233</v>
      </c>
      <c r="B1080" s="16"/>
      <c r="C1080" s="22">
        <f t="shared" si="270"/>
        <v>0</v>
      </c>
      <c r="D1080" s="23">
        <f t="shared" si="274"/>
        <v>0</v>
      </c>
      <c r="E1080" s="14"/>
      <c r="F1080" s="12">
        <f t="shared" si="271"/>
        <v>0</v>
      </c>
      <c r="G1080" s="24">
        <f t="shared" si="275"/>
        <v>0</v>
      </c>
      <c r="H1080" s="14"/>
      <c r="I1080" s="14"/>
      <c r="J1080" s="29"/>
      <c r="K1080" s="30"/>
      <c r="M1080" s="17"/>
      <c r="N1080" s="7"/>
      <c r="O1080" s="5"/>
      <c r="P1080" s="3"/>
      <c r="Q1080" s="5"/>
      <c r="R1080" s="7"/>
      <c r="S1080" s="5"/>
      <c r="U1080" s="10"/>
      <c r="V1080" s="11"/>
      <c r="W1080" s="6"/>
      <c r="Y1080" s="10"/>
      <c r="Z1080" s="11" t="str">
        <f t="shared" si="266"/>
        <v/>
      </c>
      <c r="AA1080" s="6"/>
      <c r="AB1080" s="1">
        <v>1.2</v>
      </c>
      <c r="AC1080" s="21" t="str">
        <f t="shared" si="276"/>
        <v/>
      </c>
      <c r="AD1080" s="27" t="str">
        <f t="shared" si="269"/>
        <v/>
      </c>
      <c r="AE1080" s="27" t="str">
        <f t="shared" si="267"/>
        <v/>
      </c>
      <c r="AF1080" s="14">
        <f t="shared" si="277"/>
        <v>0</v>
      </c>
      <c r="AG1080" s="12">
        <f t="shared" si="272"/>
        <v>0</v>
      </c>
      <c r="AH1080" s="24">
        <f t="shared" si="278"/>
        <v>0</v>
      </c>
      <c r="AI1080" s="49" t="e">
        <f t="shared" si="268"/>
        <v>#VALUE!</v>
      </c>
      <c r="AK1080" s="50" t="e">
        <f t="shared" si="273"/>
        <v>#VALUE!</v>
      </c>
    </row>
    <row r="1081" spans="1:37" x14ac:dyDescent="0.4">
      <c r="A1081" s="2">
        <v>2234</v>
      </c>
      <c r="B1081" s="16"/>
      <c r="C1081" s="22">
        <f t="shared" si="270"/>
        <v>0</v>
      </c>
      <c r="D1081" s="23">
        <f t="shared" si="274"/>
        <v>0</v>
      </c>
      <c r="E1081" s="14"/>
      <c r="F1081" s="12">
        <f t="shared" si="271"/>
        <v>0</v>
      </c>
      <c r="G1081" s="24">
        <f t="shared" si="275"/>
        <v>0</v>
      </c>
      <c r="H1081" s="14"/>
      <c r="I1081" s="14"/>
      <c r="J1081" s="29"/>
      <c r="K1081" s="30"/>
      <c r="M1081" s="17"/>
      <c r="N1081" s="7"/>
      <c r="O1081" s="5"/>
      <c r="P1081" s="3"/>
      <c r="Q1081" s="5"/>
      <c r="R1081" s="7"/>
      <c r="S1081" s="5"/>
      <c r="U1081" s="10"/>
      <c r="V1081" s="11"/>
      <c r="W1081" s="6"/>
      <c r="Y1081" s="10"/>
      <c r="Z1081" s="11" t="str">
        <f t="shared" si="266"/>
        <v/>
      </c>
      <c r="AA1081" s="6"/>
      <c r="AB1081" s="1">
        <v>1.2</v>
      </c>
      <c r="AC1081" s="21" t="str">
        <f t="shared" si="276"/>
        <v/>
      </c>
      <c r="AD1081" s="27" t="str">
        <f t="shared" si="269"/>
        <v/>
      </c>
      <c r="AE1081" s="27" t="str">
        <f t="shared" si="267"/>
        <v/>
      </c>
      <c r="AF1081" s="14">
        <f t="shared" si="277"/>
        <v>0</v>
      </c>
      <c r="AG1081" s="12">
        <f t="shared" si="272"/>
        <v>0</v>
      </c>
      <c r="AH1081" s="24">
        <f t="shared" si="278"/>
        <v>0</v>
      </c>
      <c r="AI1081" s="49" t="e">
        <f t="shared" si="268"/>
        <v>#VALUE!</v>
      </c>
      <c r="AK1081" s="50" t="e">
        <f t="shared" si="273"/>
        <v>#VALUE!</v>
      </c>
    </row>
    <row r="1082" spans="1:37" x14ac:dyDescent="0.4">
      <c r="A1082" s="2">
        <v>2235</v>
      </c>
      <c r="B1082" s="16"/>
      <c r="C1082" s="22">
        <f t="shared" si="270"/>
        <v>0</v>
      </c>
      <c r="D1082" s="23">
        <f t="shared" si="274"/>
        <v>0</v>
      </c>
      <c r="E1082" s="14"/>
      <c r="F1082" s="12">
        <f t="shared" si="271"/>
        <v>0</v>
      </c>
      <c r="G1082" s="24">
        <f t="shared" si="275"/>
        <v>0</v>
      </c>
      <c r="H1082" s="14"/>
      <c r="I1082" s="14"/>
      <c r="J1082" s="29"/>
      <c r="K1082" s="30"/>
      <c r="M1082" s="17"/>
      <c r="N1082" s="7"/>
      <c r="O1082" s="5"/>
      <c r="P1082" s="3"/>
      <c r="Q1082" s="5"/>
      <c r="R1082" s="7"/>
      <c r="S1082" s="5"/>
      <c r="U1082" s="10"/>
      <c r="V1082" s="11"/>
      <c r="W1082" s="6"/>
      <c r="Y1082" s="10"/>
      <c r="Z1082" s="11" t="str">
        <f t="shared" si="266"/>
        <v/>
      </c>
      <c r="AA1082" s="6"/>
      <c r="AB1082" s="1">
        <v>1.2</v>
      </c>
      <c r="AC1082" s="21" t="str">
        <f t="shared" si="276"/>
        <v/>
      </c>
      <c r="AD1082" s="27" t="str">
        <f t="shared" si="269"/>
        <v/>
      </c>
      <c r="AE1082" s="27" t="str">
        <f t="shared" si="267"/>
        <v/>
      </c>
      <c r="AF1082" s="14">
        <f t="shared" si="277"/>
        <v>0</v>
      </c>
      <c r="AG1082" s="12">
        <f t="shared" si="272"/>
        <v>0</v>
      </c>
      <c r="AH1082" s="24">
        <f t="shared" si="278"/>
        <v>0</v>
      </c>
      <c r="AI1082" s="49" t="e">
        <f t="shared" si="268"/>
        <v>#VALUE!</v>
      </c>
      <c r="AK1082" s="50" t="e">
        <f t="shared" si="273"/>
        <v>#VALUE!</v>
      </c>
    </row>
    <row r="1083" spans="1:37" x14ac:dyDescent="0.4">
      <c r="A1083" s="2">
        <v>2236</v>
      </c>
      <c r="B1083" s="16"/>
      <c r="C1083" s="22">
        <f t="shared" si="270"/>
        <v>0</v>
      </c>
      <c r="D1083" s="23">
        <f t="shared" si="274"/>
        <v>0</v>
      </c>
      <c r="E1083" s="14"/>
      <c r="F1083" s="12">
        <f t="shared" si="271"/>
        <v>0</v>
      </c>
      <c r="G1083" s="24">
        <f t="shared" si="275"/>
        <v>0</v>
      </c>
      <c r="H1083" s="14"/>
      <c r="I1083" s="14"/>
      <c r="J1083" s="29"/>
      <c r="K1083" s="30"/>
      <c r="M1083" s="17"/>
      <c r="N1083" s="7"/>
      <c r="O1083" s="5"/>
      <c r="P1083" s="3"/>
      <c r="Q1083" s="5"/>
      <c r="R1083" s="7"/>
      <c r="S1083" s="5"/>
      <c r="U1083" s="10"/>
      <c r="V1083" s="11"/>
      <c r="W1083" s="6"/>
      <c r="Y1083" s="10"/>
      <c r="Z1083" s="11" t="str">
        <f t="shared" si="266"/>
        <v/>
      </c>
      <c r="AA1083" s="6"/>
      <c r="AB1083" s="1">
        <v>1.2</v>
      </c>
      <c r="AC1083" s="21" t="str">
        <f t="shared" si="276"/>
        <v/>
      </c>
      <c r="AD1083" s="27" t="str">
        <f t="shared" si="269"/>
        <v/>
      </c>
      <c r="AE1083" s="27" t="str">
        <f t="shared" si="267"/>
        <v/>
      </c>
      <c r="AF1083" s="14">
        <f t="shared" si="277"/>
        <v>0</v>
      </c>
      <c r="AG1083" s="12">
        <f t="shared" si="272"/>
        <v>0</v>
      </c>
      <c r="AH1083" s="24">
        <f t="shared" si="278"/>
        <v>0</v>
      </c>
      <c r="AI1083" s="49" t="e">
        <f t="shared" si="268"/>
        <v>#VALUE!</v>
      </c>
      <c r="AK1083" s="50" t="e">
        <f t="shared" si="273"/>
        <v>#VALUE!</v>
      </c>
    </row>
    <row r="1084" spans="1:37" x14ac:dyDescent="0.4">
      <c r="A1084" s="2">
        <v>2237</v>
      </c>
      <c r="B1084" s="16"/>
      <c r="C1084" s="22">
        <f t="shared" si="270"/>
        <v>0</v>
      </c>
      <c r="D1084" s="23">
        <f t="shared" si="274"/>
        <v>0</v>
      </c>
      <c r="E1084" s="14"/>
      <c r="F1084" s="12">
        <f t="shared" si="271"/>
        <v>0</v>
      </c>
      <c r="G1084" s="24">
        <f t="shared" si="275"/>
        <v>0</v>
      </c>
      <c r="H1084" s="14"/>
      <c r="I1084" s="14"/>
      <c r="J1084" s="29"/>
      <c r="K1084" s="30"/>
      <c r="M1084" s="17"/>
      <c r="N1084" s="7"/>
      <c r="O1084" s="5"/>
      <c r="P1084" s="3"/>
      <c r="Q1084" s="5"/>
      <c r="R1084" s="7"/>
      <c r="S1084" s="5"/>
      <c r="U1084" s="10"/>
      <c r="V1084" s="11"/>
      <c r="W1084" s="6"/>
      <c r="Y1084" s="10"/>
      <c r="Z1084" s="11" t="str">
        <f t="shared" si="266"/>
        <v/>
      </c>
      <c r="AA1084" s="6"/>
      <c r="AB1084" s="1">
        <v>1.2</v>
      </c>
      <c r="AC1084" s="21" t="str">
        <f t="shared" si="276"/>
        <v/>
      </c>
      <c r="AD1084" s="27" t="str">
        <f t="shared" si="269"/>
        <v/>
      </c>
      <c r="AE1084" s="27" t="str">
        <f t="shared" si="267"/>
        <v/>
      </c>
      <c r="AF1084" s="14">
        <f t="shared" si="277"/>
        <v>0</v>
      </c>
      <c r="AG1084" s="12">
        <f t="shared" si="272"/>
        <v>0</v>
      </c>
      <c r="AH1084" s="24">
        <f t="shared" si="278"/>
        <v>0</v>
      </c>
      <c r="AI1084" s="49" t="e">
        <f t="shared" si="268"/>
        <v>#VALUE!</v>
      </c>
      <c r="AK1084" s="50" t="e">
        <f t="shared" si="273"/>
        <v>#VALUE!</v>
      </c>
    </row>
    <row r="1085" spans="1:37" x14ac:dyDescent="0.4">
      <c r="A1085" s="2">
        <v>2238</v>
      </c>
      <c r="B1085" s="16"/>
      <c r="C1085" s="22">
        <f t="shared" si="270"/>
        <v>0</v>
      </c>
      <c r="D1085" s="23">
        <f t="shared" si="274"/>
        <v>0</v>
      </c>
      <c r="E1085" s="14"/>
      <c r="F1085" s="12">
        <f t="shared" si="271"/>
        <v>0</v>
      </c>
      <c r="G1085" s="24">
        <f t="shared" si="275"/>
        <v>0</v>
      </c>
      <c r="H1085" s="14"/>
      <c r="I1085" s="14"/>
      <c r="J1085" s="29"/>
      <c r="K1085" s="30"/>
      <c r="M1085" s="17"/>
      <c r="N1085" s="7"/>
      <c r="O1085" s="5"/>
      <c r="P1085" s="3"/>
      <c r="Q1085" s="5"/>
      <c r="R1085" s="7"/>
      <c r="S1085" s="5"/>
      <c r="U1085" s="10"/>
      <c r="V1085" s="11"/>
      <c r="W1085" s="6"/>
      <c r="Y1085" s="10"/>
      <c r="Z1085" s="11" t="str">
        <f t="shared" si="266"/>
        <v/>
      </c>
      <c r="AA1085" s="6"/>
      <c r="AB1085" s="1">
        <v>1.2</v>
      </c>
      <c r="AC1085" s="21" t="str">
        <f t="shared" si="276"/>
        <v/>
      </c>
      <c r="AD1085" s="27" t="str">
        <f t="shared" si="269"/>
        <v/>
      </c>
      <c r="AE1085" s="27" t="str">
        <f t="shared" si="267"/>
        <v/>
      </c>
      <c r="AF1085" s="14">
        <f t="shared" si="277"/>
        <v>0</v>
      </c>
      <c r="AG1085" s="12">
        <f t="shared" si="272"/>
        <v>0</v>
      </c>
      <c r="AH1085" s="24">
        <f t="shared" si="278"/>
        <v>0</v>
      </c>
      <c r="AI1085" s="49" t="e">
        <f t="shared" si="268"/>
        <v>#VALUE!</v>
      </c>
      <c r="AK1085" s="50" t="e">
        <f t="shared" si="273"/>
        <v>#VALUE!</v>
      </c>
    </row>
    <row r="1086" spans="1:37" x14ac:dyDescent="0.4">
      <c r="A1086" s="2">
        <v>2239</v>
      </c>
      <c r="B1086" s="16"/>
      <c r="C1086" s="22">
        <f t="shared" si="270"/>
        <v>0</v>
      </c>
      <c r="D1086" s="23">
        <f t="shared" si="274"/>
        <v>0</v>
      </c>
      <c r="E1086" s="14"/>
      <c r="F1086" s="12">
        <f t="shared" si="271"/>
        <v>0</v>
      </c>
      <c r="G1086" s="24">
        <f t="shared" si="275"/>
        <v>0</v>
      </c>
      <c r="H1086" s="14"/>
      <c r="I1086" s="14"/>
      <c r="J1086" s="29"/>
      <c r="K1086" s="30"/>
      <c r="M1086" s="17"/>
      <c r="N1086" s="7"/>
      <c r="O1086" s="5"/>
      <c r="P1086" s="3"/>
      <c r="Q1086" s="5"/>
      <c r="R1086" s="7"/>
      <c r="S1086" s="5"/>
      <c r="U1086" s="10"/>
      <c r="V1086" s="11"/>
      <c r="W1086" s="6"/>
      <c r="Y1086" s="10"/>
      <c r="Z1086" s="11" t="str">
        <f t="shared" si="266"/>
        <v/>
      </c>
      <c r="AA1086" s="6"/>
      <c r="AB1086" s="1">
        <v>1.2</v>
      </c>
      <c r="AC1086" s="21" t="str">
        <f t="shared" si="276"/>
        <v/>
      </c>
      <c r="AD1086" s="27" t="str">
        <f t="shared" si="269"/>
        <v/>
      </c>
      <c r="AE1086" s="27" t="str">
        <f t="shared" si="267"/>
        <v/>
      </c>
      <c r="AF1086" s="14">
        <f t="shared" si="277"/>
        <v>0</v>
      </c>
      <c r="AG1086" s="12">
        <f t="shared" si="272"/>
        <v>0</v>
      </c>
      <c r="AH1086" s="24">
        <f t="shared" si="278"/>
        <v>0</v>
      </c>
      <c r="AI1086" s="49" t="e">
        <f t="shared" si="268"/>
        <v>#VALUE!</v>
      </c>
      <c r="AK1086" s="50" t="e">
        <f t="shared" si="273"/>
        <v>#VALUE!</v>
      </c>
    </row>
    <row r="1087" spans="1:37" x14ac:dyDescent="0.4">
      <c r="A1087" s="2">
        <v>2240</v>
      </c>
      <c r="B1087" s="16"/>
      <c r="C1087" s="22">
        <f t="shared" si="270"/>
        <v>0</v>
      </c>
      <c r="D1087" s="23">
        <f t="shared" si="274"/>
        <v>0</v>
      </c>
      <c r="E1087" s="14"/>
      <c r="F1087" s="12">
        <f t="shared" si="271"/>
        <v>0</v>
      </c>
      <c r="G1087" s="24">
        <f t="shared" si="275"/>
        <v>0</v>
      </c>
      <c r="H1087" s="14"/>
      <c r="I1087" s="14"/>
      <c r="J1087" s="29"/>
      <c r="K1087" s="30"/>
      <c r="M1087" s="17"/>
      <c r="N1087" s="7"/>
      <c r="O1087" s="5"/>
      <c r="P1087" s="3"/>
      <c r="Q1087" s="5"/>
      <c r="R1087" s="7"/>
      <c r="S1087" s="5"/>
      <c r="U1087" s="10"/>
      <c r="V1087" s="11"/>
      <c r="W1087" s="6"/>
      <c r="Y1087" s="10"/>
      <c r="Z1087" s="11" t="str">
        <f t="shared" si="266"/>
        <v/>
      </c>
      <c r="AA1087" s="6"/>
      <c r="AB1087" s="1">
        <v>1.2</v>
      </c>
      <c r="AC1087" s="21" t="str">
        <f t="shared" si="276"/>
        <v/>
      </c>
      <c r="AD1087" s="27" t="str">
        <f t="shared" si="269"/>
        <v/>
      </c>
      <c r="AE1087" s="27" t="str">
        <f t="shared" si="267"/>
        <v/>
      </c>
      <c r="AF1087" s="14">
        <f t="shared" si="277"/>
        <v>0</v>
      </c>
      <c r="AG1087" s="12">
        <f t="shared" si="272"/>
        <v>0</v>
      </c>
      <c r="AH1087" s="24">
        <f t="shared" si="278"/>
        <v>0</v>
      </c>
      <c r="AI1087" s="49" t="e">
        <f t="shared" si="268"/>
        <v>#VALUE!</v>
      </c>
      <c r="AK1087" s="50" t="e">
        <f t="shared" si="273"/>
        <v>#VALUE!</v>
      </c>
    </row>
    <row r="1088" spans="1:37" x14ac:dyDescent="0.4">
      <c r="A1088" s="2">
        <v>2241</v>
      </c>
      <c r="B1088" s="16"/>
      <c r="C1088" s="22">
        <f t="shared" si="270"/>
        <v>0</v>
      </c>
      <c r="D1088" s="23">
        <f t="shared" si="274"/>
        <v>0</v>
      </c>
      <c r="E1088" s="14"/>
      <c r="F1088" s="12">
        <f t="shared" si="271"/>
        <v>0</v>
      </c>
      <c r="G1088" s="24">
        <f t="shared" si="275"/>
        <v>0</v>
      </c>
      <c r="H1088" s="14"/>
      <c r="I1088" s="14"/>
      <c r="J1088" s="29"/>
      <c r="K1088" s="30"/>
      <c r="M1088" s="17"/>
      <c r="N1088" s="7"/>
      <c r="O1088" s="5"/>
      <c r="P1088" s="3"/>
      <c r="Q1088" s="5"/>
      <c r="R1088" s="7"/>
      <c r="S1088" s="5"/>
      <c r="U1088" s="10"/>
      <c r="V1088" s="11"/>
      <c r="W1088" s="6"/>
      <c r="Y1088" s="10"/>
      <c r="Z1088" s="11" t="str">
        <f t="shared" si="266"/>
        <v/>
      </c>
      <c r="AA1088" s="6"/>
      <c r="AB1088" s="1">
        <v>1.2</v>
      </c>
      <c r="AC1088" s="21" t="str">
        <f t="shared" si="276"/>
        <v/>
      </c>
      <c r="AD1088" s="27" t="str">
        <f t="shared" si="269"/>
        <v/>
      </c>
      <c r="AE1088" s="27" t="str">
        <f t="shared" si="267"/>
        <v/>
      </c>
      <c r="AF1088" s="14">
        <f t="shared" si="277"/>
        <v>0</v>
      </c>
      <c r="AG1088" s="12">
        <f t="shared" si="272"/>
        <v>0</v>
      </c>
      <c r="AH1088" s="24">
        <f t="shared" si="278"/>
        <v>0</v>
      </c>
      <c r="AI1088" s="49" t="e">
        <f t="shared" si="268"/>
        <v>#VALUE!</v>
      </c>
      <c r="AK1088" s="50" t="e">
        <f t="shared" si="273"/>
        <v>#VALUE!</v>
      </c>
    </row>
    <row r="1089" spans="1:37" x14ac:dyDescent="0.4">
      <c r="A1089" s="2">
        <v>2242</v>
      </c>
      <c r="B1089" s="16"/>
      <c r="C1089" s="22">
        <f t="shared" si="270"/>
        <v>0</v>
      </c>
      <c r="D1089" s="23">
        <f t="shared" si="274"/>
        <v>0</v>
      </c>
      <c r="E1089" s="14"/>
      <c r="F1089" s="12">
        <f t="shared" si="271"/>
        <v>0</v>
      </c>
      <c r="G1089" s="24">
        <f t="shared" si="275"/>
        <v>0</v>
      </c>
      <c r="H1089" s="14"/>
      <c r="I1089" s="14"/>
      <c r="J1089" s="29"/>
      <c r="K1089" s="30"/>
      <c r="M1089" s="17"/>
      <c r="N1089" s="7"/>
      <c r="O1089" s="5"/>
      <c r="P1089" s="3"/>
      <c r="Q1089" s="5"/>
      <c r="R1089" s="7"/>
      <c r="S1089" s="5"/>
      <c r="U1089" s="10"/>
      <c r="V1089" s="11"/>
      <c r="W1089" s="6"/>
      <c r="Y1089" s="10"/>
      <c r="Z1089" s="11" t="str">
        <f t="shared" si="266"/>
        <v/>
      </c>
      <c r="AA1089" s="6"/>
      <c r="AB1089" s="1">
        <v>1.2</v>
      </c>
      <c r="AC1089" s="21" t="str">
        <f t="shared" si="276"/>
        <v/>
      </c>
      <c r="AD1089" s="27" t="str">
        <f t="shared" si="269"/>
        <v/>
      </c>
      <c r="AE1089" s="27" t="str">
        <f t="shared" si="267"/>
        <v/>
      </c>
      <c r="AF1089" s="14">
        <f t="shared" si="277"/>
        <v>0</v>
      </c>
      <c r="AG1089" s="12">
        <f t="shared" si="272"/>
        <v>0</v>
      </c>
      <c r="AH1089" s="24">
        <f t="shared" si="278"/>
        <v>0</v>
      </c>
      <c r="AI1089" s="49" t="e">
        <f t="shared" si="268"/>
        <v>#VALUE!</v>
      </c>
      <c r="AK1089" s="50" t="e">
        <f t="shared" si="273"/>
        <v>#VALUE!</v>
      </c>
    </row>
    <row r="1090" spans="1:37" x14ac:dyDescent="0.4">
      <c r="A1090" s="2">
        <v>2243</v>
      </c>
      <c r="B1090" s="16"/>
      <c r="C1090" s="22">
        <f t="shared" si="270"/>
        <v>0</v>
      </c>
      <c r="D1090" s="23">
        <f t="shared" si="274"/>
        <v>0</v>
      </c>
      <c r="E1090" s="14"/>
      <c r="F1090" s="12">
        <f t="shared" si="271"/>
        <v>0</v>
      </c>
      <c r="G1090" s="24">
        <f t="shared" si="275"/>
        <v>0</v>
      </c>
      <c r="H1090" s="14"/>
      <c r="I1090" s="14"/>
      <c r="J1090" s="29"/>
      <c r="K1090" s="30"/>
      <c r="M1090" s="17"/>
      <c r="N1090" s="7"/>
      <c r="O1090" s="5"/>
      <c r="P1090" s="3"/>
      <c r="Q1090" s="5"/>
      <c r="R1090" s="7"/>
      <c r="S1090" s="5"/>
      <c r="U1090" s="10"/>
      <c r="V1090" s="11"/>
      <c r="W1090" s="6"/>
      <c r="Y1090" s="10"/>
      <c r="Z1090" s="11" t="str">
        <f t="shared" si="266"/>
        <v/>
      </c>
      <c r="AA1090" s="6"/>
      <c r="AB1090" s="1">
        <v>1.2</v>
      </c>
      <c r="AC1090" s="21" t="str">
        <f t="shared" si="276"/>
        <v/>
      </c>
      <c r="AD1090" s="27" t="str">
        <f t="shared" si="269"/>
        <v/>
      </c>
      <c r="AE1090" s="27" t="str">
        <f t="shared" si="267"/>
        <v/>
      </c>
      <c r="AF1090" s="14">
        <f t="shared" si="277"/>
        <v>0</v>
      </c>
      <c r="AG1090" s="12">
        <f t="shared" si="272"/>
        <v>0</v>
      </c>
      <c r="AH1090" s="24">
        <f t="shared" si="278"/>
        <v>0</v>
      </c>
      <c r="AI1090" s="49" t="e">
        <f t="shared" si="268"/>
        <v>#VALUE!</v>
      </c>
      <c r="AK1090" s="50" t="e">
        <f t="shared" si="273"/>
        <v>#VALUE!</v>
      </c>
    </row>
    <row r="1091" spans="1:37" x14ac:dyDescent="0.4">
      <c r="A1091" s="2">
        <v>2244</v>
      </c>
      <c r="B1091" s="16"/>
      <c r="C1091" s="22">
        <f t="shared" si="270"/>
        <v>0</v>
      </c>
      <c r="D1091" s="23">
        <f t="shared" si="274"/>
        <v>0</v>
      </c>
      <c r="E1091" s="14"/>
      <c r="F1091" s="12">
        <f t="shared" si="271"/>
        <v>0</v>
      </c>
      <c r="G1091" s="24">
        <f t="shared" si="275"/>
        <v>0</v>
      </c>
      <c r="H1091" s="14"/>
      <c r="I1091" s="14"/>
      <c r="J1091" s="29"/>
      <c r="K1091" s="30"/>
      <c r="M1091" s="17"/>
      <c r="N1091" s="7"/>
      <c r="O1091" s="5"/>
      <c r="P1091" s="3"/>
      <c r="Q1091" s="5"/>
      <c r="R1091" s="7"/>
      <c r="S1091" s="5"/>
      <c r="U1091" s="10"/>
      <c r="V1091" s="11"/>
      <c r="W1091" s="6"/>
      <c r="Y1091" s="10"/>
      <c r="Z1091" s="11" t="str">
        <f t="shared" si="266"/>
        <v/>
      </c>
      <c r="AA1091" s="6"/>
      <c r="AB1091" s="1">
        <v>1.2</v>
      </c>
      <c r="AC1091" s="21" t="str">
        <f t="shared" si="276"/>
        <v/>
      </c>
      <c r="AD1091" s="27" t="str">
        <f t="shared" si="269"/>
        <v/>
      </c>
      <c r="AE1091" s="27" t="str">
        <f t="shared" si="267"/>
        <v/>
      </c>
      <c r="AF1091" s="14">
        <f t="shared" si="277"/>
        <v>0</v>
      </c>
      <c r="AG1091" s="12">
        <f t="shared" si="272"/>
        <v>0</v>
      </c>
      <c r="AH1091" s="24">
        <f t="shared" si="278"/>
        <v>0</v>
      </c>
      <c r="AI1091" s="49" t="e">
        <f t="shared" si="268"/>
        <v>#VALUE!</v>
      </c>
      <c r="AK1091" s="50" t="e">
        <f t="shared" si="273"/>
        <v>#VALUE!</v>
      </c>
    </row>
    <row r="1092" spans="1:37" x14ac:dyDescent="0.4">
      <c r="A1092" s="2">
        <v>2245</v>
      </c>
      <c r="B1092" s="16"/>
      <c r="C1092" s="22">
        <f t="shared" si="270"/>
        <v>0</v>
      </c>
      <c r="D1092" s="23">
        <f t="shared" si="274"/>
        <v>0</v>
      </c>
      <c r="E1092" s="14"/>
      <c r="F1092" s="12">
        <f t="shared" si="271"/>
        <v>0</v>
      </c>
      <c r="G1092" s="24">
        <f t="shared" si="275"/>
        <v>0</v>
      </c>
      <c r="H1092" s="14"/>
      <c r="I1092" s="14"/>
      <c r="J1092" s="29"/>
      <c r="K1092" s="30"/>
      <c r="M1092" s="17"/>
      <c r="N1092" s="7"/>
      <c r="O1092" s="5"/>
      <c r="P1092" s="3"/>
      <c r="Q1092" s="5"/>
      <c r="R1092" s="7"/>
      <c r="S1092" s="5"/>
      <c r="U1092" s="10"/>
      <c r="V1092" s="11"/>
      <c r="W1092" s="6"/>
      <c r="Y1092" s="10"/>
      <c r="Z1092" s="11" t="str">
        <f t="shared" si="266"/>
        <v/>
      </c>
      <c r="AA1092" s="6"/>
      <c r="AB1092" s="1">
        <v>1.2</v>
      </c>
      <c r="AC1092" s="21" t="str">
        <f t="shared" si="276"/>
        <v/>
      </c>
      <c r="AD1092" s="27" t="str">
        <f t="shared" si="269"/>
        <v/>
      </c>
      <c r="AE1092" s="27" t="str">
        <f t="shared" si="267"/>
        <v/>
      </c>
      <c r="AF1092" s="14">
        <f t="shared" si="277"/>
        <v>0</v>
      </c>
      <c r="AG1092" s="12">
        <f t="shared" si="272"/>
        <v>0</v>
      </c>
      <c r="AH1092" s="24">
        <f t="shared" si="278"/>
        <v>0</v>
      </c>
      <c r="AI1092" s="49" t="e">
        <f t="shared" si="268"/>
        <v>#VALUE!</v>
      </c>
      <c r="AK1092" s="50" t="e">
        <f t="shared" si="273"/>
        <v>#VALUE!</v>
      </c>
    </row>
    <row r="1093" spans="1:37" x14ac:dyDescent="0.4">
      <c r="A1093" s="2">
        <v>2246</v>
      </c>
      <c r="B1093" s="16"/>
      <c r="C1093" s="22">
        <f t="shared" si="270"/>
        <v>0</v>
      </c>
      <c r="D1093" s="23">
        <f t="shared" si="274"/>
        <v>0</v>
      </c>
      <c r="E1093" s="14"/>
      <c r="F1093" s="12">
        <f t="shared" si="271"/>
        <v>0</v>
      </c>
      <c r="G1093" s="24">
        <f t="shared" si="275"/>
        <v>0</v>
      </c>
      <c r="H1093" s="14"/>
      <c r="I1093" s="14"/>
      <c r="J1093" s="29"/>
      <c r="K1093" s="30"/>
      <c r="M1093" s="17"/>
      <c r="N1093" s="7"/>
      <c r="O1093" s="5"/>
      <c r="P1093" s="3"/>
      <c r="Q1093" s="5"/>
      <c r="R1093" s="7"/>
      <c r="S1093" s="5"/>
      <c r="U1093" s="10"/>
      <c r="V1093" s="11"/>
      <c r="W1093" s="6"/>
      <c r="Y1093" s="10"/>
      <c r="Z1093" s="11" t="str">
        <f t="shared" si="266"/>
        <v/>
      </c>
      <c r="AA1093" s="6"/>
      <c r="AB1093" s="1">
        <v>1.2</v>
      </c>
      <c r="AC1093" s="21" t="str">
        <f t="shared" si="276"/>
        <v/>
      </c>
      <c r="AD1093" s="27" t="str">
        <f t="shared" si="269"/>
        <v/>
      </c>
      <c r="AE1093" s="27" t="str">
        <f t="shared" si="267"/>
        <v/>
      </c>
      <c r="AF1093" s="14">
        <f t="shared" si="277"/>
        <v>0</v>
      </c>
      <c r="AG1093" s="12">
        <f t="shared" si="272"/>
        <v>0</v>
      </c>
      <c r="AH1093" s="24">
        <f t="shared" si="278"/>
        <v>0</v>
      </c>
      <c r="AI1093" s="49" t="e">
        <f t="shared" si="268"/>
        <v>#VALUE!</v>
      </c>
      <c r="AK1093" s="50" t="e">
        <f t="shared" si="273"/>
        <v>#VALUE!</v>
      </c>
    </row>
    <row r="1094" spans="1:37" x14ac:dyDescent="0.4">
      <c r="A1094" s="2">
        <v>2247</v>
      </c>
      <c r="B1094" s="16"/>
      <c r="C1094" s="22">
        <f t="shared" si="270"/>
        <v>0</v>
      </c>
      <c r="D1094" s="23">
        <f t="shared" si="274"/>
        <v>0</v>
      </c>
      <c r="E1094" s="14"/>
      <c r="F1094" s="12">
        <f t="shared" si="271"/>
        <v>0</v>
      </c>
      <c r="G1094" s="24">
        <f t="shared" si="275"/>
        <v>0</v>
      </c>
      <c r="H1094" s="14"/>
      <c r="I1094" s="14"/>
      <c r="J1094" s="29"/>
      <c r="K1094" s="30"/>
      <c r="M1094" s="17"/>
      <c r="N1094" s="7"/>
      <c r="O1094" s="5"/>
      <c r="P1094" s="3"/>
      <c r="Q1094" s="5"/>
      <c r="R1094" s="7"/>
      <c r="S1094" s="5"/>
      <c r="U1094" s="10"/>
      <c r="V1094" s="11"/>
      <c r="W1094" s="6"/>
      <c r="Y1094" s="10"/>
      <c r="Z1094" s="11" t="str">
        <f t="shared" si="266"/>
        <v/>
      </c>
      <c r="AA1094" s="6"/>
      <c r="AB1094" s="1">
        <v>1.2</v>
      </c>
      <c r="AC1094" s="21" t="str">
        <f t="shared" si="276"/>
        <v/>
      </c>
      <c r="AD1094" s="27" t="str">
        <f t="shared" si="269"/>
        <v/>
      </c>
      <c r="AE1094" s="27" t="str">
        <f t="shared" si="267"/>
        <v/>
      </c>
      <c r="AF1094" s="14">
        <f t="shared" si="277"/>
        <v>0</v>
      </c>
      <c r="AG1094" s="12">
        <f t="shared" si="272"/>
        <v>0</v>
      </c>
      <c r="AH1094" s="24">
        <f t="shared" si="278"/>
        <v>0</v>
      </c>
      <c r="AI1094" s="49" t="e">
        <f t="shared" si="268"/>
        <v>#VALUE!</v>
      </c>
      <c r="AK1094" s="50" t="e">
        <f t="shared" si="273"/>
        <v>#VALUE!</v>
      </c>
    </row>
    <row r="1095" spans="1:37" x14ac:dyDescent="0.4">
      <c r="A1095" s="2">
        <v>2248</v>
      </c>
      <c r="B1095" s="16"/>
      <c r="C1095" s="22">
        <f t="shared" si="270"/>
        <v>0</v>
      </c>
      <c r="D1095" s="23">
        <f t="shared" si="274"/>
        <v>0</v>
      </c>
      <c r="E1095" s="14"/>
      <c r="F1095" s="12">
        <f t="shared" si="271"/>
        <v>0</v>
      </c>
      <c r="G1095" s="24">
        <f t="shared" si="275"/>
        <v>0</v>
      </c>
      <c r="H1095" s="14"/>
      <c r="I1095" s="14"/>
      <c r="J1095" s="29"/>
      <c r="K1095" s="30"/>
      <c r="M1095" s="17"/>
      <c r="N1095" s="7"/>
      <c r="O1095" s="5"/>
      <c r="P1095" s="3"/>
      <c r="Q1095" s="5"/>
      <c r="R1095" s="7"/>
      <c r="S1095" s="5"/>
      <c r="U1095" s="10"/>
      <c r="V1095" s="11"/>
      <c r="W1095" s="6"/>
      <c r="Y1095" s="10"/>
      <c r="Z1095" s="11" t="str">
        <f t="shared" si="266"/>
        <v/>
      </c>
      <c r="AA1095" s="6"/>
      <c r="AB1095" s="1">
        <v>1.2</v>
      </c>
      <c r="AC1095" s="21" t="str">
        <f t="shared" si="276"/>
        <v/>
      </c>
      <c r="AD1095" s="27" t="str">
        <f t="shared" si="269"/>
        <v/>
      </c>
      <c r="AE1095" s="27" t="str">
        <f t="shared" si="267"/>
        <v/>
      </c>
      <c r="AF1095" s="14">
        <f t="shared" si="277"/>
        <v>0</v>
      </c>
      <c r="AG1095" s="12">
        <f t="shared" si="272"/>
        <v>0</v>
      </c>
      <c r="AH1095" s="24">
        <f t="shared" si="278"/>
        <v>0</v>
      </c>
      <c r="AI1095" s="49" t="e">
        <f t="shared" si="268"/>
        <v>#VALUE!</v>
      </c>
      <c r="AK1095" s="50" t="e">
        <f t="shared" si="273"/>
        <v>#VALUE!</v>
      </c>
    </row>
    <row r="1096" spans="1:37" x14ac:dyDescent="0.4">
      <c r="A1096" s="2">
        <v>2249</v>
      </c>
      <c r="B1096" s="16"/>
      <c r="C1096" s="22">
        <f t="shared" si="270"/>
        <v>0</v>
      </c>
      <c r="D1096" s="23">
        <f t="shared" si="274"/>
        <v>0</v>
      </c>
      <c r="E1096" s="14"/>
      <c r="F1096" s="12">
        <f t="shared" si="271"/>
        <v>0</v>
      </c>
      <c r="G1096" s="24">
        <f t="shared" si="275"/>
        <v>0</v>
      </c>
      <c r="H1096" s="14"/>
      <c r="I1096" s="14"/>
      <c r="J1096" s="29"/>
      <c r="K1096" s="30"/>
      <c r="M1096" s="17"/>
      <c r="N1096" s="7"/>
      <c r="O1096" s="5"/>
      <c r="P1096" s="3"/>
      <c r="Q1096" s="5"/>
      <c r="R1096" s="7"/>
      <c r="S1096" s="5"/>
      <c r="U1096" s="10"/>
      <c r="V1096" s="11"/>
      <c r="W1096" s="6"/>
      <c r="Y1096" s="10"/>
      <c r="Z1096" s="11" t="str">
        <f t="shared" ref="Z1096:Z1119" si="279">IF(Y1096="","",Y1096*AB1096)</f>
        <v/>
      </c>
      <c r="AA1096" s="6"/>
      <c r="AB1096" s="1">
        <v>1.2</v>
      </c>
      <c r="AC1096" s="21" t="str">
        <f t="shared" si="276"/>
        <v/>
      </c>
      <c r="AD1096" s="27" t="str">
        <f t="shared" si="269"/>
        <v/>
      </c>
      <c r="AE1096" s="27" t="str">
        <f t="shared" si="267"/>
        <v/>
      </c>
      <c r="AF1096" s="14">
        <f t="shared" si="277"/>
        <v>0</v>
      </c>
      <c r="AG1096" s="12">
        <f t="shared" si="272"/>
        <v>0</v>
      </c>
      <c r="AH1096" s="24">
        <f t="shared" si="278"/>
        <v>0</v>
      </c>
      <c r="AI1096" s="49" t="e">
        <f t="shared" si="268"/>
        <v>#VALUE!</v>
      </c>
      <c r="AK1096" s="50" t="e">
        <f t="shared" si="273"/>
        <v>#VALUE!</v>
      </c>
    </row>
    <row r="1097" spans="1:37" x14ac:dyDescent="0.4">
      <c r="A1097" s="2">
        <v>2250</v>
      </c>
      <c r="B1097" s="16"/>
      <c r="C1097" s="22">
        <f t="shared" si="270"/>
        <v>0</v>
      </c>
      <c r="D1097" s="23">
        <f t="shared" si="274"/>
        <v>0</v>
      </c>
      <c r="E1097" s="14"/>
      <c r="F1097" s="12">
        <f t="shared" si="271"/>
        <v>0</v>
      </c>
      <c r="G1097" s="24">
        <f t="shared" si="275"/>
        <v>0</v>
      </c>
      <c r="H1097" s="14"/>
      <c r="I1097" s="14"/>
      <c r="J1097" s="29"/>
      <c r="K1097" s="30"/>
      <c r="M1097" s="17"/>
      <c r="N1097" s="7"/>
      <c r="O1097" s="5"/>
      <c r="P1097" s="3"/>
      <c r="Q1097" s="5"/>
      <c r="R1097" s="7"/>
      <c r="S1097" s="5"/>
      <c r="U1097" s="10"/>
      <c r="V1097" s="11"/>
      <c r="W1097" s="6"/>
      <c r="Y1097" s="10"/>
      <c r="Z1097" s="11" t="str">
        <f t="shared" si="279"/>
        <v/>
      </c>
      <c r="AA1097" s="6"/>
      <c r="AB1097" s="1">
        <v>1.2</v>
      </c>
      <c r="AC1097" s="21" t="str">
        <f t="shared" si="276"/>
        <v/>
      </c>
      <c r="AD1097" s="27" t="str">
        <f t="shared" si="269"/>
        <v/>
      </c>
      <c r="AE1097" s="27" t="str">
        <f t="shared" si="267"/>
        <v/>
      </c>
      <c r="AF1097" s="14">
        <f t="shared" si="277"/>
        <v>0</v>
      </c>
      <c r="AG1097" s="12">
        <f t="shared" si="272"/>
        <v>0</v>
      </c>
      <c r="AH1097" s="24">
        <f t="shared" si="278"/>
        <v>0</v>
      </c>
      <c r="AI1097" s="49" t="e">
        <f t="shared" si="268"/>
        <v>#VALUE!</v>
      </c>
      <c r="AK1097" s="50" t="e">
        <f t="shared" si="273"/>
        <v>#VALUE!</v>
      </c>
    </row>
    <row r="1098" spans="1:37" x14ac:dyDescent="0.4">
      <c r="A1098" s="2">
        <v>2251</v>
      </c>
      <c r="B1098" s="16"/>
      <c r="C1098" s="22">
        <f t="shared" si="270"/>
        <v>0</v>
      </c>
      <c r="D1098" s="23">
        <f t="shared" si="274"/>
        <v>0</v>
      </c>
      <c r="E1098" s="14"/>
      <c r="F1098" s="12">
        <f t="shared" si="271"/>
        <v>0</v>
      </c>
      <c r="G1098" s="24">
        <f t="shared" si="275"/>
        <v>0</v>
      </c>
      <c r="H1098" s="14"/>
      <c r="I1098" s="14"/>
      <c r="J1098" s="29"/>
      <c r="K1098" s="30"/>
      <c r="M1098" s="17"/>
      <c r="N1098" s="7"/>
      <c r="O1098" s="5"/>
      <c r="P1098" s="3"/>
      <c r="Q1098" s="5"/>
      <c r="R1098" s="7"/>
      <c r="S1098" s="5"/>
      <c r="U1098" s="10"/>
      <c r="V1098" s="11"/>
      <c r="W1098" s="6"/>
      <c r="Y1098" s="10"/>
      <c r="Z1098" s="11" t="str">
        <f t="shared" si="279"/>
        <v/>
      </c>
      <c r="AA1098" s="6"/>
      <c r="AB1098" s="1">
        <v>1.2</v>
      </c>
      <c r="AC1098" s="21" t="str">
        <f t="shared" si="276"/>
        <v/>
      </c>
      <c r="AD1098" s="27" t="str">
        <f t="shared" si="269"/>
        <v/>
      </c>
      <c r="AE1098" s="27" t="str">
        <f t="shared" si="267"/>
        <v/>
      </c>
      <c r="AF1098" s="14">
        <f t="shared" si="277"/>
        <v>0</v>
      </c>
      <c r="AG1098" s="12">
        <f t="shared" si="272"/>
        <v>0</v>
      </c>
      <c r="AH1098" s="24">
        <f t="shared" si="278"/>
        <v>0</v>
      </c>
      <c r="AI1098" s="49" t="e">
        <f t="shared" si="268"/>
        <v>#VALUE!</v>
      </c>
      <c r="AK1098" s="50" t="e">
        <f t="shared" si="273"/>
        <v>#VALUE!</v>
      </c>
    </row>
    <row r="1099" spans="1:37" x14ac:dyDescent="0.4">
      <c r="A1099" s="2">
        <v>2252</v>
      </c>
      <c r="B1099" s="16"/>
      <c r="C1099" s="22">
        <f t="shared" si="270"/>
        <v>0</v>
      </c>
      <c r="D1099" s="23">
        <f t="shared" si="274"/>
        <v>0</v>
      </c>
      <c r="E1099" s="14"/>
      <c r="F1099" s="12">
        <f t="shared" si="271"/>
        <v>0</v>
      </c>
      <c r="G1099" s="24">
        <f t="shared" si="275"/>
        <v>0</v>
      </c>
      <c r="H1099" s="14"/>
      <c r="I1099" s="14"/>
      <c r="J1099" s="29"/>
      <c r="K1099" s="30"/>
      <c r="M1099" s="17"/>
      <c r="N1099" s="7"/>
      <c r="O1099" s="5"/>
      <c r="P1099" s="3"/>
      <c r="Q1099" s="5"/>
      <c r="R1099" s="7"/>
      <c r="S1099" s="5"/>
      <c r="U1099" s="10"/>
      <c r="V1099" s="11"/>
      <c r="W1099" s="6"/>
      <c r="Y1099" s="10"/>
      <c r="Z1099" s="11" t="str">
        <f t="shared" si="279"/>
        <v/>
      </c>
      <c r="AA1099" s="6"/>
      <c r="AB1099" s="1">
        <v>1.2</v>
      </c>
      <c r="AC1099" s="21" t="str">
        <f t="shared" si="276"/>
        <v/>
      </c>
      <c r="AD1099" s="27" t="str">
        <f t="shared" si="269"/>
        <v/>
      </c>
      <c r="AE1099" s="27" t="str">
        <f t="shared" si="267"/>
        <v/>
      </c>
      <c r="AF1099" s="14">
        <f t="shared" si="277"/>
        <v>0</v>
      </c>
      <c r="AG1099" s="12">
        <f t="shared" si="272"/>
        <v>0</v>
      </c>
      <c r="AH1099" s="24">
        <f t="shared" si="278"/>
        <v>0</v>
      </c>
      <c r="AI1099" s="49" t="e">
        <f t="shared" si="268"/>
        <v>#VALUE!</v>
      </c>
      <c r="AK1099" s="50" t="e">
        <f t="shared" si="273"/>
        <v>#VALUE!</v>
      </c>
    </row>
    <row r="1100" spans="1:37" x14ac:dyDescent="0.4">
      <c r="A1100" s="2">
        <v>2253</v>
      </c>
      <c r="B1100" s="16"/>
      <c r="C1100" s="22">
        <f t="shared" si="270"/>
        <v>0</v>
      </c>
      <c r="D1100" s="23">
        <f t="shared" si="274"/>
        <v>0</v>
      </c>
      <c r="E1100" s="14"/>
      <c r="F1100" s="12">
        <f t="shared" si="271"/>
        <v>0</v>
      </c>
      <c r="G1100" s="24">
        <f t="shared" si="275"/>
        <v>0</v>
      </c>
      <c r="H1100" s="14"/>
      <c r="I1100" s="14"/>
      <c r="J1100" s="29"/>
      <c r="K1100" s="30"/>
      <c r="M1100" s="17"/>
      <c r="N1100" s="7"/>
      <c r="O1100" s="5"/>
      <c r="P1100" s="3"/>
      <c r="Q1100" s="5"/>
      <c r="R1100" s="7"/>
      <c r="S1100" s="5"/>
      <c r="U1100" s="10"/>
      <c r="V1100" s="11"/>
      <c r="W1100" s="6"/>
      <c r="Y1100" s="10"/>
      <c r="Z1100" s="11" t="str">
        <f t="shared" si="279"/>
        <v/>
      </c>
      <c r="AA1100" s="6"/>
      <c r="AB1100" s="1">
        <v>1.2</v>
      </c>
      <c r="AC1100" s="21" t="str">
        <f t="shared" si="276"/>
        <v/>
      </c>
      <c r="AD1100" s="27" t="str">
        <f t="shared" si="269"/>
        <v/>
      </c>
      <c r="AE1100" s="27" t="str">
        <f t="shared" si="267"/>
        <v/>
      </c>
      <c r="AF1100" s="14">
        <f t="shared" si="277"/>
        <v>0</v>
      </c>
      <c r="AG1100" s="12">
        <f t="shared" si="272"/>
        <v>0</v>
      </c>
      <c r="AH1100" s="24">
        <f t="shared" si="278"/>
        <v>0</v>
      </c>
      <c r="AI1100" s="49" t="e">
        <f t="shared" si="268"/>
        <v>#VALUE!</v>
      </c>
      <c r="AK1100" s="50" t="e">
        <f t="shared" si="273"/>
        <v>#VALUE!</v>
      </c>
    </row>
    <row r="1101" spans="1:37" x14ac:dyDescent="0.4">
      <c r="A1101" s="2">
        <v>2254</v>
      </c>
      <c r="B1101" s="16"/>
      <c r="C1101" s="22">
        <f t="shared" si="270"/>
        <v>0</v>
      </c>
      <c r="D1101" s="23">
        <f t="shared" si="274"/>
        <v>0</v>
      </c>
      <c r="E1101" s="14"/>
      <c r="F1101" s="12">
        <f t="shared" si="271"/>
        <v>0</v>
      </c>
      <c r="G1101" s="24">
        <f t="shared" si="275"/>
        <v>0</v>
      </c>
      <c r="H1101" s="14"/>
      <c r="I1101" s="14"/>
      <c r="J1101" s="29"/>
      <c r="K1101" s="30"/>
      <c r="M1101" s="17"/>
      <c r="N1101" s="7"/>
      <c r="O1101" s="5"/>
      <c r="P1101" s="3"/>
      <c r="Q1101" s="5"/>
      <c r="R1101" s="7"/>
      <c r="S1101" s="5"/>
      <c r="U1101" s="10"/>
      <c r="V1101" s="11"/>
      <c r="W1101" s="6"/>
      <c r="Y1101" s="10"/>
      <c r="Z1101" s="11" t="str">
        <f t="shared" si="279"/>
        <v/>
      </c>
      <c r="AA1101" s="6"/>
      <c r="AB1101" s="1">
        <v>1.2</v>
      </c>
      <c r="AC1101" s="21" t="str">
        <f t="shared" si="276"/>
        <v/>
      </c>
      <c r="AD1101" s="27" t="str">
        <f t="shared" si="269"/>
        <v/>
      </c>
      <c r="AE1101" s="27" t="str">
        <f t="shared" ref="AE1101:AE1164" si="280">IF(I1101="","",TEXT(I1101-B1101,"[hh]:mm"))</f>
        <v/>
      </c>
      <c r="AF1101" s="14">
        <f t="shared" si="277"/>
        <v>0</v>
      </c>
      <c r="AG1101" s="12">
        <f t="shared" si="272"/>
        <v>0</v>
      </c>
      <c r="AH1101" s="24">
        <f t="shared" si="278"/>
        <v>0</v>
      </c>
      <c r="AI1101" s="49" t="e">
        <f t="shared" ref="AI1101:AI1164" si="281">MAX(VALUE(AC1101),VALUE(AD1101),VALUE(AE1101))</f>
        <v>#VALUE!</v>
      </c>
      <c r="AK1101" s="50" t="e">
        <f t="shared" si="273"/>
        <v>#VALUE!</v>
      </c>
    </row>
    <row r="1102" spans="1:37" x14ac:dyDescent="0.4">
      <c r="A1102" s="2">
        <v>2255</v>
      </c>
      <c r="B1102" s="16"/>
      <c r="C1102" s="22">
        <f t="shared" si="270"/>
        <v>0</v>
      </c>
      <c r="D1102" s="23">
        <f t="shared" si="274"/>
        <v>0</v>
      </c>
      <c r="E1102" s="14"/>
      <c r="F1102" s="12">
        <f t="shared" si="271"/>
        <v>0</v>
      </c>
      <c r="G1102" s="24">
        <f t="shared" si="275"/>
        <v>0</v>
      </c>
      <c r="H1102" s="14"/>
      <c r="I1102" s="14"/>
      <c r="J1102" s="29"/>
      <c r="K1102" s="30"/>
      <c r="M1102" s="17"/>
      <c r="N1102" s="7"/>
      <c r="O1102" s="5"/>
      <c r="P1102" s="3"/>
      <c r="Q1102" s="5"/>
      <c r="R1102" s="7"/>
      <c r="S1102" s="5"/>
      <c r="U1102" s="10"/>
      <c r="V1102" s="11"/>
      <c r="W1102" s="6"/>
      <c r="Y1102" s="10"/>
      <c r="Z1102" s="11" t="str">
        <f t="shared" si="279"/>
        <v/>
      </c>
      <c r="AA1102" s="6"/>
      <c r="AB1102" s="1">
        <v>1.2</v>
      </c>
      <c r="AC1102" s="21" t="str">
        <f t="shared" si="276"/>
        <v/>
      </c>
      <c r="AD1102" s="27" t="str">
        <f t="shared" si="269"/>
        <v/>
      </c>
      <c r="AE1102" s="27" t="str">
        <f t="shared" si="280"/>
        <v/>
      </c>
      <c r="AF1102" s="14">
        <f t="shared" si="277"/>
        <v>0</v>
      </c>
      <c r="AG1102" s="12">
        <f t="shared" si="272"/>
        <v>0</v>
      </c>
      <c r="AH1102" s="24">
        <f t="shared" si="278"/>
        <v>0</v>
      </c>
      <c r="AI1102" s="49" t="e">
        <f t="shared" si="281"/>
        <v>#VALUE!</v>
      </c>
      <c r="AK1102" s="50" t="e">
        <f t="shared" si="273"/>
        <v>#VALUE!</v>
      </c>
    </row>
    <row r="1103" spans="1:37" x14ac:dyDescent="0.4">
      <c r="A1103" s="2">
        <v>2256</v>
      </c>
      <c r="B1103" s="16"/>
      <c r="C1103" s="22">
        <f t="shared" si="270"/>
        <v>0</v>
      </c>
      <c r="D1103" s="23">
        <f t="shared" si="274"/>
        <v>0</v>
      </c>
      <c r="E1103" s="14"/>
      <c r="F1103" s="12">
        <f t="shared" si="271"/>
        <v>0</v>
      </c>
      <c r="G1103" s="24">
        <f t="shared" si="275"/>
        <v>0</v>
      </c>
      <c r="H1103" s="14"/>
      <c r="I1103" s="14"/>
      <c r="J1103" s="29"/>
      <c r="K1103" s="30"/>
      <c r="M1103" s="17"/>
      <c r="N1103" s="7"/>
      <c r="O1103" s="5"/>
      <c r="P1103" s="3"/>
      <c r="Q1103" s="5"/>
      <c r="R1103" s="7"/>
      <c r="S1103" s="5"/>
      <c r="U1103" s="10"/>
      <c r="V1103" s="11"/>
      <c r="W1103" s="6"/>
      <c r="Y1103" s="10"/>
      <c r="Z1103" s="11" t="str">
        <f t="shared" si="279"/>
        <v/>
      </c>
      <c r="AA1103" s="6"/>
      <c r="AB1103" s="1">
        <v>1.2</v>
      </c>
      <c r="AC1103" s="21" t="str">
        <f t="shared" si="276"/>
        <v/>
      </c>
      <c r="AD1103" s="27" t="str">
        <f t="shared" si="269"/>
        <v/>
      </c>
      <c r="AE1103" s="27" t="str">
        <f t="shared" si="280"/>
        <v/>
      </c>
      <c r="AF1103" s="14">
        <f t="shared" si="277"/>
        <v>0</v>
      </c>
      <c r="AG1103" s="12">
        <f t="shared" si="272"/>
        <v>0</v>
      </c>
      <c r="AH1103" s="24">
        <f t="shared" si="278"/>
        <v>0</v>
      </c>
      <c r="AI1103" s="49" t="e">
        <f t="shared" si="281"/>
        <v>#VALUE!</v>
      </c>
      <c r="AK1103" s="50" t="e">
        <f t="shared" si="273"/>
        <v>#VALUE!</v>
      </c>
    </row>
    <row r="1104" spans="1:37" x14ac:dyDescent="0.4">
      <c r="A1104" s="2">
        <v>2257</v>
      </c>
      <c r="B1104" s="16"/>
      <c r="C1104" s="22">
        <f t="shared" si="270"/>
        <v>0</v>
      </c>
      <c r="D1104" s="23">
        <f t="shared" si="274"/>
        <v>0</v>
      </c>
      <c r="E1104" s="14"/>
      <c r="F1104" s="12">
        <f t="shared" si="271"/>
        <v>0</v>
      </c>
      <c r="G1104" s="24">
        <f t="shared" si="275"/>
        <v>0</v>
      </c>
      <c r="H1104" s="14"/>
      <c r="I1104" s="14"/>
      <c r="J1104" s="29"/>
      <c r="K1104" s="30"/>
      <c r="M1104" s="17"/>
      <c r="N1104" s="7"/>
      <c r="O1104" s="5"/>
      <c r="P1104" s="3"/>
      <c r="Q1104" s="5"/>
      <c r="R1104" s="7"/>
      <c r="S1104" s="5"/>
      <c r="U1104" s="10"/>
      <c r="V1104" s="11"/>
      <c r="W1104" s="6"/>
      <c r="Y1104" s="10"/>
      <c r="Z1104" s="11" t="str">
        <f t="shared" si="279"/>
        <v/>
      </c>
      <c r="AA1104" s="6"/>
      <c r="AB1104" s="1">
        <v>1.2</v>
      </c>
      <c r="AC1104" s="21" t="str">
        <f t="shared" si="276"/>
        <v/>
      </c>
      <c r="AD1104" s="27" t="str">
        <f t="shared" si="269"/>
        <v/>
      </c>
      <c r="AE1104" s="27" t="str">
        <f t="shared" si="280"/>
        <v/>
      </c>
      <c r="AF1104" s="14">
        <f t="shared" si="277"/>
        <v>0</v>
      </c>
      <c r="AG1104" s="12">
        <f t="shared" si="272"/>
        <v>0</v>
      </c>
      <c r="AH1104" s="24">
        <f t="shared" si="278"/>
        <v>0</v>
      </c>
      <c r="AI1104" s="49" t="e">
        <f t="shared" si="281"/>
        <v>#VALUE!</v>
      </c>
      <c r="AK1104" s="50" t="e">
        <f t="shared" si="273"/>
        <v>#VALUE!</v>
      </c>
    </row>
    <row r="1105" spans="1:37" x14ac:dyDescent="0.4">
      <c r="A1105" s="2">
        <v>2258</v>
      </c>
      <c r="B1105" s="16"/>
      <c r="C1105" s="22">
        <f t="shared" si="270"/>
        <v>0</v>
      </c>
      <c r="D1105" s="23">
        <f t="shared" si="274"/>
        <v>0</v>
      </c>
      <c r="E1105" s="14"/>
      <c r="F1105" s="12">
        <f t="shared" si="271"/>
        <v>0</v>
      </c>
      <c r="G1105" s="24">
        <f t="shared" si="275"/>
        <v>0</v>
      </c>
      <c r="H1105" s="14"/>
      <c r="I1105" s="14"/>
      <c r="J1105" s="29"/>
      <c r="K1105" s="30"/>
      <c r="M1105" s="17"/>
      <c r="N1105" s="7"/>
      <c r="O1105" s="5"/>
      <c r="P1105" s="3"/>
      <c r="Q1105" s="5"/>
      <c r="R1105" s="7"/>
      <c r="S1105" s="5"/>
      <c r="U1105" s="10"/>
      <c r="V1105" s="11"/>
      <c r="W1105" s="6"/>
      <c r="Y1105" s="10"/>
      <c r="Z1105" s="11" t="str">
        <f t="shared" si="279"/>
        <v/>
      </c>
      <c r="AA1105" s="6"/>
      <c r="AB1105" s="1">
        <v>1.2</v>
      </c>
      <c r="AC1105" s="21" t="str">
        <f t="shared" si="276"/>
        <v/>
      </c>
      <c r="AD1105" s="27" t="str">
        <f t="shared" si="269"/>
        <v/>
      </c>
      <c r="AE1105" s="27" t="str">
        <f t="shared" si="280"/>
        <v/>
      </c>
      <c r="AF1105" s="14">
        <f t="shared" si="277"/>
        <v>0</v>
      </c>
      <c r="AG1105" s="12">
        <f t="shared" si="272"/>
        <v>0</v>
      </c>
      <c r="AH1105" s="24">
        <f t="shared" si="278"/>
        <v>0</v>
      </c>
      <c r="AI1105" s="49" t="e">
        <f t="shared" si="281"/>
        <v>#VALUE!</v>
      </c>
      <c r="AK1105" s="50" t="e">
        <f t="shared" si="273"/>
        <v>#VALUE!</v>
      </c>
    </row>
    <row r="1106" spans="1:37" x14ac:dyDescent="0.4">
      <c r="A1106" s="2">
        <v>2259</v>
      </c>
      <c r="B1106" s="16"/>
      <c r="C1106" s="22">
        <f t="shared" si="270"/>
        <v>0</v>
      </c>
      <c r="D1106" s="23">
        <f t="shared" si="274"/>
        <v>0</v>
      </c>
      <c r="E1106" s="14"/>
      <c r="F1106" s="12">
        <f t="shared" si="271"/>
        <v>0</v>
      </c>
      <c r="G1106" s="24">
        <f t="shared" si="275"/>
        <v>0</v>
      </c>
      <c r="H1106" s="14"/>
      <c r="I1106" s="14"/>
      <c r="J1106" s="29"/>
      <c r="K1106" s="30"/>
      <c r="M1106" s="17"/>
      <c r="N1106" s="7"/>
      <c r="O1106" s="5"/>
      <c r="P1106" s="3"/>
      <c r="Q1106" s="5"/>
      <c r="R1106" s="7"/>
      <c r="S1106" s="5"/>
      <c r="U1106" s="10"/>
      <c r="V1106" s="11"/>
      <c r="W1106" s="6"/>
      <c r="Y1106" s="10"/>
      <c r="Z1106" s="11" t="str">
        <f t="shared" si="279"/>
        <v/>
      </c>
      <c r="AA1106" s="6"/>
      <c r="AB1106" s="1">
        <v>1.2</v>
      </c>
      <c r="AC1106" s="21" t="str">
        <f t="shared" si="276"/>
        <v/>
      </c>
      <c r="AD1106" s="27" t="str">
        <f t="shared" si="269"/>
        <v/>
      </c>
      <c r="AE1106" s="27" t="str">
        <f t="shared" si="280"/>
        <v/>
      </c>
      <c r="AF1106" s="14">
        <f t="shared" si="277"/>
        <v>0</v>
      </c>
      <c r="AG1106" s="12">
        <f t="shared" si="272"/>
        <v>0</v>
      </c>
      <c r="AH1106" s="24">
        <f t="shared" si="278"/>
        <v>0</v>
      </c>
      <c r="AI1106" s="49" t="e">
        <f t="shared" si="281"/>
        <v>#VALUE!</v>
      </c>
      <c r="AK1106" s="50" t="e">
        <f t="shared" si="273"/>
        <v>#VALUE!</v>
      </c>
    </row>
    <row r="1107" spans="1:37" x14ac:dyDescent="0.4">
      <c r="A1107" s="2">
        <v>2260</v>
      </c>
      <c r="B1107" s="16"/>
      <c r="C1107" s="22">
        <f t="shared" si="270"/>
        <v>0</v>
      </c>
      <c r="D1107" s="23">
        <f t="shared" si="274"/>
        <v>0</v>
      </c>
      <c r="E1107" s="14"/>
      <c r="F1107" s="12">
        <f t="shared" si="271"/>
        <v>0</v>
      </c>
      <c r="G1107" s="24">
        <f t="shared" si="275"/>
        <v>0</v>
      </c>
      <c r="H1107" s="14"/>
      <c r="I1107" s="14"/>
      <c r="J1107" s="29"/>
      <c r="K1107" s="30"/>
      <c r="M1107" s="17"/>
      <c r="N1107" s="7"/>
      <c r="O1107" s="5"/>
      <c r="P1107" s="3"/>
      <c r="Q1107" s="5"/>
      <c r="R1107" s="7"/>
      <c r="S1107" s="5"/>
      <c r="U1107" s="10"/>
      <c r="V1107" s="11"/>
      <c r="W1107" s="6"/>
      <c r="Y1107" s="10"/>
      <c r="Z1107" s="11" t="str">
        <f t="shared" si="279"/>
        <v/>
      </c>
      <c r="AA1107" s="6"/>
      <c r="AB1107" s="1">
        <v>1.2</v>
      </c>
      <c r="AC1107" s="21" t="str">
        <f t="shared" si="276"/>
        <v/>
      </c>
      <c r="AD1107" s="27" t="str">
        <f t="shared" si="269"/>
        <v/>
      </c>
      <c r="AE1107" s="27" t="str">
        <f t="shared" si="280"/>
        <v/>
      </c>
      <c r="AF1107" s="14">
        <f t="shared" si="277"/>
        <v>0</v>
      </c>
      <c r="AG1107" s="12">
        <f t="shared" si="272"/>
        <v>0</v>
      </c>
      <c r="AH1107" s="24">
        <f t="shared" si="278"/>
        <v>0</v>
      </c>
      <c r="AI1107" s="49" t="e">
        <f t="shared" si="281"/>
        <v>#VALUE!</v>
      </c>
      <c r="AK1107" s="50" t="e">
        <f t="shared" si="273"/>
        <v>#VALUE!</v>
      </c>
    </row>
    <row r="1108" spans="1:37" x14ac:dyDescent="0.4">
      <c r="A1108" s="2">
        <v>2261</v>
      </c>
      <c r="B1108" s="16"/>
      <c r="C1108" s="22">
        <f t="shared" si="270"/>
        <v>0</v>
      </c>
      <c r="D1108" s="23">
        <f t="shared" si="274"/>
        <v>0</v>
      </c>
      <c r="E1108" s="14"/>
      <c r="F1108" s="12">
        <f t="shared" si="271"/>
        <v>0</v>
      </c>
      <c r="G1108" s="24">
        <f t="shared" si="275"/>
        <v>0</v>
      </c>
      <c r="H1108" s="14"/>
      <c r="I1108" s="14"/>
      <c r="J1108" s="29"/>
      <c r="K1108" s="30"/>
      <c r="M1108" s="17"/>
      <c r="N1108" s="7"/>
      <c r="O1108" s="5"/>
      <c r="P1108" s="3"/>
      <c r="Q1108" s="5"/>
      <c r="R1108" s="7"/>
      <c r="S1108" s="5"/>
      <c r="U1108" s="10"/>
      <c r="V1108" s="11"/>
      <c r="W1108" s="6"/>
      <c r="Y1108" s="10"/>
      <c r="Z1108" s="11" t="str">
        <f t="shared" si="279"/>
        <v/>
      </c>
      <c r="AA1108" s="6"/>
      <c r="AB1108" s="1">
        <v>1.2</v>
      </c>
      <c r="AC1108" s="21" t="str">
        <f t="shared" si="276"/>
        <v/>
      </c>
      <c r="AD1108" s="27" t="str">
        <f t="shared" si="269"/>
        <v/>
      </c>
      <c r="AE1108" s="27" t="str">
        <f t="shared" si="280"/>
        <v/>
      </c>
      <c r="AF1108" s="14">
        <f t="shared" si="277"/>
        <v>0</v>
      </c>
      <c r="AG1108" s="12">
        <f t="shared" si="272"/>
        <v>0</v>
      </c>
      <c r="AH1108" s="24">
        <f t="shared" si="278"/>
        <v>0</v>
      </c>
      <c r="AI1108" s="49" t="e">
        <f t="shared" si="281"/>
        <v>#VALUE!</v>
      </c>
      <c r="AK1108" s="50" t="e">
        <f t="shared" si="273"/>
        <v>#VALUE!</v>
      </c>
    </row>
    <row r="1109" spans="1:37" x14ac:dyDescent="0.4">
      <c r="A1109" s="2">
        <v>2262</v>
      </c>
      <c r="B1109" s="16"/>
      <c r="C1109" s="22">
        <f t="shared" si="270"/>
        <v>0</v>
      </c>
      <c r="D1109" s="23">
        <f t="shared" si="274"/>
        <v>0</v>
      </c>
      <c r="E1109" s="14"/>
      <c r="F1109" s="12">
        <f t="shared" si="271"/>
        <v>0</v>
      </c>
      <c r="G1109" s="24">
        <f t="shared" si="275"/>
        <v>0</v>
      </c>
      <c r="H1109" s="14"/>
      <c r="I1109" s="14"/>
      <c r="J1109" s="29"/>
      <c r="K1109" s="30"/>
      <c r="M1109" s="17"/>
      <c r="N1109" s="7"/>
      <c r="O1109" s="5"/>
      <c r="P1109" s="3"/>
      <c r="Q1109" s="5"/>
      <c r="R1109" s="7"/>
      <c r="S1109" s="5"/>
      <c r="U1109" s="10"/>
      <c r="V1109" s="11"/>
      <c r="W1109" s="6"/>
      <c r="Y1109" s="10"/>
      <c r="Z1109" s="11" t="str">
        <f t="shared" si="279"/>
        <v/>
      </c>
      <c r="AA1109" s="6"/>
      <c r="AB1109" s="1">
        <v>1.2</v>
      </c>
      <c r="AC1109" s="21" t="str">
        <f t="shared" si="276"/>
        <v/>
      </c>
      <c r="AD1109" s="27" t="str">
        <f t="shared" si="269"/>
        <v/>
      </c>
      <c r="AE1109" s="27" t="str">
        <f t="shared" si="280"/>
        <v/>
      </c>
      <c r="AF1109" s="14">
        <f t="shared" si="277"/>
        <v>0</v>
      </c>
      <c r="AG1109" s="12">
        <f t="shared" si="272"/>
        <v>0</v>
      </c>
      <c r="AH1109" s="24">
        <f t="shared" si="278"/>
        <v>0</v>
      </c>
      <c r="AI1109" s="49" t="e">
        <f t="shared" si="281"/>
        <v>#VALUE!</v>
      </c>
      <c r="AK1109" s="50" t="e">
        <f t="shared" si="273"/>
        <v>#VALUE!</v>
      </c>
    </row>
    <row r="1110" spans="1:37" x14ac:dyDescent="0.4">
      <c r="A1110" s="2">
        <v>2263</v>
      </c>
      <c r="B1110" s="16"/>
      <c r="C1110" s="22">
        <f t="shared" si="270"/>
        <v>0</v>
      </c>
      <c r="D1110" s="23">
        <f t="shared" si="274"/>
        <v>0</v>
      </c>
      <c r="E1110" s="14"/>
      <c r="F1110" s="12">
        <f t="shared" si="271"/>
        <v>0</v>
      </c>
      <c r="G1110" s="24">
        <f t="shared" si="275"/>
        <v>0</v>
      </c>
      <c r="H1110" s="14"/>
      <c r="I1110" s="14"/>
      <c r="J1110" s="29"/>
      <c r="K1110" s="30"/>
      <c r="M1110" s="17"/>
      <c r="N1110" s="7"/>
      <c r="O1110" s="5"/>
      <c r="P1110" s="3"/>
      <c r="Q1110" s="5"/>
      <c r="R1110" s="7"/>
      <c r="S1110" s="5"/>
      <c r="U1110" s="10"/>
      <c r="V1110" s="11"/>
      <c r="W1110" s="6"/>
      <c r="Y1110" s="10"/>
      <c r="Z1110" s="11" t="str">
        <f t="shared" si="279"/>
        <v/>
      </c>
      <c r="AA1110" s="6"/>
      <c r="AB1110" s="1">
        <v>1.2</v>
      </c>
      <c r="AC1110" s="21" t="str">
        <f t="shared" si="276"/>
        <v/>
      </c>
      <c r="AD1110" s="27" t="str">
        <f t="shared" ref="AD1110:AD1173" si="282">IF(H1110="","",TEXT(H1110-B1110,"[hh]:mm"))</f>
        <v/>
      </c>
      <c r="AE1110" s="27" t="str">
        <f t="shared" si="280"/>
        <v/>
      </c>
      <c r="AF1110" s="14">
        <f t="shared" si="277"/>
        <v>0</v>
      </c>
      <c r="AG1110" s="12">
        <f t="shared" si="272"/>
        <v>0</v>
      </c>
      <c r="AH1110" s="24">
        <f t="shared" si="278"/>
        <v>0</v>
      </c>
      <c r="AI1110" s="49" t="e">
        <f t="shared" si="281"/>
        <v>#VALUE!</v>
      </c>
      <c r="AK1110" s="50" t="e">
        <f t="shared" si="273"/>
        <v>#VALUE!</v>
      </c>
    </row>
    <row r="1111" spans="1:37" x14ac:dyDescent="0.4">
      <c r="A1111" s="2">
        <v>2264</v>
      </c>
      <c r="B1111" s="16"/>
      <c r="C1111" s="22">
        <f t="shared" ref="C1111:C1174" si="283">INT(B1111)</f>
        <v>0</v>
      </c>
      <c r="D1111" s="23">
        <f t="shared" si="274"/>
        <v>0</v>
      </c>
      <c r="E1111" s="14"/>
      <c r="F1111" s="12">
        <f t="shared" ref="F1111:F1174" si="284">INT(E1111)</f>
        <v>0</v>
      </c>
      <c r="G1111" s="24">
        <f t="shared" si="275"/>
        <v>0</v>
      </c>
      <c r="H1111" s="14"/>
      <c r="I1111" s="14"/>
      <c r="J1111" s="29"/>
      <c r="K1111" s="30"/>
      <c r="M1111" s="17"/>
      <c r="N1111" s="7"/>
      <c r="O1111" s="5"/>
      <c r="P1111" s="3"/>
      <c r="Q1111" s="5"/>
      <c r="R1111" s="7"/>
      <c r="S1111" s="5"/>
      <c r="U1111" s="10"/>
      <c r="V1111" s="11"/>
      <c r="W1111" s="6"/>
      <c r="Y1111" s="10"/>
      <c r="Z1111" s="11" t="str">
        <f t="shared" si="279"/>
        <v/>
      </c>
      <c r="AA1111" s="6"/>
      <c r="AB1111" s="1">
        <v>1.2</v>
      </c>
      <c r="AC1111" s="21" t="str">
        <f t="shared" si="276"/>
        <v/>
      </c>
      <c r="AD1111" s="27" t="str">
        <f t="shared" si="282"/>
        <v/>
      </c>
      <c r="AE1111" s="27" t="str">
        <f t="shared" si="280"/>
        <v/>
      </c>
      <c r="AF1111" s="14">
        <f t="shared" si="277"/>
        <v>0</v>
      </c>
      <c r="AG1111" s="12">
        <f t="shared" ref="AG1111:AG1174" si="285">INT(AF1111)</f>
        <v>0</v>
      </c>
      <c r="AH1111" s="24">
        <f t="shared" si="278"/>
        <v>0</v>
      </c>
      <c r="AI1111" s="49" t="e">
        <f t="shared" si="281"/>
        <v>#VALUE!</v>
      </c>
      <c r="AK1111" s="50" t="e">
        <f t="shared" ref="AK1111:AK1174" si="286">IF(VALUE(AI1111)&lt;=VALUE($AK$3),"BOM","RUIM")</f>
        <v>#VALUE!</v>
      </c>
    </row>
    <row r="1112" spans="1:37" x14ac:dyDescent="0.4">
      <c r="A1112" s="2">
        <v>2265</v>
      </c>
      <c r="B1112" s="16"/>
      <c r="C1112" s="22">
        <f t="shared" si="283"/>
        <v>0</v>
      </c>
      <c r="D1112" s="23">
        <f t="shared" si="274"/>
        <v>0</v>
      </c>
      <c r="E1112" s="14"/>
      <c r="F1112" s="12">
        <f t="shared" si="284"/>
        <v>0</v>
      </c>
      <c r="G1112" s="24">
        <f t="shared" si="275"/>
        <v>0</v>
      </c>
      <c r="H1112" s="14"/>
      <c r="I1112" s="14"/>
      <c r="J1112" s="29"/>
      <c r="K1112" s="30"/>
      <c r="M1112" s="17"/>
      <c r="N1112" s="7"/>
      <c r="O1112" s="5"/>
      <c r="P1112" s="3"/>
      <c r="Q1112" s="5"/>
      <c r="R1112" s="7"/>
      <c r="S1112" s="5"/>
      <c r="U1112" s="10"/>
      <c r="V1112" s="11"/>
      <c r="W1112" s="6"/>
      <c r="Y1112" s="10"/>
      <c r="Z1112" s="11" t="str">
        <f t="shared" si="279"/>
        <v/>
      </c>
      <c r="AA1112" s="6"/>
      <c r="AB1112" s="1">
        <v>1.2</v>
      </c>
      <c r="AC1112" s="21" t="str">
        <f t="shared" si="276"/>
        <v/>
      </c>
      <c r="AD1112" s="27" t="str">
        <f t="shared" si="282"/>
        <v/>
      </c>
      <c r="AE1112" s="27" t="str">
        <f t="shared" si="280"/>
        <v/>
      </c>
      <c r="AF1112" s="14">
        <f t="shared" si="277"/>
        <v>0</v>
      </c>
      <c r="AG1112" s="12">
        <f t="shared" si="285"/>
        <v>0</v>
      </c>
      <c r="AH1112" s="24">
        <f t="shared" si="278"/>
        <v>0</v>
      </c>
      <c r="AI1112" s="49" t="e">
        <f t="shared" si="281"/>
        <v>#VALUE!</v>
      </c>
      <c r="AK1112" s="50" t="e">
        <f t="shared" si="286"/>
        <v>#VALUE!</v>
      </c>
    </row>
    <row r="1113" spans="1:37" x14ac:dyDescent="0.4">
      <c r="A1113" s="2">
        <v>2266</v>
      </c>
      <c r="B1113" s="16"/>
      <c r="C1113" s="22">
        <f t="shared" si="283"/>
        <v>0</v>
      </c>
      <c r="D1113" s="23">
        <f t="shared" si="274"/>
        <v>0</v>
      </c>
      <c r="E1113" s="14"/>
      <c r="F1113" s="12">
        <f t="shared" si="284"/>
        <v>0</v>
      </c>
      <c r="G1113" s="24">
        <f t="shared" si="275"/>
        <v>0</v>
      </c>
      <c r="H1113" s="14"/>
      <c r="I1113" s="14"/>
      <c r="J1113" s="29"/>
      <c r="K1113" s="30"/>
      <c r="M1113" s="17"/>
      <c r="N1113" s="7"/>
      <c r="O1113" s="5"/>
      <c r="P1113" s="3"/>
      <c r="Q1113" s="5"/>
      <c r="R1113" s="7"/>
      <c r="S1113" s="5"/>
      <c r="U1113" s="10"/>
      <c r="V1113" s="11"/>
      <c r="W1113" s="6"/>
      <c r="Y1113" s="10"/>
      <c r="Z1113" s="11" t="str">
        <f t="shared" si="279"/>
        <v/>
      </c>
      <c r="AA1113" s="6"/>
      <c r="AB1113" s="1">
        <v>1.2</v>
      </c>
      <c r="AC1113" s="21" t="str">
        <f t="shared" si="276"/>
        <v/>
      </c>
      <c r="AD1113" s="27" t="str">
        <f t="shared" si="282"/>
        <v/>
      </c>
      <c r="AE1113" s="27" t="str">
        <f t="shared" si="280"/>
        <v/>
      </c>
      <c r="AF1113" s="14">
        <f t="shared" si="277"/>
        <v>0</v>
      </c>
      <c r="AG1113" s="12">
        <f t="shared" si="285"/>
        <v>0</v>
      </c>
      <c r="AH1113" s="24">
        <f t="shared" si="278"/>
        <v>0</v>
      </c>
      <c r="AI1113" s="49" t="e">
        <f t="shared" si="281"/>
        <v>#VALUE!</v>
      </c>
      <c r="AK1113" s="50" t="e">
        <f t="shared" si="286"/>
        <v>#VALUE!</v>
      </c>
    </row>
    <row r="1114" spans="1:37" x14ac:dyDescent="0.4">
      <c r="A1114" s="2">
        <v>2267</v>
      </c>
      <c r="B1114" s="16"/>
      <c r="C1114" s="22">
        <f t="shared" si="283"/>
        <v>0</v>
      </c>
      <c r="D1114" s="23">
        <f t="shared" si="274"/>
        <v>0</v>
      </c>
      <c r="E1114" s="14"/>
      <c r="F1114" s="12">
        <f t="shared" si="284"/>
        <v>0</v>
      </c>
      <c r="G1114" s="24">
        <f t="shared" si="275"/>
        <v>0</v>
      </c>
      <c r="H1114" s="14"/>
      <c r="I1114" s="14"/>
      <c r="J1114" s="29"/>
      <c r="K1114" s="30"/>
      <c r="M1114" s="17"/>
      <c r="N1114" s="7"/>
      <c r="O1114" s="5"/>
      <c r="P1114" s="3"/>
      <c r="Q1114" s="5"/>
      <c r="R1114" s="7"/>
      <c r="S1114" s="5"/>
      <c r="U1114" s="10"/>
      <c r="V1114" s="11"/>
      <c r="W1114" s="6"/>
      <c r="Y1114" s="10"/>
      <c r="Z1114" s="11" t="str">
        <f t="shared" si="279"/>
        <v/>
      </c>
      <c r="AA1114" s="6"/>
      <c r="AB1114" s="1">
        <v>1.2</v>
      </c>
      <c r="AC1114" s="21" t="str">
        <f t="shared" si="276"/>
        <v/>
      </c>
      <c r="AD1114" s="27" t="str">
        <f t="shared" si="282"/>
        <v/>
      </c>
      <c r="AE1114" s="27" t="str">
        <f t="shared" si="280"/>
        <v/>
      </c>
      <c r="AF1114" s="14">
        <f t="shared" si="277"/>
        <v>0</v>
      </c>
      <c r="AG1114" s="12">
        <f t="shared" si="285"/>
        <v>0</v>
      </c>
      <c r="AH1114" s="24">
        <f t="shared" si="278"/>
        <v>0</v>
      </c>
      <c r="AI1114" s="49" t="e">
        <f t="shared" si="281"/>
        <v>#VALUE!</v>
      </c>
      <c r="AK1114" s="50" t="e">
        <f t="shared" si="286"/>
        <v>#VALUE!</v>
      </c>
    </row>
    <row r="1115" spans="1:37" x14ac:dyDescent="0.4">
      <c r="A1115" s="2">
        <v>2268</v>
      </c>
      <c r="B1115" s="16"/>
      <c r="C1115" s="22">
        <f t="shared" si="283"/>
        <v>0</v>
      </c>
      <c r="D1115" s="23">
        <f t="shared" si="274"/>
        <v>0</v>
      </c>
      <c r="E1115" s="14"/>
      <c r="F1115" s="12">
        <f t="shared" si="284"/>
        <v>0</v>
      </c>
      <c r="G1115" s="24">
        <f t="shared" si="275"/>
        <v>0</v>
      </c>
      <c r="H1115" s="14"/>
      <c r="I1115" s="14"/>
      <c r="J1115" s="29"/>
      <c r="K1115" s="30"/>
      <c r="M1115" s="17"/>
      <c r="N1115" s="7"/>
      <c r="O1115" s="5"/>
      <c r="P1115" s="3"/>
      <c r="Q1115" s="5"/>
      <c r="R1115" s="7"/>
      <c r="S1115" s="5"/>
      <c r="U1115" s="10"/>
      <c r="V1115" s="11"/>
      <c r="W1115" s="6"/>
      <c r="Y1115" s="10"/>
      <c r="Z1115" s="11" t="str">
        <f t="shared" si="279"/>
        <v/>
      </c>
      <c r="AA1115" s="6"/>
      <c r="AB1115" s="1">
        <v>1.2</v>
      </c>
      <c r="AC1115" s="21" t="str">
        <f t="shared" si="276"/>
        <v/>
      </c>
      <c r="AD1115" s="27" t="str">
        <f t="shared" si="282"/>
        <v/>
      </c>
      <c r="AE1115" s="27" t="str">
        <f t="shared" si="280"/>
        <v/>
      </c>
      <c r="AF1115" s="14">
        <f t="shared" si="277"/>
        <v>0</v>
      </c>
      <c r="AG1115" s="12">
        <f t="shared" si="285"/>
        <v>0</v>
      </c>
      <c r="AH1115" s="24">
        <f t="shared" si="278"/>
        <v>0</v>
      </c>
      <c r="AI1115" s="49" t="e">
        <f t="shared" si="281"/>
        <v>#VALUE!</v>
      </c>
      <c r="AK1115" s="50" t="e">
        <f t="shared" si="286"/>
        <v>#VALUE!</v>
      </c>
    </row>
    <row r="1116" spans="1:37" x14ac:dyDescent="0.4">
      <c r="A1116" s="2">
        <v>2269</v>
      </c>
      <c r="B1116" s="16"/>
      <c r="C1116" s="22">
        <f t="shared" si="283"/>
        <v>0</v>
      </c>
      <c r="D1116" s="23">
        <f t="shared" si="274"/>
        <v>0</v>
      </c>
      <c r="E1116" s="14"/>
      <c r="F1116" s="12">
        <f t="shared" si="284"/>
        <v>0</v>
      </c>
      <c r="G1116" s="24">
        <f t="shared" si="275"/>
        <v>0</v>
      </c>
      <c r="H1116" s="14"/>
      <c r="I1116" s="14"/>
      <c r="J1116" s="29"/>
      <c r="K1116" s="30"/>
      <c r="M1116" s="17"/>
      <c r="N1116" s="7"/>
      <c r="O1116" s="5"/>
      <c r="P1116" s="3"/>
      <c r="Q1116" s="5"/>
      <c r="R1116" s="7"/>
      <c r="S1116" s="5"/>
      <c r="U1116" s="10"/>
      <c r="V1116" s="11"/>
      <c r="W1116" s="6"/>
      <c r="Y1116" s="10"/>
      <c r="Z1116" s="11" t="str">
        <f t="shared" si="279"/>
        <v/>
      </c>
      <c r="AA1116" s="6"/>
      <c r="AB1116" s="1">
        <v>1.2</v>
      </c>
      <c r="AC1116" s="21" t="str">
        <f t="shared" si="276"/>
        <v/>
      </c>
      <c r="AD1116" s="27" t="str">
        <f t="shared" si="282"/>
        <v/>
      </c>
      <c r="AE1116" s="27" t="str">
        <f t="shared" si="280"/>
        <v/>
      </c>
      <c r="AF1116" s="14">
        <f t="shared" si="277"/>
        <v>0</v>
      </c>
      <c r="AG1116" s="12">
        <f t="shared" si="285"/>
        <v>0</v>
      </c>
      <c r="AH1116" s="24">
        <f t="shared" si="278"/>
        <v>0</v>
      </c>
      <c r="AI1116" s="49" t="e">
        <f t="shared" si="281"/>
        <v>#VALUE!</v>
      </c>
      <c r="AK1116" s="50" t="e">
        <f t="shared" si="286"/>
        <v>#VALUE!</v>
      </c>
    </row>
    <row r="1117" spans="1:37" x14ac:dyDescent="0.4">
      <c r="A1117" s="2">
        <v>2270</v>
      </c>
      <c r="B1117" s="16"/>
      <c r="C1117" s="22">
        <f t="shared" si="283"/>
        <v>0</v>
      </c>
      <c r="D1117" s="23">
        <f t="shared" si="274"/>
        <v>0</v>
      </c>
      <c r="E1117" s="14"/>
      <c r="F1117" s="12">
        <f t="shared" si="284"/>
        <v>0</v>
      </c>
      <c r="G1117" s="24">
        <f t="shared" si="275"/>
        <v>0</v>
      </c>
      <c r="H1117" s="14"/>
      <c r="I1117" s="14"/>
      <c r="J1117" s="29"/>
      <c r="K1117" s="30"/>
      <c r="M1117" s="17"/>
      <c r="N1117" s="7"/>
      <c r="O1117" s="5"/>
      <c r="P1117" s="3"/>
      <c r="Q1117" s="5"/>
      <c r="R1117" s="7"/>
      <c r="S1117" s="5"/>
      <c r="U1117" s="10"/>
      <c r="V1117" s="11"/>
      <c r="W1117" s="6"/>
      <c r="Y1117" s="10"/>
      <c r="Z1117" s="11" t="str">
        <f t="shared" si="279"/>
        <v/>
      </c>
      <c r="AA1117" s="6"/>
      <c r="AB1117" s="1">
        <v>1.2</v>
      </c>
      <c r="AC1117" s="21" t="str">
        <f t="shared" si="276"/>
        <v/>
      </c>
      <c r="AD1117" s="27" t="str">
        <f t="shared" si="282"/>
        <v/>
      </c>
      <c r="AE1117" s="27" t="str">
        <f t="shared" si="280"/>
        <v/>
      </c>
      <c r="AF1117" s="14">
        <f t="shared" si="277"/>
        <v>0</v>
      </c>
      <c r="AG1117" s="12">
        <f t="shared" si="285"/>
        <v>0</v>
      </c>
      <c r="AH1117" s="24">
        <f t="shared" si="278"/>
        <v>0</v>
      </c>
      <c r="AI1117" s="49" t="e">
        <f t="shared" si="281"/>
        <v>#VALUE!</v>
      </c>
      <c r="AK1117" s="50" t="e">
        <f t="shared" si="286"/>
        <v>#VALUE!</v>
      </c>
    </row>
    <row r="1118" spans="1:37" x14ac:dyDescent="0.4">
      <c r="A1118" s="2">
        <v>2271</v>
      </c>
      <c r="B1118" s="16"/>
      <c r="C1118" s="22">
        <f t="shared" si="283"/>
        <v>0</v>
      </c>
      <c r="D1118" s="23">
        <f t="shared" si="274"/>
        <v>0</v>
      </c>
      <c r="E1118" s="14"/>
      <c r="F1118" s="12">
        <f t="shared" si="284"/>
        <v>0</v>
      </c>
      <c r="G1118" s="24">
        <f t="shared" si="275"/>
        <v>0</v>
      </c>
      <c r="H1118" s="14"/>
      <c r="I1118" s="14"/>
      <c r="J1118" s="29"/>
      <c r="K1118" s="30"/>
      <c r="M1118" s="17"/>
      <c r="N1118" s="7"/>
      <c r="O1118" s="5"/>
      <c r="P1118" s="3"/>
      <c r="Q1118" s="5"/>
      <c r="R1118" s="7"/>
      <c r="S1118" s="5"/>
      <c r="U1118" s="10"/>
      <c r="V1118" s="11"/>
      <c r="W1118" s="6"/>
      <c r="Y1118" s="10"/>
      <c r="Z1118" s="11" t="str">
        <f t="shared" si="279"/>
        <v/>
      </c>
      <c r="AA1118" s="6"/>
      <c r="AB1118" s="1">
        <v>1.2</v>
      </c>
      <c r="AC1118" s="21" t="str">
        <f t="shared" si="276"/>
        <v/>
      </c>
      <c r="AD1118" s="27" t="str">
        <f t="shared" si="282"/>
        <v/>
      </c>
      <c r="AE1118" s="27" t="str">
        <f t="shared" si="280"/>
        <v/>
      </c>
      <c r="AF1118" s="14">
        <f t="shared" si="277"/>
        <v>0</v>
      </c>
      <c r="AG1118" s="12">
        <f t="shared" si="285"/>
        <v>0</v>
      </c>
      <c r="AH1118" s="24">
        <f t="shared" si="278"/>
        <v>0</v>
      </c>
      <c r="AI1118" s="49" t="e">
        <f t="shared" si="281"/>
        <v>#VALUE!</v>
      </c>
      <c r="AK1118" s="50" t="e">
        <f t="shared" si="286"/>
        <v>#VALUE!</v>
      </c>
    </row>
    <row r="1119" spans="1:37" x14ac:dyDescent="0.4">
      <c r="A1119" s="2">
        <v>2272</v>
      </c>
      <c r="B1119" s="16"/>
      <c r="C1119" s="22">
        <f t="shared" si="283"/>
        <v>0</v>
      </c>
      <c r="D1119" s="23">
        <f t="shared" si="274"/>
        <v>0</v>
      </c>
      <c r="E1119" s="14"/>
      <c r="F1119" s="12">
        <f t="shared" si="284"/>
        <v>0</v>
      </c>
      <c r="G1119" s="24">
        <f t="shared" si="275"/>
        <v>0</v>
      </c>
      <c r="H1119" s="14"/>
      <c r="I1119" s="14"/>
      <c r="J1119" s="29"/>
      <c r="K1119" s="30"/>
      <c r="M1119" s="17"/>
      <c r="N1119" s="7"/>
      <c r="O1119" s="5"/>
      <c r="P1119" s="3"/>
      <c r="Q1119" s="5"/>
      <c r="R1119" s="7"/>
      <c r="S1119" s="5"/>
      <c r="U1119" s="10"/>
      <c r="V1119" s="11"/>
      <c r="W1119" s="6"/>
      <c r="Y1119" s="10"/>
      <c r="Z1119" s="11" t="str">
        <f t="shared" si="279"/>
        <v/>
      </c>
      <c r="AA1119" s="6"/>
      <c r="AB1119" s="1">
        <v>1.2</v>
      </c>
      <c r="AC1119" s="21" t="str">
        <f t="shared" si="276"/>
        <v/>
      </c>
      <c r="AD1119" s="27" t="str">
        <f t="shared" si="282"/>
        <v/>
      </c>
      <c r="AE1119" s="27" t="str">
        <f t="shared" si="280"/>
        <v/>
      </c>
      <c r="AF1119" s="14">
        <f t="shared" si="277"/>
        <v>0</v>
      </c>
      <c r="AG1119" s="12">
        <f t="shared" si="285"/>
        <v>0</v>
      </c>
      <c r="AH1119" s="24">
        <f t="shared" si="278"/>
        <v>0</v>
      </c>
      <c r="AI1119" s="49" t="e">
        <f t="shared" si="281"/>
        <v>#VALUE!</v>
      </c>
      <c r="AK1119" s="50" t="e">
        <f t="shared" si="286"/>
        <v>#VALUE!</v>
      </c>
    </row>
    <row r="1120" spans="1:37" x14ac:dyDescent="0.4">
      <c r="A1120" s="2">
        <v>2273</v>
      </c>
      <c r="B1120" s="16"/>
      <c r="C1120" s="22">
        <f t="shared" si="283"/>
        <v>0</v>
      </c>
      <c r="D1120" s="23">
        <f t="shared" si="274"/>
        <v>0</v>
      </c>
      <c r="E1120" s="14"/>
      <c r="F1120" s="12">
        <f t="shared" si="284"/>
        <v>0</v>
      </c>
      <c r="G1120" s="24">
        <f t="shared" si="275"/>
        <v>0</v>
      </c>
      <c r="H1120" s="14"/>
      <c r="I1120" s="14"/>
      <c r="J1120" s="29"/>
      <c r="K1120" s="30"/>
      <c r="M1120" s="17"/>
      <c r="N1120" s="7"/>
      <c r="O1120" s="5"/>
      <c r="P1120" s="3"/>
      <c r="Q1120" s="5"/>
      <c r="R1120" s="7"/>
      <c r="S1120" s="5"/>
      <c r="U1120" s="10"/>
      <c r="V1120" s="11"/>
      <c r="W1120" s="6"/>
      <c r="Y1120" s="10"/>
      <c r="Z1120" s="11"/>
      <c r="AA1120" s="6"/>
      <c r="AB1120" s="1">
        <v>1.2</v>
      </c>
      <c r="AC1120" s="21" t="str">
        <f t="shared" si="276"/>
        <v/>
      </c>
      <c r="AD1120" s="27" t="str">
        <f t="shared" si="282"/>
        <v/>
      </c>
      <c r="AE1120" s="27" t="str">
        <f t="shared" si="280"/>
        <v/>
      </c>
      <c r="AF1120" s="14">
        <f t="shared" si="277"/>
        <v>0</v>
      </c>
      <c r="AG1120" s="12">
        <f t="shared" si="285"/>
        <v>0</v>
      </c>
      <c r="AH1120" s="24">
        <f t="shared" si="278"/>
        <v>0</v>
      </c>
      <c r="AI1120" s="49" t="e">
        <f t="shared" si="281"/>
        <v>#VALUE!</v>
      </c>
      <c r="AK1120" s="50" t="e">
        <f t="shared" si="286"/>
        <v>#VALUE!</v>
      </c>
    </row>
    <row r="1121" spans="1:37" x14ac:dyDescent="0.4">
      <c r="A1121" s="2">
        <v>2274</v>
      </c>
      <c r="B1121" s="16"/>
      <c r="C1121" s="22">
        <f t="shared" si="283"/>
        <v>0</v>
      </c>
      <c r="D1121" s="23">
        <f t="shared" si="274"/>
        <v>0</v>
      </c>
      <c r="E1121" s="14"/>
      <c r="F1121" s="12">
        <f t="shared" si="284"/>
        <v>0</v>
      </c>
      <c r="G1121" s="24">
        <f t="shared" si="275"/>
        <v>0</v>
      </c>
      <c r="H1121" s="14"/>
      <c r="I1121" s="14"/>
      <c r="J1121" s="29"/>
      <c r="K1121" s="30"/>
      <c r="M1121" s="17"/>
      <c r="N1121" s="7"/>
      <c r="O1121" s="5"/>
      <c r="P1121" s="3"/>
      <c r="Q1121" s="5"/>
      <c r="R1121" s="7"/>
      <c r="S1121" s="5"/>
      <c r="U1121" s="10"/>
      <c r="V1121" s="11"/>
      <c r="W1121" s="6"/>
      <c r="Y1121" s="10"/>
      <c r="Z1121" s="11"/>
      <c r="AA1121" s="6"/>
      <c r="AB1121" s="1">
        <v>1.2</v>
      </c>
      <c r="AC1121" s="21" t="str">
        <f t="shared" si="276"/>
        <v/>
      </c>
      <c r="AD1121" s="27" t="str">
        <f t="shared" si="282"/>
        <v/>
      </c>
      <c r="AE1121" s="27" t="str">
        <f t="shared" si="280"/>
        <v/>
      </c>
      <c r="AF1121" s="14">
        <f t="shared" si="277"/>
        <v>0</v>
      </c>
      <c r="AG1121" s="12">
        <f t="shared" si="285"/>
        <v>0</v>
      </c>
      <c r="AH1121" s="24">
        <f t="shared" si="278"/>
        <v>0</v>
      </c>
      <c r="AI1121" s="49" t="e">
        <f t="shared" si="281"/>
        <v>#VALUE!</v>
      </c>
      <c r="AK1121" s="50" t="e">
        <f t="shared" si="286"/>
        <v>#VALUE!</v>
      </c>
    </row>
    <row r="1122" spans="1:37" x14ac:dyDescent="0.4">
      <c r="A1122" s="2">
        <v>2275</v>
      </c>
      <c r="B1122" s="16"/>
      <c r="C1122" s="22">
        <f t="shared" si="283"/>
        <v>0</v>
      </c>
      <c r="D1122" s="23">
        <f t="shared" si="274"/>
        <v>0</v>
      </c>
      <c r="E1122" s="14"/>
      <c r="F1122" s="12">
        <f t="shared" si="284"/>
        <v>0</v>
      </c>
      <c r="G1122" s="24">
        <f t="shared" si="275"/>
        <v>0</v>
      </c>
      <c r="H1122" s="14"/>
      <c r="I1122" s="14"/>
      <c r="J1122" s="29"/>
      <c r="K1122" s="30"/>
      <c r="M1122" s="17"/>
      <c r="N1122" s="7"/>
      <c r="O1122" s="5"/>
      <c r="P1122" s="3"/>
      <c r="Q1122" s="5"/>
      <c r="R1122" s="7"/>
      <c r="S1122" s="5"/>
      <c r="U1122" s="10"/>
      <c r="V1122" s="11"/>
      <c r="W1122" s="6"/>
      <c r="Y1122" s="10"/>
      <c r="Z1122" s="11"/>
      <c r="AA1122" s="6"/>
      <c r="AB1122" s="1">
        <v>1.2</v>
      </c>
      <c r="AC1122" s="21" t="str">
        <f t="shared" si="276"/>
        <v/>
      </c>
      <c r="AD1122" s="27" t="str">
        <f t="shared" si="282"/>
        <v/>
      </c>
      <c r="AE1122" s="27" t="str">
        <f t="shared" si="280"/>
        <v/>
      </c>
      <c r="AF1122" s="14">
        <f t="shared" si="277"/>
        <v>0</v>
      </c>
      <c r="AG1122" s="12">
        <f t="shared" si="285"/>
        <v>0</v>
      </c>
      <c r="AH1122" s="24">
        <f t="shared" si="278"/>
        <v>0</v>
      </c>
      <c r="AI1122" s="49" t="e">
        <f t="shared" si="281"/>
        <v>#VALUE!</v>
      </c>
      <c r="AK1122" s="50" t="e">
        <f t="shared" si="286"/>
        <v>#VALUE!</v>
      </c>
    </row>
    <row r="1123" spans="1:37" x14ac:dyDescent="0.4">
      <c r="A1123" s="2">
        <v>2276</v>
      </c>
      <c r="B1123" s="16"/>
      <c r="C1123" s="22">
        <f t="shared" si="283"/>
        <v>0</v>
      </c>
      <c r="D1123" s="23">
        <f t="shared" si="274"/>
        <v>0</v>
      </c>
      <c r="E1123" s="14"/>
      <c r="F1123" s="12">
        <f t="shared" si="284"/>
        <v>0</v>
      </c>
      <c r="G1123" s="24">
        <f t="shared" si="275"/>
        <v>0</v>
      </c>
      <c r="H1123" s="14"/>
      <c r="I1123" s="14"/>
      <c r="J1123" s="29"/>
      <c r="K1123" s="30"/>
      <c r="M1123" s="17"/>
      <c r="N1123" s="7"/>
      <c r="O1123" s="5"/>
      <c r="P1123" s="3"/>
      <c r="Q1123" s="5"/>
      <c r="R1123" s="7"/>
      <c r="S1123" s="5"/>
      <c r="U1123" s="10"/>
      <c r="V1123" s="11"/>
      <c r="W1123" s="6"/>
      <c r="Y1123" s="10"/>
      <c r="Z1123" s="11"/>
      <c r="AA1123" s="6"/>
      <c r="AB1123" s="1">
        <v>1.2</v>
      </c>
      <c r="AC1123" s="21" t="str">
        <f t="shared" si="276"/>
        <v/>
      </c>
      <c r="AD1123" s="27" t="str">
        <f t="shared" si="282"/>
        <v/>
      </c>
      <c r="AE1123" s="27" t="str">
        <f t="shared" si="280"/>
        <v/>
      </c>
      <c r="AF1123" s="14">
        <f t="shared" si="277"/>
        <v>0</v>
      </c>
      <c r="AG1123" s="12">
        <f t="shared" si="285"/>
        <v>0</v>
      </c>
      <c r="AH1123" s="24">
        <f t="shared" si="278"/>
        <v>0</v>
      </c>
      <c r="AI1123" s="49" t="e">
        <f t="shared" si="281"/>
        <v>#VALUE!</v>
      </c>
      <c r="AK1123" s="50" t="e">
        <f t="shared" si="286"/>
        <v>#VALUE!</v>
      </c>
    </row>
    <row r="1124" spans="1:37" x14ac:dyDescent="0.4">
      <c r="A1124" s="2">
        <v>2277</v>
      </c>
      <c r="B1124" s="16"/>
      <c r="C1124" s="22">
        <f t="shared" si="283"/>
        <v>0</v>
      </c>
      <c r="D1124" s="23">
        <f t="shared" si="274"/>
        <v>0</v>
      </c>
      <c r="E1124" s="14"/>
      <c r="F1124" s="12">
        <f t="shared" si="284"/>
        <v>0</v>
      </c>
      <c r="G1124" s="24">
        <f t="shared" si="275"/>
        <v>0</v>
      </c>
      <c r="H1124" s="14"/>
      <c r="I1124" s="14"/>
      <c r="J1124" s="29"/>
      <c r="K1124" s="30"/>
      <c r="M1124" s="17"/>
      <c r="N1124" s="7"/>
      <c r="O1124" s="5"/>
      <c r="P1124" s="3"/>
      <c r="Q1124" s="5"/>
      <c r="R1124" s="7"/>
      <c r="S1124" s="5"/>
      <c r="U1124" s="10"/>
      <c r="V1124" s="11"/>
      <c r="W1124" s="6"/>
      <c r="Y1124" s="10"/>
      <c r="Z1124" s="11"/>
      <c r="AA1124" s="6"/>
      <c r="AB1124" s="1">
        <v>1.2</v>
      </c>
      <c r="AC1124" s="21" t="str">
        <f t="shared" si="276"/>
        <v/>
      </c>
      <c r="AD1124" s="27" t="str">
        <f t="shared" si="282"/>
        <v/>
      </c>
      <c r="AE1124" s="27" t="str">
        <f t="shared" si="280"/>
        <v/>
      </c>
      <c r="AF1124" s="14">
        <f t="shared" si="277"/>
        <v>0</v>
      </c>
      <c r="AG1124" s="12">
        <f t="shared" si="285"/>
        <v>0</v>
      </c>
      <c r="AH1124" s="24">
        <f t="shared" si="278"/>
        <v>0</v>
      </c>
      <c r="AI1124" s="49" t="e">
        <f t="shared" si="281"/>
        <v>#VALUE!</v>
      </c>
      <c r="AK1124" s="50" t="e">
        <f t="shared" si="286"/>
        <v>#VALUE!</v>
      </c>
    </row>
    <row r="1125" spans="1:37" x14ac:dyDescent="0.4">
      <c r="A1125" s="2">
        <v>2278</v>
      </c>
      <c r="B1125" s="16"/>
      <c r="C1125" s="22">
        <f t="shared" si="283"/>
        <v>0</v>
      </c>
      <c r="D1125" s="23">
        <f t="shared" si="274"/>
        <v>0</v>
      </c>
      <c r="E1125" s="14"/>
      <c r="F1125" s="12">
        <f t="shared" si="284"/>
        <v>0</v>
      </c>
      <c r="G1125" s="24">
        <f t="shared" si="275"/>
        <v>0</v>
      </c>
      <c r="H1125" s="14"/>
      <c r="I1125" s="14"/>
      <c r="J1125" s="29"/>
      <c r="K1125" s="30"/>
      <c r="M1125" s="17"/>
      <c r="N1125" s="7"/>
      <c r="O1125" s="5"/>
      <c r="P1125" s="3"/>
      <c r="Q1125" s="5"/>
      <c r="R1125" s="7"/>
      <c r="S1125" s="5"/>
      <c r="U1125" s="10"/>
      <c r="V1125" s="11"/>
      <c r="W1125" s="6"/>
      <c r="Y1125" s="10"/>
      <c r="Z1125" s="11"/>
      <c r="AA1125" s="6"/>
      <c r="AB1125" s="1">
        <v>1.2</v>
      </c>
      <c r="AC1125" s="21" t="str">
        <f t="shared" si="276"/>
        <v/>
      </c>
      <c r="AD1125" s="27" t="str">
        <f t="shared" si="282"/>
        <v/>
      </c>
      <c r="AE1125" s="27" t="str">
        <f t="shared" si="280"/>
        <v/>
      </c>
      <c r="AF1125" s="14">
        <f t="shared" si="277"/>
        <v>0</v>
      </c>
      <c r="AG1125" s="12">
        <f t="shared" si="285"/>
        <v>0</v>
      </c>
      <c r="AH1125" s="24">
        <f t="shared" si="278"/>
        <v>0</v>
      </c>
      <c r="AI1125" s="49" t="e">
        <f t="shared" si="281"/>
        <v>#VALUE!</v>
      </c>
      <c r="AK1125" s="50" t="e">
        <f t="shared" si="286"/>
        <v>#VALUE!</v>
      </c>
    </row>
    <row r="1126" spans="1:37" x14ac:dyDescent="0.4">
      <c r="A1126" s="2">
        <v>2279</v>
      </c>
      <c r="B1126" s="16"/>
      <c r="C1126" s="22">
        <f t="shared" si="283"/>
        <v>0</v>
      </c>
      <c r="D1126" s="23">
        <f t="shared" si="274"/>
        <v>0</v>
      </c>
      <c r="E1126" s="14"/>
      <c r="F1126" s="12">
        <f t="shared" si="284"/>
        <v>0</v>
      </c>
      <c r="G1126" s="24">
        <f t="shared" si="275"/>
        <v>0</v>
      </c>
      <c r="H1126" s="14"/>
      <c r="I1126" s="14"/>
      <c r="J1126" s="29"/>
      <c r="K1126" s="30"/>
      <c r="M1126" s="17"/>
      <c r="N1126" s="7"/>
      <c r="O1126" s="5"/>
      <c r="P1126" s="3"/>
      <c r="Q1126" s="5"/>
      <c r="R1126" s="7"/>
      <c r="S1126" s="5"/>
      <c r="U1126" s="10"/>
      <c r="V1126" s="11"/>
      <c r="W1126" s="6"/>
      <c r="Y1126" s="10"/>
      <c r="Z1126" s="11"/>
      <c r="AA1126" s="6"/>
      <c r="AB1126" s="1">
        <v>1.2</v>
      </c>
      <c r="AC1126" s="21" t="str">
        <f t="shared" si="276"/>
        <v/>
      </c>
      <c r="AD1126" s="27" t="str">
        <f t="shared" si="282"/>
        <v/>
      </c>
      <c r="AE1126" s="27" t="str">
        <f t="shared" si="280"/>
        <v/>
      </c>
      <c r="AF1126" s="14">
        <f t="shared" si="277"/>
        <v>0</v>
      </c>
      <c r="AG1126" s="12">
        <f t="shared" si="285"/>
        <v>0</v>
      </c>
      <c r="AH1126" s="24">
        <f t="shared" si="278"/>
        <v>0</v>
      </c>
      <c r="AI1126" s="49" t="e">
        <f t="shared" si="281"/>
        <v>#VALUE!</v>
      </c>
      <c r="AK1126" s="50" t="e">
        <f t="shared" si="286"/>
        <v>#VALUE!</v>
      </c>
    </row>
    <row r="1127" spans="1:37" x14ac:dyDescent="0.4">
      <c r="A1127" s="2">
        <v>2280</v>
      </c>
      <c r="B1127" s="16"/>
      <c r="C1127" s="22">
        <f t="shared" si="283"/>
        <v>0</v>
      </c>
      <c r="D1127" s="23">
        <f t="shared" si="274"/>
        <v>0</v>
      </c>
      <c r="E1127" s="14"/>
      <c r="F1127" s="12">
        <f t="shared" si="284"/>
        <v>0</v>
      </c>
      <c r="G1127" s="24">
        <f t="shared" si="275"/>
        <v>0</v>
      </c>
      <c r="H1127" s="14"/>
      <c r="I1127" s="14"/>
      <c r="J1127" s="29"/>
      <c r="K1127" s="30"/>
      <c r="M1127" s="17"/>
      <c r="N1127" s="7"/>
      <c r="O1127" s="5"/>
      <c r="P1127" s="3"/>
      <c r="Q1127" s="5"/>
      <c r="R1127" s="7"/>
      <c r="S1127" s="5"/>
      <c r="U1127" s="10"/>
      <c r="V1127" s="11"/>
      <c r="W1127" s="6"/>
      <c r="Y1127" s="10"/>
      <c r="Z1127" s="11"/>
      <c r="AA1127" s="6"/>
      <c r="AB1127" s="1">
        <v>1.2</v>
      </c>
      <c r="AC1127" s="21" t="str">
        <f t="shared" si="276"/>
        <v/>
      </c>
      <c r="AD1127" s="27" t="str">
        <f t="shared" si="282"/>
        <v/>
      </c>
      <c r="AE1127" s="27" t="str">
        <f t="shared" si="280"/>
        <v/>
      </c>
      <c r="AF1127" s="14">
        <f t="shared" si="277"/>
        <v>0</v>
      </c>
      <c r="AG1127" s="12">
        <f t="shared" si="285"/>
        <v>0</v>
      </c>
      <c r="AH1127" s="24">
        <f t="shared" si="278"/>
        <v>0</v>
      </c>
      <c r="AI1127" s="49" t="e">
        <f t="shared" si="281"/>
        <v>#VALUE!</v>
      </c>
      <c r="AK1127" s="50" t="e">
        <f t="shared" si="286"/>
        <v>#VALUE!</v>
      </c>
    </row>
    <row r="1128" spans="1:37" x14ac:dyDescent="0.4">
      <c r="A1128" s="2">
        <v>2281</v>
      </c>
      <c r="B1128" s="16"/>
      <c r="C1128" s="22">
        <f t="shared" si="283"/>
        <v>0</v>
      </c>
      <c r="D1128" s="23">
        <f t="shared" ref="D1128:D1191" si="287">B1128-INT(B1128)</f>
        <v>0</v>
      </c>
      <c r="E1128" s="14"/>
      <c r="F1128" s="12">
        <f t="shared" si="284"/>
        <v>0</v>
      </c>
      <c r="G1128" s="24">
        <f t="shared" ref="G1128:G1191" si="288">E1128-INT(E1128)</f>
        <v>0</v>
      </c>
      <c r="H1128" s="14"/>
      <c r="I1128" s="14"/>
      <c r="J1128" s="29"/>
      <c r="K1128" s="30"/>
      <c r="M1128" s="17"/>
      <c r="N1128" s="7"/>
      <c r="O1128" s="5"/>
      <c r="P1128" s="3"/>
      <c r="Q1128" s="5"/>
      <c r="R1128" s="7"/>
      <c r="S1128" s="5"/>
      <c r="U1128" s="10"/>
      <c r="V1128" s="11"/>
      <c r="W1128" s="6"/>
      <c r="Y1128" s="10"/>
      <c r="Z1128" s="11"/>
      <c r="AA1128" s="6"/>
      <c r="AB1128" s="1">
        <v>1.2</v>
      </c>
      <c r="AC1128" s="21" t="str">
        <f t="shared" ref="AC1128:AC1191" si="289">IF(B1128="","",TEXT(E1128-B1128,"[hh]:mm"))</f>
        <v/>
      </c>
      <c r="AD1128" s="27" t="str">
        <f t="shared" si="282"/>
        <v/>
      </c>
      <c r="AE1128" s="27" t="str">
        <f t="shared" si="280"/>
        <v/>
      </c>
      <c r="AF1128" s="14">
        <f t="shared" ref="AF1128:AF1191" si="290">MAX(E1128,H1128,I1128)</f>
        <v>0</v>
      </c>
      <c r="AG1128" s="12">
        <f t="shared" si="285"/>
        <v>0</v>
      </c>
      <c r="AH1128" s="24">
        <f t="shared" ref="AH1128:AH1191" si="291">AF1128-INT(AF1128)</f>
        <v>0</v>
      </c>
      <c r="AI1128" s="49" t="e">
        <f t="shared" si="281"/>
        <v>#VALUE!</v>
      </c>
      <c r="AK1128" s="50" t="e">
        <f t="shared" si="286"/>
        <v>#VALUE!</v>
      </c>
    </row>
    <row r="1129" spans="1:37" x14ac:dyDescent="0.4">
      <c r="A1129" s="2">
        <v>2282</v>
      </c>
      <c r="B1129" s="16"/>
      <c r="C1129" s="22">
        <f t="shared" si="283"/>
        <v>0</v>
      </c>
      <c r="D1129" s="23">
        <f t="shared" si="287"/>
        <v>0</v>
      </c>
      <c r="E1129" s="14"/>
      <c r="F1129" s="12">
        <f t="shared" si="284"/>
        <v>0</v>
      </c>
      <c r="G1129" s="24">
        <f t="shared" si="288"/>
        <v>0</v>
      </c>
      <c r="H1129" s="14"/>
      <c r="I1129" s="14"/>
      <c r="J1129" s="29"/>
      <c r="K1129" s="30"/>
      <c r="M1129" s="17"/>
      <c r="N1129" s="7"/>
      <c r="O1129" s="5"/>
      <c r="P1129" s="3"/>
      <c r="Q1129" s="5"/>
      <c r="R1129" s="7"/>
      <c r="S1129" s="5"/>
      <c r="U1129" s="10"/>
      <c r="V1129" s="11"/>
      <c r="W1129" s="6"/>
      <c r="Y1129" s="10"/>
      <c r="Z1129" s="11"/>
      <c r="AA1129" s="6"/>
      <c r="AB1129" s="1">
        <v>1.2</v>
      </c>
      <c r="AC1129" s="21" t="str">
        <f t="shared" si="289"/>
        <v/>
      </c>
      <c r="AD1129" s="27" t="str">
        <f t="shared" si="282"/>
        <v/>
      </c>
      <c r="AE1129" s="27" t="str">
        <f t="shared" si="280"/>
        <v/>
      </c>
      <c r="AF1129" s="14">
        <f t="shared" si="290"/>
        <v>0</v>
      </c>
      <c r="AG1129" s="12">
        <f t="shared" si="285"/>
        <v>0</v>
      </c>
      <c r="AH1129" s="24">
        <f t="shared" si="291"/>
        <v>0</v>
      </c>
      <c r="AI1129" s="49" t="e">
        <f t="shared" si="281"/>
        <v>#VALUE!</v>
      </c>
      <c r="AK1129" s="50" t="e">
        <f t="shared" si="286"/>
        <v>#VALUE!</v>
      </c>
    </row>
    <row r="1130" spans="1:37" x14ac:dyDescent="0.4">
      <c r="A1130" s="2">
        <v>2283</v>
      </c>
      <c r="B1130" s="16"/>
      <c r="C1130" s="22">
        <f t="shared" si="283"/>
        <v>0</v>
      </c>
      <c r="D1130" s="23">
        <f t="shared" si="287"/>
        <v>0</v>
      </c>
      <c r="E1130" s="14"/>
      <c r="F1130" s="12">
        <f t="shared" si="284"/>
        <v>0</v>
      </c>
      <c r="G1130" s="24">
        <f t="shared" si="288"/>
        <v>0</v>
      </c>
      <c r="H1130" s="14"/>
      <c r="I1130" s="14"/>
      <c r="J1130" s="29"/>
      <c r="K1130" s="30"/>
      <c r="M1130" s="17"/>
      <c r="N1130" s="7"/>
      <c r="O1130" s="5"/>
      <c r="P1130" s="3"/>
      <c r="Q1130" s="5"/>
      <c r="R1130" s="7"/>
      <c r="S1130" s="5"/>
      <c r="U1130" s="10"/>
      <c r="V1130" s="11"/>
      <c r="W1130" s="6"/>
      <c r="Y1130" s="10"/>
      <c r="Z1130" s="11"/>
      <c r="AA1130" s="6"/>
      <c r="AB1130" s="1">
        <v>1.2</v>
      </c>
      <c r="AC1130" s="21" t="str">
        <f t="shared" si="289"/>
        <v/>
      </c>
      <c r="AD1130" s="27" t="str">
        <f t="shared" si="282"/>
        <v/>
      </c>
      <c r="AE1130" s="27" t="str">
        <f t="shared" si="280"/>
        <v/>
      </c>
      <c r="AF1130" s="14">
        <f t="shared" si="290"/>
        <v>0</v>
      </c>
      <c r="AG1130" s="12">
        <f t="shared" si="285"/>
        <v>0</v>
      </c>
      <c r="AH1130" s="24">
        <f t="shared" si="291"/>
        <v>0</v>
      </c>
      <c r="AI1130" s="49" t="e">
        <f t="shared" si="281"/>
        <v>#VALUE!</v>
      </c>
      <c r="AK1130" s="50" t="e">
        <f t="shared" si="286"/>
        <v>#VALUE!</v>
      </c>
    </row>
    <row r="1131" spans="1:37" x14ac:dyDescent="0.4">
      <c r="A1131" s="2">
        <v>2284</v>
      </c>
      <c r="B1131" s="16"/>
      <c r="C1131" s="22">
        <f t="shared" si="283"/>
        <v>0</v>
      </c>
      <c r="D1131" s="23">
        <f t="shared" si="287"/>
        <v>0</v>
      </c>
      <c r="E1131" s="14"/>
      <c r="F1131" s="12">
        <f t="shared" si="284"/>
        <v>0</v>
      </c>
      <c r="G1131" s="24">
        <f t="shared" si="288"/>
        <v>0</v>
      </c>
      <c r="H1131" s="14"/>
      <c r="I1131" s="14"/>
      <c r="J1131" s="29"/>
      <c r="K1131" s="30"/>
      <c r="M1131" s="17"/>
      <c r="N1131" s="7"/>
      <c r="O1131" s="5"/>
      <c r="P1131" s="3"/>
      <c r="Q1131" s="5"/>
      <c r="R1131" s="7"/>
      <c r="S1131" s="5"/>
      <c r="U1131" s="10"/>
      <c r="V1131" s="11"/>
      <c r="W1131" s="6"/>
      <c r="Y1131" s="10"/>
      <c r="Z1131" s="11"/>
      <c r="AA1131" s="6"/>
      <c r="AB1131" s="1">
        <v>1.2</v>
      </c>
      <c r="AC1131" s="21" t="str">
        <f t="shared" si="289"/>
        <v/>
      </c>
      <c r="AD1131" s="27" t="str">
        <f t="shared" si="282"/>
        <v/>
      </c>
      <c r="AE1131" s="27" t="str">
        <f t="shared" si="280"/>
        <v/>
      </c>
      <c r="AF1131" s="14">
        <f t="shared" si="290"/>
        <v>0</v>
      </c>
      <c r="AG1131" s="12">
        <f t="shared" si="285"/>
        <v>0</v>
      </c>
      <c r="AH1131" s="24">
        <f t="shared" si="291"/>
        <v>0</v>
      </c>
      <c r="AI1131" s="49" t="e">
        <f t="shared" si="281"/>
        <v>#VALUE!</v>
      </c>
      <c r="AK1131" s="50" t="e">
        <f t="shared" si="286"/>
        <v>#VALUE!</v>
      </c>
    </row>
    <row r="1132" spans="1:37" x14ac:dyDescent="0.4">
      <c r="A1132" s="2">
        <v>2285</v>
      </c>
      <c r="B1132" s="16"/>
      <c r="C1132" s="22">
        <f t="shared" si="283"/>
        <v>0</v>
      </c>
      <c r="D1132" s="23">
        <f t="shared" si="287"/>
        <v>0</v>
      </c>
      <c r="E1132" s="14"/>
      <c r="F1132" s="12">
        <f t="shared" si="284"/>
        <v>0</v>
      </c>
      <c r="G1132" s="24">
        <f t="shared" si="288"/>
        <v>0</v>
      </c>
      <c r="H1132" s="14"/>
      <c r="I1132" s="14"/>
      <c r="J1132" s="29"/>
      <c r="K1132" s="30"/>
      <c r="M1132" s="17"/>
      <c r="N1132" s="7"/>
      <c r="O1132" s="5"/>
      <c r="P1132" s="3"/>
      <c r="Q1132" s="5"/>
      <c r="R1132" s="7"/>
      <c r="S1132" s="5"/>
      <c r="U1132" s="10"/>
      <c r="V1132" s="11"/>
      <c r="W1132" s="6"/>
      <c r="Y1132" s="10"/>
      <c r="Z1132" s="11"/>
      <c r="AA1132" s="6"/>
      <c r="AB1132" s="1">
        <v>1.2</v>
      </c>
      <c r="AC1132" s="21" t="str">
        <f t="shared" si="289"/>
        <v/>
      </c>
      <c r="AD1132" s="27" t="str">
        <f t="shared" si="282"/>
        <v/>
      </c>
      <c r="AE1132" s="27" t="str">
        <f t="shared" si="280"/>
        <v/>
      </c>
      <c r="AF1132" s="14">
        <f t="shared" si="290"/>
        <v>0</v>
      </c>
      <c r="AG1132" s="12">
        <f t="shared" si="285"/>
        <v>0</v>
      </c>
      <c r="AH1132" s="24">
        <f t="shared" si="291"/>
        <v>0</v>
      </c>
      <c r="AI1132" s="49" t="e">
        <f t="shared" si="281"/>
        <v>#VALUE!</v>
      </c>
      <c r="AK1132" s="50" t="e">
        <f t="shared" si="286"/>
        <v>#VALUE!</v>
      </c>
    </row>
    <row r="1133" spans="1:37" x14ac:dyDescent="0.4">
      <c r="A1133" s="2">
        <v>2286</v>
      </c>
      <c r="B1133" s="16"/>
      <c r="C1133" s="22">
        <f t="shared" si="283"/>
        <v>0</v>
      </c>
      <c r="D1133" s="23">
        <f t="shared" si="287"/>
        <v>0</v>
      </c>
      <c r="E1133" s="14"/>
      <c r="F1133" s="12">
        <f t="shared" si="284"/>
        <v>0</v>
      </c>
      <c r="G1133" s="24">
        <f t="shared" si="288"/>
        <v>0</v>
      </c>
      <c r="H1133" s="14"/>
      <c r="I1133" s="14"/>
      <c r="J1133" s="29"/>
      <c r="K1133" s="30"/>
      <c r="M1133" s="17"/>
      <c r="N1133" s="7"/>
      <c r="O1133" s="5"/>
      <c r="P1133" s="3"/>
      <c r="Q1133" s="5"/>
      <c r="R1133" s="7"/>
      <c r="S1133" s="5"/>
      <c r="U1133" s="10"/>
      <c r="V1133" s="11"/>
      <c r="W1133" s="6"/>
      <c r="Y1133" s="10"/>
      <c r="Z1133" s="11"/>
      <c r="AA1133" s="6"/>
      <c r="AB1133" s="1">
        <v>1.2</v>
      </c>
      <c r="AC1133" s="21" t="str">
        <f t="shared" si="289"/>
        <v/>
      </c>
      <c r="AD1133" s="27" t="str">
        <f t="shared" si="282"/>
        <v/>
      </c>
      <c r="AE1133" s="27" t="str">
        <f t="shared" si="280"/>
        <v/>
      </c>
      <c r="AF1133" s="14">
        <f t="shared" si="290"/>
        <v>0</v>
      </c>
      <c r="AG1133" s="12">
        <f t="shared" si="285"/>
        <v>0</v>
      </c>
      <c r="AH1133" s="24">
        <f t="shared" si="291"/>
        <v>0</v>
      </c>
      <c r="AI1133" s="49" t="e">
        <f t="shared" si="281"/>
        <v>#VALUE!</v>
      </c>
      <c r="AK1133" s="50" t="e">
        <f t="shared" si="286"/>
        <v>#VALUE!</v>
      </c>
    </row>
    <row r="1134" spans="1:37" x14ac:dyDescent="0.4">
      <c r="A1134" s="2">
        <v>2287</v>
      </c>
      <c r="B1134" s="16"/>
      <c r="C1134" s="22">
        <f t="shared" si="283"/>
        <v>0</v>
      </c>
      <c r="D1134" s="23">
        <f t="shared" si="287"/>
        <v>0</v>
      </c>
      <c r="E1134" s="14"/>
      <c r="F1134" s="12">
        <f t="shared" si="284"/>
        <v>0</v>
      </c>
      <c r="G1134" s="24">
        <f t="shared" si="288"/>
        <v>0</v>
      </c>
      <c r="H1134" s="14"/>
      <c r="I1134" s="14"/>
      <c r="J1134" s="29"/>
      <c r="K1134" s="30"/>
      <c r="M1134" s="17"/>
      <c r="N1134" s="7"/>
      <c r="O1134" s="5"/>
      <c r="P1134" s="3"/>
      <c r="Q1134" s="5"/>
      <c r="R1134" s="7"/>
      <c r="S1134" s="5"/>
      <c r="U1134" s="10"/>
      <c r="V1134" s="11"/>
      <c r="W1134" s="6"/>
      <c r="Y1134" s="10"/>
      <c r="Z1134" s="11"/>
      <c r="AA1134" s="6"/>
      <c r="AB1134" s="1">
        <v>1.2</v>
      </c>
      <c r="AC1134" s="21" t="str">
        <f t="shared" si="289"/>
        <v/>
      </c>
      <c r="AD1134" s="27" t="str">
        <f t="shared" si="282"/>
        <v/>
      </c>
      <c r="AE1134" s="27" t="str">
        <f t="shared" si="280"/>
        <v/>
      </c>
      <c r="AF1134" s="14">
        <f t="shared" si="290"/>
        <v>0</v>
      </c>
      <c r="AG1134" s="12">
        <f t="shared" si="285"/>
        <v>0</v>
      </c>
      <c r="AH1134" s="24">
        <f t="shared" si="291"/>
        <v>0</v>
      </c>
      <c r="AI1134" s="49" t="e">
        <f t="shared" si="281"/>
        <v>#VALUE!</v>
      </c>
      <c r="AK1134" s="50" t="e">
        <f t="shared" si="286"/>
        <v>#VALUE!</v>
      </c>
    </row>
    <row r="1135" spans="1:37" x14ac:dyDescent="0.4">
      <c r="A1135" s="2">
        <v>2288</v>
      </c>
      <c r="B1135" s="16"/>
      <c r="C1135" s="22">
        <f t="shared" si="283"/>
        <v>0</v>
      </c>
      <c r="D1135" s="23">
        <f t="shared" si="287"/>
        <v>0</v>
      </c>
      <c r="E1135" s="14"/>
      <c r="F1135" s="12">
        <f t="shared" si="284"/>
        <v>0</v>
      </c>
      <c r="G1135" s="24">
        <f t="shared" si="288"/>
        <v>0</v>
      </c>
      <c r="H1135" s="14"/>
      <c r="I1135" s="14"/>
      <c r="J1135" s="29"/>
      <c r="K1135" s="30"/>
      <c r="M1135" s="17"/>
      <c r="N1135" s="7"/>
      <c r="O1135" s="5"/>
      <c r="P1135" s="3"/>
      <c r="Q1135" s="5"/>
      <c r="R1135" s="7"/>
      <c r="S1135" s="5"/>
      <c r="U1135" s="10"/>
      <c r="V1135" s="11"/>
      <c r="W1135" s="6"/>
      <c r="Y1135" s="10"/>
      <c r="Z1135" s="11"/>
      <c r="AA1135" s="6"/>
      <c r="AB1135" s="1">
        <v>1.2</v>
      </c>
      <c r="AC1135" s="21" t="str">
        <f t="shared" si="289"/>
        <v/>
      </c>
      <c r="AD1135" s="27" t="str">
        <f t="shared" si="282"/>
        <v/>
      </c>
      <c r="AE1135" s="27" t="str">
        <f t="shared" si="280"/>
        <v/>
      </c>
      <c r="AF1135" s="14">
        <f t="shared" si="290"/>
        <v>0</v>
      </c>
      <c r="AG1135" s="12">
        <f t="shared" si="285"/>
        <v>0</v>
      </c>
      <c r="AH1135" s="24">
        <f t="shared" si="291"/>
        <v>0</v>
      </c>
      <c r="AI1135" s="49" t="e">
        <f t="shared" si="281"/>
        <v>#VALUE!</v>
      </c>
      <c r="AK1135" s="50" t="e">
        <f t="shared" si="286"/>
        <v>#VALUE!</v>
      </c>
    </row>
    <row r="1136" spans="1:37" x14ac:dyDescent="0.4">
      <c r="A1136" s="2">
        <v>2289</v>
      </c>
      <c r="B1136" s="16"/>
      <c r="C1136" s="22">
        <f t="shared" si="283"/>
        <v>0</v>
      </c>
      <c r="D1136" s="23">
        <f t="shared" si="287"/>
        <v>0</v>
      </c>
      <c r="E1136" s="14"/>
      <c r="F1136" s="12">
        <f t="shared" si="284"/>
        <v>0</v>
      </c>
      <c r="G1136" s="24">
        <f t="shared" si="288"/>
        <v>0</v>
      </c>
      <c r="H1136" s="14"/>
      <c r="I1136" s="14"/>
      <c r="J1136" s="29"/>
      <c r="K1136" s="30"/>
      <c r="M1136" s="17"/>
      <c r="N1136" s="7"/>
      <c r="O1136" s="5"/>
      <c r="P1136" s="3"/>
      <c r="Q1136" s="5"/>
      <c r="R1136" s="7"/>
      <c r="S1136" s="5"/>
      <c r="U1136" s="10"/>
      <c r="V1136" s="11"/>
      <c r="W1136" s="6"/>
      <c r="Y1136" s="10"/>
      <c r="Z1136" s="11"/>
      <c r="AA1136" s="6"/>
      <c r="AB1136" s="1">
        <v>1.2</v>
      </c>
      <c r="AC1136" s="21" t="str">
        <f t="shared" si="289"/>
        <v/>
      </c>
      <c r="AD1136" s="27" t="str">
        <f t="shared" si="282"/>
        <v/>
      </c>
      <c r="AE1136" s="27" t="str">
        <f t="shared" si="280"/>
        <v/>
      </c>
      <c r="AF1136" s="14">
        <f t="shared" si="290"/>
        <v>0</v>
      </c>
      <c r="AG1136" s="12">
        <f t="shared" si="285"/>
        <v>0</v>
      </c>
      <c r="AH1136" s="24">
        <f t="shared" si="291"/>
        <v>0</v>
      </c>
      <c r="AI1136" s="49" t="e">
        <f t="shared" si="281"/>
        <v>#VALUE!</v>
      </c>
      <c r="AK1136" s="50" t="e">
        <f t="shared" si="286"/>
        <v>#VALUE!</v>
      </c>
    </row>
    <row r="1137" spans="1:37" x14ac:dyDescent="0.4">
      <c r="A1137" s="2">
        <v>2290</v>
      </c>
      <c r="B1137" s="16"/>
      <c r="C1137" s="22">
        <f t="shared" si="283"/>
        <v>0</v>
      </c>
      <c r="D1137" s="23">
        <f t="shared" si="287"/>
        <v>0</v>
      </c>
      <c r="E1137" s="14"/>
      <c r="F1137" s="12">
        <f t="shared" si="284"/>
        <v>0</v>
      </c>
      <c r="G1137" s="24">
        <f t="shared" si="288"/>
        <v>0</v>
      </c>
      <c r="H1137" s="14"/>
      <c r="I1137" s="14"/>
      <c r="J1137" s="29"/>
      <c r="K1137" s="30"/>
      <c r="M1137" s="17"/>
      <c r="N1137" s="7"/>
      <c r="O1137" s="5"/>
      <c r="P1137" s="3"/>
      <c r="Q1137" s="5"/>
      <c r="R1137" s="7"/>
      <c r="S1137" s="5"/>
      <c r="U1137" s="10"/>
      <c r="V1137" s="11"/>
      <c r="W1137" s="6"/>
      <c r="Y1137" s="10"/>
      <c r="Z1137" s="11"/>
      <c r="AA1137" s="6"/>
      <c r="AB1137" s="1">
        <v>1.2</v>
      </c>
      <c r="AC1137" s="21" t="str">
        <f t="shared" si="289"/>
        <v/>
      </c>
      <c r="AD1137" s="27" t="str">
        <f t="shared" si="282"/>
        <v/>
      </c>
      <c r="AE1137" s="27" t="str">
        <f t="shared" si="280"/>
        <v/>
      </c>
      <c r="AF1137" s="14">
        <f t="shared" si="290"/>
        <v>0</v>
      </c>
      <c r="AG1137" s="12">
        <f t="shared" si="285"/>
        <v>0</v>
      </c>
      <c r="AH1137" s="24">
        <f t="shared" si="291"/>
        <v>0</v>
      </c>
      <c r="AI1137" s="49" t="e">
        <f t="shared" si="281"/>
        <v>#VALUE!</v>
      </c>
      <c r="AK1137" s="50" t="e">
        <f t="shared" si="286"/>
        <v>#VALUE!</v>
      </c>
    </row>
    <row r="1138" spans="1:37" x14ac:dyDescent="0.4">
      <c r="A1138" s="2">
        <v>2291</v>
      </c>
      <c r="B1138" s="16"/>
      <c r="C1138" s="22">
        <f t="shared" si="283"/>
        <v>0</v>
      </c>
      <c r="D1138" s="23">
        <f t="shared" si="287"/>
        <v>0</v>
      </c>
      <c r="E1138" s="14"/>
      <c r="F1138" s="12">
        <f t="shared" si="284"/>
        <v>0</v>
      </c>
      <c r="G1138" s="24">
        <f t="shared" si="288"/>
        <v>0</v>
      </c>
      <c r="H1138" s="14"/>
      <c r="I1138" s="14"/>
      <c r="J1138" s="29"/>
      <c r="K1138" s="30"/>
      <c r="M1138" s="17"/>
      <c r="N1138" s="7"/>
      <c r="O1138" s="5"/>
      <c r="P1138" s="3"/>
      <c r="Q1138" s="5"/>
      <c r="R1138" s="7"/>
      <c r="S1138" s="5"/>
      <c r="U1138" s="10"/>
      <c r="V1138" s="11"/>
      <c r="W1138" s="6"/>
      <c r="Y1138" s="10"/>
      <c r="Z1138" s="11"/>
      <c r="AA1138" s="6"/>
      <c r="AB1138" s="1">
        <v>1.2</v>
      </c>
      <c r="AC1138" s="21" t="str">
        <f t="shared" si="289"/>
        <v/>
      </c>
      <c r="AD1138" s="27" t="str">
        <f t="shared" si="282"/>
        <v/>
      </c>
      <c r="AE1138" s="27" t="str">
        <f t="shared" si="280"/>
        <v/>
      </c>
      <c r="AF1138" s="14">
        <f t="shared" si="290"/>
        <v>0</v>
      </c>
      <c r="AG1138" s="12">
        <f t="shared" si="285"/>
        <v>0</v>
      </c>
      <c r="AH1138" s="24">
        <f t="shared" si="291"/>
        <v>0</v>
      </c>
      <c r="AI1138" s="49" t="e">
        <f t="shared" si="281"/>
        <v>#VALUE!</v>
      </c>
      <c r="AK1138" s="50" t="e">
        <f t="shared" si="286"/>
        <v>#VALUE!</v>
      </c>
    </row>
    <row r="1139" spans="1:37" x14ac:dyDescent="0.4">
      <c r="A1139" s="2">
        <v>2292</v>
      </c>
      <c r="B1139" s="16"/>
      <c r="C1139" s="22">
        <f t="shared" si="283"/>
        <v>0</v>
      </c>
      <c r="D1139" s="23">
        <f t="shared" si="287"/>
        <v>0</v>
      </c>
      <c r="E1139" s="14"/>
      <c r="F1139" s="12">
        <f t="shared" si="284"/>
        <v>0</v>
      </c>
      <c r="G1139" s="24">
        <f t="shared" si="288"/>
        <v>0</v>
      </c>
      <c r="H1139" s="14"/>
      <c r="I1139" s="14"/>
      <c r="J1139" s="29"/>
      <c r="K1139" s="30"/>
      <c r="M1139" s="17"/>
      <c r="N1139" s="7"/>
      <c r="O1139" s="5"/>
      <c r="P1139" s="3"/>
      <c r="Q1139" s="5"/>
      <c r="R1139" s="7"/>
      <c r="S1139" s="5"/>
      <c r="U1139" s="10"/>
      <c r="V1139" s="11"/>
      <c r="W1139" s="6"/>
      <c r="Y1139" s="10"/>
      <c r="Z1139" s="11"/>
      <c r="AA1139" s="6"/>
      <c r="AB1139" s="1">
        <v>1.2</v>
      </c>
      <c r="AC1139" s="21" t="str">
        <f t="shared" si="289"/>
        <v/>
      </c>
      <c r="AD1139" s="27" t="str">
        <f t="shared" si="282"/>
        <v/>
      </c>
      <c r="AE1139" s="27" t="str">
        <f t="shared" si="280"/>
        <v/>
      </c>
      <c r="AF1139" s="14">
        <f t="shared" si="290"/>
        <v>0</v>
      </c>
      <c r="AG1139" s="12">
        <f t="shared" si="285"/>
        <v>0</v>
      </c>
      <c r="AH1139" s="24">
        <f t="shared" si="291"/>
        <v>0</v>
      </c>
      <c r="AI1139" s="49" t="e">
        <f t="shared" si="281"/>
        <v>#VALUE!</v>
      </c>
      <c r="AK1139" s="50" t="e">
        <f t="shared" si="286"/>
        <v>#VALUE!</v>
      </c>
    </row>
    <row r="1140" spans="1:37" x14ac:dyDescent="0.4">
      <c r="A1140" s="2">
        <v>2293</v>
      </c>
      <c r="B1140" s="16"/>
      <c r="C1140" s="22">
        <f t="shared" si="283"/>
        <v>0</v>
      </c>
      <c r="D1140" s="23">
        <f t="shared" si="287"/>
        <v>0</v>
      </c>
      <c r="E1140" s="14"/>
      <c r="F1140" s="12">
        <f t="shared" si="284"/>
        <v>0</v>
      </c>
      <c r="G1140" s="24">
        <f t="shared" si="288"/>
        <v>0</v>
      </c>
      <c r="H1140" s="14"/>
      <c r="I1140" s="14"/>
      <c r="J1140" s="29"/>
      <c r="K1140" s="30"/>
      <c r="M1140" s="17"/>
      <c r="N1140" s="7"/>
      <c r="O1140" s="5"/>
      <c r="P1140" s="3"/>
      <c r="Q1140" s="5"/>
      <c r="R1140" s="7"/>
      <c r="S1140" s="5"/>
      <c r="U1140" s="10"/>
      <c r="V1140" s="11"/>
      <c r="W1140" s="6"/>
      <c r="Y1140" s="10"/>
      <c r="Z1140" s="11"/>
      <c r="AA1140" s="6"/>
      <c r="AB1140" s="1">
        <v>1.2</v>
      </c>
      <c r="AC1140" s="21" t="str">
        <f t="shared" si="289"/>
        <v/>
      </c>
      <c r="AD1140" s="27" t="str">
        <f t="shared" si="282"/>
        <v/>
      </c>
      <c r="AE1140" s="27" t="str">
        <f t="shared" si="280"/>
        <v/>
      </c>
      <c r="AF1140" s="14">
        <f t="shared" si="290"/>
        <v>0</v>
      </c>
      <c r="AG1140" s="12">
        <f t="shared" si="285"/>
        <v>0</v>
      </c>
      <c r="AH1140" s="24">
        <f t="shared" si="291"/>
        <v>0</v>
      </c>
      <c r="AI1140" s="49" t="e">
        <f t="shared" si="281"/>
        <v>#VALUE!</v>
      </c>
      <c r="AK1140" s="50" t="e">
        <f t="shared" si="286"/>
        <v>#VALUE!</v>
      </c>
    </row>
    <row r="1141" spans="1:37" x14ac:dyDescent="0.4">
      <c r="A1141" s="2">
        <v>2294</v>
      </c>
      <c r="B1141" s="16"/>
      <c r="C1141" s="22">
        <f t="shared" si="283"/>
        <v>0</v>
      </c>
      <c r="D1141" s="23">
        <f t="shared" si="287"/>
        <v>0</v>
      </c>
      <c r="E1141" s="14"/>
      <c r="F1141" s="12">
        <f t="shared" si="284"/>
        <v>0</v>
      </c>
      <c r="G1141" s="24">
        <f t="shared" si="288"/>
        <v>0</v>
      </c>
      <c r="H1141" s="14"/>
      <c r="I1141" s="14"/>
      <c r="J1141" s="29"/>
      <c r="K1141" s="30"/>
      <c r="M1141" s="17"/>
      <c r="N1141" s="7"/>
      <c r="O1141" s="5"/>
      <c r="P1141" s="3"/>
      <c r="Q1141" s="5"/>
      <c r="R1141" s="7"/>
      <c r="S1141" s="5"/>
      <c r="U1141" s="10"/>
      <c r="V1141" s="11"/>
      <c r="W1141" s="6"/>
      <c r="Y1141" s="10"/>
      <c r="Z1141" s="11"/>
      <c r="AA1141" s="6"/>
      <c r="AB1141" s="1">
        <v>1.2</v>
      </c>
      <c r="AC1141" s="21" t="str">
        <f t="shared" si="289"/>
        <v/>
      </c>
      <c r="AD1141" s="27" t="str">
        <f t="shared" si="282"/>
        <v/>
      </c>
      <c r="AE1141" s="27" t="str">
        <f t="shared" si="280"/>
        <v/>
      </c>
      <c r="AF1141" s="14">
        <f t="shared" si="290"/>
        <v>0</v>
      </c>
      <c r="AG1141" s="12">
        <f t="shared" si="285"/>
        <v>0</v>
      </c>
      <c r="AH1141" s="24">
        <f t="shared" si="291"/>
        <v>0</v>
      </c>
      <c r="AI1141" s="49" t="e">
        <f t="shared" si="281"/>
        <v>#VALUE!</v>
      </c>
      <c r="AK1141" s="50" t="e">
        <f t="shared" si="286"/>
        <v>#VALUE!</v>
      </c>
    </row>
    <row r="1142" spans="1:37" x14ac:dyDescent="0.4">
      <c r="A1142" s="2">
        <v>2295</v>
      </c>
      <c r="B1142" s="16"/>
      <c r="C1142" s="22">
        <f t="shared" si="283"/>
        <v>0</v>
      </c>
      <c r="D1142" s="23">
        <f t="shared" si="287"/>
        <v>0</v>
      </c>
      <c r="E1142" s="14"/>
      <c r="F1142" s="12">
        <f t="shared" si="284"/>
        <v>0</v>
      </c>
      <c r="G1142" s="24">
        <f t="shared" si="288"/>
        <v>0</v>
      </c>
      <c r="H1142" s="14"/>
      <c r="I1142" s="14"/>
      <c r="J1142" s="29"/>
      <c r="K1142" s="30"/>
      <c r="M1142" s="17"/>
      <c r="N1142" s="7"/>
      <c r="O1142" s="5"/>
      <c r="P1142" s="3"/>
      <c r="Q1142" s="5"/>
      <c r="R1142" s="7"/>
      <c r="S1142" s="5"/>
      <c r="U1142" s="10"/>
      <c r="V1142" s="11"/>
      <c r="W1142" s="6"/>
      <c r="Y1142" s="10"/>
      <c r="Z1142" s="11"/>
      <c r="AA1142" s="6"/>
      <c r="AB1142" s="1">
        <v>1.2</v>
      </c>
      <c r="AC1142" s="21" t="str">
        <f t="shared" si="289"/>
        <v/>
      </c>
      <c r="AD1142" s="27" t="str">
        <f t="shared" si="282"/>
        <v/>
      </c>
      <c r="AE1142" s="27" t="str">
        <f t="shared" si="280"/>
        <v/>
      </c>
      <c r="AF1142" s="14">
        <f t="shared" si="290"/>
        <v>0</v>
      </c>
      <c r="AG1142" s="12">
        <f t="shared" si="285"/>
        <v>0</v>
      </c>
      <c r="AH1142" s="24">
        <f t="shared" si="291"/>
        <v>0</v>
      </c>
      <c r="AI1142" s="49" t="e">
        <f t="shared" si="281"/>
        <v>#VALUE!</v>
      </c>
      <c r="AK1142" s="50" t="e">
        <f t="shared" si="286"/>
        <v>#VALUE!</v>
      </c>
    </row>
    <row r="1143" spans="1:37" x14ac:dyDescent="0.4">
      <c r="A1143" s="2">
        <v>2296</v>
      </c>
      <c r="B1143" s="16"/>
      <c r="C1143" s="22">
        <f t="shared" si="283"/>
        <v>0</v>
      </c>
      <c r="D1143" s="23">
        <f t="shared" si="287"/>
        <v>0</v>
      </c>
      <c r="E1143" s="14"/>
      <c r="F1143" s="12">
        <f t="shared" si="284"/>
        <v>0</v>
      </c>
      <c r="G1143" s="24">
        <f t="shared" si="288"/>
        <v>0</v>
      </c>
      <c r="H1143" s="14"/>
      <c r="I1143" s="14"/>
      <c r="J1143" s="29"/>
      <c r="K1143" s="30"/>
      <c r="M1143" s="17"/>
      <c r="N1143" s="7"/>
      <c r="O1143" s="5"/>
      <c r="P1143" s="3"/>
      <c r="Q1143" s="5"/>
      <c r="R1143" s="7"/>
      <c r="S1143" s="5"/>
      <c r="U1143" s="10"/>
      <c r="V1143" s="11"/>
      <c r="W1143" s="6"/>
      <c r="Y1143" s="10"/>
      <c r="Z1143" s="11"/>
      <c r="AA1143" s="6"/>
      <c r="AB1143" s="1">
        <v>1.2</v>
      </c>
      <c r="AC1143" s="21" t="str">
        <f t="shared" si="289"/>
        <v/>
      </c>
      <c r="AD1143" s="27" t="str">
        <f t="shared" si="282"/>
        <v/>
      </c>
      <c r="AE1143" s="27" t="str">
        <f t="shared" si="280"/>
        <v/>
      </c>
      <c r="AF1143" s="14">
        <f t="shared" si="290"/>
        <v>0</v>
      </c>
      <c r="AG1143" s="12">
        <f t="shared" si="285"/>
        <v>0</v>
      </c>
      <c r="AH1143" s="24">
        <f t="shared" si="291"/>
        <v>0</v>
      </c>
      <c r="AI1143" s="49" t="e">
        <f t="shared" si="281"/>
        <v>#VALUE!</v>
      </c>
      <c r="AK1143" s="50" t="e">
        <f t="shared" si="286"/>
        <v>#VALUE!</v>
      </c>
    </row>
    <row r="1144" spans="1:37" x14ac:dyDescent="0.4">
      <c r="A1144" s="2">
        <v>2297</v>
      </c>
      <c r="B1144" s="16"/>
      <c r="C1144" s="22">
        <f t="shared" si="283"/>
        <v>0</v>
      </c>
      <c r="D1144" s="23">
        <f t="shared" si="287"/>
        <v>0</v>
      </c>
      <c r="E1144" s="14"/>
      <c r="F1144" s="12">
        <f t="shared" si="284"/>
        <v>0</v>
      </c>
      <c r="G1144" s="24">
        <f t="shared" si="288"/>
        <v>0</v>
      </c>
      <c r="H1144" s="14"/>
      <c r="I1144" s="14"/>
      <c r="J1144" s="29"/>
      <c r="K1144" s="30"/>
      <c r="M1144" s="17"/>
      <c r="N1144" s="7"/>
      <c r="O1144" s="5"/>
      <c r="P1144" s="3"/>
      <c r="Q1144" s="5"/>
      <c r="R1144" s="7"/>
      <c r="S1144" s="5"/>
      <c r="U1144" s="10"/>
      <c r="V1144" s="11"/>
      <c r="W1144" s="6"/>
      <c r="Y1144" s="10"/>
      <c r="Z1144" s="11"/>
      <c r="AA1144" s="6"/>
      <c r="AB1144" s="1">
        <v>1.2</v>
      </c>
      <c r="AC1144" s="21" t="str">
        <f t="shared" si="289"/>
        <v/>
      </c>
      <c r="AD1144" s="27" t="str">
        <f t="shared" si="282"/>
        <v/>
      </c>
      <c r="AE1144" s="27" t="str">
        <f t="shared" si="280"/>
        <v/>
      </c>
      <c r="AF1144" s="14">
        <f t="shared" si="290"/>
        <v>0</v>
      </c>
      <c r="AG1144" s="12">
        <f t="shared" si="285"/>
        <v>0</v>
      </c>
      <c r="AH1144" s="24">
        <f t="shared" si="291"/>
        <v>0</v>
      </c>
      <c r="AI1144" s="49" t="e">
        <f t="shared" si="281"/>
        <v>#VALUE!</v>
      </c>
      <c r="AK1144" s="50" t="e">
        <f t="shared" si="286"/>
        <v>#VALUE!</v>
      </c>
    </row>
    <row r="1145" spans="1:37" x14ac:dyDescent="0.4">
      <c r="A1145" s="2">
        <v>2298</v>
      </c>
      <c r="B1145" s="16"/>
      <c r="C1145" s="22">
        <f t="shared" si="283"/>
        <v>0</v>
      </c>
      <c r="D1145" s="23">
        <f t="shared" si="287"/>
        <v>0</v>
      </c>
      <c r="E1145" s="14"/>
      <c r="F1145" s="12">
        <f t="shared" si="284"/>
        <v>0</v>
      </c>
      <c r="G1145" s="24">
        <f t="shared" si="288"/>
        <v>0</v>
      </c>
      <c r="H1145" s="14"/>
      <c r="I1145" s="14"/>
      <c r="J1145" s="29"/>
      <c r="K1145" s="30"/>
      <c r="M1145" s="17"/>
      <c r="N1145" s="7"/>
      <c r="O1145" s="5"/>
      <c r="P1145" s="3"/>
      <c r="Q1145" s="5"/>
      <c r="R1145" s="7"/>
      <c r="S1145" s="5"/>
      <c r="U1145" s="10"/>
      <c r="V1145" s="11"/>
      <c r="W1145" s="6"/>
      <c r="Y1145" s="10"/>
      <c r="Z1145" s="11"/>
      <c r="AA1145" s="6"/>
      <c r="AB1145" s="1">
        <v>1.2</v>
      </c>
      <c r="AC1145" s="21" t="str">
        <f t="shared" si="289"/>
        <v/>
      </c>
      <c r="AD1145" s="27" t="str">
        <f t="shared" si="282"/>
        <v/>
      </c>
      <c r="AE1145" s="27" t="str">
        <f t="shared" si="280"/>
        <v/>
      </c>
      <c r="AF1145" s="14">
        <f t="shared" si="290"/>
        <v>0</v>
      </c>
      <c r="AG1145" s="12">
        <f t="shared" si="285"/>
        <v>0</v>
      </c>
      <c r="AH1145" s="24">
        <f t="shared" si="291"/>
        <v>0</v>
      </c>
      <c r="AI1145" s="49" t="e">
        <f t="shared" si="281"/>
        <v>#VALUE!</v>
      </c>
      <c r="AK1145" s="50" t="e">
        <f t="shared" si="286"/>
        <v>#VALUE!</v>
      </c>
    </row>
    <row r="1146" spans="1:37" x14ac:dyDescent="0.4">
      <c r="A1146" s="2">
        <v>2299</v>
      </c>
      <c r="B1146" s="16"/>
      <c r="C1146" s="22">
        <f t="shared" si="283"/>
        <v>0</v>
      </c>
      <c r="D1146" s="23">
        <f t="shared" si="287"/>
        <v>0</v>
      </c>
      <c r="E1146" s="14"/>
      <c r="F1146" s="12">
        <f t="shared" si="284"/>
        <v>0</v>
      </c>
      <c r="G1146" s="24">
        <f t="shared" si="288"/>
        <v>0</v>
      </c>
      <c r="H1146" s="14"/>
      <c r="I1146" s="14"/>
      <c r="J1146" s="29"/>
      <c r="K1146" s="30"/>
      <c r="M1146" s="17"/>
      <c r="N1146" s="7"/>
      <c r="O1146" s="5"/>
      <c r="P1146" s="3"/>
      <c r="Q1146" s="5"/>
      <c r="R1146" s="7"/>
      <c r="S1146" s="5"/>
      <c r="U1146" s="10"/>
      <c r="V1146" s="11"/>
      <c r="W1146" s="6"/>
      <c r="Y1146" s="10"/>
      <c r="Z1146" s="11"/>
      <c r="AA1146" s="6"/>
      <c r="AB1146" s="1">
        <v>1.2</v>
      </c>
      <c r="AC1146" s="21" t="str">
        <f t="shared" si="289"/>
        <v/>
      </c>
      <c r="AD1146" s="27" t="str">
        <f t="shared" si="282"/>
        <v/>
      </c>
      <c r="AE1146" s="27" t="str">
        <f t="shared" si="280"/>
        <v/>
      </c>
      <c r="AF1146" s="14">
        <f t="shared" si="290"/>
        <v>0</v>
      </c>
      <c r="AG1146" s="12">
        <f t="shared" si="285"/>
        <v>0</v>
      </c>
      <c r="AH1146" s="24">
        <f t="shared" si="291"/>
        <v>0</v>
      </c>
      <c r="AI1146" s="49" t="e">
        <f t="shared" si="281"/>
        <v>#VALUE!</v>
      </c>
      <c r="AK1146" s="50" t="e">
        <f t="shared" si="286"/>
        <v>#VALUE!</v>
      </c>
    </row>
    <row r="1147" spans="1:37" x14ac:dyDescent="0.4">
      <c r="A1147" s="2">
        <v>2300</v>
      </c>
      <c r="B1147" s="16"/>
      <c r="C1147" s="22">
        <f t="shared" si="283"/>
        <v>0</v>
      </c>
      <c r="D1147" s="23">
        <f t="shared" si="287"/>
        <v>0</v>
      </c>
      <c r="E1147" s="14"/>
      <c r="F1147" s="12">
        <f t="shared" si="284"/>
        <v>0</v>
      </c>
      <c r="G1147" s="24">
        <f t="shared" si="288"/>
        <v>0</v>
      </c>
      <c r="H1147" s="14"/>
      <c r="I1147" s="14"/>
      <c r="J1147" s="29"/>
      <c r="K1147" s="30"/>
      <c r="M1147" s="17"/>
      <c r="N1147" s="7"/>
      <c r="O1147" s="5"/>
      <c r="P1147" s="3"/>
      <c r="Q1147" s="5"/>
      <c r="R1147" s="7"/>
      <c r="S1147" s="5"/>
      <c r="U1147" s="10"/>
      <c r="V1147" s="11"/>
      <c r="W1147" s="6"/>
      <c r="Y1147" s="10"/>
      <c r="Z1147" s="11"/>
      <c r="AA1147" s="6"/>
      <c r="AB1147" s="1">
        <v>1.2</v>
      </c>
      <c r="AC1147" s="21" t="str">
        <f t="shared" si="289"/>
        <v/>
      </c>
      <c r="AD1147" s="27" t="str">
        <f t="shared" si="282"/>
        <v/>
      </c>
      <c r="AE1147" s="27" t="str">
        <f t="shared" si="280"/>
        <v/>
      </c>
      <c r="AF1147" s="14">
        <f t="shared" si="290"/>
        <v>0</v>
      </c>
      <c r="AG1147" s="12">
        <f t="shared" si="285"/>
        <v>0</v>
      </c>
      <c r="AH1147" s="24">
        <f t="shared" si="291"/>
        <v>0</v>
      </c>
      <c r="AI1147" s="49" t="e">
        <f t="shared" si="281"/>
        <v>#VALUE!</v>
      </c>
      <c r="AK1147" s="50" t="e">
        <f t="shared" si="286"/>
        <v>#VALUE!</v>
      </c>
    </row>
    <row r="1148" spans="1:37" x14ac:dyDescent="0.4">
      <c r="A1148" s="2">
        <v>2301</v>
      </c>
      <c r="B1148" s="16"/>
      <c r="C1148" s="22">
        <f t="shared" si="283"/>
        <v>0</v>
      </c>
      <c r="D1148" s="23">
        <f t="shared" si="287"/>
        <v>0</v>
      </c>
      <c r="E1148" s="14"/>
      <c r="F1148" s="12">
        <f t="shared" si="284"/>
        <v>0</v>
      </c>
      <c r="G1148" s="24">
        <f t="shared" si="288"/>
        <v>0</v>
      </c>
      <c r="H1148" s="14"/>
      <c r="I1148" s="14"/>
      <c r="J1148" s="29"/>
      <c r="K1148" s="30"/>
      <c r="M1148" s="17"/>
      <c r="N1148" s="7"/>
      <c r="O1148" s="5"/>
      <c r="P1148" s="3"/>
      <c r="Q1148" s="5"/>
      <c r="R1148" s="7"/>
      <c r="S1148" s="5"/>
      <c r="U1148" s="10"/>
      <c r="V1148" s="11"/>
      <c r="W1148" s="6"/>
      <c r="Y1148" s="10"/>
      <c r="Z1148" s="11"/>
      <c r="AA1148" s="6"/>
      <c r="AB1148" s="1">
        <v>1.2</v>
      </c>
      <c r="AC1148" s="21" t="str">
        <f t="shared" si="289"/>
        <v/>
      </c>
      <c r="AD1148" s="27" t="str">
        <f t="shared" si="282"/>
        <v/>
      </c>
      <c r="AE1148" s="27" t="str">
        <f t="shared" si="280"/>
        <v/>
      </c>
      <c r="AF1148" s="14">
        <f t="shared" si="290"/>
        <v>0</v>
      </c>
      <c r="AG1148" s="12">
        <f t="shared" si="285"/>
        <v>0</v>
      </c>
      <c r="AH1148" s="24">
        <f t="shared" si="291"/>
        <v>0</v>
      </c>
      <c r="AI1148" s="49" t="e">
        <f t="shared" si="281"/>
        <v>#VALUE!</v>
      </c>
      <c r="AK1148" s="50" t="e">
        <f t="shared" si="286"/>
        <v>#VALUE!</v>
      </c>
    </row>
    <row r="1149" spans="1:37" x14ac:dyDescent="0.4">
      <c r="A1149" s="2">
        <v>2302</v>
      </c>
      <c r="B1149" s="16"/>
      <c r="C1149" s="22">
        <f t="shared" si="283"/>
        <v>0</v>
      </c>
      <c r="D1149" s="23">
        <f t="shared" si="287"/>
        <v>0</v>
      </c>
      <c r="E1149" s="14"/>
      <c r="F1149" s="12">
        <f t="shared" si="284"/>
        <v>0</v>
      </c>
      <c r="G1149" s="24">
        <f t="shared" si="288"/>
        <v>0</v>
      </c>
      <c r="H1149" s="14"/>
      <c r="I1149" s="14"/>
      <c r="J1149" s="29"/>
      <c r="K1149" s="30"/>
      <c r="M1149" s="17"/>
      <c r="N1149" s="7"/>
      <c r="O1149" s="5"/>
      <c r="P1149" s="3"/>
      <c r="Q1149" s="5"/>
      <c r="R1149" s="7"/>
      <c r="S1149" s="5"/>
      <c r="U1149" s="10"/>
      <c r="V1149" s="11"/>
      <c r="W1149" s="6"/>
      <c r="Y1149" s="10"/>
      <c r="Z1149" s="11"/>
      <c r="AA1149" s="6"/>
      <c r="AB1149" s="1">
        <v>1.2</v>
      </c>
      <c r="AC1149" s="21" t="str">
        <f t="shared" si="289"/>
        <v/>
      </c>
      <c r="AD1149" s="27" t="str">
        <f t="shared" si="282"/>
        <v/>
      </c>
      <c r="AE1149" s="27" t="str">
        <f t="shared" si="280"/>
        <v/>
      </c>
      <c r="AF1149" s="14">
        <f t="shared" si="290"/>
        <v>0</v>
      </c>
      <c r="AG1149" s="12">
        <f t="shared" si="285"/>
        <v>0</v>
      </c>
      <c r="AH1149" s="24">
        <f t="shared" si="291"/>
        <v>0</v>
      </c>
      <c r="AI1149" s="49" t="e">
        <f t="shared" si="281"/>
        <v>#VALUE!</v>
      </c>
      <c r="AK1149" s="50" t="e">
        <f t="shared" si="286"/>
        <v>#VALUE!</v>
      </c>
    </row>
    <row r="1150" spans="1:37" x14ac:dyDescent="0.4">
      <c r="A1150" s="2">
        <v>2303</v>
      </c>
      <c r="B1150" s="16"/>
      <c r="C1150" s="22">
        <f t="shared" si="283"/>
        <v>0</v>
      </c>
      <c r="D1150" s="23">
        <f t="shared" si="287"/>
        <v>0</v>
      </c>
      <c r="E1150" s="14"/>
      <c r="F1150" s="12">
        <f t="shared" si="284"/>
        <v>0</v>
      </c>
      <c r="G1150" s="24">
        <f t="shared" si="288"/>
        <v>0</v>
      </c>
      <c r="H1150" s="14"/>
      <c r="I1150" s="14"/>
      <c r="J1150" s="29"/>
      <c r="K1150" s="30"/>
      <c r="M1150" s="17"/>
      <c r="N1150" s="7"/>
      <c r="O1150" s="5"/>
      <c r="P1150" s="3"/>
      <c r="Q1150" s="5"/>
      <c r="R1150" s="7"/>
      <c r="S1150" s="5"/>
      <c r="U1150" s="10"/>
      <c r="V1150" s="11"/>
      <c r="W1150" s="6"/>
      <c r="Y1150" s="10"/>
      <c r="Z1150" s="11"/>
      <c r="AA1150" s="6"/>
      <c r="AB1150" s="1">
        <v>1.2</v>
      </c>
      <c r="AC1150" s="21" t="str">
        <f t="shared" si="289"/>
        <v/>
      </c>
      <c r="AD1150" s="27" t="str">
        <f t="shared" si="282"/>
        <v/>
      </c>
      <c r="AE1150" s="27" t="str">
        <f t="shared" si="280"/>
        <v/>
      </c>
      <c r="AF1150" s="14">
        <f t="shared" si="290"/>
        <v>0</v>
      </c>
      <c r="AG1150" s="12">
        <f t="shared" si="285"/>
        <v>0</v>
      </c>
      <c r="AH1150" s="24">
        <f t="shared" si="291"/>
        <v>0</v>
      </c>
      <c r="AI1150" s="49" t="e">
        <f t="shared" si="281"/>
        <v>#VALUE!</v>
      </c>
      <c r="AK1150" s="50" t="e">
        <f t="shared" si="286"/>
        <v>#VALUE!</v>
      </c>
    </row>
    <row r="1151" spans="1:37" x14ac:dyDescent="0.4">
      <c r="A1151" s="2">
        <v>2304</v>
      </c>
      <c r="B1151" s="16"/>
      <c r="C1151" s="22">
        <f t="shared" si="283"/>
        <v>0</v>
      </c>
      <c r="D1151" s="23">
        <f t="shared" si="287"/>
        <v>0</v>
      </c>
      <c r="E1151" s="14"/>
      <c r="F1151" s="12">
        <f t="shared" si="284"/>
        <v>0</v>
      </c>
      <c r="G1151" s="24">
        <f t="shared" si="288"/>
        <v>0</v>
      </c>
      <c r="H1151" s="14"/>
      <c r="I1151" s="14"/>
      <c r="J1151" s="29"/>
      <c r="K1151" s="30"/>
      <c r="M1151" s="17"/>
      <c r="N1151" s="7"/>
      <c r="O1151" s="5"/>
      <c r="P1151" s="3"/>
      <c r="Q1151" s="5"/>
      <c r="R1151" s="7"/>
      <c r="S1151" s="5"/>
      <c r="U1151" s="10"/>
      <c r="V1151" s="11"/>
      <c r="W1151" s="6"/>
      <c r="Y1151" s="10"/>
      <c r="Z1151" s="11"/>
      <c r="AA1151" s="6"/>
      <c r="AB1151" s="1">
        <v>1.2</v>
      </c>
      <c r="AC1151" s="21" t="str">
        <f t="shared" si="289"/>
        <v/>
      </c>
      <c r="AD1151" s="27" t="str">
        <f t="shared" si="282"/>
        <v/>
      </c>
      <c r="AE1151" s="27" t="str">
        <f t="shared" si="280"/>
        <v/>
      </c>
      <c r="AF1151" s="14">
        <f t="shared" si="290"/>
        <v>0</v>
      </c>
      <c r="AG1151" s="12">
        <f t="shared" si="285"/>
        <v>0</v>
      </c>
      <c r="AH1151" s="24">
        <f t="shared" si="291"/>
        <v>0</v>
      </c>
      <c r="AI1151" s="49" t="e">
        <f t="shared" si="281"/>
        <v>#VALUE!</v>
      </c>
      <c r="AK1151" s="50" t="e">
        <f t="shared" si="286"/>
        <v>#VALUE!</v>
      </c>
    </row>
    <row r="1152" spans="1:37" x14ac:dyDescent="0.4">
      <c r="A1152" s="2">
        <v>2305</v>
      </c>
      <c r="B1152" s="16"/>
      <c r="C1152" s="22">
        <f t="shared" si="283"/>
        <v>0</v>
      </c>
      <c r="D1152" s="23">
        <f t="shared" si="287"/>
        <v>0</v>
      </c>
      <c r="E1152" s="14"/>
      <c r="F1152" s="12">
        <f t="shared" si="284"/>
        <v>0</v>
      </c>
      <c r="G1152" s="24">
        <f t="shared" si="288"/>
        <v>0</v>
      </c>
      <c r="H1152" s="14"/>
      <c r="I1152" s="14"/>
      <c r="J1152" s="29"/>
      <c r="K1152" s="30"/>
      <c r="M1152" s="17"/>
      <c r="N1152" s="7"/>
      <c r="O1152" s="5"/>
      <c r="P1152" s="3"/>
      <c r="Q1152" s="5"/>
      <c r="R1152" s="7"/>
      <c r="S1152" s="5"/>
      <c r="U1152" s="10"/>
      <c r="V1152" s="11"/>
      <c r="W1152" s="6"/>
      <c r="Y1152" s="10"/>
      <c r="Z1152" s="11"/>
      <c r="AA1152" s="6"/>
      <c r="AB1152" s="1">
        <v>1.2</v>
      </c>
      <c r="AC1152" s="21" t="str">
        <f t="shared" si="289"/>
        <v/>
      </c>
      <c r="AD1152" s="27" t="str">
        <f t="shared" si="282"/>
        <v/>
      </c>
      <c r="AE1152" s="27" t="str">
        <f t="shared" si="280"/>
        <v/>
      </c>
      <c r="AF1152" s="14">
        <f t="shared" si="290"/>
        <v>0</v>
      </c>
      <c r="AG1152" s="12">
        <f t="shared" si="285"/>
        <v>0</v>
      </c>
      <c r="AH1152" s="24">
        <f t="shared" si="291"/>
        <v>0</v>
      </c>
      <c r="AI1152" s="49" t="e">
        <f t="shared" si="281"/>
        <v>#VALUE!</v>
      </c>
      <c r="AK1152" s="50" t="e">
        <f t="shared" si="286"/>
        <v>#VALUE!</v>
      </c>
    </row>
    <row r="1153" spans="1:37" x14ac:dyDescent="0.4">
      <c r="A1153" s="2">
        <v>2306</v>
      </c>
      <c r="B1153" s="16"/>
      <c r="C1153" s="22">
        <f t="shared" si="283"/>
        <v>0</v>
      </c>
      <c r="D1153" s="23">
        <f t="shared" si="287"/>
        <v>0</v>
      </c>
      <c r="E1153" s="14"/>
      <c r="F1153" s="12">
        <f t="shared" si="284"/>
        <v>0</v>
      </c>
      <c r="G1153" s="24">
        <f t="shared" si="288"/>
        <v>0</v>
      </c>
      <c r="H1153" s="14"/>
      <c r="I1153" s="14"/>
      <c r="J1153" s="29"/>
      <c r="K1153" s="30"/>
      <c r="M1153" s="17"/>
      <c r="N1153" s="7"/>
      <c r="O1153" s="5"/>
      <c r="P1153" s="3"/>
      <c r="Q1153" s="5"/>
      <c r="R1153" s="7"/>
      <c r="S1153" s="5"/>
      <c r="U1153" s="10"/>
      <c r="V1153" s="11"/>
      <c r="W1153" s="6"/>
      <c r="Y1153" s="10"/>
      <c r="Z1153" s="11"/>
      <c r="AA1153" s="6"/>
      <c r="AB1153" s="1">
        <v>1.2</v>
      </c>
      <c r="AC1153" s="21" t="str">
        <f t="shared" si="289"/>
        <v/>
      </c>
      <c r="AD1153" s="27" t="str">
        <f t="shared" si="282"/>
        <v/>
      </c>
      <c r="AE1153" s="27" t="str">
        <f t="shared" si="280"/>
        <v/>
      </c>
      <c r="AF1153" s="14">
        <f t="shared" si="290"/>
        <v>0</v>
      </c>
      <c r="AG1153" s="12">
        <f t="shared" si="285"/>
        <v>0</v>
      </c>
      <c r="AH1153" s="24">
        <f t="shared" si="291"/>
        <v>0</v>
      </c>
      <c r="AI1153" s="49" t="e">
        <f t="shared" si="281"/>
        <v>#VALUE!</v>
      </c>
      <c r="AK1153" s="50" t="e">
        <f t="shared" si="286"/>
        <v>#VALUE!</v>
      </c>
    </row>
    <row r="1154" spans="1:37" x14ac:dyDescent="0.4">
      <c r="A1154" s="2">
        <v>2307</v>
      </c>
      <c r="B1154" s="16"/>
      <c r="C1154" s="22">
        <f t="shared" si="283"/>
        <v>0</v>
      </c>
      <c r="D1154" s="23">
        <f t="shared" si="287"/>
        <v>0</v>
      </c>
      <c r="E1154" s="14"/>
      <c r="F1154" s="12">
        <f t="shared" si="284"/>
        <v>0</v>
      </c>
      <c r="G1154" s="24">
        <f t="shared" si="288"/>
        <v>0</v>
      </c>
      <c r="H1154" s="14"/>
      <c r="I1154" s="14"/>
      <c r="J1154" s="29"/>
      <c r="K1154" s="30"/>
      <c r="M1154" s="17"/>
      <c r="N1154" s="7"/>
      <c r="O1154" s="5"/>
      <c r="P1154" s="3"/>
      <c r="Q1154" s="5"/>
      <c r="R1154" s="7"/>
      <c r="S1154" s="5"/>
      <c r="U1154" s="10"/>
      <c r="V1154" s="11"/>
      <c r="W1154" s="6"/>
      <c r="Y1154" s="10"/>
      <c r="Z1154" s="11"/>
      <c r="AA1154" s="6"/>
      <c r="AB1154" s="1">
        <v>1.2</v>
      </c>
      <c r="AC1154" s="21" t="str">
        <f t="shared" si="289"/>
        <v/>
      </c>
      <c r="AD1154" s="27" t="str">
        <f t="shared" si="282"/>
        <v/>
      </c>
      <c r="AE1154" s="27" t="str">
        <f t="shared" si="280"/>
        <v/>
      </c>
      <c r="AF1154" s="14">
        <f t="shared" si="290"/>
        <v>0</v>
      </c>
      <c r="AG1154" s="12">
        <f t="shared" si="285"/>
        <v>0</v>
      </c>
      <c r="AH1154" s="24">
        <f t="shared" si="291"/>
        <v>0</v>
      </c>
      <c r="AI1154" s="49" t="e">
        <f t="shared" si="281"/>
        <v>#VALUE!</v>
      </c>
      <c r="AK1154" s="50" t="e">
        <f t="shared" si="286"/>
        <v>#VALUE!</v>
      </c>
    </row>
    <row r="1155" spans="1:37" x14ac:dyDescent="0.4">
      <c r="A1155" s="2">
        <v>2308</v>
      </c>
      <c r="B1155" s="16"/>
      <c r="C1155" s="22">
        <f t="shared" si="283"/>
        <v>0</v>
      </c>
      <c r="D1155" s="23">
        <f t="shared" si="287"/>
        <v>0</v>
      </c>
      <c r="E1155" s="14"/>
      <c r="F1155" s="12">
        <f t="shared" si="284"/>
        <v>0</v>
      </c>
      <c r="G1155" s="24">
        <f t="shared" si="288"/>
        <v>0</v>
      </c>
      <c r="H1155" s="14"/>
      <c r="I1155" s="14"/>
      <c r="J1155" s="29"/>
      <c r="K1155" s="30"/>
      <c r="M1155" s="17"/>
      <c r="N1155" s="7"/>
      <c r="O1155" s="5"/>
      <c r="P1155" s="3"/>
      <c r="Q1155" s="5"/>
      <c r="R1155" s="7"/>
      <c r="S1155" s="5"/>
      <c r="U1155" s="10"/>
      <c r="V1155" s="11"/>
      <c r="W1155" s="6"/>
      <c r="Y1155" s="10"/>
      <c r="Z1155" s="11"/>
      <c r="AA1155" s="6"/>
      <c r="AB1155" s="1">
        <v>1.2</v>
      </c>
      <c r="AC1155" s="21" t="str">
        <f t="shared" si="289"/>
        <v/>
      </c>
      <c r="AD1155" s="27" t="str">
        <f t="shared" si="282"/>
        <v/>
      </c>
      <c r="AE1155" s="27" t="str">
        <f t="shared" si="280"/>
        <v/>
      </c>
      <c r="AF1155" s="14">
        <f t="shared" si="290"/>
        <v>0</v>
      </c>
      <c r="AG1155" s="12">
        <f t="shared" si="285"/>
        <v>0</v>
      </c>
      <c r="AH1155" s="24">
        <f t="shared" si="291"/>
        <v>0</v>
      </c>
      <c r="AI1155" s="49" t="e">
        <f t="shared" si="281"/>
        <v>#VALUE!</v>
      </c>
      <c r="AK1155" s="50" t="e">
        <f t="shared" si="286"/>
        <v>#VALUE!</v>
      </c>
    </row>
    <row r="1156" spans="1:37" x14ac:dyDescent="0.4">
      <c r="A1156" s="2">
        <v>2309</v>
      </c>
      <c r="B1156" s="16"/>
      <c r="C1156" s="22">
        <f t="shared" si="283"/>
        <v>0</v>
      </c>
      <c r="D1156" s="23">
        <f t="shared" si="287"/>
        <v>0</v>
      </c>
      <c r="E1156" s="14"/>
      <c r="F1156" s="12">
        <f t="shared" si="284"/>
        <v>0</v>
      </c>
      <c r="G1156" s="24">
        <f t="shared" si="288"/>
        <v>0</v>
      </c>
      <c r="H1156" s="14"/>
      <c r="I1156" s="14"/>
      <c r="J1156" s="29"/>
      <c r="K1156" s="30"/>
      <c r="M1156" s="17"/>
      <c r="N1156" s="7"/>
      <c r="O1156" s="5"/>
      <c r="P1156" s="3"/>
      <c r="Q1156" s="5"/>
      <c r="R1156" s="7"/>
      <c r="S1156" s="5"/>
      <c r="U1156" s="10"/>
      <c r="V1156" s="11"/>
      <c r="W1156" s="6"/>
      <c r="Y1156" s="10"/>
      <c r="Z1156" s="11"/>
      <c r="AA1156" s="6"/>
      <c r="AB1156" s="1">
        <v>1.2</v>
      </c>
      <c r="AC1156" s="21" t="str">
        <f t="shared" si="289"/>
        <v/>
      </c>
      <c r="AD1156" s="27" t="str">
        <f t="shared" si="282"/>
        <v/>
      </c>
      <c r="AE1156" s="27" t="str">
        <f t="shared" si="280"/>
        <v/>
      </c>
      <c r="AF1156" s="14">
        <f t="shared" si="290"/>
        <v>0</v>
      </c>
      <c r="AG1156" s="12">
        <f t="shared" si="285"/>
        <v>0</v>
      </c>
      <c r="AH1156" s="24">
        <f t="shared" si="291"/>
        <v>0</v>
      </c>
      <c r="AI1156" s="49" t="e">
        <f t="shared" si="281"/>
        <v>#VALUE!</v>
      </c>
      <c r="AK1156" s="50" t="e">
        <f t="shared" si="286"/>
        <v>#VALUE!</v>
      </c>
    </row>
    <row r="1157" spans="1:37" x14ac:dyDescent="0.4">
      <c r="A1157" s="2">
        <v>2310</v>
      </c>
      <c r="B1157" s="16"/>
      <c r="C1157" s="22">
        <f t="shared" si="283"/>
        <v>0</v>
      </c>
      <c r="D1157" s="23">
        <f t="shared" si="287"/>
        <v>0</v>
      </c>
      <c r="E1157" s="14"/>
      <c r="F1157" s="12">
        <f t="shared" si="284"/>
        <v>0</v>
      </c>
      <c r="G1157" s="24">
        <f t="shared" si="288"/>
        <v>0</v>
      </c>
      <c r="H1157" s="14"/>
      <c r="I1157" s="14"/>
      <c r="J1157" s="29"/>
      <c r="K1157" s="30"/>
      <c r="M1157" s="17"/>
      <c r="N1157" s="7"/>
      <c r="O1157" s="5"/>
      <c r="P1157" s="3"/>
      <c r="Q1157" s="5"/>
      <c r="R1157" s="7"/>
      <c r="S1157" s="5"/>
      <c r="U1157" s="10"/>
      <c r="V1157" s="11"/>
      <c r="W1157" s="6"/>
      <c r="Y1157" s="10"/>
      <c r="Z1157" s="11"/>
      <c r="AA1157" s="6"/>
      <c r="AB1157" s="1">
        <v>1.2</v>
      </c>
      <c r="AC1157" s="21" t="str">
        <f t="shared" si="289"/>
        <v/>
      </c>
      <c r="AD1157" s="27" t="str">
        <f t="shared" si="282"/>
        <v/>
      </c>
      <c r="AE1157" s="27" t="str">
        <f t="shared" si="280"/>
        <v/>
      </c>
      <c r="AF1157" s="14">
        <f t="shared" si="290"/>
        <v>0</v>
      </c>
      <c r="AG1157" s="12">
        <f t="shared" si="285"/>
        <v>0</v>
      </c>
      <c r="AH1157" s="24">
        <f t="shared" si="291"/>
        <v>0</v>
      </c>
      <c r="AI1157" s="49" t="e">
        <f t="shared" si="281"/>
        <v>#VALUE!</v>
      </c>
      <c r="AK1157" s="50" t="e">
        <f t="shared" si="286"/>
        <v>#VALUE!</v>
      </c>
    </row>
    <row r="1158" spans="1:37" x14ac:dyDescent="0.4">
      <c r="A1158" s="2">
        <v>2311</v>
      </c>
      <c r="B1158" s="16"/>
      <c r="C1158" s="22">
        <f t="shared" si="283"/>
        <v>0</v>
      </c>
      <c r="D1158" s="23">
        <f t="shared" si="287"/>
        <v>0</v>
      </c>
      <c r="E1158" s="14"/>
      <c r="F1158" s="12">
        <f t="shared" si="284"/>
        <v>0</v>
      </c>
      <c r="G1158" s="24">
        <f t="shared" si="288"/>
        <v>0</v>
      </c>
      <c r="H1158" s="14"/>
      <c r="I1158" s="14"/>
      <c r="J1158" s="29"/>
      <c r="K1158" s="30"/>
      <c r="M1158" s="17"/>
      <c r="N1158" s="7"/>
      <c r="O1158" s="5"/>
      <c r="P1158" s="3"/>
      <c r="Q1158" s="5"/>
      <c r="R1158" s="7"/>
      <c r="S1158" s="5"/>
      <c r="U1158" s="10"/>
      <c r="V1158" s="11"/>
      <c r="W1158" s="6"/>
      <c r="Y1158" s="10"/>
      <c r="Z1158" s="11"/>
      <c r="AA1158" s="6"/>
      <c r="AB1158" s="1">
        <v>1.2</v>
      </c>
      <c r="AC1158" s="21" t="str">
        <f t="shared" si="289"/>
        <v/>
      </c>
      <c r="AD1158" s="27" t="str">
        <f t="shared" si="282"/>
        <v/>
      </c>
      <c r="AE1158" s="27" t="str">
        <f t="shared" si="280"/>
        <v/>
      </c>
      <c r="AF1158" s="14">
        <f t="shared" si="290"/>
        <v>0</v>
      </c>
      <c r="AG1158" s="12">
        <f t="shared" si="285"/>
        <v>0</v>
      </c>
      <c r="AH1158" s="24">
        <f t="shared" si="291"/>
        <v>0</v>
      </c>
      <c r="AI1158" s="49" t="e">
        <f t="shared" si="281"/>
        <v>#VALUE!</v>
      </c>
      <c r="AK1158" s="50" t="e">
        <f t="shared" si="286"/>
        <v>#VALUE!</v>
      </c>
    </row>
    <row r="1159" spans="1:37" x14ac:dyDescent="0.4">
      <c r="A1159" s="2">
        <v>2312</v>
      </c>
      <c r="B1159" s="16"/>
      <c r="C1159" s="22">
        <f t="shared" si="283"/>
        <v>0</v>
      </c>
      <c r="D1159" s="23">
        <f t="shared" si="287"/>
        <v>0</v>
      </c>
      <c r="E1159" s="14"/>
      <c r="F1159" s="12">
        <f t="shared" si="284"/>
        <v>0</v>
      </c>
      <c r="G1159" s="24">
        <f t="shared" si="288"/>
        <v>0</v>
      </c>
      <c r="H1159" s="14"/>
      <c r="I1159" s="14"/>
      <c r="J1159" s="29"/>
      <c r="K1159" s="30"/>
      <c r="M1159" s="17"/>
      <c r="N1159" s="7"/>
      <c r="O1159" s="5"/>
      <c r="P1159" s="3"/>
      <c r="Q1159" s="5"/>
      <c r="R1159" s="7"/>
      <c r="S1159" s="5"/>
      <c r="U1159" s="10"/>
      <c r="V1159" s="11"/>
      <c r="W1159" s="6"/>
      <c r="Y1159" s="10"/>
      <c r="Z1159" s="11"/>
      <c r="AA1159" s="6"/>
      <c r="AB1159" s="1">
        <v>1.2</v>
      </c>
      <c r="AC1159" s="21" t="str">
        <f t="shared" si="289"/>
        <v/>
      </c>
      <c r="AD1159" s="27" t="str">
        <f t="shared" si="282"/>
        <v/>
      </c>
      <c r="AE1159" s="27" t="str">
        <f t="shared" si="280"/>
        <v/>
      </c>
      <c r="AF1159" s="14">
        <f t="shared" si="290"/>
        <v>0</v>
      </c>
      <c r="AG1159" s="12">
        <f t="shared" si="285"/>
        <v>0</v>
      </c>
      <c r="AH1159" s="24">
        <f t="shared" si="291"/>
        <v>0</v>
      </c>
      <c r="AI1159" s="49" t="e">
        <f t="shared" si="281"/>
        <v>#VALUE!</v>
      </c>
      <c r="AK1159" s="50" t="e">
        <f t="shared" si="286"/>
        <v>#VALUE!</v>
      </c>
    </row>
    <row r="1160" spans="1:37" x14ac:dyDescent="0.4">
      <c r="A1160" s="2">
        <v>2313</v>
      </c>
      <c r="B1160" s="16"/>
      <c r="C1160" s="22">
        <f t="shared" si="283"/>
        <v>0</v>
      </c>
      <c r="D1160" s="23">
        <f t="shared" si="287"/>
        <v>0</v>
      </c>
      <c r="E1160" s="14"/>
      <c r="F1160" s="12">
        <f t="shared" si="284"/>
        <v>0</v>
      </c>
      <c r="G1160" s="24">
        <f t="shared" si="288"/>
        <v>0</v>
      </c>
      <c r="H1160" s="14"/>
      <c r="I1160" s="14"/>
      <c r="J1160" s="29"/>
      <c r="K1160" s="30"/>
      <c r="M1160" s="17"/>
      <c r="N1160" s="7"/>
      <c r="O1160" s="5"/>
      <c r="P1160" s="3"/>
      <c r="Q1160" s="5"/>
      <c r="R1160" s="7"/>
      <c r="S1160" s="5"/>
      <c r="U1160" s="10"/>
      <c r="V1160" s="11"/>
      <c r="W1160" s="6"/>
      <c r="Y1160" s="10"/>
      <c r="Z1160" s="11"/>
      <c r="AA1160" s="6"/>
      <c r="AB1160" s="1">
        <v>1.2</v>
      </c>
      <c r="AC1160" s="21" t="str">
        <f t="shared" si="289"/>
        <v/>
      </c>
      <c r="AD1160" s="27" t="str">
        <f t="shared" si="282"/>
        <v/>
      </c>
      <c r="AE1160" s="27" t="str">
        <f t="shared" si="280"/>
        <v/>
      </c>
      <c r="AF1160" s="14">
        <f t="shared" si="290"/>
        <v>0</v>
      </c>
      <c r="AG1160" s="12">
        <f t="shared" si="285"/>
        <v>0</v>
      </c>
      <c r="AH1160" s="24">
        <f t="shared" si="291"/>
        <v>0</v>
      </c>
      <c r="AI1160" s="49" t="e">
        <f t="shared" si="281"/>
        <v>#VALUE!</v>
      </c>
      <c r="AK1160" s="50" t="e">
        <f t="shared" si="286"/>
        <v>#VALUE!</v>
      </c>
    </row>
    <row r="1161" spans="1:37" x14ac:dyDescent="0.4">
      <c r="A1161" s="2">
        <v>2314</v>
      </c>
      <c r="B1161" s="16"/>
      <c r="C1161" s="22">
        <f t="shared" si="283"/>
        <v>0</v>
      </c>
      <c r="D1161" s="23">
        <f t="shared" si="287"/>
        <v>0</v>
      </c>
      <c r="E1161" s="14"/>
      <c r="F1161" s="12">
        <f t="shared" si="284"/>
        <v>0</v>
      </c>
      <c r="G1161" s="24">
        <f t="shared" si="288"/>
        <v>0</v>
      </c>
      <c r="H1161" s="14"/>
      <c r="I1161" s="14"/>
      <c r="J1161" s="29"/>
      <c r="K1161" s="30"/>
      <c r="M1161" s="17"/>
      <c r="N1161" s="7"/>
      <c r="O1161" s="5"/>
      <c r="P1161" s="3"/>
      <c r="Q1161" s="5"/>
      <c r="R1161" s="7"/>
      <c r="S1161" s="5"/>
      <c r="U1161" s="10"/>
      <c r="V1161" s="11"/>
      <c r="W1161" s="6"/>
      <c r="Y1161" s="10"/>
      <c r="Z1161" s="11"/>
      <c r="AA1161" s="6"/>
      <c r="AB1161" s="1">
        <v>1.2</v>
      </c>
      <c r="AC1161" s="21" t="str">
        <f t="shared" si="289"/>
        <v/>
      </c>
      <c r="AD1161" s="27" t="str">
        <f t="shared" si="282"/>
        <v/>
      </c>
      <c r="AE1161" s="27" t="str">
        <f t="shared" si="280"/>
        <v/>
      </c>
      <c r="AF1161" s="14">
        <f t="shared" si="290"/>
        <v>0</v>
      </c>
      <c r="AG1161" s="12">
        <f t="shared" si="285"/>
        <v>0</v>
      </c>
      <c r="AH1161" s="24">
        <f t="shared" si="291"/>
        <v>0</v>
      </c>
      <c r="AI1161" s="49" t="e">
        <f t="shared" si="281"/>
        <v>#VALUE!</v>
      </c>
      <c r="AK1161" s="50" t="e">
        <f t="shared" si="286"/>
        <v>#VALUE!</v>
      </c>
    </row>
    <row r="1162" spans="1:37" x14ac:dyDescent="0.4">
      <c r="A1162" s="2">
        <v>2315</v>
      </c>
      <c r="B1162" s="16"/>
      <c r="C1162" s="22">
        <f t="shared" si="283"/>
        <v>0</v>
      </c>
      <c r="D1162" s="23">
        <f t="shared" si="287"/>
        <v>0</v>
      </c>
      <c r="E1162" s="14"/>
      <c r="F1162" s="12">
        <f t="shared" si="284"/>
        <v>0</v>
      </c>
      <c r="G1162" s="24">
        <f t="shared" si="288"/>
        <v>0</v>
      </c>
      <c r="H1162" s="14"/>
      <c r="I1162" s="14"/>
      <c r="J1162" s="29"/>
      <c r="K1162" s="30"/>
      <c r="M1162" s="17"/>
      <c r="N1162" s="7"/>
      <c r="O1162" s="5"/>
      <c r="P1162" s="3"/>
      <c r="Q1162" s="5"/>
      <c r="R1162" s="7"/>
      <c r="S1162" s="5"/>
      <c r="U1162" s="10"/>
      <c r="V1162" s="11"/>
      <c r="W1162" s="6"/>
      <c r="Y1162" s="10"/>
      <c r="Z1162" s="11"/>
      <c r="AA1162" s="6"/>
      <c r="AB1162" s="1">
        <v>1.2</v>
      </c>
      <c r="AC1162" s="21" t="str">
        <f t="shared" si="289"/>
        <v/>
      </c>
      <c r="AD1162" s="27" t="str">
        <f t="shared" si="282"/>
        <v/>
      </c>
      <c r="AE1162" s="27" t="str">
        <f t="shared" si="280"/>
        <v/>
      </c>
      <c r="AF1162" s="14">
        <f t="shared" si="290"/>
        <v>0</v>
      </c>
      <c r="AG1162" s="12">
        <f t="shared" si="285"/>
        <v>0</v>
      </c>
      <c r="AH1162" s="24">
        <f t="shared" si="291"/>
        <v>0</v>
      </c>
      <c r="AI1162" s="49" t="e">
        <f t="shared" si="281"/>
        <v>#VALUE!</v>
      </c>
      <c r="AK1162" s="50" t="e">
        <f t="shared" si="286"/>
        <v>#VALUE!</v>
      </c>
    </row>
    <row r="1163" spans="1:37" x14ac:dyDescent="0.4">
      <c r="A1163" s="2">
        <v>2316</v>
      </c>
      <c r="B1163" s="16"/>
      <c r="C1163" s="22">
        <f t="shared" si="283"/>
        <v>0</v>
      </c>
      <c r="D1163" s="23">
        <f t="shared" si="287"/>
        <v>0</v>
      </c>
      <c r="E1163" s="14"/>
      <c r="F1163" s="12">
        <f t="shared" si="284"/>
        <v>0</v>
      </c>
      <c r="G1163" s="24">
        <f t="shared" si="288"/>
        <v>0</v>
      </c>
      <c r="H1163" s="14"/>
      <c r="I1163" s="14"/>
      <c r="J1163" s="29"/>
      <c r="K1163" s="30"/>
      <c r="M1163" s="17"/>
      <c r="N1163" s="7"/>
      <c r="O1163" s="5"/>
      <c r="P1163" s="3"/>
      <c r="Q1163" s="5"/>
      <c r="R1163" s="7"/>
      <c r="S1163" s="5"/>
      <c r="U1163" s="10"/>
      <c r="V1163" s="11"/>
      <c r="W1163" s="6"/>
      <c r="Y1163" s="10"/>
      <c r="Z1163" s="11"/>
      <c r="AA1163" s="6"/>
      <c r="AB1163" s="1">
        <v>1.2</v>
      </c>
      <c r="AC1163" s="21" t="str">
        <f t="shared" si="289"/>
        <v/>
      </c>
      <c r="AD1163" s="27" t="str">
        <f t="shared" si="282"/>
        <v/>
      </c>
      <c r="AE1163" s="27" t="str">
        <f t="shared" si="280"/>
        <v/>
      </c>
      <c r="AF1163" s="14">
        <f t="shared" si="290"/>
        <v>0</v>
      </c>
      <c r="AG1163" s="12">
        <f t="shared" si="285"/>
        <v>0</v>
      </c>
      <c r="AH1163" s="24">
        <f t="shared" si="291"/>
        <v>0</v>
      </c>
      <c r="AI1163" s="49" t="e">
        <f t="shared" si="281"/>
        <v>#VALUE!</v>
      </c>
      <c r="AK1163" s="50" t="e">
        <f t="shared" si="286"/>
        <v>#VALUE!</v>
      </c>
    </row>
    <row r="1164" spans="1:37" x14ac:dyDescent="0.4">
      <c r="A1164" s="2">
        <v>2317</v>
      </c>
      <c r="B1164" s="16"/>
      <c r="C1164" s="22">
        <f t="shared" si="283"/>
        <v>0</v>
      </c>
      <c r="D1164" s="23">
        <f t="shared" si="287"/>
        <v>0</v>
      </c>
      <c r="E1164" s="14"/>
      <c r="F1164" s="12">
        <f t="shared" si="284"/>
        <v>0</v>
      </c>
      <c r="G1164" s="24">
        <f t="shared" si="288"/>
        <v>0</v>
      </c>
      <c r="H1164" s="14"/>
      <c r="I1164" s="14"/>
      <c r="J1164" s="29"/>
      <c r="K1164" s="30"/>
      <c r="M1164" s="17"/>
      <c r="N1164" s="7"/>
      <c r="O1164" s="5"/>
      <c r="P1164" s="3"/>
      <c r="Q1164" s="5"/>
      <c r="R1164" s="7"/>
      <c r="S1164" s="5"/>
      <c r="U1164" s="10"/>
      <c r="V1164" s="11"/>
      <c r="W1164" s="6"/>
      <c r="Y1164" s="10"/>
      <c r="Z1164" s="11"/>
      <c r="AA1164" s="6"/>
      <c r="AB1164" s="1">
        <v>1.2</v>
      </c>
      <c r="AC1164" s="21" t="str">
        <f t="shared" si="289"/>
        <v/>
      </c>
      <c r="AD1164" s="27" t="str">
        <f t="shared" si="282"/>
        <v/>
      </c>
      <c r="AE1164" s="27" t="str">
        <f t="shared" si="280"/>
        <v/>
      </c>
      <c r="AF1164" s="14">
        <f t="shared" si="290"/>
        <v>0</v>
      </c>
      <c r="AG1164" s="12">
        <f t="shared" si="285"/>
        <v>0</v>
      </c>
      <c r="AH1164" s="24">
        <f t="shared" si="291"/>
        <v>0</v>
      </c>
      <c r="AI1164" s="49" t="e">
        <f t="shared" si="281"/>
        <v>#VALUE!</v>
      </c>
      <c r="AK1164" s="50" t="e">
        <f t="shared" si="286"/>
        <v>#VALUE!</v>
      </c>
    </row>
    <row r="1165" spans="1:37" x14ac:dyDescent="0.4">
      <c r="A1165" s="2">
        <v>2318</v>
      </c>
      <c r="B1165" s="16"/>
      <c r="C1165" s="22">
        <f t="shared" si="283"/>
        <v>0</v>
      </c>
      <c r="D1165" s="23">
        <f t="shared" si="287"/>
        <v>0</v>
      </c>
      <c r="E1165" s="14"/>
      <c r="F1165" s="12">
        <f t="shared" si="284"/>
        <v>0</v>
      </c>
      <c r="G1165" s="24">
        <f t="shared" si="288"/>
        <v>0</v>
      </c>
      <c r="H1165" s="14"/>
      <c r="I1165" s="14"/>
      <c r="J1165" s="29"/>
      <c r="K1165" s="30"/>
      <c r="M1165" s="17"/>
      <c r="N1165" s="7"/>
      <c r="O1165" s="5"/>
      <c r="P1165" s="3"/>
      <c r="Q1165" s="5"/>
      <c r="R1165" s="7"/>
      <c r="S1165" s="5"/>
      <c r="U1165" s="10"/>
      <c r="V1165" s="11"/>
      <c r="W1165" s="6"/>
      <c r="Y1165" s="10"/>
      <c r="Z1165" s="11"/>
      <c r="AA1165" s="6"/>
      <c r="AB1165" s="1">
        <v>1.2</v>
      </c>
      <c r="AC1165" s="21" t="str">
        <f t="shared" si="289"/>
        <v/>
      </c>
      <c r="AD1165" s="27" t="str">
        <f t="shared" si="282"/>
        <v/>
      </c>
      <c r="AE1165" s="27" t="str">
        <f t="shared" ref="AE1165:AE1228" si="292">IF(I1165="","",TEXT(I1165-B1165,"[hh]:mm"))</f>
        <v/>
      </c>
      <c r="AF1165" s="14">
        <f t="shared" si="290"/>
        <v>0</v>
      </c>
      <c r="AG1165" s="12">
        <f t="shared" si="285"/>
        <v>0</v>
      </c>
      <c r="AH1165" s="24">
        <f t="shared" si="291"/>
        <v>0</v>
      </c>
      <c r="AI1165" s="49" t="e">
        <f t="shared" ref="AI1165:AI1178" si="293">MAX(VALUE(AC1165),VALUE(AD1165),VALUE(AE1165))</f>
        <v>#VALUE!</v>
      </c>
      <c r="AK1165" s="50" t="e">
        <f t="shared" si="286"/>
        <v>#VALUE!</v>
      </c>
    </row>
    <row r="1166" spans="1:37" x14ac:dyDescent="0.4">
      <c r="A1166" s="2">
        <v>2319</v>
      </c>
      <c r="B1166" s="16"/>
      <c r="C1166" s="22">
        <f t="shared" si="283"/>
        <v>0</v>
      </c>
      <c r="D1166" s="23">
        <f t="shared" si="287"/>
        <v>0</v>
      </c>
      <c r="E1166" s="14"/>
      <c r="F1166" s="12">
        <f t="shared" si="284"/>
        <v>0</v>
      </c>
      <c r="G1166" s="24">
        <f t="shared" si="288"/>
        <v>0</v>
      </c>
      <c r="H1166" s="14"/>
      <c r="I1166" s="14"/>
      <c r="J1166" s="29"/>
      <c r="K1166" s="30"/>
      <c r="M1166" s="17"/>
      <c r="N1166" s="7"/>
      <c r="O1166" s="5"/>
      <c r="P1166" s="3"/>
      <c r="Q1166" s="5"/>
      <c r="R1166" s="7"/>
      <c r="S1166" s="5"/>
      <c r="U1166" s="10"/>
      <c r="V1166" s="11"/>
      <c r="W1166" s="6"/>
      <c r="Y1166" s="10"/>
      <c r="Z1166" s="11"/>
      <c r="AA1166" s="6"/>
      <c r="AB1166" s="1">
        <v>1.2</v>
      </c>
      <c r="AC1166" s="21" t="str">
        <f t="shared" si="289"/>
        <v/>
      </c>
      <c r="AD1166" s="27" t="str">
        <f t="shared" si="282"/>
        <v/>
      </c>
      <c r="AE1166" s="27" t="str">
        <f t="shared" si="292"/>
        <v/>
      </c>
      <c r="AF1166" s="14">
        <f t="shared" si="290"/>
        <v>0</v>
      </c>
      <c r="AG1166" s="12">
        <f t="shared" si="285"/>
        <v>0</v>
      </c>
      <c r="AH1166" s="24">
        <f t="shared" si="291"/>
        <v>0</v>
      </c>
      <c r="AI1166" s="49" t="e">
        <f t="shared" si="293"/>
        <v>#VALUE!</v>
      </c>
      <c r="AK1166" s="50" t="e">
        <f t="shared" si="286"/>
        <v>#VALUE!</v>
      </c>
    </row>
    <row r="1167" spans="1:37" x14ac:dyDescent="0.4">
      <c r="A1167" s="2">
        <v>2320</v>
      </c>
      <c r="B1167" s="16"/>
      <c r="C1167" s="22">
        <f t="shared" si="283"/>
        <v>0</v>
      </c>
      <c r="D1167" s="23">
        <f t="shared" si="287"/>
        <v>0</v>
      </c>
      <c r="E1167" s="14"/>
      <c r="F1167" s="12">
        <f t="shared" si="284"/>
        <v>0</v>
      </c>
      <c r="G1167" s="24">
        <f t="shared" si="288"/>
        <v>0</v>
      </c>
      <c r="H1167" s="14"/>
      <c r="I1167" s="14"/>
      <c r="J1167" s="29"/>
      <c r="K1167" s="30"/>
      <c r="M1167" s="17"/>
      <c r="N1167" s="7"/>
      <c r="O1167" s="5"/>
      <c r="P1167" s="3"/>
      <c r="Q1167" s="5"/>
      <c r="R1167" s="7"/>
      <c r="S1167" s="5"/>
      <c r="U1167" s="10"/>
      <c r="V1167" s="11"/>
      <c r="W1167" s="6"/>
      <c r="Y1167" s="10"/>
      <c r="Z1167" s="11"/>
      <c r="AA1167" s="6"/>
      <c r="AB1167" s="1">
        <v>1.2</v>
      </c>
      <c r="AC1167" s="21" t="str">
        <f t="shared" si="289"/>
        <v/>
      </c>
      <c r="AD1167" s="27" t="str">
        <f t="shared" si="282"/>
        <v/>
      </c>
      <c r="AE1167" s="27" t="str">
        <f t="shared" si="292"/>
        <v/>
      </c>
      <c r="AF1167" s="14">
        <f t="shared" si="290"/>
        <v>0</v>
      </c>
      <c r="AG1167" s="12">
        <f t="shared" si="285"/>
        <v>0</v>
      </c>
      <c r="AH1167" s="24">
        <f t="shared" si="291"/>
        <v>0</v>
      </c>
      <c r="AI1167" s="49" t="e">
        <f t="shared" si="293"/>
        <v>#VALUE!</v>
      </c>
      <c r="AK1167" s="50" t="e">
        <f t="shared" si="286"/>
        <v>#VALUE!</v>
      </c>
    </row>
    <row r="1168" spans="1:37" x14ac:dyDescent="0.4">
      <c r="A1168" s="2">
        <v>2321</v>
      </c>
      <c r="B1168" s="16"/>
      <c r="C1168" s="22">
        <f t="shared" si="283"/>
        <v>0</v>
      </c>
      <c r="D1168" s="23">
        <f t="shared" si="287"/>
        <v>0</v>
      </c>
      <c r="E1168" s="14"/>
      <c r="F1168" s="12">
        <f t="shared" si="284"/>
        <v>0</v>
      </c>
      <c r="G1168" s="24">
        <f t="shared" si="288"/>
        <v>0</v>
      </c>
      <c r="H1168" s="14"/>
      <c r="I1168" s="14"/>
      <c r="J1168" s="29"/>
      <c r="K1168" s="30"/>
      <c r="M1168" s="17"/>
      <c r="N1168" s="7"/>
      <c r="O1168" s="5"/>
      <c r="P1168" s="3"/>
      <c r="Q1168" s="5"/>
      <c r="R1168" s="7"/>
      <c r="S1168" s="5"/>
      <c r="U1168" s="10"/>
      <c r="V1168" s="11"/>
      <c r="W1168" s="6"/>
      <c r="Y1168" s="10"/>
      <c r="Z1168" s="11"/>
      <c r="AA1168" s="6"/>
      <c r="AB1168" s="1">
        <v>1.2</v>
      </c>
      <c r="AC1168" s="21" t="str">
        <f t="shared" si="289"/>
        <v/>
      </c>
      <c r="AD1168" s="27" t="str">
        <f t="shared" si="282"/>
        <v/>
      </c>
      <c r="AE1168" s="27" t="str">
        <f t="shared" si="292"/>
        <v/>
      </c>
      <c r="AF1168" s="14">
        <f t="shared" si="290"/>
        <v>0</v>
      </c>
      <c r="AG1168" s="12">
        <f t="shared" si="285"/>
        <v>0</v>
      </c>
      <c r="AH1168" s="24">
        <f t="shared" si="291"/>
        <v>0</v>
      </c>
      <c r="AI1168" s="49" t="e">
        <f t="shared" si="293"/>
        <v>#VALUE!</v>
      </c>
      <c r="AK1168" s="50" t="e">
        <f t="shared" si="286"/>
        <v>#VALUE!</v>
      </c>
    </row>
    <row r="1169" spans="1:37" x14ac:dyDescent="0.4">
      <c r="A1169" s="2">
        <v>2322</v>
      </c>
      <c r="B1169" s="16"/>
      <c r="C1169" s="22">
        <f t="shared" si="283"/>
        <v>0</v>
      </c>
      <c r="D1169" s="23">
        <f t="shared" si="287"/>
        <v>0</v>
      </c>
      <c r="E1169" s="14"/>
      <c r="F1169" s="12">
        <f t="shared" si="284"/>
        <v>0</v>
      </c>
      <c r="G1169" s="24">
        <f t="shared" si="288"/>
        <v>0</v>
      </c>
      <c r="H1169" s="14"/>
      <c r="I1169" s="14"/>
      <c r="J1169" s="29"/>
      <c r="K1169" s="30"/>
      <c r="M1169" s="17"/>
      <c r="N1169" s="7"/>
      <c r="O1169" s="5"/>
      <c r="P1169" s="3"/>
      <c r="Q1169" s="5"/>
      <c r="R1169" s="7"/>
      <c r="S1169" s="5"/>
      <c r="U1169" s="10"/>
      <c r="V1169" s="11"/>
      <c r="W1169" s="6"/>
      <c r="Y1169" s="10"/>
      <c r="Z1169" s="11"/>
      <c r="AA1169" s="6"/>
      <c r="AB1169" s="1">
        <v>1.2</v>
      </c>
      <c r="AC1169" s="21" t="str">
        <f t="shared" si="289"/>
        <v/>
      </c>
      <c r="AD1169" s="27" t="str">
        <f t="shared" si="282"/>
        <v/>
      </c>
      <c r="AE1169" s="27" t="str">
        <f t="shared" si="292"/>
        <v/>
      </c>
      <c r="AF1169" s="14">
        <f t="shared" si="290"/>
        <v>0</v>
      </c>
      <c r="AG1169" s="12">
        <f t="shared" si="285"/>
        <v>0</v>
      </c>
      <c r="AH1169" s="24">
        <f t="shared" si="291"/>
        <v>0</v>
      </c>
      <c r="AI1169" s="49" t="e">
        <f t="shared" si="293"/>
        <v>#VALUE!</v>
      </c>
      <c r="AK1169" s="50" t="e">
        <f t="shared" si="286"/>
        <v>#VALUE!</v>
      </c>
    </row>
    <row r="1170" spans="1:37" x14ac:dyDescent="0.4">
      <c r="A1170" s="2">
        <v>2323</v>
      </c>
      <c r="B1170" s="16"/>
      <c r="C1170" s="22">
        <f t="shared" si="283"/>
        <v>0</v>
      </c>
      <c r="D1170" s="23">
        <f t="shared" si="287"/>
        <v>0</v>
      </c>
      <c r="E1170" s="14"/>
      <c r="F1170" s="12">
        <f t="shared" si="284"/>
        <v>0</v>
      </c>
      <c r="G1170" s="24">
        <f t="shared" si="288"/>
        <v>0</v>
      </c>
      <c r="H1170" s="14"/>
      <c r="I1170" s="14"/>
      <c r="J1170" s="29"/>
      <c r="K1170" s="30"/>
      <c r="M1170" s="17"/>
      <c r="N1170" s="7"/>
      <c r="O1170" s="5"/>
      <c r="P1170" s="3"/>
      <c r="Q1170" s="5"/>
      <c r="R1170" s="7"/>
      <c r="S1170" s="5"/>
      <c r="U1170" s="10"/>
      <c r="V1170" s="11"/>
      <c r="W1170" s="6"/>
      <c r="Y1170" s="10"/>
      <c r="Z1170" s="11"/>
      <c r="AA1170" s="6"/>
      <c r="AB1170" s="1">
        <v>1.2</v>
      </c>
      <c r="AC1170" s="21" t="str">
        <f t="shared" si="289"/>
        <v/>
      </c>
      <c r="AD1170" s="27" t="str">
        <f t="shared" si="282"/>
        <v/>
      </c>
      <c r="AE1170" s="27" t="str">
        <f t="shared" si="292"/>
        <v/>
      </c>
      <c r="AF1170" s="14">
        <f t="shared" si="290"/>
        <v>0</v>
      </c>
      <c r="AG1170" s="12">
        <f t="shared" si="285"/>
        <v>0</v>
      </c>
      <c r="AH1170" s="24">
        <f t="shared" si="291"/>
        <v>0</v>
      </c>
      <c r="AI1170" s="49" t="e">
        <f t="shared" si="293"/>
        <v>#VALUE!</v>
      </c>
      <c r="AK1170" s="50" t="e">
        <f t="shared" si="286"/>
        <v>#VALUE!</v>
      </c>
    </row>
    <row r="1171" spans="1:37" x14ac:dyDescent="0.4">
      <c r="A1171" s="2">
        <v>2324</v>
      </c>
      <c r="B1171" s="16"/>
      <c r="C1171" s="22">
        <f t="shared" si="283"/>
        <v>0</v>
      </c>
      <c r="D1171" s="23">
        <f t="shared" si="287"/>
        <v>0</v>
      </c>
      <c r="E1171" s="14"/>
      <c r="F1171" s="12">
        <f t="shared" si="284"/>
        <v>0</v>
      </c>
      <c r="G1171" s="24">
        <f t="shared" si="288"/>
        <v>0</v>
      </c>
      <c r="H1171" s="14"/>
      <c r="I1171" s="14"/>
      <c r="J1171" s="29"/>
      <c r="K1171" s="30"/>
      <c r="M1171" s="17"/>
      <c r="N1171" s="7"/>
      <c r="O1171" s="5"/>
      <c r="P1171" s="3"/>
      <c r="Q1171" s="5"/>
      <c r="R1171" s="7"/>
      <c r="S1171" s="5"/>
      <c r="U1171" s="10"/>
      <c r="V1171" s="11"/>
      <c r="W1171" s="6"/>
      <c r="Y1171" s="10"/>
      <c r="Z1171" s="11"/>
      <c r="AA1171" s="6"/>
      <c r="AB1171" s="1">
        <v>1.2</v>
      </c>
      <c r="AC1171" s="21" t="str">
        <f t="shared" si="289"/>
        <v/>
      </c>
      <c r="AD1171" s="27" t="str">
        <f t="shared" si="282"/>
        <v/>
      </c>
      <c r="AE1171" s="27" t="str">
        <f t="shared" si="292"/>
        <v/>
      </c>
      <c r="AF1171" s="14">
        <f t="shared" si="290"/>
        <v>0</v>
      </c>
      <c r="AG1171" s="12">
        <f t="shared" si="285"/>
        <v>0</v>
      </c>
      <c r="AH1171" s="24">
        <f t="shared" si="291"/>
        <v>0</v>
      </c>
      <c r="AI1171" s="49" t="e">
        <f t="shared" si="293"/>
        <v>#VALUE!</v>
      </c>
      <c r="AK1171" s="50" t="e">
        <f t="shared" si="286"/>
        <v>#VALUE!</v>
      </c>
    </row>
    <row r="1172" spans="1:37" x14ac:dyDescent="0.4">
      <c r="A1172" s="2">
        <v>2325</v>
      </c>
      <c r="B1172" s="16"/>
      <c r="C1172" s="22">
        <f t="shared" si="283"/>
        <v>0</v>
      </c>
      <c r="D1172" s="23">
        <f t="shared" si="287"/>
        <v>0</v>
      </c>
      <c r="E1172" s="14"/>
      <c r="F1172" s="12">
        <f t="shared" si="284"/>
        <v>0</v>
      </c>
      <c r="G1172" s="24">
        <f t="shared" si="288"/>
        <v>0</v>
      </c>
      <c r="H1172" s="14"/>
      <c r="I1172" s="14"/>
      <c r="J1172" s="29"/>
      <c r="K1172" s="30"/>
      <c r="M1172" s="17"/>
      <c r="N1172" s="7"/>
      <c r="O1172" s="5"/>
      <c r="P1172" s="3"/>
      <c r="Q1172" s="5"/>
      <c r="R1172" s="7"/>
      <c r="S1172" s="5"/>
      <c r="U1172" s="10"/>
      <c r="V1172" s="11"/>
      <c r="W1172" s="6"/>
      <c r="Y1172" s="10"/>
      <c r="Z1172" s="11"/>
      <c r="AA1172" s="6"/>
      <c r="AB1172" s="1">
        <v>1.2</v>
      </c>
      <c r="AC1172" s="21" t="str">
        <f t="shared" si="289"/>
        <v/>
      </c>
      <c r="AD1172" s="27" t="str">
        <f t="shared" si="282"/>
        <v/>
      </c>
      <c r="AE1172" s="27" t="str">
        <f t="shared" si="292"/>
        <v/>
      </c>
      <c r="AF1172" s="14">
        <f t="shared" si="290"/>
        <v>0</v>
      </c>
      <c r="AG1172" s="12">
        <f t="shared" si="285"/>
        <v>0</v>
      </c>
      <c r="AH1172" s="24">
        <f t="shared" si="291"/>
        <v>0</v>
      </c>
      <c r="AI1172" s="49" t="e">
        <f t="shared" si="293"/>
        <v>#VALUE!</v>
      </c>
      <c r="AK1172" s="50" t="e">
        <f t="shared" si="286"/>
        <v>#VALUE!</v>
      </c>
    </row>
    <row r="1173" spans="1:37" x14ac:dyDescent="0.4">
      <c r="A1173" s="2">
        <v>2326</v>
      </c>
      <c r="B1173" s="16"/>
      <c r="C1173" s="22">
        <f t="shared" si="283"/>
        <v>0</v>
      </c>
      <c r="D1173" s="23">
        <f t="shared" si="287"/>
        <v>0</v>
      </c>
      <c r="E1173" s="14"/>
      <c r="F1173" s="12">
        <f t="shared" si="284"/>
        <v>0</v>
      </c>
      <c r="G1173" s="24">
        <f t="shared" si="288"/>
        <v>0</v>
      </c>
      <c r="H1173" s="14"/>
      <c r="I1173" s="14"/>
      <c r="J1173" s="29"/>
      <c r="K1173" s="30"/>
      <c r="M1173" s="17"/>
      <c r="N1173" s="7"/>
      <c r="O1173" s="5"/>
      <c r="P1173" s="3"/>
      <c r="Q1173" s="5"/>
      <c r="R1173" s="7"/>
      <c r="S1173" s="5"/>
      <c r="U1173" s="10"/>
      <c r="V1173" s="11"/>
      <c r="W1173" s="6"/>
      <c r="Y1173" s="10"/>
      <c r="Z1173" s="11"/>
      <c r="AA1173" s="6"/>
      <c r="AB1173" s="1">
        <v>1.2</v>
      </c>
      <c r="AC1173" s="21" t="str">
        <f t="shared" si="289"/>
        <v/>
      </c>
      <c r="AD1173" s="27" t="str">
        <f t="shared" si="282"/>
        <v/>
      </c>
      <c r="AE1173" s="27" t="str">
        <f t="shared" si="292"/>
        <v/>
      </c>
      <c r="AF1173" s="14">
        <f t="shared" si="290"/>
        <v>0</v>
      </c>
      <c r="AG1173" s="12">
        <f t="shared" si="285"/>
        <v>0</v>
      </c>
      <c r="AH1173" s="24">
        <f t="shared" si="291"/>
        <v>0</v>
      </c>
      <c r="AI1173" s="49" t="e">
        <f t="shared" si="293"/>
        <v>#VALUE!</v>
      </c>
      <c r="AK1173" s="50" t="e">
        <f t="shared" si="286"/>
        <v>#VALUE!</v>
      </c>
    </row>
    <row r="1174" spans="1:37" x14ac:dyDescent="0.4">
      <c r="A1174" s="2">
        <v>2327</v>
      </c>
      <c r="B1174" s="16"/>
      <c r="C1174" s="22">
        <f t="shared" si="283"/>
        <v>0</v>
      </c>
      <c r="D1174" s="23">
        <f t="shared" si="287"/>
        <v>0</v>
      </c>
      <c r="E1174" s="14"/>
      <c r="F1174" s="12">
        <f t="shared" si="284"/>
        <v>0</v>
      </c>
      <c r="G1174" s="24">
        <f t="shared" si="288"/>
        <v>0</v>
      </c>
      <c r="H1174" s="14"/>
      <c r="I1174" s="14"/>
      <c r="J1174" s="29"/>
      <c r="K1174" s="30"/>
      <c r="M1174" s="17"/>
      <c r="N1174" s="7"/>
      <c r="O1174" s="5"/>
      <c r="P1174" s="3"/>
      <c r="Q1174" s="5"/>
      <c r="R1174" s="7"/>
      <c r="S1174" s="5"/>
      <c r="U1174" s="10"/>
      <c r="V1174" s="11"/>
      <c r="W1174" s="6"/>
      <c r="Y1174" s="10"/>
      <c r="Z1174" s="11"/>
      <c r="AA1174" s="6"/>
      <c r="AB1174" s="1">
        <v>1.2</v>
      </c>
      <c r="AC1174" s="21" t="str">
        <f t="shared" si="289"/>
        <v/>
      </c>
      <c r="AD1174" s="27" t="str">
        <f t="shared" ref="AD1174:AD1237" si="294">IF(H1174="","",TEXT(H1174-B1174,"[hh]:mm"))</f>
        <v/>
      </c>
      <c r="AE1174" s="27" t="str">
        <f t="shared" si="292"/>
        <v/>
      </c>
      <c r="AF1174" s="14">
        <f t="shared" si="290"/>
        <v>0</v>
      </c>
      <c r="AG1174" s="12">
        <f t="shared" si="285"/>
        <v>0</v>
      </c>
      <c r="AH1174" s="24">
        <f t="shared" si="291"/>
        <v>0</v>
      </c>
      <c r="AI1174" s="49" t="e">
        <f t="shared" si="293"/>
        <v>#VALUE!</v>
      </c>
      <c r="AK1174" s="50" t="e">
        <f t="shared" si="286"/>
        <v>#VALUE!</v>
      </c>
    </row>
    <row r="1175" spans="1:37" x14ac:dyDescent="0.4">
      <c r="A1175" s="2">
        <v>2328</v>
      </c>
      <c r="B1175" s="16"/>
      <c r="C1175" s="22">
        <f t="shared" ref="C1175:C1238" si="295">INT(B1175)</f>
        <v>0</v>
      </c>
      <c r="D1175" s="23">
        <f t="shared" si="287"/>
        <v>0</v>
      </c>
      <c r="E1175" s="14"/>
      <c r="F1175" s="12">
        <f t="shared" ref="F1175:F1238" si="296">INT(E1175)</f>
        <v>0</v>
      </c>
      <c r="G1175" s="24">
        <f t="shared" si="288"/>
        <v>0</v>
      </c>
      <c r="H1175" s="14"/>
      <c r="I1175" s="14"/>
      <c r="J1175" s="29"/>
      <c r="K1175" s="30"/>
      <c r="M1175" s="17"/>
      <c r="N1175" s="7"/>
      <c r="O1175" s="5"/>
      <c r="P1175" s="3"/>
      <c r="Q1175" s="5"/>
      <c r="R1175" s="7"/>
      <c r="S1175" s="5"/>
      <c r="U1175" s="10"/>
      <c r="V1175" s="11"/>
      <c r="W1175" s="6"/>
      <c r="Y1175" s="10"/>
      <c r="Z1175" s="11"/>
      <c r="AA1175" s="6"/>
      <c r="AB1175" s="1">
        <v>1.2</v>
      </c>
      <c r="AC1175" s="21" t="str">
        <f t="shared" si="289"/>
        <v/>
      </c>
      <c r="AD1175" s="27" t="str">
        <f t="shared" si="294"/>
        <v/>
      </c>
      <c r="AE1175" s="27" t="str">
        <f t="shared" si="292"/>
        <v/>
      </c>
      <c r="AF1175" s="14">
        <f t="shared" si="290"/>
        <v>0</v>
      </c>
      <c r="AG1175" s="12">
        <f t="shared" ref="AG1175:AG1238" si="297">INT(AF1175)</f>
        <v>0</v>
      </c>
      <c r="AH1175" s="24">
        <f t="shared" si="291"/>
        <v>0</v>
      </c>
      <c r="AI1175" s="49" t="e">
        <f t="shared" si="293"/>
        <v>#VALUE!</v>
      </c>
      <c r="AK1175" s="50" t="e">
        <f t="shared" ref="AK1175:AK1238" si="298">IF(VALUE(AI1175)&lt;=VALUE($AK$3),"BOM","RUIM")</f>
        <v>#VALUE!</v>
      </c>
    </row>
    <row r="1176" spans="1:37" x14ac:dyDescent="0.4">
      <c r="A1176" s="2">
        <v>2329</v>
      </c>
      <c r="B1176" s="16"/>
      <c r="C1176" s="22">
        <f t="shared" si="295"/>
        <v>0</v>
      </c>
      <c r="D1176" s="23">
        <f t="shared" si="287"/>
        <v>0</v>
      </c>
      <c r="E1176" s="14"/>
      <c r="F1176" s="12">
        <f t="shared" si="296"/>
        <v>0</v>
      </c>
      <c r="G1176" s="24">
        <f t="shared" si="288"/>
        <v>0</v>
      </c>
      <c r="H1176" s="14"/>
      <c r="I1176" s="14"/>
      <c r="J1176" s="29"/>
      <c r="K1176" s="30"/>
      <c r="M1176" s="17"/>
      <c r="N1176" s="7"/>
      <c r="O1176" s="5"/>
      <c r="P1176" s="3"/>
      <c r="Q1176" s="5"/>
      <c r="R1176" s="7"/>
      <c r="S1176" s="5"/>
      <c r="U1176" s="10"/>
      <c r="V1176" s="11"/>
      <c r="W1176" s="6"/>
      <c r="Y1176" s="10"/>
      <c r="Z1176" s="11"/>
      <c r="AA1176" s="6"/>
      <c r="AB1176" s="1">
        <v>1.2</v>
      </c>
      <c r="AC1176" s="21" t="str">
        <f t="shared" si="289"/>
        <v/>
      </c>
      <c r="AD1176" s="27" t="str">
        <f t="shared" si="294"/>
        <v/>
      </c>
      <c r="AE1176" s="27" t="str">
        <f t="shared" si="292"/>
        <v/>
      </c>
      <c r="AF1176" s="14">
        <f t="shared" si="290"/>
        <v>0</v>
      </c>
      <c r="AG1176" s="12">
        <f t="shared" si="297"/>
        <v>0</v>
      </c>
      <c r="AH1176" s="24">
        <f t="shared" si="291"/>
        <v>0</v>
      </c>
      <c r="AI1176" s="49" t="e">
        <f t="shared" si="293"/>
        <v>#VALUE!</v>
      </c>
      <c r="AK1176" s="50" t="e">
        <f t="shared" si="298"/>
        <v>#VALUE!</v>
      </c>
    </row>
    <row r="1177" spans="1:37" x14ac:dyDescent="0.4">
      <c r="A1177" s="2">
        <v>2330</v>
      </c>
      <c r="B1177" s="16"/>
      <c r="C1177" s="22">
        <f t="shared" si="295"/>
        <v>0</v>
      </c>
      <c r="D1177" s="23">
        <f t="shared" si="287"/>
        <v>0</v>
      </c>
      <c r="E1177" s="14"/>
      <c r="F1177" s="12">
        <f t="shared" si="296"/>
        <v>0</v>
      </c>
      <c r="G1177" s="24">
        <f t="shared" si="288"/>
        <v>0</v>
      </c>
      <c r="H1177" s="14"/>
      <c r="I1177" s="14"/>
      <c r="J1177" s="29"/>
      <c r="K1177" s="30"/>
      <c r="M1177" s="17"/>
      <c r="N1177" s="7"/>
      <c r="O1177" s="5"/>
      <c r="P1177" s="3"/>
      <c r="Q1177" s="5"/>
      <c r="R1177" s="7"/>
      <c r="S1177" s="5"/>
      <c r="U1177" s="10"/>
      <c r="V1177" s="11"/>
      <c r="W1177" s="6"/>
      <c r="Y1177" s="10"/>
      <c r="Z1177" s="11"/>
      <c r="AA1177" s="6"/>
      <c r="AB1177" s="1">
        <v>1.2</v>
      </c>
      <c r="AC1177" s="21" t="str">
        <f t="shared" si="289"/>
        <v/>
      </c>
      <c r="AD1177" s="27" t="str">
        <f t="shared" si="294"/>
        <v/>
      </c>
      <c r="AE1177" s="27" t="str">
        <f t="shared" si="292"/>
        <v/>
      </c>
      <c r="AF1177" s="14">
        <f t="shared" si="290"/>
        <v>0</v>
      </c>
      <c r="AG1177" s="12">
        <f t="shared" si="297"/>
        <v>0</v>
      </c>
      <c r="AH1177" s="24">
        <f t="shared" si="291"/>
        <v>0</v>
      </c>
      <c r="AI1177" s="49" t="e">
        <f t="shared" si="293"/>
        <v>#VALUE!</v>
      </c>
      <c r="AK1177" s="50" t="e">
        <f t="shared" si="298"/>
        <v>#VALUE!</v>
      </c>
    </row>
    <row r="1178" spans="1:37" x14ac:dyDescent="0.4">
      <c r="A1178" s="2">
        <v>2331</v>
      </c>
      <c r="B1178" s="16"/>
      <c r="C1178" s="22">
        <f t="shared" si="295"/>
        <v>0</v>
      </c>
      <c r="D1178" s="23">
        <f t="shared" si="287"/>
        <v>0</v>
      </c>
      <c r="E1178" s="14"/>
      <c r="F1178" s="12">
        <f t="shared" si="296"/>
        <v>0</v>
      </c>
      <c r="G1178" s="24">
        <f t="shared" si="288"/>
        <v>0</v>
      </c>
      <c r="H1178" s="14"/>
      <c r="I1178" s="14"/>
      <c r="J1178" s="29"/>
      <c r="K1178" s="30"/>
      <c r="M1178" s="17"/>
      <c r="N1178" s="7"/>
      <c r="O1178" s="5"/>
      <c r="P1178" s="3"/>
      <c r="Q1178" s="5"/>
      <c r="R1178" s="7"/>
      <c r="S1178" s="5"/>
      <c r="U1178" s="10"/>
      <c r="V1178" s="11"/>
      <c r="W1178" s="6"/>
      <c r="Y1178" s="10"/>
      <c r="Z1178" s="11"/>
      <c r="AA1178" s="6"/>
      <c r="AB1178" s="1">
        <v>1.2</v>
      </c>
      <c r="AC1178" s="21" t="str">
        <f t="shared" si="289"/>
        <v/>
      </c>
      <c r="AD1178" s="27" t="str">
        <f t="shared" si="294"/>
        <v/>
      </c>
      <c r="AE1178" s="27" t="str">
        <f t="shared" si="292"/>
        <v/>
      </c>
      <c r="AF1178" s="14">
        <f t="shared" si="290"/>
        <v>0</v>
      </c>
      <c r="AG1178" s="12">
        <f t="shared" si="297"/>
        <v>0</v>
      </c>
      <c r="AH1178" s="24">
        <f t="shared" si="291"/>
        <v>0</v>
      </c>
      <c r="AI1178" s="49" t="e">
        <f t="shared" si="293"/>
        <v>#VALUE!</v>
      </c>
      <c r="AK1178" s="50" t="e">
        <f t="shared" si="298"/>
        <v>#VALUE!</v>
      </c>
    </row>
    <row r="1179" spans="1:37" x14ac:dyDescent="0.4">
      <c r="A1179" s="2">
        <v>2332</v>
      </c>
      <c r="B1179" s="16"/>
      <c r="C1179" s="22">
        <f t="shared" si="295"/>
        <v>0</v>
      </c>
      <c r="D1179" s="23">
        <f t="shared" si="287"/>
        <v>0</v>
      </c>
      <c r="E1179" s="14"/>
      <c r="F1179" s="12">
        <f t="shared" si="296"/>
        <v>0</v>
      </c>
      <c r="G1179" s="24">
        <f t="shared" si="288"/>
        <v>0</v>
      </c>
      <c r="H1179" s="14"/>
      <c r="I1179" s="14"/>
      <c r="J1179" s="29"/>
      <c r="K1179" s="30"/>
      <c r="M1179" s="17"/>
      <c r="N1179" s="7"/>
      <c r="O1179" s="5"/>
      <c r="P1179" s="3"/>
      <c r="Q1179" s="5"/>
      <c r="R1179" s="7"/>
      <c r="S1179" s="5"/>
      <c r="U1179" s="10"/>
      <c r="V1179" s="11"/>
      <c r="W1179" s="6"/>
      <c r="Y1179" s="10"/>
      <c r="Z1179" s="11"/>
      <c r="AA1179" s="6"/>
      <c r="AB1179" s="1">
        <v>1.2</v>
      </c>
      <c r="AC1179" s="21" t="str">
        <f t="shared" si="289"/>
        <v/>
      </c>
      <c r="AD1179" s="27" t="str">
        <f t="shared" si="294"/>
        <v/>
      </c>
      <c r="AE1179" s="27" t="str">
        <f t="shared" si="292"/>
        <v/>
      </c>
      <c r="AF1179" s="14">
        <f t="shared" si="290"/>
        <v>0</v>
      </c>
      <c r="AG1179" s="12">
        <f t="shared" si="297"/>
        <v>0</v>
      </c>
      <c r="AH1179" s="24">
        <f t="shared" si="291"/>
        <v>0</v>
      </c>
      <c r="AI1179" s="49" t="e">
        <f t="shared" ref="AI1179:AI1228" si="299">MAX(VALUE(AC1179),VALUE(AD1179),VALUE(AE1179))</f>
        <v>#VALUE!</v>
      </c>
      <c r="AK1179" s="50" t="e">
        <f t="shared" si="298"/>
        <v>#VALUE!</v>
      </c>
    </row>
    <row r="1180" spans="1:37" x14ac:dyDescent="0.4">
      <c r="A1180" s="2">
        <v>2333</v>
      </c>
      <c r="B1180" s="16"/>
      <c r="C1180" s="22">
        <f t="shared" si="295"/>
        <v>0</v>
      </c>
      <c r="D1180" s="23">
        <f t="shared" si="287"/>
        <v>0</v>
      </c>
      <c r="E1180" s="14"/>
      <c r="F1180" s="12">
        <f t="shared" si="296"/>
        <v>0</v>
      </c>
      <c r="G1180" s="24">
        <f t="shared" si="288"/>
        <v>0</v>
      </c>
      <c r="H1180" s="14"/>
      <c r="I1180" s="14"/>
      <c r="J1180" s="29"/>
      <c r="K1180" s="30"/>
      <c r="M1180" s="17"/>
      <c r="N1180" s="7"/>
      <c r="O1180" s="5"/>
      <c r="P1180" s="3"/>
      <c r="Q1180" s="5"/>
      <c r="R1180" s="7"/>
      <c r="S1180" s="5"/>
      <c r="U1180" s="10"/>
      <c r="V1180" s="11"/>
      <c r="W1180" s="6"/>
      <c r="Y1180" s="10"/>
      <c r="Z1180" s="11"/>
      <c r="AA1180" s="6"/>
      <c r="AB1180" s="1">
        <v>1.2</v>
      </c>
      <c r="AC1180" s="21" t="str">
        <f t="shared" si="289"/>
        <v/>
      </c>
      <c r="AD1180" s="27" t="str">
        <f t="shared" si="294"/>
        <v/>
      </c>
      <c r="AE1180" s="27" t="str">
        <f t="shared" si="292"/>
        <v/>
      </c>
      <c r="AF1180" s="14">
        <f t="shared" si="290"/>
        <v>0</v>
      </c>
      <c r="AG1180" s="12">
        <f t="shared" si="297"/>
        <v>0</v>
      </c>
      <c r="AH1180" s="24">
        <f t="shared" si="291"/>
        <v>0</v>
      </c>
      <c r="AI1180" s="49" t="e">
        <f t="shared" si="299"/>
        <v>#VALUE!</v>
      </c>
      <c r="AK1180" s="50" t="e">
        <f t="shared" si="298"/>
        <v>#VALUE!</v>
      </c>
    </row>
    <row r="1181" spans="1:37" x14ac:dyDescent="0.4">
      <c r="A1181" s="2">
        <v>2334</v>
      </c>
      <c r="B1181" s="16"/>
      <c r="C1181" s="22">
        <f t="shared" si="295"/>
        <v>0</v>
      </c>
      <c r="D1181" s="23">
        <f t="shared" si="287"/>
        <v>0</v>
      </c>
      <c r="E1181" s="14"/>
      <c r="F1181" s="12">
        <f t="shared" si="296"/>
        <v>0</v>
      </c>
      <c r="G1181" s="24">
        <f t="shared" si="288"/>
        <v>0</v>
      </c>
      <c r="H1181" s="14"/>
      <c r="I1181" s="14"/>
      <c r="J1181" s="29"/>
      <c r="K1181" s="30"/>
      <c r="M1181" s="17"/>
      <c r="N1181" s="7"/>
      <c r="O1181" s="5"/>
      <c r="P1181" s="3"/>
      <c r="Q1181" s="5"/>
      <c r="R1181" s="7"/>
      <c r="S1181" s="5"/>
      <c r="U1181" s="10"/>
      <c r="V1181" s="11"/>
      <c r="W1181" s="6"/>
      <c r="Y1181" s="10"/>
      <c r="Z1181" s="11"/>
      <c r="AA1181" s="6"/>
      <c r="AB1181" s="1">
        <v>1.2</v>
      </c>
      <c r="AC1181" s="21" t="str">
        <f t="shared" si="289"/>
        <v/>
      </c>
      <c r="AD1181" s="27" t="str">
        <f t="shared" si="294"/>
        <v/>
      </c>
      <c r="AE1181" s="27" t="str">
        <f t="shared" si="292"/>
        <v/>
      </c>
      <c r="AF1181" s="14">
        <f t="shared" si="290"/>
        <v>0</v>
      </c>
      <c r="AG1181" s="12">
        <f t="shared" si="297"/>
        <v>0</v>
      </c>
      <c r="AH1181" s="24">
        <f t="shared" si="291"/>
        <v>0</v>
      </c>
      <c r="AI1181" s="49" t="e">
        <f t="shared" si="299"/>
        <v>#VALUE!</v>
      </c>
      <c r="AK1181" s="50" t="e">
        <f t="shared" si="298"/>
        <v>#VALUE!</v>
      </c>
    </row>
    <row r="1182" spans="1:37" x14ac:dyDescent="0.4">
      <c r="A1182" s="2">
        <v>2335</v>
      </c>
      <c r="B1182" s="16"/>
      <c r="C1182" s="22">
        <f t="shared" si="295"/>
        <v>0</v>
      </c>
      <c r="D1182" s="23">
        <f t="shared" si="287"/>
        <v>0</v>
      </c>
      <c r="E1182" s="14"/>
      <c r="F1182" s="12">
        <f t="shared" si="296"/>
        <v>0</v>
      </c>
      <c r="G1182" s="24">
        <f t="shared" si="288"/>
        <v>0</v>
      </c>
      <c r="H1182" s="14"/>
      <c r="I1182" s="14"/>
      <c r="J1182" s="29"/>
      <c r="K1182" s="30"/>
      <c r="M1182" s="17"/>
      <c r="N1182" s="7"/>
      <c r="O1182" s="5"/>
      <c r="P1182" s="3"/>
      <c r="Q1182" s="5"/>
      <c r="R1182" s="7"/>
      <c r="S1182" s="5"/>
      <c r="U1182" s="10"/>
      <c r="V1182" s="11"/>
      <c r="W1182" s="6"/>
      <c r="Y1182" s="10"/>
      <c r="Z1182" s="11"/>
      <c r="AA1182" s="6"/>
      <c r="AB1182" s="1">
        <v>1.2</v>
      </c>
      <c r="AC1182" s="21" t="str">
        <f t="shared" si="289"/>
        <v/>
      </c>
      <c r="AD1182" s="27" t="str">
        <f t="shared" si="294"/>
        <v/>
      </c>
      <c r="AE1182" s="27" t="str">
        <f t="shared" si="292"/>
        <v/>
      </c>
      <c r="AF1182" s="14">
        <f t="shared" si="290"/>
        <v>0</v>
      </c>
      <c r="AG1182" s="12">
        <f t="shared" si="297"/>
        <v>0</v>
      </c>
      <c r="AH1182" s="24">
        <f t="shared" si="291"/>
        <v>0</v>
      </c>
      <c r="AI1182" s="49" t="e">
        <f t="shared" si="299"/>
        <v>#VALUE!</v>
      </c>
      <c r="AK1182" s="50" t="e">
        <f t="shared" si="298"/>
        <v>#VALUE!</v>
      </c>
    </row>
    <row r="1183" spans="1:37" x14ac:dyDescent="0.4">
      <c r="A1183" s="2">
        <v>2336</v>
      </c>
      <c r="B1183" s="16"/>
      <c r="C1183" s="22">
        <f t="shared" si="295"/>
        <v>0</v>
      </c>
      <c r="D1183" s="23">
        <f t="shared" si="287"/>
        <v>0</v>
      </c>
      <c r="E1183" s="14"/>
      <c r="F1183" s="12">
        <f t="shared" si="296"/>
        <v>0</v>
      </c>
      <c r="G1183" s="24">
        <f t="shared" si="288"/>
        <v>0</v>
      </c>
      <c r="H1183" s="14"/>
      <c r="I1183" s="14"/>
      <c r="J1183" s="29"/>
      <c r="K1183" s="30"/>
      <c r="M1183" s="17"/>
      <c r="N1183" s="7"/>
      <c r="O1183" s="5"/>
      <c r="P1183" s="3"/>
      <c r="Q1183" s="5"/>
      <c r="R1183" s="7"/>
      <c r="S1183" s="5"/>
      <c r="U1183" s="10"/>
      <c r="V1183" s="11"/>
      <c r="W1183" s="6"/>
      <c r="Y1183" s="10"/>
      <c r="Z1183" s="11"/>
      <c r="AA1183" s="6"/>
      <c r="AB1183" s="1">
        <v>1.2</v>
      </c>
      <c r="AC1183" s="21" t="str">
        <f t="shared" si="289"/>
        <v/>
      </c>
      <c r="AD1183" s="27" t="str">
        <f t="shared" si="294"/>
        <v/>
      </c>
      <c r="AE1183" s="27" t="str">
        <f t="shared" si="292"/>
        <v/>
      </c>
      <c r="AF1183" s="14">
        <f t="shared" si="290"/>
        <v>0</v>
      </c>
      <c r="AG1183" s="12">
        <f t="shared" si="297"/>
        <v>0</v>
      </c>
      <c r="AH1183" s="24">
        <f t="shared" si="291"/>
        <v>0</v>
      </c>
      <c r="AI1183" s="49" t="e">
        <f t="shared" si="299"/>
        <v>#VALUE!</v>
      </c>
      <c r="AK1183" s="50" t="e">
        <f t="shared" si="298"/>
        <v>#VALUE!</v>
      </c>
    </row>
    <row r="1184" spans="1:37" x14ac:dyDescent="0.4">
      <c r="A1184" s="2">
        <v>2337</v>
      </c>
      <c r="B1184" s="16"/>
      <c r="C1184" s="22">
        <f t="shared" si="295"/>
        <v>0</v>
      </c>
      <c r="D1184" s="23">
        <f t="shared" si="287"/>
        <v>0</v>
      </c>
      <c r="E1184" s="14"/>
      <c r="F1184" s="12">
        <f t="shared" si="296"/>
        <v>0</v>
      </c>
      <c r="G1184" s="24">
        <f t="shared" si="288"/>
        <v>0</v>
      </c>
      <c r="H1184" s="14"/>
      <c r="I1184" s="14"/>
      <c r="J1184" s="29"/>
      <c r="K1184" s="30"/>
      <c r="M1184" s="17"/>
      <c r="N1184" s="7"/>
      <c r="O1184" s="5"/>
      <c r="P1184" s="3"/>
      <c r="Q1184" s="5"/>
      <c r="R1184" s="7"/>
      <c r="S1184" s="5"/>
      <c r="U1184" s="10"/>
      <c r="V1184" s="11"/>
      <c r="W1184" s="6"/>
      <c r="Y1184" s="10"/>
      <c r="Z1184" s="11"/>
      <c r="AA1184" s="6"/>
      <c r="AB1184" s="1">
        <v>1.2</v>
      </c>
      <c r="AC1184" s="21" t="str">
        <f t="shared" si="289"/>
        <v/>
      </c>
      <c r="AD1184" s="27" t="str">
        <f t="shared" si="294"/>
        <v/>
      </c>
      <c r="AE1184" s="27" t="str">
        <f t="shared" si="292"/>
        <v/>
      </c>
      <c r="AF1184" s="14">
        <f t="shared" si="290"/>
        <v>0</v>
      </c>
      <c r="AG1184" s="12">
        <f t="shared" si="297"/>
        <v>0</v>
      </c>
      <c r="AH1184" s="24">
        <f t="shared" si="291"/>
        <v>0</v>
      </c>
      <c r="AI1184" s="49" t="e">
        <f t="shared" si="299"/>
        <v>#VALUE!</v>
      </c>
      <c r="AK1184" s="50" t="e">
        <f t="shared" si="298"/>
        <v>#VALUE!</v>
      </c>
    </row>
    <row r="1185" spans="1:37" x14ac:dyDescent="0.4">
      <c r="A1185" s="2">
        <v>2338</v>
      </c>
      <c r="B1185" s="16"/>
      <c r="C1185" s="22">
        <f t="shared" si="295"/>
        <v>0</v>
      </c>
      <c r="D1185" s="23">
        <f t="shared" si="287"/>
        <v>0</v>
      </c>
      <c r="E1185" s="14"/>
      <c r="F1185" s="12">
        <f t="shared" si="296"/>
        <v>0</v>
      </c>
      <c r="G1185" s="24">
        <f t="shared" si="288"/>
        <v>0</v>
      </c>
      <c r="H1185" s="14"/>
      <c r="I1185" s="14"/>
      <c r="J1185" s="29"/>
      <c r="K1185" s="30"/>
      <c r="M1185" s="17"/>
      <c r="N1185" s="7"/>
      <c r="O1185" s="5"/>
      <c r="P1185" s="3"/>
      <c r="Q1185" s="5"/>
      <c r="R1185" s="7"/>
      <c r="S1185" s="5"/>
      <c r="U1185" s="10"/>
      <c r="V1185" s="11"/>
      <c r="W1185" s="6"/>
      <c r="Y1185" s="10"/>
      <c r="Z1185" s="11"/>
      <c r="AA1185" s="6"/>
      <c r="AB1185" s="1">
        <v>1.2</v>
      </c>
      <c r="AC1185" s="21" t="str">
        <f t="shared" si="289"/>
        <v/>
      </c>
      <c r="AD1185" s="27" t="str">
        <f t="shared" si="294"/>
        <v/>
      </c>
      <c r="AE1185" s="27" t="str">
        <f t="shared" si="292"/>
        <v/>
      </c>
      <c r="AF1185" s="14">
        <f t="shared" si="290"/>
        <v>0</v>
      </c>
      <c r="AG1185" s="12">
        <f t="shared" si="297"/>
        <v>0</v>
      </c>
      <c r="AH1185" s="24">
        <f t="shared" si="291"/>
        <v>0</v>
      </c>
      <c r="AI1185" s="49" t="e">
        <f t="shared" si="299"/>
        <v>#VALUE!</v>
      </c>
      <c r="AK1185" s="50" t="e">
        <f t="shared" si="298"/>
        <v>#VALUE!</v>
      </c>
    </row>
    <row r="1186" spans="1:37" x14ac:dyDescent="0.4">
      <c r="A1186" s="2">
        <v>2339</v>
      </c>
      <c r="B1186" s="16"/>
      <c r="C1186" s="22">
        <f t="shared" si="295"/>
        <v>0</v>
      </c>
      <c r="D1186" s="23">
        <f t="shared" si="287"/>
        <v>0</v>
      </c>
      <c r="E1186" s="14"/>
      <c r="F1186" s="12">
        <f t="shared" si="296"/>
        <v>0</v>
      </c>
      <c r="G1186" s="24">
        <f t="shared" si="288"/>
        <v>0</v>
      </c>
      <c r="H1186" s="14"/>
      <c r="I1186" s="14"/>
      <c r="J1186" s="29"/>
      <c r="K1186" s="30"/>
      <c r="M1186" s="17"/>
      <c r="N1186" s="7"/>
      <c r="O1186" s="5"/>
      <c r="P1186" s="3"/>
      <c r="Q1186" s="5"/>
      <c r="R1186" s="7"/>
      <c r="S1186" s="5"/>
      <c r="U1186" s="10"/>
      <c r="V1186" s="11"/>
      <c r="W1186" s="6"/>
      <c r="Y1186" s="10"/>
      <c r="Z1186" s="11"/>
      <c r="AA1186" s="6"/>
      <c r="AB1186" s="1">
        <v>1.2</v>
      </c>
      <c r="AC1186" s="21" t="str">
        <f t="shared" si="289"/>
        <v/>
      </c>
      <c r="AD1186" s="27" t="str">
        <f t="shared" si="294"/>
        <v/>
      </c>
      <c r="AE1186" s="27" t="str">
        <f t="shared" si="292"/>
        <v/>
      </c>
      <c r="AF1186" s="14">
        <f t="shared" si="290"/>
        <v>0</v>
      </c>
      <c r="AG1186" s="12">
        <f t="shared" si="297"/>
        <v>0</v>
      </c>
      <c r="AH1186" s="24">
        <f t="shared" si="291"/>
        <v>0</v>
      </c>
      <c r="AI1186" s="49" t="e">
        <f t="shared" si="299"/>
        <v>#VALUE!</v>
      </c>
      <c r="AK1186" s="50" t="e">
        <f t="shared" si="298"/>
        <v>#VALUE!</v>
      </c>
    </row>
    <row r="1187" spans="1:37" x14ac:dyDescent="0.4">
      <c r="A1187" s="2">
        <v>2340</v>
      </c>
      <c r="B1187" s="16"/>
      <c r="C1187" s="22">
        <f t="shared" si="295"/>
        <v>0</v>
      </c>
      <c r="D1187" s="23">
        <f t="shared" si="287"/>
        <v>0</v>
      </c>
      <c r="E1187" s="14"/>
      <c r="F1187" s="12">
        <f t="shared" si="296"/>
        <v>0</v>
      </c>
      <c r="G1187" s="24">
        <f t="shared" si="288"/>
        <v>0</v>
      </c>
      <c r="H1187" s="14"/>
      <c r="I1187" s="14"/>
      <c r="J1187" s="29"/>
      <c r="K1187" s="30"/>
      <c r="M1187" s="17"/>
      <c r="N1187" s="7"/>
      <c r="O1187" s="5"/>
      <c r="P1187" s="3"/>
      <c r="Q1187" s="5"/>
      <c r="R1187" s="7"/>
      <c r="S1187" s="5"/>
      <c r="U1187" s="10"/>
      <c r="V1187" s="11"/>
      <c r="W1187" s="6"/>
      <c r="Y1187" s="10"/>
      <c r="Z1187" s="11"/>
      <c r="AA1187" s="6"/>
      <c r="AB1187" s="1">
        <v>1.2</v>
      </c>
      <c r="AC1187" s="21" t="str">
        <f t="shared" si="289"/>
        <v/>
      </c>
      <c r="AD1187" s="27" t="str">
        <f t="shared" si="294"/>
        <v/>
      </c>
      <c r="AE1187" s="27" t="str">
        <f t="shared" si="292"/>
        <v/>
      </c>
      <c r="AF1187" s="14">
        <f t="shared" si="290"/>
        <v>0</v>
      </c>
      <c r="AG1187" s="12">
        <f t="shared" si="297"/>
        <v>0</v>
      </c>
      <c r="AH1187" s="24">
        <f t="shared" si="291"/>
        <v>0</v>
      </c>
      <c r="AI1187" s="49" t="e">
        <f t="shared" si="299"/>
        <v>#VALUE!</v>
      </c>
      <c r="AK1187" s="50" t="e">
        <f t="shared" si="298"/>
        <v>#VALUE!</v>
      </c>
    </row>
    <row r="1188" spans="1:37" x14ac:dyDescent="0.4">
      <c r="A1188" s="2">
        <v>2341</v>
      </c>
      <c r="B1188" s="16"/>
      <c r="C1188" s="22">
        <f t="shared" si="295"/>
        <v>0</v>
      </c>
      <c r="D1188" s="23">
        <f t="shared" si="287"/>
        <v>0</v>
      </c>
      <c r="E1188" s="14"/>
      <c r="F1188" s="12">
        <f t="shared" si="296"/>
        <v>0</v>
      </c>
      <c r="G1188" s="24">
        <f t="shared" si="288"/>
        <v>0</v>
      </c>
      <c r="H1188" s="14"/>
      <c r="I1188" s="14"/>
      <c r="J1188" s="29"/>
      <c r="K1188" s="30"/>
      <c r="M1188" s="17"/>
      <c r="N1188" s="7"/>
      <c r="O1188" s="5"/>
      <c r="P1188" s="3"/>
      <c r="Q1188" s="5"/>
      <c r="R1188" s="7"/>
      <c r="S1188" s="5"/>
      <c r="U1188" s="10"/>
      <c r="V1188" s="11"/>
      <c r="W1188" s="6"/>
      <c r="Y1188" s="10"/>
      <c r="Z1188" s="11"/>
      <c r="AA1188" s="6"/>
      <c r="AB1188" s="1">
        <v>1.2</v>
      </c>
      <c r="AC1188" s="21" t="str">
        <f t="shared" si="289"/>
        <v/>
      </c>
      <c r="AD1188" s="27" t="str">
        <f t="shared" si="294"/>
        <v/>
      </c>
      <c r="AE1188" s="27" t="str">
        <f t="shared" si="292"/>
        <v/>
      </c>
      <c r="AF1188" s="14">
        <f t="shared" si="290"/>
        <v>0</v>
      </c>
      <c r="AG1188" s="12">
        <f t="shared" si="297"/>
        <v>0</v>
      </c>
      <c r="AH1188" s="24">
        <f t="shared" si="291"/>
        <v>0</v>
      </c>
      <c r="AI1188" s="49" t="e">
        <f t="shared" si="299"/>
        <v>#VALUE!</v>
      </c>
      <c r="AK1188" s="50" t="e">
        <f t="shared" si="298"/>
        <v>#VALUE!</v>
      </c>
    </row>
    <row r="1189" spans="1:37" x14ac:dyDescent="0.4">
      <c r="A1189" s="2">
        <v>2342</v>
      </c>
      <c r="B1189" s="16"/>
      <c r="C1189" s="22">
        <f t="shared" si="295"/>
        <v>0</v>
      </c>
      <c r="D1189" s="23">
        <f t="shared" si="287"/>
        <v>0</v>
      </c>
      <c r="E1189" s="14"/>
      <c r="F1189" s="12">
        <f t="shared" si="296"/>
        <v>0</v>
      </c>
      <c r="G1189" s="24">
        <f t="shared" si="288"/>
        <v>0</v>
      </c>
      <c r="H1189" s="14"/>
      <c r="I1189" s="14"/>
      <c r="J1189" s="29"/>
      <c r="K1189" s="30"/>
      <c r="M1189" s="17"/>
      <c r="N1189" s="7"/>
      <c r="O1189" s="5"/>
      <c r="P1189" s="3"/>
      <c r="Q1189" s="5"/>
      <c r="R1189" s="7"/>
      <c r="S1189" s="5"/>
      <c r="U1189" s="10"/>
      <c r="V1189" s="11"/>
      <c r="W1189" s="6"/>
      <c r="Y1189" s="10"/>
      <c r="Z1189" s="11"/>
      <c r="AA1189" s="6"/>
      <c r="AB1189" s="1">
        <v>1.2</v>
      </c>
      <c r="AC1189" s="21" t="str">
        <f t="shared" si="289"/>
        <v/>
      </c>
      <c r="AD1189" s="27" t="str">
        <f t="shared" si="294"/>
        <v/>
      </c>
      <c r="AE1189" s="27" t="str">
        <f t="shared" si="292"/>
        <v/>
      </c>
      <c r="AF1189" s="14">
        <f t="shared" si="290"/>
        <v>0</v>
      </c>
      <c r="AG1189" s="12">
        <f t="shared" si="297"/>
        <v>0</v>
      </c>
      <c r="AH1189" s="24">
        <f t="shared" si="291"/>
        <v>0</v>
      </c>
      <c r="AI1189" s="49" t="e">
        <f t="shared" si="299"/>
        <v>#VALUE!</v>
      </c>
      <c r="AK1189" s="50" t="e">
        <f t="shared" si="298"/>
        <v>#VALUE!</v>
      </c>
    </row>
    <row r="1190" spans="1:37" x14ac:dyDescent="0.4">
      <c r="A1190" s="2">
        <v>2343</v>
      </c>
      <c r="B1190" s="16"/>
      <c r="C1190" s="22">
        <f t="shared" si="295"/>
        <v>0</v>
      </c>
      <c r="D1190" s="23">
        <f t="shared" si="287"/>
        <v>0</v>
      </c>
      <c r="E1190" s="14"/>
      <c r="F1190" s="12">
        <f t="shared" si="296"/>
        <v>0</v>
      </c>
      <c r="G1190" s="24">
        <f t="shared" si="288"/>
        <v>0</v>
      </c>
      <c r="H1190" s="14"/>
      <c r="I1190" s="14"/>
      <c r="J1190" s="29"/>
      <c r="K1190" s="30"/>
      <c r="M1190" s="17"/>
      <c r="N1190" s="7"/>
      <c r="O1190" s="5"/>
      <c r="P1190" s="3"/>
      <c r="Q1190" s="5"/>
      <c r="R1190" s="7"/>
      <c r="S1190" s="5"/>
      <c r="U1190" s="10"/>
      <c r="V1190" s="11"/>
      <c r="W1190" s="6"/>
      <c r="Y1190" s="10"/>
      <c r="Z1190" s="11"/>
      <c r="AA1190" s="6"/>
      <c r="AB1190" s="1">
        <v>1.2</v>
      </c>
      <c r="AC1190" s="21" t="str">
        <f t="shared" si="289"/>
        <v/>
      </c>
      <c r="AD1190" s="27" t="str">
        <f t="shared" si="294"/>
        <v/>
      </c>
      <c r="AE1190" s="27" t="str">
        <f t="shared" si="292"/>
        <v/>
      </c>
      <c r="AF1190" s="14">
        <f t="shared" si="290"/>
        <v>0</v>
      </c>
      <c r="AG1190" s="12">
        <f t="shared" si="297"/>
        <v>0</v>
      </c>
      <c r="AH1190" s="24">
        <f t="shared" si="291"/>
        <v>0</v>
      </c>
      <c r="AI1190" s="49" t="e">
        <f t="shared" si="299"/>
        <v>#VALUE!</v>
      </c>
      <c r="AK1190" s="50" t="e">
        <f t="shared" si="298"/>
        <v>#VALUE!</v>
      </c>
    </row>
    <row r="1191" spans="1:37" x14ac:dyDescent="0.4">
      <c r="A1191" s="2">
        <v>2344</v>
      </c>
      <c r="B1191" s="16"/>
      <c r="C1191" s="22">
        <f t="shared" si="295"/>
        <v>0</v>
      </c>
      <c r="D1191" s="23">
        <f t="shared" si="287"/>
        <v>0</v>
      </c>
      <c r="E1191" s="14"/>
      <c r="F1191" s="12">
        <f t="shared" si="296"/>
        <v>0</v>
      </c>
      <c r="G1191" s="24">
        <f t="shared" si="288"/>
        <v>0</v>
      </c>
      <c r="H1191" s="14"/>
      <c r="I1191" s="14"/>
      <c r="J1191" s="29"/>
      <c r="K1191" s="30"/>
      <c r="M1191" s="17"/>
      <c r="N1191" s="7"/>
      <c r="O1191" s="5"/>
      <c r="P1191" s="3"/>
      <c r="Q1191" s="5"/>
      <c r="R1191" s="7"/>
      <c r="S1191" s="5"/>
      <c r="U1191" s="10"/>
      <c r="V1191" s="11"/>
      <c r="W1191" s="6"/>
      <c r="Y1191" s="10"/>
      <c r="Z1191" s="11"/>
      <c r="AA1191" s="6"/>
      <c r="AB1191" s="1">
        <v>1.2</v>
      </c>
      <c r="AC1191" s="21" t="str">
        <f t="shared" si="289"/>
        <v/>
      </c>
      <c r="AD1191" s="27" t="str">
        <f t="shared" si="294"/>
        <v/>
      </c>
      <c r="AE1191" s="27" t="str">
        <f t="shared" si="292"/>
        <v/>
      </c>
      <c r="AF1191" s="14">
        <f t="shared" si="290"/>
        <v>0</v>
      </c>
      <c r="AG1191" s="12">
        <f t="shared" si="297"/>
        <v>0</v>
      </c>
      <c r="AH1191" s="24">
        <f t="shared" si="291"/>
        <v>0</v>
      </c>
      <c r="AI1191" s="49" t="e">
        <f t="shared" si="299"/>
        <v>#VALUE!</v>
      </c>
      <c r="AK1191" s="50" t="e">
        <f t="shared" si="298"/>
        <v>#VALUE!</v>
      </c>
    </row>
    <row r="1192" spans="1:37" x14ac:dyDescent="0.4">
      <c r="A1192" s="2">
        <v>2345</v>
      </c>
      <c r="B1192" s="16"/>
      <c r="C1192" s="22">
        <f t="shared" si="295"/>
        <v>0</v>
      </c>
      <c r="D1192" s="23">
        <f t="shared" ref="D1192:D1255" si="300">B1192-INT(B1192)</f>
        <v>0</v>
      </c>
      <c r="E1192" s="14"/>
      <c r="F1192" s="12">
        <f t="shared" si="296"/>
        <v>0</v>
      </c>
      <c r="G1192" s="24">
        <f t="shared" ref="G1192:G1255" si="301">E1192-INT(E1192)</f>
        <v>0</v>
      </c>
      <c r="H1192" s="14"/>
      <c r="I1192" s="14"/>
      <c r="J1192" s="29"/>
      <c r="K1192" s="30"/>
      <c r="M1192" s="17"/>
      <c r="N1192" s="7"/>
      <c r="O1192" s="5"/>
      <c r="P1192" s="3"/>
      <c r="Q1192" s="5"/>
      <c r="R1192" s="7"/>
      <c r="S1192" s="5"/>
      <c r="U1192" s="10"/>
      <c r="V1192" s="11"/>
      <c r="W1192" s="6"/>
      <c r="Y1192" s="10"/>
      <c r="Z1192" s="11"/>
      <c r="AA1192" s="6"/>
      <c r="AB1192" s="1">
        <v>1.2</v>
      </c>
      <c r="AC1192" s="21" t="str">
        <f t="shared" ref="AC1192:AC1255" si="302">IF(B1192="","",TEXT(E1192-B1192,"[hh]:mm"))</f>
        <v/>
      </c>
      <c r="AD1192" s="27" t="str">
        <f t="shared" si="294"/>
        <v/>
      </c>
      <c r="AE1192" s="27" t="str">
        <f t="shared" si="292"/>
        <v/>
      </c>
      <c r="AF1192" s="14">
        <f t="shared" ref="AF1192:AF1255" si="303">MAX(E1192,H1192,I1192)</f>
        <v>0</v>
      </c>
      <c r="AG1192" s="12">
        <f t="shared" si="297"/>
        <v>0</v>
      </c>
      <c r="AH1192" s="24">
        <f t="shared" ref="AH1192:AH1255" si="304">AF1192-INT(AF1192)</f>
        <v>0</v>
      </c>
      <c r="AI1192" s="49" t="e">
        <f t="shared" si="299"/>
        <v>#VALUE!</v>
      </c>
      <c r="AK1192" s="50" t="e">
        <f t="shared" si="298"/>
        <v>#VALUE!</v>
      </c>
    </row>
    <row r="1193" spans="1:37" x14ac:dyDescent="0.4">
      <c r="A1193" s="2">
        <v>2346</v>
      </c>
      <c r="B1193" s="16"/>
      <c r="C1193" s="22">
        <f t="shared" si="295"/>
        <v>0</v>
      </c>
      <c r="D1193" s="23">
        <f t="shared" si="300"/>
        <v>0</v>
      </c>
      <c r="E1193" s="14"/>
      <c r="F1193" s="12">
        <f t="shared" si="296"/>
        <v>0</v>
      </c>
      <c r="G1193" s="24">
        <f t="shared" si="301"/>
        <v>0</v>
      </c>
      <c r="H1193" s="14"/>
      <c r="I1193" s="14"/>
      <c r="J1193" s="29"/>
      <c r="K1193" s="30"/>
      <c r="M1193" s="17"/>
      <c r="N1193" s="7"/>
      <c r="O1193" s="5"/>
      <c r="P1193" s="3"/>
      <c r="Q1193" s="5"/>
      <c r="R1193" s="7"/>
      <c r="S1193" s="5"/>
      <c r="U1193" s="10"/>
      <c r="V1193" s="11"/>
      <c r="W1193" s="6"/>
      <c r="Y1193" s="10"/>
      <c r="Z1193" s="11"/>
      <c r="AA1193" s="6"/>
      <c r="AB1193" s="1">
        <v>1.2</v>
      </c>
      <c r="AC1193" s="21" t="str">
        <f t="shared" si="302"/>
        <v/>
      </c>
      <c r="AD1193" s="27" t="str">
        <f t="shared" si="294"/>
        <v/>
      </c>
      <c r="AE1193" s="27" t="str">
        <f t="shared" si="292"/>
        <v/>
      </c>
      <c r="AF1193" s="14">
        <f t="shared" si="303"/>
        <v>0</v>
      </c>
      <c r="AG1193" s="12">
        <f t="shared" si="297"/>
        <v>0</v>
      </c>
      <c r="AH1193" s="24">
        <f t="shared" si="304"/>
        <v>0</v>
      </c>
      <c r="AI1193" s="49" t="e">
        <f t="shared" si="299"/>
        <v>#VALUE!</v>
      </c>
      <c r="AK1193" s="50" t="e">
        <f t="shared" si="298"/>
        <v>#VALUE!</v>
      </c>
    </row>
    <row r="1194" spans="1:37" x14ac:dyDescent="0.4">
      <c r="A1194" s="2">
        <v>2347</v>
      </c>
      <c r="B1194" s="16"/>
      <c r="C1194" s="22">
        <f t="shared" si="295"/>
        <v>0</v>
      </c>
      <c r="D1194" s="23">
        <f t="shared" si="300"/>
        <v>0</v>
      </c>
      <c r="E1194" s="14"/>
      <c r="F1194" s="12">
        <f t="shared" si="296"/>
        <v>0</v>
      </c>
      <c r="G1194" s="24">
        <f t="shared" si="301"/>
        <v>0</v>
      </c>
      <c r="H1194" s="14"/>
      <c r="I1194" s="14"/>
      <c r="J1194" s="29"/>
      <c r="K1194" s="30"/>
      <c r="M1194" s="17"/>
      <c r="N1194" s="7"/>
      <c r="O1194" s="5"/>
      <c r="P1194" s="3"/>
      <c r="Q1194" s="5"/>
      <c r="R1194" s="7"/>
      <c r="S1194" s="5"/>
      <c r="U1194" s="10"/>
      <c r="V1194" s="11"/>
      <c r="W1194" s="6"/>
      <c r="Y1194" s="10"/>
      <c r="Z1194" s="11"/>
      <c r="AA1194" s="6"/>
      <c r="AB1194" s="1">
        <v>1.2</v>
      </c>
      <c r="AC1194" s="21" t="str">
        <f t="shared" si="302"/>
        <v/>
      </c>
      <c r="AD1194" s="27" t="str">
        <f t="shared" si="294"/>
        <v/>
      </c>
      <c r="AE1194" s="27" t="str">
        <f t="shared" si="292"/>
        <v/>
      </c>
      <c r="AF1194" s="14">
        <f t="shared" si="303"/>
        <v>0</v>
      </c>
      <c r="AG1194" s="12">
        <f t="shared" si="297"/>
        <v>0</v>
      </c>
      <c r="AH1194" s="24">
        <f t="shared" si="304"/>
        <v>0</v>
      </c>
      <c r="AI1194" s="49" t="e">
        <f t="shared" si="299"/>
        <v>#VALUE!</v>
      </c>
      <c r="AK1194" s="50" t="e">
        <f t="shared" si="298"/>
        <v>#VALUE!</v>
      </c>
    </row>
    <row r="1195" spans="1:37" x14ac:dyDescent="0.4">
      <c r="A1195" s="2">
        <v>2348</v>
      </c>
      <c r="B1195" s="16"/>
      <c r="C1195" s="22">
        <f t="shared" si="295"/>
        <v>0</v>
      </c>
      <c r="D1195" s="23">
        <f t="shared" si="300"/>
        <v>0</v>
      </c>
      <c r="E1195" s="14"/>
      <c r="F1195" s="12">
        <f t="shared" si="296"/>
        <v>0</v>
      </c>
      <c r="G1195" s="24">
        <f t="shared" si="301"/>
        <v>0</v>
      </c>
      <c r="H1195" s="14"/>
      <c r="I1195" s="14"/>
      <c r="J1195" s="29"/>
      <c r="K1195" s="30"/>
      <c r="M1195" s="17"/>
      <c r="N1195" s="7"/>
      <c r="O1195" s="5"/>
      <c r="P1195" s="3"/>
      <c r="Q1195" s="5"/>
      <c r="R1195" s="7"/>
      <c r="S1195" s="5"/>
      <c r="U1195" s="10"/>
      <c r="V1195" s="11"/>
      <c r="W1195" s="6"/>
      <c r="Y1195" s="10"/>
      <c r="Z1195" s="11"/>
      <c r="AA1195" s="6"/>
      <c r="AB1195" s="1">
        <v>1.2</v>
      </c>
      <c r="AC1195" s="21" t="str">
        <f t="shared" si="302"/>
        <v/>
      </c>
      <c r="AD1195" s="27" t="str">
        <f t="shared" si="294"/>
        <v/>
      </c>
      <c r="AE1195" s="27" t="str">
        <f t="shared" si="292"/>
        <v/>
      </c>
      <c r="AF1195" s="14">
        <f t="shared" si="303"/>
        <v>0</v>
      </c>
      <c r="AG1195" s="12">
        <f t="shared" si="297"/>
        <v>0</v>
      </c>
      <c r="AH1195" s="24">
        <f t="shared" si="304"/>
        <v>0</v>
      </c>
      <c r="AI1195" s="49" t="e">
        <f t="shared" si="299"/>
        <v>#VALUE!</v>
      </c>
      <c r="AK1195" s="50" t="e">
        <f t="shared" si="298"/>
        <v>#VALUE!</v>
      </c>
    </row>
    <row r="1196" spans="1:37" x14ac:dyDescent="0.4">
      <c r="A1196" s="2">
        <v>2349</v>
      </c>
      <c r="B1196" s="16"/>
      <c r="C1196" s="22">
        <f t="shared" si="295"/>
        <v>0</v>
      </c>
      <c r="D1196" s="23">
        <f t="shared" si="300"/>
        <v>0</v>
      </c>
      <c r="E1196" s="14"/>
      <c r="F1196" s="12">
        <f t="shared" si="296"/>
        <v>0</v>
      </c>
      <c r="G1196" s="24">
        <f t="shared" si="301"/>
        <v>0</v>
      </c>
      <c r="H1196" s="14"/>
      <c r="I1196" s="14"/>
      <c r="J1196" s="29"/>
      <c r="K1196" s="30"/>
      <c r="M1196" s="17"/>
      <c r="N1196" s="7"/>
      <c r="O1196" s="5"/>
      <c r="P1196" s="3"/>
      <c r="Q1196" s="5"/>
      <c r="R1196" s="7"/>
      <c r="S1196" s="5"/>
      <c r="U1196" s="10"/>
      <c r="V1196" s="11"/>
      <c r="W1196" s="6"/>
      <c r="Y1196" s="10"/>
      <c r="Z1196" s="11"/>
      <c r="AA1196" s="6"/>
      <c r="AB1196" s="1">
        <v>1.2</v>
      </c>
      <c r="AC1196" s="21" t="str">
        <f t="shared" si="302"/>
        <v/>
      </c>
      <c r="AD1196" s="27" t="str">
        <f t="shared" si="294"/>
        <v/>
      </c>
      <c r="AE1196" s="27" t="str">
        <f t="shared" si="292"/>
        <v/>
      </c>
      <c r="AF1196" s="14">
        <f t="shared" si="303"/>
        <v>0</v>
      </c>
      <c r="AG1196" s="12">
        <f t="shared" si="297"/>
        <v>0</v>
      </c>
      <c r="AH1196" s="24">
        <f t="shared" si="304"/>
        <v>0</v>
      </c>
      <c r="AI1196" s="49" t="e">
        <f t="shared" si="299"/>
        <v>#VALUE!</v>
      </c>
      <c r="AK1196" s="50" t="e">
        <f t="shared" si="298"/>
        <v>#VALUE!</v>
      </c>
    </row>
    <row r="1197" spans="1:37" x14ac:dyDescent="0.4">
      <c r="A1197" s="2">
        <v>2350</v>
      </c>
      <c r="B1197" s="16"/>
      <c r="C1197" s="22">
        <f t="shared" si="295"/>
        <v>0</v>
      </c>
      <c r="D1197" s="23">
        <f t="shared" si="300"/>
        <v>0</v>
      </c>
      <c r="E1197" s="14"/>
      <c r="F1197" s="12">
        <f t="shared" si="296"/>
        <v>0</v>
      </c>
      <c r="G1197" s="24">
        <f t="shared" si="301"/>
        <v>0</v>
      </c>
      <c r="H1197" s="14"/>
      <c r="I1197" s="14"/>
      <c r="J1197" s="29"/>
      <c r="K1197" s="30"/>
      <c r="M1197" s="17"/>
      <c r="N1197" s="7"/>
      <c r="O1197" s="5"/>
      <c r="P1197" s="3"/>
      <c r="Q1197" s="5"/>
      <c r="R1197" s="7"/>
      <c r="S1197" s="5"/>
      <c r="U1197" s="10"/>
      <c r="V1197" s="11"/>
      <c r="W1197" s="6"/>
      <c r="Y1197" s="10"/>
      <c r="Z1197" s="11"/>
      <c r="AA1197" s="6"/>
      <c r="AB1197" s="1">
        <v>1.2</v>
      </c>
      <c r="AC1197" s="21" t="str">
        <f t="shared" si="302"/>
        <v/>
      </c>
      <c r="AD1197" s="27" t="str">
        <f t="shared" si="294"/>
        <v/>
      </c>
      <c r="AE1197" s="27" t="str">
        <f t="shared" si="292"/>
        <v/>
      </c>
      <c r="AF1197" s="14">
        <f t="shared" si="303"/>
        <v>0</v>
      </c>
      <c r="AG1197" s="12">
        <f t="shared" si="297"/>
        <v>0</v>
      </c>
      <c r="AH1197" s="24">
        <f t="shared" si="304"/>
        <v>0</v>
      </c>
      <c r="AI1197" s="49" t="e">
        <f t="shared" si="299"/>
        <v>#VALUE!</v>
      </c>
      <c r="AK1197" s="50" t="e">
        <f t="shared" si="298"/>
        <v>#VALUE!</v>
      </c>
    </row>
    <row r="1198" spans="1:37" x14ac:dyDescent="0.4">
      <c r="A1198" s="2">
        <v>2351</v>
      </c>
      <c r="B1198" s="16"/>
      <c r="C1198" s="22">
        <f t="shared" si="295"/>
        <v>0</v>
      </c>
      <c r="D1198" s="23">
        <f t="shared" si="300"/>
        <v>0</v>
      </c>
      <c r="E1198" s="14"/>
      <c r="F1198" s="12">
        <f t="shared" si="296"/>
        <v>0</v>
      </c>
      <c r="G1198" s="24">
        <f t="shared" si="301"/>
        <v>0</v>
      </c>
      <c r="H1198" s="14"/>
      <c r="I1198" s="14"/>
      <c r="J1198" s="29"/>
      <c r="K1198" s="30"/>
      <c r="M1198" s="17"/>
      <c r="N1198" s="7"/>
      <c r="O1198" s="5"/>
      <c r="P1198" s="3"/>
      <c r="Q1198" s="5"/>
      <c r="R1198" s="7"/>
      <c r="S1198" s="5"/>
      <c r="U1198" s="10"/>
      <c r="V1198" s="11"/>
      <c r="W1198" s="6"/>
      <c r="Y1198" s="10"/>
      <c r="Z1198" s="11"/>
      <c r="AA1198" s="6"/>
      <c r="AB1198" s="1">
        <v>1.2</v>
      </c>
      <c r="AC1198" s="21" t="str">
        <f t="shared" si="302"/>
        <v/>
      </c>
      <c r="AD1198" s="27" t="str">
        <f t="shared" si="294"/>
        <v/>
      </c>
      <c r="AE1198" s="27" t="str">
        <f t="shared" si="292"/>
        <v/>
      </c>
      <c r="AF1198" s="14">
        <f t="shared" si="303"/>
        <v>0</v>
      </c>
      <c r="AG1198" s="12">
        <f t="shared" si="297"/>
        <v>0</v>
      </c>
      <c r="AH1198" s="24">
        <f t="shared" si="304"/>
        <v>0</v>
      </c>
      <c r="AI1198" s="49" t="e">
        <f t="shared" si="299"/>
        <v>#VALUE!</v>
      </c>
      <c r="AK1198" s="50" t="e">
        <f t="shared" si="298"/>
        <v>#VALUE!</v>
      </c>
    </row>
    <row r="1199" spans="1:37" x14ac:dyDescent="0.4">
      <c r="A1199" s="2">
        <v>2352</v>
      </c>
      <c r="B1199" s="16"/>
      <c r="C1199" s="22">
        <f t="shared" si="295"/>
        <v>0</v>
      </c>
      <c r="D1199" s="23">
        <f t="shared" si="300"/>
        <v>0</v>
      </c>
      <c r="E1199" s="14"/>
      <c r="F1199" s="12">
        <f t="shared" si="296"/>
        <v>0</v>
      </c>
      <c r="G1199" s="24">
        <f t="shared" si="301"/>
        <v>0</v>
      </c>
      <c r="H1199" s="14"/>
      <c r="I1199" s="14"/>
      <c r="J1199" s="29"/>
      <c r="K1199" s="30"/>
      <c r="M1199" s="17"/>
      <c r="N1199" s="7"/>
      <c r="O1199" s="5"/>
      <c r="P1199" s="3"/>
      <c r="Q1199" s="5"/>
      <c r="R1199" s="7"/>
      <c r="S1199" s="5"/>
      <c r="U1199" s="10"/>
      <c r="V1199" s="11"/>
      <c r="W1199" s="6"/>
      <c r="Y1199" s="10"/>
      <c r="Z1199" s="11"/>
      <c r="AA1199" s="6"/>
      <c r="AB1199" s="1">
        <v>1.2</v>
      </c>
      <c r="AC1199" s="21" t="str">
        <f t="shared" si="302"/>
        <v/>
      </c>
      <c r="AD1199" s="27" t="str">
        <f t="shared" si="294"/>
        <v/>
      </c>
      <c r="AE1199" s="27" t="str">
        <f t="shared" si="292"/>
        <v/>
      </c>
      <c r="AF1199" s="14">
        <f t="shared" si="303"/>
        <v>0</v>
      </c>
      <c r="AG1199" s="12">
        <f t="shared" si="297"/>
        <v>0</v>
      </c>
      <c r="AH1199" s="24">
        <f t="shared" si="304"/>
        <v>0</v>
      </c>
      <c r="AI1199" s="49" t="e">
        <f t="shared" si="299"/>
        <v>#VALUE!</v>
      </c>
      <c r="AK1199" s="50" t="e">
        <f t="shared" si="298"/>
        <v>#VALUE!</v>
      </c>
    </row>
    <row r="1200" spans="1:37" x14ac:dyDescent="0.4">
      <c r="A1200" s="2">
        <v>2353</v>
      </c>
      <c r="B1200" s="16"/>
      <c r="C1200" s="22">
        <f t="shared" si="295"/>
        <v>0</v>
      </c>
      <c r="D1200" s="23">
        <f t="shared" si="300"/>
        <v>0</v>
      </c>
      <c r="E1200" s="14"/>
      <c r="F1200" s="12">
        <f t="shared" si="296"/>
        <v>0</v>
      </c>
      <c r="G1200" s="24">
        <f t="shared" si="301"/>
        <v>0</v>
      </c>
      <c r="H1200" s="14"/>
      <c r="I1200" s="14"/>
      <c r="J1200" s="29"/>
      <c r="K1200" s="30"/>
      <c r="M1200" s="17"/>
      <c r="N1200" s="7"/>
      <c r="O1200" s="5"/>
      <c r="P1200" s="3"/>
      <c r="Q1200" s="5"/>
      <c r="R1200" s="7"/>
      <c r="S1200" s="5"/>
      <c r="U1200" s="10"/>
      <c r="V1200" s="11"/>
      <c r="W1200" s="6"/>
      <c r="Y1200" s="10"/>
      <c r="Z1200" s="11"/>
      <c r="AA1200" s="6"/>
      <c r="AB1200" s="1">
        <v>1.2</v>
      </c>
      <c r="AC1200" s="21" t="str">
        <f t="shared" si="302"/>
        <v/>
      </c>
      <c r="AD1200" s="27" t="str">
        <f t="shared" si="294"/>
        <v/>
      </c>
      <c r="AE1200" s="27" t="str">
        <f t="shared" si="292"/>
        <v/>
      </c>
      <c r="AF1200" s="14">
        <f t="shared" si="303"/>
        <v>0</v>
      </c>
      <c r="AG1200" s="12">
        <f t="shared" si="297"/>
        <v>0</v>
      </c>
      <c r="AH1200" s="24">
        <f t="shared" si="304"/>
        <v>0</v>
      </c>
      <c r="AI1200" s="49" t="e">
        <f t="shared" si="299"/>
        <v>#VALUE!</v>
      </c>
      <c r="AK1200" s="50" t="e">
        <f t="shared" si="298"/>
        <v>#VALUE!</v>
      </c>
    </row>
    <row r="1201" spans="1:37" x14ac:dyDescent="0.4">
      <c r="A1201" s="2">
        <v>2354</v>
      </c>
      <c r="B1201" s="16"/>
      <c r="C1201" s="22">
        <f t="shared" si="295"/>
        <v>0</v>
      </c>
      <c r="D1201" s="23">
        <f t="shared" si="300"/>
        <v>0</v>
      </c>
      <c r="E1201" s="14"/>
      <c r="F1201" s="12">
        <f t="shared" si="296"/>
        <v>0</v>
      </c>
      <c r="G1201" s="24">
        <f t="shared" si="301"/>
        <v>0</v>
      </c>
      <c r="H1201" s="14"/>
      <c r="I1201" s="14"/>
      <c r="J1201" s="29"/>
      <c r="K1201" s="30"/>
      <c r="M1201" s="17"/>
      <c r="N1201" s="7"/>
      <c r="O1201" s="5"/>
      <c r="P1201" s="3"/>
      <c r="Q1201" s="5"/>
      <c r="R1201" s="7"/>
      <c r="S1201" s="5"/>
      <c r="U1201" s="10"/>
      <c r="V1201" s="11"/>
      <c r="W1201" s="6"/>
      <c r="Y1201" s="10"/>
      <c r="Z1201" s="11"/>
      <c r="AA1201" s="6"/>
      <c r="AB1201" s="1">
        <v>1.2</v>
      </c>
      <c r="AC1201" s="21" t="str">
        <f t="shared" si="302"/>
        <v/>
      </c>
      <c r="AD1201" s="27" t="str">
        <f t="shared" si="294"/>
        <v/>
      </c>
      <c r="AE1201" s="27" t="str">
        <f t="shared" si="292"/>
        <v/>
      </c>
      <c r="AF1201" s="14">
        <f t="shared" si="303"/>
        <v>0</v>
      </c>
      <c r="AG1201" s="12">
        <f t="shared" si="297"/>
        <v>0</v>
      </c>
      <c r="AH1201" s="24">
        <f t="shared" si="304"/>
        <v>0</v>
      </c>
      <c r="AI1201" s="49" t="e">
        <f t="shared" si="299"/>
        <v>#VALUE!</v>
      </c>
      <c r="AK1201" s="50" t="e">
        <f t="shared" si="298"/>
        <v>#VALUE!</v>
      </c>
    </row>
    <row r="1202" spans="1:37" x14ac:dyDescent="0.4">
      <c r="A1202" s="2">
        <v>2355</v>
      </c>
      <c r="B1202" s="16"/>
      <c r="C1202" s="22">
        <f t="shared" si="295"/>
        <v>0</v>
      </c>
      <c r="D1202" s="23">
        <f t="shared" si="300"/>
        <v>0</v>
      </c>
      <c r="E1202" s="14"/>
      <c r="F1202" s="12">
        <f t="shared" si="296"/>
        <v>0</v>
      </c>
      <c r="G1202" s="24">
        <f t="shared" si="301"/>
        <v>0</v>
      </c>
      <c r="H1202" s="14"/>
      <c r="I1202" s="14"/>
      <c r="J1202" s="29"/>
      <c r="K1202" s="30"/>
      <c r="M1202" s="17"/>
      <c r="N1202" s="7"/>
      <c r="O1202" s="5"/>
      <c r="P1202" s="3"/>
      <c r="Q1202" s="5"/>
      <c r="R1202" s="7"/>
      <c r="S1202" s="5"/>
      <c r="U1202" s="10"/>
      <c r="V1202" s="11"/>
      <c r="W1202" s="6"/>
      <c r="Y1202" s="10"/>
      <c r="Z1202" s="11"/>
      <c r="AA1202" s="6"/>
      <c r="AB1202" s="1">
        <v>1.2</v>
      </c>
      <c r="AC1202" s="21" t="str">
        <f t="shared" si="302"/>
        <v/>
      </c>
      <c r="AD1202" s="27" t="str">
        <f t="shared" si="294"/>
        <v/>
      </c>
      <c r="AE1202" s="27" t="str">
        <f t="shared" si="292"/>
        <v/>
      </c>
      <c r="AF1202" s="14">
        <f t="shared" si="303"/>
        <v>0</v>
      </c>
      <c r="AG1202" s="12">
        <f t="shared" si="297"/>
        <v>0</v>
      </c>
      <c r="AH1202" s="24">
        <f t="shared" si="304"/>
        <v>0</v>
      </c>
      <c r="AI1202" s="49" t="e">
        <f t="shared" si="299"/>
        <v>#VALUE!</v>
      </c>
      <c r="AK1202" s="50" t="e">
        <f t="shared" si="298"/>
        <v>#VALUE!</v>
      </c>
    </row>
    <row r="1203" spans="1:37" x14ac:dyDescent="0.4">
      <c r="A1203" s="2">
        <v>2356</v>
      </c>
      <c r="B1203" s="16"/>
      <c r="C1203" s="22">
        <f t="shared" si="295"/>
        <v>0</v>
      </c>
      <c r="D1203" s="23">
        <f t="shared" si="300"/>
        <v>0</v>
      </c>
      <c r="E1203" s="14"/>
      <c r="F1203" s="12">
        <f t="shared" si="296"/>
        <v>0</v>
      </c>
      <c r="G1203" s="24">
        <f t="shared" si="301"/>
        <v>0</v>
      </c>
      <c r="H1203" s="14"/>
      <c r="I1203" s="14"/>
      <c r="J1203" s="29"/>
      <c r="K1203" s="30"/>
      <c r="M1203" s="17"/>
      <c r="N1203" s="7"/>
      <c r="O1203" s="5"/>
      <c r="P1203" s="3"/>
      <c r="Q1203" s="5"/>
      <c r="R1203" s="7"/>
      <c r="S1203" s="5"/>
      <c r="U1203" s="10"/>
      <c r="V1203" s="11"/>
      <c r="W1203" s="6"/>
      <c r="Y1203" s="10"/>
      <c r="Z1203" s="11"/>
      <c r="AA1203" s="6"/>
      <c r="AB1203" s="1">
        <v>1.2</v>
      </c>
      <c r="AC1203" s="21" t="str">
        <f t="shared" si="302"/>
        <v/>
      </c>
      <c r="AD1203" s="27" t="str">
        <f t="shared" si="294"/>
        <v/>
      </c>
      <c r="AE1203" s="27" t="str">
        <f t="shared" si="292"/>
        <v/>
      </c>
      <c r="AF1203" s="14">
        <f t="shared" si="303"/>
        <v>0</v>
      </c>
      <c r="AG1203" s="12">
        <f t="shared" si="297"/>
        <v>0</v>
      </c>
      <c r="AH1203" s="24">
        <f t="shared" si="304"/>
        <v>0</v>
      </c>
      <c r="AI1203" s="49" t="e">
        <f t="shared" si="299"/>
        <v>#VALUE!</v>
      </c>
      <c r="AK1203" s="50" t="e">
        <f t="shared" si="298"/>
        <v>#VALUE!</v>
      </c>
    </row>
    <row r="1204" spans="1:37" x14ac:dyDescent="0.4">
      <c r="A1204" s="2">
        <v>2357</v>
      </c>
      <c r="B1204" s="16"/>
      <c r="C1204" s="22">
        <f t="shared" si="295"/>
        <v>0</v>
      </c>
      <c r="D1204" s="23">
        <f t="shared" si="300"/>
        <v>0</v>
      </c>
      <c r="E1204" s="14"/>
      <c r="F1204" s="12">
        <f t="shared" si="296"/>
        <v>0</v>
      </c>
      <c r="G1204" s="24">
        <f t="shared" si="301"/>
        <v>0</v>
      </c>
      <c r="H1204" s="14"/>
      <c r="I1204" s="14"/>
      <c r="J1204" s="29"/>
      <c r="K1204" s="30"/>
      <c r="M1204" s="17"/>
      <c r="N1204" s="7"/>
      <c r="O1204" s="5"/>
      <c r="P1204" s="3"/>
      <c r="Q1204" s="5"/>
      <c r="R1204" s="7"/>
      <c r="S1204" s="5"/>
      <c r="U1204" s="10"/>
      <c r="V1204" s="11"/>
      <c r="W1204" s="6"/>
      <c r="Y1204" s="10"/>
      <c r="Z1204" s="11"/>
      <c r="AA1204" s="6"/>
      <c r="AB1204" s="1">
        <v>1.2</v>
      </c>
      <c r="AC1204" s="21" t="str">
        <f t="shared" si="302"/>
        <v/>
      </c>
      <c r="AD1204" s="27" t="str">
        <f t="shared" si="294"/>
        <v/>
      </c>
      <c r="AE1204" s="27" t="str">
        <f t="shared" si="292"/>
        <v/>
      </c>
      <c r="AF1204" s="14">
        <f t="shared" si="303"/>
        <v>0</v>
      </c>
      <c r="AG1204" s="12">
        <f t="shared" si="297"/>
        <v>0</v>
      </c>
      <c r="AH1204" s="24">
        <f t="shared" si="304"/>
        <v>0</v>
      </c>
      <c r="AI1204" s="49" t="e">
        <f t="shared" si="299"/>
        <v>#VALUE!</v>
      </c>
      <c r="AK1204" s="50" t="e">
        <f t="shared" si="298"/>
        <v>#VALUE!</v>
      </c>
    </row>
    <row r="1205" spans="1:37" x14ac:dyDescent="0.4">
      <c r="A1205" s="2">
        <v>2358</v>
      </c>
      <c r="B1205" s="16"/>
      <c r="C1205" s="22">
        <f t="shared" si="295"/>
        <v>0</v>
      </c>
      <c r="D1205" s="23">
        <f t="shared" si="300"/>
        <v>0</v>
      </c>
      <c r="E1205" s="14"/>
      <c r="F1205" s="12">
        <f t="shared" si="296"/>
        <v>0</v>
      </c>
      <c r="G1205" s="24">
        <f t="shared" si="301"/>
        <v>0</v>
      </c>
      <c r="H1205" s="14"/>
      <c r="I1205" s="14"/>
      <c r="J1205" s="29"/>
      <c r="K1205" s="30"/>
      <c r="M1205" s="17"/>
      <c r="N1205" s="7"/>
      <c r="O1205" s="5"/>
      <c r="P1205" s="3"/>
      <c r="Q1205" s="5"/>
      <c r="R1205" s="7"/>
      <c r="S1205" s="5"/>
      <c r="U1205" s="10"/>
      <c r="V1205" s="11"/>
      <c r="W1205" s="6"/>
      <c r="Y1205" s="10"/>
      <c r="Z1205" s="11"/>
      <c r="AA1205" s="6"/>
      <c r="AB1205" s="1">
        <v>1.2</v>
      </c>
      <c r="AC1205" s="21" t="str">
        <f t="shared" si="302"/>
        <v/>
      </c>
      <c r="AD1205" s="27" t="str">
        <f t="shared" si="294"/>
        <v/>
      </c>
      <c r="AE1205" s="27" t="str">
        <f t="shared" si="292"/>
        <v/>
      </c>
      <c r="AF1205" s="14">
        <f t="shared" si="303"/>
        <v>0</v>
      </c>
      <c r="AG1205" s="12">
        <f t="shared" si="297"/>
        <v>0</v>
      </c>
      <c r="AH1205" s="24">
        <f t="shared" si="304"/>
        <v>0</v>
      </c>
      <c r="AI1205" s="49" t="e">
        <f t="shared" si="299"/>
        <v>#VALUE!</v>
      </c>
      <c r="AK1205" s="50" t="e">
        <f t="shared" si="298"/>
        <v>#VALUE!</v>
      </c>
    </row>
    <row r="1206" spans="1:37" x14ac:dyDescent="0.4">
      <c r="A1206" s="2">
        <v>2359</v>
      </c>
      <c r="B1206" s="16"/>
      <c r="C1206" s="22">
        <f t="shared" si="295"/>
        <v>0</v>
      </c>
      <c r="D1206" s="23">
        <f t="shared" si="300"/>
        <v>0</v>
      </c>
      <c r="E1206" s="14"/>
      <c r="F1206" s="12">
        <f t="shared" si="296"/>
        <v>0</v>
      </c>
      <c r="G1206" s="24">
        <f t="shared" si="301"/>
        <v>0</v>
      </c>
      <c r="H1206" s="14"/>
      <c r="I1206" s="14"/>
      <c r="J1206" s="29"/>
      <c r="K1206" s="30"/>
      <c r="M1206" s="17"/>
      <c r="N1206" s="7"/>
      <c r="O1206" s="5"/>
      <c r="P1206" s="3"/>
      <c r="Q1206" s="5"/>
      <c r="R1206" s="7"/>
      <c r="S1206" s="5"/>
      <c r="U1206" s="10"/>
      <c r="V1206" s="11"/>
      <c r="W1206" s="6"/>
      <c r="Y1206" s="10"/>
      <c r="Z1206" s="11"/>
      <c r="AA1206" s="6"/>
      <c r="AB1206" s="1">
        <v>1.2</v>
      </c>
      <c r="AC1206" s="21" t="str">
        <f t="shared" si="302"/>
        <v/>
      </c>
      <c r="AD1206" s="27" t="str">
        <f t="shared" si="294"/>
        <v/>
      </c>
      <c r="AE1206" s="27" t="str">
        <f t="shared" si="292"/>
        <v/>
      </c>
      <c r="AF1206" s="14">
        <f t="shared" si="303"/>
        <v>0</v>
      </c>
      <c r="AG1206" s="12">
        <f t="shared" si="297"/>
        <v>0</v>
      </c>
      <c r="AH1206" s="24">
        <f t="shared" si="304"/>
        <v>0</v>
      </c>
      <c r="AI1206" s="49" t="e">
        <f t="shared" si="299"/>
        <v>#VALUE!</v>
      </c>
      <c r="AK1206" s="50" t="e">
        <f t="shared" si="298"/>
        <v>#VALUE!</v>
      </c>
    </row>
    <row r="1207" spans="1:37" x14ac:dyDescent="0.4">
      <c r="A1207" s="2">
        <v>2360</v>
      </c>
      <c r="B1207" s="16"/>
      <c r="C1207" s="22">
        <f t="shared" si="295"/>
        <v>0</v>
      </c>
      <c r="D1207" s="23">
        <f t="shared" si="300"/>
        <v>0</v>
      </c>
      <c r="E1207" s="14"/>
      <c r="F1207" s="12">
        <f t="shared" si="296"/>
        <v>0</v>
      </c>
      <c r="G1207" s="24">
        <f t="shared" si="301"/>
        <v>0</v>
      </c>
      <c r="H1207" s="14"/>
      <c r="I1207" s="14"/>
      <c r="J1207" s="29"/>
      <c r="K1207" s="30"/>
      <c r="M1207" s="17"/>
      <c r="N1207" s="7"/>
      <c r="O1207" s="5"/>
      <c r="P1207" s="3"/>
      <c r="Q1207" s="5"/>
      <c r="R1207" s="7"/>
      <c r="S1207" s="5"/>
      <c r="U1207" s="10"/>
      <c r="V1207" s="11"/>
      <c r="W1207" s="6"/>
      <c r="Y1207" s="10"/>
      <c r="Z1207" s="11"/>
      <c r="AA1207" s="6"/>
      <c r="AB1207" s="1">
        <v>1.2</v>
      </c>
      <c r="AC1207" s="21" t="str">
        <f t="shared" si="302"/>
        <v/>
      </c>
      <c r="AD1207" s="27" t="str">
        <f t="shared" si="294"/>
        <v/>
      </c>
      <c r="AE1207" s="27" t="str">
        <f t="shared" si="292"/>
        <v/>
      </c>
      <c r="AF1207" s="14">
        <f t="shared" si="303"/>
        <v>0</v>
      </c>
      <c r="AG1207" s="12">
        <f t="shared" si="297"/>
        <v>0</v>
      </c>
      <c r="AH1207" s="24">
        <f t="shared" si="304"/>
        <v>0</v>
      </c>
      <c r="AI1207" s="49" t="e">
        <f t="shared" si="299"/>
        <v>#VALUE!</v>
      </c>
      <c r="AK1207" s="50" t="e">
        <f t="shared" si="298"/>
        <v>#VALUE!</v>
      </c>
    </row>
    <row r="1208" spans="1:37" x14ac:dyDescent="0.4">
      <c r="A1208" s="2">
        <v>2361</v>
      </c>
      <c r="B1208" s="16"/>
      <c r="C1208" s="22">
        <f t="shared" si="295"/>
        <v>0</v>
      </c>
      <c r="D1208" s="23">
        <f t="shared" si="300"/>
        <v>0</v>
      </c>
      <c r="E1208" s="14"/>
      <c r="F1208" s="12">
        <f t="shared" si="296"/>
        <v>0</v>
      </c>
      <c r="G1208" s="24">
        <f t="shared" si="301"/>
        <v>0</v>
      </c>
      <c r="H1208" s="14"/>
      <c r="I1208" s="14"/>
      <c r="J1208" s="29"/>
      <c r="K1208" s="30"/>
      <c r="M1208" s="17"/>
      <c r="N1208" s="7"/>
      <c r="O1208" s="5"/>
      <c r="P1208" s="3"/>
      <c r="Q1208" s="5"/>
      <c r="R1208" s="7"/>
      <c r="S1208" s="5"/>
      <c r="U1208" s="10"/>
      <c r="V1208" s="11"/>
      <c r="W1208" s="6"/>
      <c r="Y1208" s="10"/>
      <c r="Z1208" s="11"/>
      <c r="AA1208" s="6"/>
      <c r="AB1208" s="1">
        <v>1.2</v>
      </c>
      <c r="AC1208" s="21" t="str">
        <f t="shared" si="302"/>
        <v/>
      </c>
      <c r="AD1208" s="27" t="str">
        <f t="shared" si="294"/>
        <v/>
      </c>
      <c r="AE1208" s="27" t="str">
        <f t="shared" si="292"/>
        <v/>
      </c>
      <c r="AF1208" s="14">
        <f t="shared" si="303"/>
        <v>0</v>
      </c>
      <c r="AG1208" s="12">
        <f t="shared" si="297"/>
        <v>0</v>
      </c>
      <c r="AH1208" s="24">
        <f t="shared" si="304"/>
        <v>0</v>
      </c>
      <c r="AI1208" s="49" t="e">
        <f t="shared" si="299"/>
        <v>#VALUE!</v>
      </c>
      <c r="AK1208" s="50" t="e">
        <f t="shared" si="298"/>
        <v>#VALUE!</v>
      </c>
    </row>
    <row r="1209" spans="1:37" x14ac:dyDescent="0.4">
      <c r="A1209" s="2">
        <v>2362</v>
      </c>
      <c r="B1209" s="16"/>
      <c r="C1209" s="22">
        <f t="shared" si="295"/>
        <v>0</v>
      </c>
      <c r="D1209" s="23">
        <f t="shared" si="300"/>
        <v>0</v>
      </c>
      <c r="E1209" s="14"/>
      <c r="F1209" s="12">
        <f t="shared" si="296"/>
        <v>0</v>
      </c>
      <c r="G1209" s="24">
        <f t="shared" si="301"/>
        <v>0</v>
      </c>
      <c r="H1209" s="14"/>
      <c r="I1209" s="14"/>
      <c r="J1209" s="29"/>
      <c r="K1209" s="30"/>
      <c r="M1209" s="17"/>
      <c r="N1209" s="7"/>
      <c r="O1209" s="5"/>
      <c r="P1209" s="3"/>
      <c r="Q1209" s="5"/>
      <c r="R1209" s="7"/>
      <c r="S1209" s="5"/>
      <c r="U1209" s="10"/>
      <c r="V1209" s="11"/>
      <c r="W1209" s="6"/>
      <c r="Y1209" s="10"/>
      <c r="Z1209" s="11"/>
      <c r="AA1209" s="6"/>
      <c r="AB1209" s="1">
        <v>1.2</v>
      </c>
      <c r="AC1209" s="21" t="str">
        <f t="shared" si="302"/>
        <v/>
      </c>
      <c r="AD1209" s="27" t="str">
        <f t="shared" si="294"/>
        <v/>
      </c>
      <c r="AE1209" s="27" t="str">
        <f t="shared" si="292"/>
        <v/>
      </c>
      <c r="AF1209" s="14">
        <f t="shared" si="303"/>
        <v>0</v>
      </c>
      <c r="AG1209" s="12">
        <f t="shared" si="297"/>
        <v>0</v>
      </c>
      <c r="AH1209" s="24">
        <f t="shared" si="304"/>
        <v>0</v>
      </c>
      <c r="AI1209" s="49" t="e">
        <f t="shared" si="299"/>
        <v>#VALUE!</v>
      </c>
      <c r="AK1209" s="50" t="e">
        <f t="shared" si="298"/>
        <v>#VALUE!</v>
      </c>
    </row>
    <row r="1210" spans="1:37" x14ac:dyDescent="0.4">
      <c r="A1210" s="2">
        <v>2363</v>
      </c>
      <c r="B1210" s="16"/>
      <c r="C1210" s="22">
        <f t="shared" si="295"/>
        <v>0</v>
      </c>
      <c r="D1210" s="23">
        <f t="shared" si="300"/>
        <v>0</v>
      </c>
      <c r="E1210" s="14"/>
      <c r="F1210" s="12">
        <f t="shared" si="296"/>
        <v>0</v>
      </c>
      <c r="G1210" s="24">
        <f t="shared" si="301"/>
        <v>0</v>
      </c>
      <c r="H1210" s="14"/>
      <c r="I1210" s="14"/>
      <c r="J1210" s="29"/>
      <c r="K1210" s="30"/>
      <c r="M1210" s="17"/>
      <c r="N1210" s="7"/>
      <c r="O1210" s="5"/>
      <c r="P1210" s="3"/>
      <c r="Q1210" s="5"/>
      <c r="R1210" s="7"/>
      <c r="S1210" s="5"/>
      <c r="U1210" s="10"/>
      <c r="V1210" s="11"/>
      <c r="W1210" s="6"/>
      <c r="Y1210" s="10"/>
      <c r="Z1210" s="11"/>
      <c r="AA1210" s="6"/>
      <c r="AB1210" s="1">
        <v>1.2</v>
      </c>
      <c r="AC1210" s="21" t="str">
        <f t="shared" si="302"/>
        <v/>
      </c>
      <c r="AD1210" s="27" t="str">
        <f t="shared" si="294"/>
        <v/>
      </c>
      <c r="AE1210" s="27" t="str">
        <f t="shared" si="292"/>
        <v/>
      </c>
      <c r="AF1210" s="14">
        <f t="shared" si="303"/>
        <v>0</v>
      </c>
      <c r="AG1210" s="12">
        <f t="shared" si="297"/>
        <v>0</v>
      </c>
      <c r="AH1210" s="24">
        <f t="shared" si="304"/>
        <v>0</v>
      </c>
      <c r="AI1210" s="49" t="e">
        <f t="shared" si="299"/>
        <v>#VALUE!</v>
      </c>
      <c r="AK1210" s="50" t="e">
        <f t="shared" si="298"/>
        <v>#VALUE!</v>
      </c>
    </row>
    <row r="1211" spans="1:37" x14ac:dyDescent="0.4">
      <c r="A1211" s="2">
        <v>2364</v>
      </c>
      <c r="B1211" s="16"/>
      <c r="C1211" s="22">
        <f t="shared" si="295"/>
        <v>0</v>
      </c>
      <c r="D1211" s="23">
        <f t="shared" si="300"/>
        <v>0</v>
      </c>
      <c r="E1211" s="14"/>
      <c r="F1211" s="12">
        <f t="shared" si="296"/>
        <v>0</v>
      </c>
      <c r="G1211" s="24">
        <f t="shared" si="301"/>
        <v>0</v>
      </c>
      <c r="H1211" s="14"/>
      <c r="I1211" s="14"/>
      <c r="J1211" s="29"/>
      <c r="K1211" s="30"/>
      <c r="M1211" s="17"/>
      <c r="N1211" s="7"/>
      <c r="O1211" s="5"/>
      <c r="P1211" s="3"/>
      <c r="Q1211" s="5"/>
      <c r="R1211" s="7"/>
      <c r="S1211" s="5"/>
      <c r="U1211" s="10"/>
      <c r="V1211" s="11"/>
      <c r="W1211" s="6"/>
      <c r="Y1211" s="10"/>
      <c r="Z1211" s="11"/>
      <c r="AA1211" s="6"/>
      <c r="AB1211" s="1">
        <v>1.2</v>
      </c>
      <c r="AC1211" s="21" t="str">
        <f t="shared" si="302"/>
        <v/>
      </c>
      <c r="AD1211" s="27" t="str">
        <f t="shared" si="294"/>
        <v/>
      </c>
      <c r="AE1211" s="27" t="str">
        <f t="shared" si="292"/>
        <v/>
      </c>
      <c r="AF1211" s="14">
        <f t="shared" si="303"/>
        <v>0</v>
      </c>
      <c r="AG1211" s="12">
        <f t="shared" si="297"/>
        <v>0</v>
      </c>
      <c r="AH1211" s="24">
        <f t="shared" si="304"/>
        <v>0</v>
      </c>
      <c r="AI1211" s="49" t="e">
        <f t="shared" si="299"/>
        <v>#VALUE!</v>
      </c>
      <c r="AK1211" s="50" t="e">
        <f t="shared" si="298"/>
        <v>#VALUE!</v>
      </c>
    </row>
    <row r="1212" spans="1:37" x14ac:dyDescent="0.4">
      <c r="A1212" s="2">
        <v>2365</v>
      </c>
      <c r="B1212" s="16"/>
      <c r="C1212" s="22">
        <f t="shared" si="295"/>
        <v>0</v>
      </c>
      <c r="D1212" s="23">
        <f t="shared" si="300"/>
        <v>0</v>
      </c>
      <c r="E1212" s="14"/>
      <c r="F1212" s="12">
        <f t="shared" si="296"/>
        <v>0</v>
      </c>
      <c r="G1212" s="24">
        <f t="shared" si="301"/>
        <v>0</v>
      </c>
      <c r="H1212" s="14"/>
      <c r="I1212" s="14"/>
      <c r="J1212" s="29"/>
      <c r="K1212" s="30"/>
      <c r="M1212" s="17"/>
      <c r="N1212" s="7"/>
      <c r="O1212" s="5"/>
      <c r="P1212" s="3"/>
      <c r="Q1212" s="5"/>
      <c r="R1212" s="7"/>
      <c r="S1212" s="5"/>
      <c r="U1212" s="10"/>
      <c r="V1212" s="11"/>
      <c r="W1212" s="6"/>
      <c r="Y1212" s="10"/>
      <c r="Z1212" s="11"/>
      <c r="AA1212" s="6"/>
      <c r="AB1212" s="1">
        <v>1.2</v>
      </c>
      <c r="AC1212" s="21" t="str">
        <f t="shared" si="302"/>
        <v/>
      </c>
      <c r="AD1212" s="27" t="str">
        <f t="shared" si="294"/>
        <v/>
      </c>
      <c r="AE1212" s="27" t="str">
        <f t="shared" si="292"/>
        <v/>
      </c>
      <c r="AF1212" s="14">
        <f t="shared" si="303"/>
        <v>0</v>
      </c>
      <c r="AG1212" s="12">
        <f t="shared" si="297"/>
        <v>0</v>
      </c>
      <c r="AH1212" s="24">
        <f t="shared" si="304"/>
        <v>0</v>
      </c>
      <c r="AI1212" s="49" t="e">
        <f t="shared" si="299"/>
        <v>#VALUE!</v>
      </c>
      <c r="AK1212" s="50" t="e">
        <f t="shared" si="298"/>
        <v>#VALUE!</v>
      </c>
    </row>
    <row r="1213" spans="1:37" x14ac:dyDescent="0.4">
      <c r="A1213" s="2">
        <v>2366</v>
      </c>
      <c r="B1213" s="16"/>
      <c r="C1213" s="22">
        <f t="shared" si="295"/>
        <v>0</v>
      </c>
      <c r="D1213" s="23">
        <f t="shared" si="300"/>
        <v>0</v>
      </c>
      <c r="E1213" s="14"/>
      <c r="F1213" s="12">
        <f t="shared" si="296"/>
        <v>0</v>
      </c>
      <c r="G1213" s="24">
        <f t="shared" si="301"/>
        <v>0</v>
      </c>
      <c r="H1213" s="14"/>
      <c r="I1213" s="14"/>
      <c r="J1213" s="29"/>
      <c r="K1213" s="30"/>
      <c r="M1213" s="17"/>
      <c r="N1213" s="7"/>
      <c r="O1213" s="5"/>
      <c r="P1213" s="3"/>
      <c r="Q1213" s="5"/>
      <c r="R1213" s="7"/>
      <c r="S1213" s="5"/>
      <c r="U1213" s="10"/>
      <c r="V1213" s="11"/>
      <c r="W1213" s="6"/>
      <c r="Y1213" s="10"/>
      <c r="Z1213" s="11"/>
      <c r="AA1213" s="6"/>
      <c r="AB1213" s="1">
        <v>1.2</v>
      </c>
      <c r="AC1213" s="21" t="str">
        <f t="shared" si="302"/>
        <v/>
      </c>
      <c r="AD1213" s="27" t="str">
        <f t="shared" si="294"/>
        <v/>
      </c>
      <c r="AE1213" s="27" t="str">
        <f t="shared" si="292"/>
        <v/>
      </c>
      <c r="AF1213" s="14">
        <f t="shared" si="303"/>
        <v>0</v>
      </c>
      <c r="AG1213" s="12">
        <f t="shared" si="297"/>
        <v>0</v>
      </c>
      <c r="AH1213" s="24">
        <f t="shared" si="304"/>
        <v>0</v>
      </c>
      <c r="AI1213" s="49" t="e">
        <f t="shared" si="299"/>
        <v>#VALUE!</v>
      </c>
      <c r="AK1213" s="50" t="e">
        <f t="shared" si="298"/>
        <v>#VALUE!</v>
      </c>
    </row>
    <row r="1214" spans="1:37" x14ac:dyDescent="0.4">
      <c r="A1214" s="2">
        <v>2367</v>
      </c>
      <c r="B1214" s="16"/>
      <c r="C1214" s="22">
        <f t="shared" si="295"/>
        <v>0</v>
      </c>
      <c r="D1214" s="23">
        <f t="shared" si="300"/>
        <v>0</v>
      </c>
      <c r="E1214" s="14"/>
      <c r="F1214" s="12">
        <f t="shared" si="296"/>
        <v>0</v>
      </c>
      <c r="G1214" s="24">
        <f t="shared" si="301"/>
        <v>0</v>
      </c>
      <c r="H1214" s="14"/>
      <c r="I1214" s="14"/>
      <c r="J1214" s="29"/>
      <c r="K1214" s="30"/>
      <c r="M1214" s="17"/>
      <c r="N1214" s="7"/>
      <c r="O1214" s="5"/>
      <c r="P1214" s="3"/>
      <c r="Q1214" s="5"/>
      <c r="R1214" s="7"/>
      <c r="S1214" s="5"/>
      <c r="U1214" s="10"/>
      <c r="V1214" s="11"/>
      <c r="W1214" s="6"/>
      <c r="Y1214" s="10"/>
      <c r="Z1214" s="11"/>
      <c r="AA1214" s="6"/>
      <c r="AB1214" s="1">
        <v>1.2</v>
      </c>
      <c r="AC1214" s="21" t="str">
        <f t="shared" si="302"/>
        <v/>
      </c>
      <c r="AD1214" s="27" t="str">
        <f t="shared" si="294"/>
        <v/>
      </c>
      <c r="AE1214" s="27" t="str">
        <f t="shared" si="292"/>
        <v/>
      </c>
      <c r="AF1214" s="14">
        <f t="shared" si="303"/>
        <v>0</v>
      </c>
      <c r="AG1214" s="12">
        <f t="shared" si="297"/>
        <v>0</v>
      </c>
      <c r="AH1214" s="24">
        <f t="shared" si="304"/>
        <v>0</v>
      </c>
      <c r="AI1214" s="49" t="e">
        <f t="shared" si="299"/>
        <v>#VALUE!</v>
      </c>
      <c r="AK1214" s="50" t="e">
        <f t="shared" si="298"/>
        <v>#VALUE!</v>
      </c>
    </row>
    <row r="1215" spans="1:37" x14ac:dyDescent="0.4">
      <c r="A1215" s="2">
        <v>2368</v>
      </c>
      <c r="B1215" s="16"/>
      <c r="C1215" s="22">
        <f t="shared" si="295"/>
        <v>0</v>
      </c>
      <c r="D1215" s="23">
        <f t="shared" si="300"/>
        <v>0</v>
      </c>
      <c r="E1215" s="14"/>
      <c r="F1215" s="12">
        <f t="shared" si="296"/>
        <v>0</v>
      </c>
      <c r="G1215" s="24">
        <f t="shared" si="301"/>
        <v>0</v>
      </c>
      <c r="H1215" s="14"/>
      <c r="I1215" s="14"/>
      <c r="J1215" s="29"/>
      <c r="K1215" s="30"/>
      <c r="M1215" s="17"/>
      <c r="N1215" s="7"/>
      <c r="O1215" s="5"/>
      <c r="P1215" s="3"/>
      <c r="Q1215" s="5"/>
      <c r="R1215" s="7"/>
      <c r="S1215" s="5"/>
      <c r="U1215" s="10"/>
      <c r="V1215" s="11"/>
      <c r="W1215" s="6"/>
      <c r="Y1215" s="10"/>
      <c r="Z1215" s="11"/>
      <c r="AA1215" s="6"/>
      <c r="AB1215" s="1">
        <v>1.2</v>
      </c>
      <c r="AC1215" s="21" t="str">
        <f t="shared" si="302"/>
        <v/>
      </c>
      <c r="AD1215" s="27" t="str">
        <f t="shared" si="294"/>
        <v/>
      </c>
      <c r="AE1215" s="27" t="str">
        <f t="shared" si="292"/>
        <v/>
      </c>
      <c r="AF1215" s="14">
        <f t="shared" si="303"/>
        <v>0</v>
      </c>
      <c r="AG1215" s="12">
        <f t="shared" si="297"/>
        <v>0</v>
      </c>
      <c r="AH1215" s="24">
        <f t="shared" si="304"/>
        <v>0</v>
      </c>
      <c r="AI1215" s="49" t="e">
        <f t="shared" si="299"/>
        <v>#VALUE!</v>
      </c>
      <c r="AK1215" s="50" t="e">
        <f t="shared" si="298"/>
        <v>#VALUE!</v>
      </c>
    </row>
    <row r="1216" spans="1:37" x14ac:dyDescent="0.4">
      <c r="A1216" s="2">
        <v>2369</v>
      </c>
      <c r="B1216" s="16"/>
      <c r="C1216" s="22">
        <f t="shared" si="295"/>
        <v>0</v>
      </c>
      <c r="D1216" s="23">
        <f t="shared" si="300"/>
        <v>0</v>
      </c>
      <c r="E1216" s="14"/>
      <c r="F1216" s="12">
        <f t="shared" si="296"/>
        <v>0</v>
      </c>
      <c r="G1216" s="24">
        <f t="shared" si="301"/>
        <v>0</v>
      </c>
      <c r="H1216" s="14"/>
      <c r="I1216" s="14"/>
      <c r="J1216" s="29"/>
      <c r="K1216" s="30"/>
      <c r="M1216" s="17"/>
      <c r="N1216" s="7"/>
      <c r="O1216" s="5"/>
      <c r="P1216" s="3"/>
      <c r="Q1216" s="5"/>
      <c r="R1216" s="7"/>
      <c r="S1216" s="5"/>
      <c r="U1216" s="10"/>
      <c r="V1216" s="11"/>
      <c r="W1216" s="6"/>
      <c r="Y1216" s="10"/>
      <c r="Z1216" s="11"/>
      <c r="AA1216" s="6"/>
      <c r="AB1216" s="1">
        <v>1.2</v>
      </c>
      <c r="AC1216" s="21" t="str">
        <f t="shared" si="302"/>
        <v/>
      </c>
      <c r="AD1216" s="27" t="str">
        <f t="shared" si="294"/>
        <v/>
      </c>
      <c r="AE1216" s="27" t="str">
        <f t="shared" si="292"/>
        <v/>
      </c>
      <c r="AF1216" s="14">
        <f t="shared" si="303"/>
        <v>0</v>
      </c>
      <c r="AG1216" s="12">
        <f t="shared" si="297"/>
        <v>0</v>
      </c>
      <c r="AH1216" s="24">
        <f t="shared" si="304"/>
        <v>0</v>
      </c>
      <c r="AI1216" s="49" t="e">
        <f t="shared" si="299"/>
        <v>#VALUE!</v>
      </c>
      <c r="AK1216" s="50" t="e">
        <f t="shared" si="298"/>
        <v>#VALUE!</v>
      </c>
    </row>
    <row r="1217" spans="1:37" x14ac:dyDescent="0.4">
      <c r="A1217" s="2">
        <v>2370</v>
      </c>
      <c r="B1217" s="16"/>
      <c r="C1217" s="22">
        <f t="shared" si="295"/>
        <v>0</v>
      </c>
      <c r="D1217" s="23">
        <f t="shared" si="300"/>
        <v>0</v>
      </c>
      <c r="E1217" s="14"/>
      <c r="F1217" s="12">
        <f t="shared" si="296"/>
        <v>0</v>
      </c>
      <c r="G1217" s="24">
        <f t="shared" si="301"/>
        <v>0</v>
      </c>
      <c r="H1217" s="14"/>
      <c r="I1217" s="14"/>
      <c r="J1217" s="29"/>
      <c r="K1217" s="30"/>
      <c r="M1217" s="17"/>
      <c r="N1217" s="7"/>
      <c r="O1217" s="5"/>
      <c r="P1217" s="3"/>
      <c r="Q1217" s="5"/>
      <c r="R1217" s="7"/>
      <c r="S1217" s="5"/>
      <c r="U1217" s="10"/>
      <c r="V1217" s="11"/>
      <c r="W1217" s="6"/>
      <c r="Y1217" s="10"/>
      <c r="Z1217" s="11"/>
      <c r="AA1217" s="6"/>
      <c r="AB1217" s="1">
        <v>1.2</v>
      </c>
      <c r="AC1217" s="21" t="str">
        <f t="shared" si="302"/>
        <v/>
      </c>
      <c r="AD1217" s="27" t="str">
        <f t="shared" si="294"/>
        <v/>
      </c>
      <c r="AE1217" s="27" t="str">
        <f t="shared" si="292"/>
        <v/>
      </c>
      <c r="AF1217" s="14">
        <f t="shared" si="303"/>
        <v>0</v>
      </c>
      <c r="AG1217" s="12">
        <f t="shared" si="297"/>
        <v>0</v>
      </c>
      <c r="AH1217" s="24">
        <f t="shared" si="304"/>
        <v>0</v>
      </c>
      <c r="AI1217" s="49" t="e">
        <f t="shared" si="299"/>
        <v>#VALUE!</v>
      </c>
      <c r="AK1217" s="50" t="e">
        <f t="shared" si="298"/>
        <v>#VALUE!</v>
      </c>
    </row>
    <row r="1218" spans="1:37" x14ac:dyDescent="0.4">
      <c r="A1218" s="2">
        <v>2371</v>
      </c>
      <c r="B1218" s="16"/>
      <c r="C1218" s="22">
        <f t="shared" si="295"/>
        <v>0</v>
      </c>
      <c r="D1218" s="23">
        <f t="shared" si="300"/>
        <v>0</v>
      </c>
      <c r="E1218" s="14"/>
      <c r="F1218" s="12">
        <f t="shared" si="296"/>
        <v>0</v>
      </c>
      <c r="G1218" s="24">
        <f t="shared" si="301"/>
        <v>0</v>
      </c>
      <c r="H1218" s="14"/>
      <c r="I1218" s="14"/>
      <c r="J1218" s="29"/>
      <c r="K1218" s="30"/>
      <c r="M1218" s="17"/>
      <c r="N1218" s="7"/>
      <c r="O1218" s="5"/>
      <c r="P1218" s="3"/>
      <c r="Q1218" s="5"/>
      <c r="R1218" s="7"/>
      <c r="S1218" s="5"/>
      <c r="U1218" s="10"/>
      <c r="V1218" s="11"/>
      <c r="W1218" s="6"/>
      <c r="Y1218" s="10"/>
      <c r="Z1218" s="11"/>
      <c r="AA1218" s="6"/>
      <c r="AB1218" s="1">
        <v>1.2</v>
      </c>
      <c r="AC1218" s="21" t="str">
        <f t="shared" si="302"/>
        <v/>
      </c>
      <c r="AD1218" s="27" t="str">
        <f t="shared" si="294"/>
        <v/>
      </c>
      <c r="AE1218" s="27" t="str">
        <f t="shared" si="292"/>
        <v/>
      </c>
      <c r="AF1218" s="14">
        <f t="shared" si="303"/>
        <v>0</v>
      </c>
      <c r="AG1218" s="12">
        <f t="shared" si="297"/>
        <v>0</v>
      </c>
      <c r="AH1218" s="24">
        <f t="shared" si="304"/>
        <v>0</v>
      </c>
      <c r="AI1218" s="49" t="e">
        <f t="shared" si="299"/>
        <v>#VALUE!</v>
      </c>
      <c r="AK1218" s="50" t="e">
        <f t="shared" si="298"/>
        <v>#VALUE!</v>
      </c>
    </row>
    <row r="1219" spans="1:37" x14ac:dyDescent="0.4">
      <c r="A1219" s="2">
        <v>2372</v>
      </c>
      <c r="B1219" s="16"/>
      <c r="C1219" s="22">
        <f t="shared" si="295"/>
        <v>0</v>
      </c>
      <c r="D1219" s="23">
        <f t="shared" si="300"/>
        <v>0</v>
      </c>
      <c r="E1219" s="14"/>
      <c r="F1219" s="12">
        <f t="shared" si="296"/>
        <v>0</v>
      </c>
      <c r="G1219" s="24">
        <f t="shared" si="301"/>
        <v>0</v>
      </c>
      <c r="H1219" s="14"/>
      <c r="I1219" s="14"/>
      <c r="J1219" s="29"/>
      <c r="K1219" s="30"/>
      <c r="M1219" s="17"/>
      <c r="N1219" s="7"/>
      <c r="O1219" s="5"/>
      <c r="P1219" s="3"/>
      <c r="Q1219" s="5"/>
      <c r="R1219" s="7"/>
      <c r="S1219" s="5"/>
      <c r="U1219" s="10"/>
      <c r="V1219" s="11"/>
      <c r="W1219" s="6"/>
      <c r="Y1219" s="10"/>
      <c r="Z1219" s="11"/>
      <c r="AA1219" s="6"/>
      <c r="AB1219" s="1">
        <v>1.2</v>
      </c>
      <c r="AC1219" s="21" t="str">
        <f t="shared" si="302"/>
        <v/>
      </c>
      <c r="AD1219" s="27" t="str">
        <f t="shared" si="294"/>
        <v/>
      </c>
      <c r="AE1219" s="27" t="str">
        <f t="shared" si="292"/>
        <v/>
      </c>
      <c r="AF1219" s="14">
        <f t="shared" si="303"/>
        <v>0</v>
      </c>
      <c r="AG1219" s="12">
        <f t="shared" si="297"/>
        <v>0</v>
      </c>
      <c r="AH1219" s="24">
        <f t="shared" si="304"/>
        <v>0</v>
      </c>
      <c r="AI1219" s="49" t="e">
        <f t="shared" si="299"/>
        <v>#VALUE!</v>
      </c>
      <c r="AK1219" s="50" t="e">
        <f t="shared" si="298"/>
        <v>#VALUE!</v>
      </c>
    </row>
    <row r="1220" spans="1:37" x14ac:dyDescent="0.4">
      <c r="A1220" s="2">
        <v>2373</v>
      </c>
      <c r="B1220" s="16"/>
      <c r="C1220" s="22">
        <f t="shared" si="295"/>
        <v>0</v>
      </c>
      <c r="D1220" s="23">
        <f t="shared" si="300"/>
        <v>0</v>
      </c>
      <c r="E1220" s="14"/>
      <c r="F1220" s="12">
        <f t="shared" si="296"/>
        <v>0</v>
      </c>
      <c r="G1220" s="24">
        <f t="shared" si="301"/>
        <v>0</v>
      </c>
      <c r="H1220" s="14"/>
      <c r="I1220" s="14"/>
      <c r="J1220" s="29"/>
      <c r="K1220" s="30"/>
      <c r="M1220" s="17"/>
      <c r="N1220" s="7"/>
      <c r="O1220" s="5"/>
      <c r="P1220" s="3"/>
      <c r="Q1220" s="5"/>
      <c r="R1220" s="7"/>
      <c r="S1220" s="5"/>
      <c r="U1220" s="10"/>
      <c r="V1220" s="11"/>
      <c r="W1220" s="6"/>
      <c r="Y1220" s="10"/>
      <c r="Z1220" s="11"/>
      <c r="AA1220" s="6"/>
      <c r="AB1220" s="1">
        <v>1.2</v>
      </c>
      <c r="AC1220" s="21" t="str">
        <f t="shared" si="302"/>
        <v/>
      </c>
      <c r="AD1220" s="27" t="str">
        <f t="shared" si="294"/>
        <v/>
      </c>
      <c r="AE1220" s="27" t="str">
        <f t="shared" si="292"/>
        <v/>
      </c>
      <c r="AF1220" s="14">
        <f t="shared" si="303"/>
        <v>0</v>
      </c>
      <c r="AG1220" s="12">
        <f t="shared" si="297"/>
        <v>0</v>
      </c>
      <c r="AH1220" s="24">
        <f t="shared" si="304"/>
        <v>0</v>
      </c>
      <c r="AI1220" s="49" t="e">
        <f t="shared" si="299"/>
        <v>#VALUE!</v>
      </c>
      <c r="AK1220" s="50" t="e">
        <f t="shared" si="298"/>
        <v>#VALUE!</v>
      </c>
    </row>
    <row r="1221" spans="1:37" x14ac:dyDescent="0.4">
      <c r="A1221" s="2">
        <v>2374</v>
      </c>
      <c r="B1221" s="16"/>
      <c r="C1221" s="22">
        <f t="shared" si="295"/>
        <v>0</v>
      </c>
      <c r="D1221" s="23">
        <f t="shared" si="300"/>
        <v>0</v>
      </c>
      <c r="E1221" s="14"/>
      <c r="F1221" s="12">
        <f t="shared" si="296"/>
        <v>0</v>
      </c>
      <c r="G1221" s="24">
        <f t="shared" si="301"/>
        <v>0</v>
      </c>
      <c r="H1221" s="14"/>
      <c r="I1221" s="14"/>
      <c r="J1221" s="29"/>
      <c r="K1221" s="30"/>
      <c r="M1221" s="17"/>
      <c r="N1221" s="7"/>
      <c r="O1221" s="5"/>
      <c r="P1221" s="3"/>
      <c r="Q1221" s="5"/>
      <c r="R1221" s="7"/>
      <c r="S1221" s="5"/>
      <c r="U1221" s="10"/>
      <c r="V1221" s="11"/>
      <c r="W1221" s="6"/>
      <c r="Y1221" s="10"/>
      <c r="Z1221" s="11"/>
      <c r="AA1221" s="6"/>
      <c r="AB1221" s="1">
        <v>1.2</v>
      </c>
      <c r="AC1221" s="21" t="str">
        <f t="shared" si="302"/>
        <v/>
      </c>
      <c r="AD1221" s="27" t="str">
        <f t="shared" si="294"/>
        <v/>
      </c>
      <c r="AE1221" s="27" t="str">
        <f t="shared" si="292"/>
        <v/>
      </c>
      <c r="AF1221" s="14">
        <f t="shared" si="303"/>
        <v>0</v>
      </c>
      <c r="AG1221" s="12">
        <f t="shared" si="297"/>
        <v>0</v>
      </c>
      <c r="AH1221" s="24">
        <f t="shared" si="304"/>
        <v>0</v>
      </c>
      <c r="AI1221" s="49" t="e">
        <f t="shared" si="299"/>
        <v>#VALUE!</v>
      </c>
      <c r="AK1221" s="50" t="e">
        <f t="shared" si="298"/>
        <v>#VALUE!</v>
      </c>
    </row>
    <row r="1222" spans="1:37" x14ac:dyDescent="0.4">
      <c r="A1222" s="2">
        <v>2375</v>
      </c>
      <c r="B1222" s="16"/>
      <c r="C1222" s="22">
        <f t="shared" si="295"/>
        <v>0</v>
      </c>
      <c r="D1222" s="23">
        <f t="shared" si="300"/>
        <v>0</v>
      </c>
      <c r="E1222" s="14"/>
      <c r="F1222" s="12">
        <f t="shared" si="296"/>
        <v>0</v>
      </c>
      <c r="G1222" s="24">
        <f t="shared" si="301"/>
        <v>0</v>
      </c>
      <c r="H1222" s="14"/>
      <c r="I1222" s="14"/>
      <c r="J1222" s="29"/>
      <c r="K1222" s="30"/>
      <c r="M1222" s="17"/>
      <c r="N1222" s="7"/>
      <c r="O1222" s="5"/>
      <c r="P1222" s="3"/>
      <c r="Q1222" s="5"/>
      <c r="R1222" s="7"/>
      <c r="S1222" s="5"/>
      <c r="U1222" s="10"/>
      <c r="V1222" s="11"/>
      <c r="W1222" s="6"/>
      <c r="Y1222" s="10"/>
      <c r="Z1222" s="11"/>
      <c r="AA1222" s="6"/>
      <c r="AB1222" s="1">
        <v>1.2</v>
      </c>
      <c r="AC1222" s="21" t="str">
        <f t="shared" si="302"/>
        <v/>
      </c>
      <c r="AD1222" s="27" t="str">
        <f t="shared" si="294"/>
        <v/>
      </c>
      <c r="AE1222" s="27" t="str">
        <f t="shared" si="292"/>
        <v/>
      </c>
      <c r="AF1222" s="14">
        <f t="shared" si="303"/>
        <v>0</v>
      </c>
      <c r="AG1222" s="12">
        <f t="shared" si="297"/>
        <v>0</v>
      </c>
      <c r="AH1222" s="24">
        <f t="shared" si="304"/>
        <v>0</v>
      </c>
      <c r="AI1222" s="49" t="e">
        <f t="shared" si="299"/>
        <v>#VALUE!</v>
      </c>
      <c r="AK1222" s="50" t="e">
        <f t="shared" si="298"/>
        <v>#VALUE!</v>
      </c>
    </row>
    <row r="1223" spans="1:37" x14ac:dyDescent="0.4">
      <c r="A1223" s="2">
        <v>2376</v>
      </c>
      <c r="B1223" s="16"/>
      <c r="C1223" s="22">
        <f t="shared" si="295"/>
        <v>0</v>
      </c>
      <c r="D1223" s="23">
        <f t="shared" si="300"/>
        <v>0</v>
      </c>
      <c r="E1223" s="14"/>
      <c r="F1223" s="12">
        <f t="shared" si="296"/>
        <v>0</v>
      </c>
      <c r="G1223" s="24">
        <f t="shared" si="301"/>
        <v>0</v>
      </c>
      <c r="H1223" s="14"/>
      <c r="I1223" s="14"/>
      <c r="J1223" s="29"/>
      <c r="K1223" s="30"/>
      <c r="M1223" s="17"/>
      <c r="N1223" s="7"/>
      <c r="O1223" s="5"/>
      <c r="P1223" s="3"/>
      <c r="Q1223" s="5"/>
      <c r="R1223" s="7"/>
      <c r="S1223" s="5"/>
      <c r="U1223" s="10"/>
      <c r="V1223" s="11"/>
      <c r="W1223" s="6"/>
      <c r="Y1223" s="10"/>
      <c r="Z1223" s="11"/>
      <c r="AA1223" s="6"/>
      <c r="AB1223" s="1">
        <v>1.2</v>
      </c>
      <c r="AC1223" s="21" t="str">
        <f t="shared" si="302"/>
        <v/>
      </c>
      <c r="AD1223" s="27" t="str">
        <f t="shared" si="294"/>
        <v/>
      </c>
      <c r="AE1223" s="27" t="str">
        <f t="shared" si="292"/>
        <v/>
      </c>
      <c r="AF1223" s="14">
        <f t="shared" si="303"/>
        <v>0</v>
      </c>
      <c r="AG1223" s="12">
        <f t="shared" si="297"/>
        <v>0</v>
      </c>
      <c r="AH1223" s="24">
        <f t="shared" si="304"/>
        <v>0</v>
      </c>
      <c r="AI1223" s="49" t="e">
        <f t="shared" si="299"/>
        <v>#VALUE!</v>
      </c>
      <c r="AK1223" s="50" t="e">
        <f t="shared" si="298"/>
        <v>#VALUE!</v>
      </c>
    </row>
    <row r="1224" spans="1:37" x14ac:dyDescent="0.4">
      <c r="A1224" s="2">
        <v>2377</v>
      </c>
      <c r="B1224" s="16"/>
      <c r="C1224" s="22">
        <f t="shared" si="295"/>
        <v>0</v>
      </c>
      <c r="D1224" s="23">
        <f t="shared" si="300"/>
        <v>0</v>
      </c>
      <c r="E1224" s="14"/>
      <c r="F1224" s="12">
        <f t="shared" si="296"/>
        <v>0</v>
      </c>
      <c r="G1224" s="24">
        <f t="shared" si="301"/>
        <v>0</v>
      </c>
      <c r="H1224" s="14"/>
      <c r="I1224" s="14"/>
      <c r="J1224" s="29"/>
      <c r="K1224" s="30"/>
      <c r="M1224" s="17"/>
      <c r="N1224" s="7"/>
      <c r="O1224" s="5"/>
      <c r="P1224" s="3"/>
      <c r="Q1224" s="5"/>
      <c r="R1224" s="7"/>
      <c r="S1224" s="5"/>
      <c r="U1224" s="10"/>
      <c r="V1224" s="11"/>
      <c r="W1224" s="6"/>
      <c r="Y1224" s="10"/>
      <c r="Z1224" s="11"/>
      <c r="AA1224" s="6"/>
      <c r="AB1224" s="1">
        <v>1.2</v>
      </c>
      <c r="AC1224" s="21" t="str">
        <f t="shared" si="302"/>
        <v/>
      </c>
      <c r="AD1224" s="27" t="str">
        <f t="shared" si="294"/>
        <v/>
      </c>
      <c r="AE1224" s="27" t="str">
        <f t="shared" si="292"/>
        <v/>
      </c>
      <c r="AF1224" s="14">
        <f t="shared" si="303"/>
        <v>0</v>
      </c>
      <c r="AG1224" s="12">
        <f t="shared" si="297"/>
        <v>0</v>
      </c>
      <c r="AH1224" s="24">
        <f t="shared" si="304"/>
        <v>0</v>
      </c>
      <c r="AI1224" s="49" t="e">
        <f t="shared" si="299"/>
        <v>#VALUE!</v>
      </c>
      <c r="AK1224" s="50" t="e">
        <f t="shared" si="298"/>
        <v>#VALUE!</v>
      </c>
    </row>
    <row r="1225" spans="1:37" x14ac:dyDescent="0.4">
      <c r="A1225" s="2">
        <v>2378</v>
      </c>
      <c r="B1225" s="16"/>
      <c r="C1225" s="22">
        <f t="shared" si="295"/>
        <v>0</v>
      </c>
      <c r="D1225" s="23">
        <f t="shared" si="300"/>
        <v>0</v>
      </c>
      <c r="E1225" s="14"/>
      <c r="F1225" s="12">
        <f t="shared" si="296"/>
        <v>0</v>
      </c>
      <c r="G1225" s="24">
        <f t="shared" si="301"/>
        <v>0</v>
      </c>
      <c r="H1225" s="14"/>
      <c r="I1225" s="14"/>
      <c r="J1225" s="29"/>
      <c r="K1225" s="30"/>
      <c r="M1225" s="17"/>
      <c r="N1225" s="7"/>
      <c r="O1225" s="5"/>
      <c r="P1225" s="3"/>
      <c r="Q1225" s="5"/>
      <c r="R1225" s="7"/>
      <c r="S1225" s="5"/>
      <c r="U1225" s="10"/>
      <c r="V1225" s="11"/>
      <c r="W1225" s="6"/>
      <c r="Y1225" s="10"/>
      <c r="Z1225" s="11"/>
      <c r="AA1225" s="6"/>
      <c r="AB1225" s="1">
        <v>1.2</v>
      </c>
      <c r="AC1225" s="21" t="str">
        <f t="shared" si="302"/>
        <v/>
      </c>
      <c r="AD1225" s="27" t="str">
        <f t="shared" si="294"/>
        <v/>
      </c>
      <c r="AE1225" s="27" t="str">
        <f t="shared" si="292"/>
        <v/>
      </c>
      <c r="AF1225" s="14">
        <f t="shared" si="303"/>
        <v>0</v>
      </c>
      <c r="AG1225" s="12">
        <f t="shared" si="297"/>
        <v>0</v>
      </c>
      <c r="AH1225" s="24">
        <f t="shared" si="304"/>
        <v>0</v>
      </c>
      <c r="AI1225" s="49" t="e">
        <f t="shared" si="299"/>
        <v>#VALUE!</v>
      </c>
      <c r="AK1225" s="50" t="e">
        <f t="shared" si="298"/>
        <v>#VALUE!</v>
      </c>
    </row>
    <row r="1226" spans="1:37" x14ac:dyDescent="0.4">
      <c r="A1226" s="2">
        <v>2379</v>
      </c>
      <c r="B1226" s="16"/>
      <c r="C1226" s="22">
        <f t="shared" si="295"/>
        <v>0</v>
      </c>
      <c r="D1226" s="23">
        <f t="shared" si="300"/>
        <v>0</v>
      </c>
      <c r="E1226" s="14"/>
      <c r="F1226" s="12">
        <f t="shared" si="296"/>
        <v>0</v>
      </c>
      <c r="G1226" s="24">
        <f t="shared" si="301"/>
        <v>0</v>
      </c>
      <c r="H1226" s="14"/>
      <c r="I1226" s="14"/>
      <c r="J1226" s="29"/>
      <c r="K1226" s="30"/>
      <c r="M1226" s="17"/>
      <c r="N1226" s="7"/>
      <c r="O1226" s="5"/>
      <c r="P1226" s="3"/>
      <c r="Q1226" s="5"/>
      <c r="R1226" s="7"/>
      <c r="S1226" s="5"/>
      <c r="U1226" s="10"/>
      <c r="V1226" s="11"/>
      <c r="W1226" s="6"/>
      <c r="Y1226" s="10"/>
      <c r="Z1226" s="11"/>
      <c r="AA1226" s="6"/>
      <c r="AB1226" s="1">
        <v>1.2</v>
      </c>
      <c r="AC1226" s="21" t="str">
        <f t="shared" si="302"/>
        <v/>
      </c>
      <c r="AD1226" s="27" t="str">
        <f t="shared" si="294"/>
        <v/>
      </c>
      <c r="AE1226" s="27" t="str">
        <f t="shared" si="292"/>
        <v/>
      </c>
      <c r="AF1226" s="14">
        <f t="shared" si="303"/>
        <v>0</v>
      </c>
      <c r="AG1226" s="12">
        <f t="shared" si="297"/>
        <v>0</v>
      </c>
      <c r="AH1226" s="24">
        <f t="shared" si="304"/>
        <v>0</v>
      </c>
      <c r="AI1226" s="49" t="e">
        <f t="shared" si="299"/>
        <v>#VALUE!</v>
      </c>
      <c r="AK1226" s="50" t="e">
        <f t="shared" si="298"/>
        <v>#VALUE!</v>
      </c>
    </row>
    <row r="1227" spans="1:37" x14ac:dyDescent="0.4">
      <c r="A1227" s="2">
        <v>2380</v>
      </c>
      <c r="B1227" s="16"/>
      <c r="C1227" s="22">
        <f t="shared" si="295"/>
        <v>0</v>
      </c>
      <c r="D1227" s="23">
        <f t="shared" si="300"/>
        <v>0</v>
      </c>
      <c r="E1227" s="14"/>
      <c r="F1227" s="12">
        <f t="shared" si="296"/>
        <v>0</v>
      </c>
      <c r="G1227" s="24">
        <f t="shared" si="301"/>
        <v>0</v>
      </c>
      <c r="H1227" s="14"/>
      <c r="I1227" s="14"/>
      <c r="J1227" s="29"/>
      <c r="K1227" s="30"/>
      <c r="M1227" s="17"/>
      <c r="N1227" s="7"/>
      <c r="O1227" s="5"/>
      <c r="P1227" s="3"/>
      <c r="Q1227" s="5"/>
      <c r="R1227" s="7"/>
      <c r="S1227" s="5"/>
      <c r="U1227" s="10"/>
      <c r="V1227" s="11"/>
      <c r="W1227" s="6"/>
      <c r="Y1227" s="10"/>
      <c r="Z1227" s="11"/>
      <c r="AA1227" s="6"/>
      <c r="AB1227" s="1">
        <v>1.2</v>
      </c>
      <c r="AC1227" s="21" t="str">
        <f t="shared" si="302"/>
        <v/>
      </c>
      <c r="AD1227" s="27" t="str">
        <f t="shared" si="294"/>
        <v/>
      </c>
      <c r="AE1227" s="27" t="str">
        <f t="shared" si="292"/>
        <v/>
      </c>
      <c r="AF1227" s="14">
        <f t="shared" si="303"/>
        <v>0</v>
      </c>
      <c r="AG1227" s="12">
        <f t="shared" si="297"/>
        <v>0</v>
      </c>
      <c r="AH1227" s="24">
        <f t="shared" si="304"/>
        <v>0</v>
      </c>
      <c r="AI1227" s="49" t="e">
        <f t="shared" si="299"/>
        <v>#VALUE!</v>
      </c>
      <c r="AK1227" s="50" t="e">
        <f t="shared" si="298"/>
        <v>#VALUE!</v>
      </c>
    </row>
    <row r="1228" spans="1:37" x14ac:dyDescent="0.4">
      <c r="A1228" s="2">
        <v>2381</v>
      </c>
      <c r="B1228" s="16"/>
      <c r="C1228" s="22">
        <f t="shared" si="295"/>
        <v>0</v>
      </c>
      <c r="D1228" s="23">
        <f t="shared" si="300"/>
        <v>0</v>
      </c>
      <c r="E1228" s="14"/>
      <c r="F1228" s="12">
        <f t="shared" si="296"/>
        <v>0</v>
      </c>
      <c r="G1228" s="24">
        <f t="shared" si="301"/>
        <v>0</v>
      </c>
      <c r="H1228" s="14"/>
      <c r="I1228" s="14"/>
      <c r="J1228" s="29"/>
      <c r="K1228" s="30"/>
      <c r="M1228" s="17"/>
      <c r="N1228" s="7"/>
      <c r="O1228" s="5"/>
      <c r="P1228" s="3"/>
      <c r="Q1228" s="5"/>
      <c r="R1228" s="7"/>
      <c r="S1228" s="5"/>
      <c r="U1228" s="10"/>
      <c r="V1228" s="11"/>
      <c r="W1228" s="6"/>
      <c r="Y1228" s="10"/>
      <c r="Z1228" s="11"/>
      <c r="AA1228" s="6"/>
      <c r="AB1228" s="1">
        <v>1.2</v>
      </c>
      <c r="AC1228" s="21" t="str">
        <f t="shared" si="302"/>
        <v/>
      </c>
      <c r="AD1228" s="27" t="str">
        <f t="shared" si="294"/>
        <v/>
      </c>
      <c r="AE1228" s="27" t="str">
        <f t="shared" si="292"/>
        <v/>
      </c>
      <c r="AF1228" s="14">
        <f t="shared" si="303"/>
        <v>0</v>
      </c>
      <c r="AG1228" s="12">
        <f t="shared" si="297"/>
        <v>0</v>
      </c>
      <c r="AH1228" s="24">
        <f t="shared" si="304"/>
        <v>0</v>
      </c>
      <c r="AI1228" s="49" t="e">
        <f t="shared" si="299"/>
        <v>#VALUE!</v>
      </c>
      <c r="AK1228" s="50" t="e">
        <f t="shared" si="298"/>
        <v>#VALUE!</v>
      </c>
    </row>
    <row r="1229" spans="1:37" x14ac:dyDescent="0.4">
      <c r="A1229" s="2">
        <v>2382</v>
      </c>
      <c r="B1229" s="16"/>
      <c r="C1229" s="22">
        <f t="shared" si="295"/>
        <v>0</v>
      </c>
      <c r="D1229" s="23">
        <f t="shared" si="300"/>
        <v>0</v>
      </c>
      <c r="E1229" s="14"/>
      <c r="F1229" s="12">
        <f t="shared" si="296"/>
        <v>0</v>
      </c>
      <c r="G1229" s="24">
        <f t="shared" si="301"/>
        <v>0</v>
      </c>
      <c r="H1229" s="14"/>
      <c r="I1229" s="14"/>
      <c r="J1229" s="29"/>
      <c r="K1229" s="30"/>
      <c r="M1229" s="17"/>
      <c r="N1229" s="7"/>
      <c r="O1229" s="5"/>
      <c r="P1229" s="3"/>
      <c r="Q1229" s="5"/>
      <c r="R1229" s="7"/>
      <c r="S1229" s="5"/>
      <c r="U1229" s="10"/>
      <c r="V1229" s="11"/>
      <c r="W1229" s="6"/>
      <c r="Y1229" s="10"/>
      <c r="Z1229" s="11"/>
      <c r="AA1229" s="6"/>
      <c r="AB1229" s="1">
        <v>1.2</v>
      </c>
      <c r="AC1229" s="21" t="str">
        <f t="shared" si="302"/>
        <v/>
      </c>
      <c r="AD1229" s="27" t="str">
        <f t="shared" si="294"/>
        <v/>
      </c>
      <c r="AE1229" s="27" t="str">
        <f t="shared" ref="AE1229:AE1292" si="305">IF(I1229="","",TEXT(I1229-B1229,"[hh]:mm"))</f>
        <v/>
      </c>
      <c r="AF1229" s="14">
        <f t="shared" si="303"/>
        <v>0</v>
      </c>
      <c r="AG1229" s="12">
        <f t="shared" si="297"/>
        <v>0</v>
      </c>
      <c r="AH1229" s="24">
        <f t="shared" si="304"/>
        <v>0</v>
      </c>
      <c r="AI1229" s="49" t="e">
        <f t="shared" ref="AI1229:AI1292" si="306">MAX(VALUE(AC1229),VALUE(AD1229),VALUE(AE1229))</f>
        <v>#VALUE!</v>
      </c>
      <c r="AK1229" s="50" t="e">
        <f t="shared" si="298"/>
        <v>#VALUE!</v>
      </c>
    </row>
    <row r="1230" spans="1:37" x14ac:dyDescent="0.4">
      <c r="A1230" s="2">
        <v>2383</v>
      </c>
      <c r="B1230" s="16"/>
      <c r="C1230" s="22">
        <f t="shared" si="295"/>
        <v>0</v>
      </c>
      <c r="D1230" s="23">
        <f t="shared" si="300"/>
        <v>0</v>
      </c>
      <c r="E1230" s="14"/>
      <c r="F1230" s="12">
        <f t="shared" si="296"/>
        <v>0</v>
      </c>
      <c r="G1230" s="24">
        <f t="shared" si="301"/>
        <v>0</v>
      </c>
      <c r="H1230" s="14"/>
      <c r="I1230" s="14"/>
      <c r="J1230" s="29"/>
      <c r="K1230" s="30"/>
      <c r="M1230" s="17"/>
      <c r="N1230" s="7"/>
      <c r="O1230" s="5"/>
      <c r="P1230" s="3"/>
      <c r="Q1230" s="5"/>
      <c r="R1230" s="7"/>
      <c r="S1230" s="5"/>
      <c r="U1230" s="10"/>
      <c r="V1230" s="11"/>
      <c r="W1230" s="6"/>
      <c r="Y1230" s="10"/>
      <c r="Z1230" s="11"/>
      <c r="AA1230" s="6"/>
      <c r="AB1230" s="1">
        <v>1.2</v>
      </c>
      <c r="AC1230" s="21" t="str">
        <f t="shared" si="302"/>
        <v/>
      </c>
      <c r="AD1230" s="27" t="str">
        <f t="shared" si="294"/>
        <v/>
      </c>
      <c r="AE1230" s="27" t="str">
        <f t="shared" si="305"/>
        <v/>
      </c>
      <c r="AF1230" s="14">
        <f t="shared" si="303"/>
        <v>0</v>
      </c>
      <c r="AG1230" s="12">
        <f t="shared" si="297"/>
        <v>0</v>
      </c>
      <c r="AH1230" s="24">
        <f t="shared" si="304"/>
        <v>0</v>
      </c>
      <c r="AI1230" s="49" t="e">
        <f t="shared" si="306"/>
        <v>#VALUE!</v>
      </c>
      <c r="AK1230" s="50" t="e">
        <f t="shared" si="298"/>
        <v>#VALUE!</v>
      </c>
    </row>
    <row r="1231" spans="1:37" x14ac:dyDescent="0.4">
      <c r="A1231" s="2">
        <v>2384</v>
      </c>
      <c r="B1231" s="16"/>
      <c r="C1231" s="22">
        <f t="shared" si="295"/>
        <v>0</v>
      </c>
      <c r="D1231" s="23">
        <f t="shared" si="300"/>
        <v>0</v>
      </c>
      <c r="E1231" s="14"/>
      <c r="F1231" s="12">
        <f t="shared" si="296"/>
        <v>0</v>
      </c>
      <c r="G1231" s="24">
        <f t="shared" si="301"/>
        <v>0</v>
      </c>
      <c r="H1231" s="14"/>
      <c r="I1231" s="14"/>
      <c r="J1231" s="29"/>
      <c r="K1231" s="30"/>
      <c r="M1231" s="17"/>
      <c r="N1231" s="7"/>
      <c r="O1231" s="5"/>
      <c r="P1231" s="3"/>
      <c r="Q1231" s="5"/>
      <c r="R1231" s="7"/>
      <c r="S1231" s="5"/>
      <c r="U1231" s="10"/>
      <c r="V1231" s="11"/>
      <c r="W1231" s="6"/>
      <c r="Y1231" s="10"/>
      <c r="Z1231" s="11"/>
      <c r="AA1231" s="6"/>
      <c r="AB1231" s="1">
        <v>1.2</v>
      </c>
      <c r="AC1231" s="21" t="str">
        <f t="shared" si="302"/>
        <v/>
      </c>
      <c r="AD1231" s="27" t="str">
        <f t="shared" si="294"/>
        <v/>
      </c>
      <c r="AE1231" s="27" t="str">
        <f t="shared" si="305"/>
        <v/>
      </c>
      <c r="AF1231" s="14">
        <f t="shared" si="303"/>
        <v>0</v>
      </c>
      <c r="AG1231" s="12">
        <f t="shared" si="297"/>
        <v>0</v>
      </c>
      <c r="AH1231" s="24">
        <f t="shared" si="304"/>
        <v>0</v>
      </c>
      <c r="AI1231" s="49" t="e">
        <f t="shared" si="306"/>
        <v>#VALUE!</v>
      </c>
      <c r="AK1231" s="50" t="e">
        <f t="shared" si="298"/>
        <v>#VALUE!</v>
      </c>
    </row>
    <row r="1232" spans="1:37" x14ac:dyDescent="0.4">
      <c r="A1232" s="2">
        <v>2385</v>
      </c>
      <c r="B1232" s="16"/>
      <c r="C1232" s="22">
        <f t="shared" si="295"/>
        <v>0</v>
      </c>
      <c r="D1232" s="23">
        <f t="shared" si="300"/>
        <v>0</v>
      </c>
      <c r="E1232" s="14"/>
      <c r="F1232" s="12">
        <f t="shared" si="296"/>
        <v>0</v>
      </c>
      <c r="G1232" s="24">
        <f t="shared" si="301"/>
        <v>0</v>
      </c>
      <c r="H1232" s="14"/>
      <c r="I1232" s="14"/>
      <c r="J1232" s="29"/>
      <c r="K1232" s="30"/>
      <c r="M1232" s="17"/>
      <c r="N1232" s="7"/>
      <c r="O1232" s="5"/>
      <c r="P1232" s="3"/>
      <c r="Q1232" s="5"/>
      <c r="R1232" s="7"/>
      <c r="S1232" s="5"/>
      <c r="U1232" s="10"/>
      <c r="V1232" s="11"/>
      <c r="W1232" s="6"/>
      <c r="Y1232" s="10"/>
      <c r="Z1232" s="11"/>
      <c r="AA1232" s="6"/>
      <c r="AB1232" s="1">
        <v>1.2</v>
      </c>
      <c r="AC1232" s="21" t="str">
        <f t="shared" si="302"/>
        <v/>
      </c>
      <c r="AD1232" s="27" t="str">
        <f t="shared" si="294"/>
        <v/>
      </c>
      <c r="AE1232" s="27" t="str">
        <f t="shared" si="305"/>
        <v/>
      </c>
      <c r="AF1232" s="14">
        <f t="shared" si="303"/>
        <v>0</v>
      </c>
      <c r="AG1232" s="12">
        <f t="shared" si="297"/>
        <v>0</v>
      </c>
      <c r="AH1232" s="24">
        <f t="shared" si="304"/>
        <v>0</v>
      </c>
      <c r="AI1232" s="49" t="e">
        <f t="shared" si="306"/>
        <v>#VALUE!</v>
      </c>
      <c r="AK1232" s="50" t="e">
        <f t="shared" si="298"/>
        <v>#VALUE!</v>
      </c>
    </row>
    <row r="1233" spans="1:37" x14ac:dyDescent="0.4">
      <c r="A1233" s="2">
        <v>2386</v>
      </c>
      <c r="B1233" s="16"/>
      <c r="C1233" s="22">
        <f t="shared" si="295"/>
        <v>0</v>
      </c>
      <c r="D1233" s="23">
        <f t="shared" si="300"/>
        <v>0</v>
      </c>
      <c r="E1233" s="14"/>
      <c r="F1233" s="12">
        <f t="shared" si="296"/>
        <v>0</v>
      </c>
      <c r="G1233" s="24">
        <f t="shared" si="301"/>
        <v>0</v>
      </c>
      <c r="H1233" s="14"/>
      <c r="I1233" s="14"/>
      <c r="J1233" s="29"/>
      <c r="K1233" s="30"/>
      <c r="M1233" s="17"/>
      <c r="N1233" s="7"/>
      <c r="O1233" s="5"/>
      <c r="P1233" s="3"/>
      <c r="Q1233" s="5"/>
      <c r="R1233" s="7"/>
      <c r="S1233" s="5"/>
      <c r="U1233" s="10"/>
      <c r="V1233" s="11"/>
      <c r="W1233" s="6"/>
      <c r="Y1233" s="10"/>
      <c r="Z1233" s="11"/>
      <c r="AA1233" s="6"/>
      <c r="AB1233" s="1">
        <v>1.2</v>
      </c>
      <c r="AC1233" s="21" t="str">
        <f t="shared" si="302"/>
        <v/>
      </c>
      <c r="AD1233" s="27" t="str">
        <f t="shared" si="294"/>
        <v/>
      </c>
      <c r="AE1233" s="27" t="str">
        <f t="shared" si="305"/>
        <v/>
      </c>
      <c r="AF1233" s="14">
        <f t="shared" si="303"/>
        <v>0</v>
      </c>
      <c r="AG1233" s="12">
        <f t="shared" si="297"/>
        <v>0</v>
      </c>
      <c r="AH1233" s="24">
        <f t="shared" si="304"/>
        <v>0</v>
      </c>
      <c r="AI1233" s="49" t="e">
        <f t="shared" si="306"/>
        <v>#VALUE!</v>
      </c>
      <c r="AK1233" s="50" t="e">
        <f t="shared" si="298"/>
        <v>#VALUE!</v>
      </c>
    </row>
    <row r="1234" spans="1:37" x14ac:dyDescent="0.4">
      <c r="A1234" s="2">
        <v>2387</v>
      </c>
      <c r="B1234" s="16"/>
      <c r="C1234" s="22">
        <f t="shared" si="295"/>
        <v>0</v>
      </c>
      <c r="D1234" s="23">
        <f t="shared" si="300"/>
        <v>0</v>
      </c>
      <c r="E1234" s="14"/>
      <c r="F1234" s="12">
        <f t="shared" si="296"/>
        <v>0</v>
      </c>
      <c r="G1234" s="24">
        <f t="shared" si="301"/>
        <v>0</v>
      </c>
      <c r="H1234" s="14"/>
      <c r="I1234" s="14"/>
      <c r="J1234" s="29"/>
      <c r="K1234" s="30"/>
      <c r="M1234" s="17"/>
      <c r="N1234" s="7"/>
      <c r="O1234" s="5"/>
      <c r="P1234" s="3"/>
      <c r="Q1234" s="5"/>
      <c r="R1234" s="7"/>
      <c r="S1234" s="5"/>
      <c r="U1234" s="10"/>
      <c r="V1234" s="11"/>
      <c r="W1234" s="6"/>
      <c r="Y1234" s="10"/>
      <c r="Z1234" s="11"/>
      <c r="AA1234" s="6"/>
      <c r="AB1234" s="1">
        <v>1.2</v>
      </c>
      <c r="AC1234" s="21" t="str">
        <f t="shared" si="302"/>
        <v/>
      </c>
      <c r="AD1234" s="27" t="str">
        <f t="shared" si="294"/>
        <v/>
      </c>
      <c r="AE1234" s="27" t="str">
        <f t="shared" si="305"/>
        <v/>
      </c>
      <c r="AF1234" s="14">
        <f t="shared" si="303"/>
        <v>0</v>
      </c>
      <c r="AG1234" s="12">
        <f t="shared" si="297"/>
        <v>0</v>
      </c>
      <c r="AH1234" s="24">
        <f t="shared" si="304"/>
        <v>0</v>
      </c>
      <c r="AI1234" s="49" t="e">
        <f t="shared" si="306"/>
        <v>#VALUE!</v>
      </c>
      <c r="AK1234" s="50" t="e">
        <f t="shared" si="298"/>
        <v>#VALUE!</v>
      </c>
    </row>
    <row r="1235" spans="1:37" x14ac:dyDescent="0.4">
      <c r="A1235" s="2">
        <v>2388</v>
      </c>
      <c r="B1235" s="16"/>
      <c r="C1235" s="22">
        <f t="shared" si="295"/>
        <v>0</v>
      </c>
      <c r="D1235" s="23">
        <f t="shared" si="300"/>
        <v>0</v>
      </c>
      <c r="E1235" s="14"/>
      <c r="F1235" s="12">
        <f t="shared" si="296"/>
        <v>0</v>
      </c>
      <c r="G1235" s="24">
        <f t="shared" si="301"/>
        <v>0</v>
      </c>
      <c r="H1235" s="14"/>
      <c r="I1235" s="14"/>
      <c r="J1235" s="29"/>
      <c r="K1235" s="30"/>
      <c r="M1235" s="17"/>
      <c r="N1235" s="7"/>
      <c r="O1235" s="5"/>
      <c r="P1235" s="3"/>
      <c r="Q1235" s="5"/>
      <c r="R1235" s="7"/>
      <c r="S1235" s="5"/>
      <c r="U1235" s="10"/>
      <c r="V1235" s="11"/>
      <c r="W1235" s="6"/>
      <c r="Y1235" s="10"/>
      <c r="Z1235" s="11"/>
      <c r="AA1235" s="6"/>
      <c r="AB1235" s="1">
        <v>1.2</v>
      </c>
      <c r="AC1235" s="21" t="str">
        <f t="shared" si="302"/>
        <v/>
      </c>
      <c r="AD1235" s="27" t="str">
        <f t="shared" si="294"/>
        <v/>
      </c>
      <c r="AE1235" s="27" t="str">
        <f t="shared" si="305"/>
        <v/>
      </c>
      <c r="AF1235" s="14">
        <f t="shared" si="303"/>
        <v>0</v>
      </c>
      <c r="AG1235" s="12">
        <f t="shared" si="297"/>
        <v>0</v>
      </c>
      <c r="AH1235" s="24">
        <f t="shared" si="304"/>
        <v>0</v>
      </c>
      <c r="AI1235" s="49" t="e">
        <f t="shared" si="306"/>
        <v>#VALUE!</v>
      </c>
      <c r="AK1235" s="50" t="e">
        <f t="shared" si="298"/>
        <v>#VALUE!</v>
      </c>
    </row>
    <row r="1236" spans="1:37" x14ac:dyDescent="0.4">
      <c r="A1236" s="2">
        <v>2389</v>
      </c>
      <c r="B1236" s="16"/>
      <c r="C1236" s="22">
        <f t="shared" si="295"/>
        <v>0</v>
      </c>
      <c r="D1236" s="23">
        <f t="shared" si="300"/>
        <v>0</v>
      </c>
      <c r="E1236" s="14"/>
      <c r="F1236" s="12">
        <f t="shared" si="296"/>
        <v>0</v>
      </c>
      <c r="G1236" s="24">
        <f t="shared" si="301"/>
        <v>0</v>
      </c>
      <c r="H1236" s="14"/>
      <c r="I1236" s="14"/>
      <c r="J1236" s="29"/>
      <c r="K1236" s="30"/>
      <c r="M1236" s="17"/>
      <c r="N1236" s="7"/>
      <c r="O1236" s="5"/>
      <c r="P1236" s="3"/>
      <c r="Q1236" s="5"/>
      <c r="R1236" s="7"/>
      <c r="S1236" s="5"/>
      <c r="U1236" s="10"/>
      <c r="V1236" s="11"/>
      <c r="W1236" s="6"/>
      <c r="Y1236" s="10"/>
      <c r="Z1236" s="11"/>
      <c r="AA1236" s="6"/>
      <c r="AB1236" s="1">
        <v>1.2</v>
      </c>
      <c r="AC1236" s="21" t="str">
        <f t="shared" si="302"/>
        <v/>
      </c>
      <c r="AD1236" s="27" t="str">
        <f t="shared" si="294"/>
        <v/>
      </c>
      <c r="AE1236" s="27" t="str">
        <f t="shared" si="305"/>
        <v/>
      </c>
      <c r="AF1236" s="14">
        <f t="shared" si="303"/>
        <v>0</v>
      </c>
      <c r="AG1236" s="12">
        <f t="shared" si="297"/>
        <v>0</v>
      </c>
      <c r="AH1236" s="24">
        <f t="shared" si="304"/>
        <v>0</v>
      </c>
      <c r="AI1236" s="49" t="e">
        <f t="shared" si="306"/>
        <v>#VALUE!</v>
      </c>
      <c r="AK1236" s="50" t="e">
        <f t="shared" si="298"/>
        <v>#VALUE!</v>
      </c>
    </row>
    <row r="1237" spans="1:37" x14ac:dyDescent="0.4">
      <c r="A1237" s="2">
        <v>2390</v>
      </c>
      <c r="B1237" s="16"/>
      <c r="C1237" s="22">
        <f t="shared" si="295"/>
        <v>0</v>
      </c>
      <c r="D1237" s="23">
        <f t="shared" si="300"/>
        <v>0</v>
      </c>
      <c r="E1237" s="14"/>
      <c r="F1237" s="12">
        <f t="shared" si="296"/>
        <v>0</v>
      </c>
      <c r="G1237" s="24">
        <f t="shared" si="301"/>
        <v>0</v>
      </c>
      <c r="H1237" s="14"/>
      <c r="I1237" s="14"/>
      <c r="J1237" s="29"/>
      <c r="K1237" s="30"/>
      <c r="M1237" s="17"/>
      <c r="N1237" s="7"/>
      <c r="O1237" s="5"/>
      <c r="P1237" s="3"/>
      <c r="Q1237" s="5"/>
      <c r="R1237" s="7"/>
      <c r="S1237" s="5"/>
      <c r="U1237" s="10"/>
      <c r="V1237" s="11"/>
      <c r="W1237" s="6"/>
      <c r="Y1237" s="10"/>
      <c r="Z1237" s="11"/>
      <c r="AA1237" s="6"/>
      <c r="AB1237" s="1">
        <v>1.2</v>
      </c>
      <c r="AC1237" s="21" t="str">
        <f t="shared" si="302"/>
        <v/>
      </c>
      <c r="AD1237" s="27" t="str">
        <f t="shared" si="294"/>
        <v/>
      </c>
      <c r="AE1237" s="27" t="str">
        <f t="shared" si="305"/>
        <v/>
      </c>
      <c r="AF1237" s="14">
        <f t="shared" si="303"/>
        <v>0</v>
      </c>
      <c r="AG1237" s="12">
        <f t="shared" si="297"/>
        <v>0</v>
      </c>
      <c r="AH1237" s="24">
        <f t="shared" si="304"/>
        <v>0</v>
      </c>
      <c r="AI1237" s="49" t="e">
        <f t="shared" si="306"/>
        <v>#VALUE!</v>
      </c>
      <c r="AK1237" s="50" t="e">
        <f t="shared" si="298"/>
        <v>#VALUE!</v>
      </c>
    </row>
    <row r="1238" spans="1:37" x14ac:dyDescent="0.4">
      <c r="A1238" s="2">
        <v>2391</v>
      </c>
      <c r="B1238" s="16"/>
      <c r="C1238" s="22">
        <f t="shared" si="295"/>
        <v>0</v>
      </c>
      <c r="D1238" s="23">
        <f t="shared" si="300"/>
        <v>0</v>
      </c>
      <c r="E1238" s="14"/>
      <c r="F1238" s="12">
        <f t="shared" si="296"/>
        <v>0</v>
      </c>
      <c r="G1238" s="24">
        <f t="shared" si="301"/>
        <v>0</v>
      </c>
      <c r="H1238" s="14"/>
      <c r="I1238" s="14"/>
      <c r="J1238" s="29"/>
      <c r="K1238" s="30"/>
      <c r="M1238" s="17"/>
      <c r="N1238" s="7"/>
      <c r="O1238" s="5"/>
      <c r="P1238" s="3"/>
      <c r="Q1238" s="5"/>
      <c r="R1238" s="7"/>
      <c r="S1238" s="5"/>
      <c r="U1238" s="10"/>
      <c r="V1238" s="11"/>
      <c r="W1238" s="6"/>
      <c r="Y1238" s="10"/>
      <c r="Z1238" s="11"/>
      <c r="AA1238" s="6"/>
      <c r="AB1238" s="1">
        <v>1.2</v>
      </c>
      <c r="AC1238" s="21" t="str">
        <f t="shared" si="302"/>
        <v/>
      </c>
      <c r="AD1238" s="27" t="str">
        <f t="shared" ref="AD1238:AD1301" si="307">IF(H1238="","",TEXT(H1238-B1238,"[hh]:mm"))</f>
        <v/>
      </c>
      <c r="AE1238" s="27" t="str">
        <f t="shared" si="305"/>
        <v/>
      </c>
      <c r="AF1238" s="14">
        <f t="shared" si="303"/>
        <v>0</v>
      </c>
      <c r="AG1238" s="12">
        <f t="shared" si="297"/>
        <v>0</v>
      </c>
      <c r="AH1238" s="24">
        <f t="shared" si="304"/>
        <v>0</v>
      </c>
      <c r="AI1238" s="49" t="e">
        <f t="shared" si="306"/>
        <v>#VALUE!</v>
      </c>
      <c r="AK1238" s="50" t="e">
        <f t="shared" si="298"/>
        <v>#VALUE!</v>
      </c>
    </row>
    <row r="1239" spans="1:37" x14ac:dyDescent="0.4">
      <c r="A1239" s="2">
        <v>2392</v>
      </c>
      <c r="B1239" s="16"/>
      <c r="C1239" s="22">
        <f t="shared" ref="C1239:C1302" si="308">INT(B1239)</f>
        <v>0</v>
      </c>
      <c r="D1239" s="23">
        <f t="shared" si="300"/>
        <v>0</v>
      </c>
      <c r="E1239" s="14"/>
      <c r="F1239" s="12">
        <f t="shared" ref="F1239:F1302" si="309">INT(E1239)</f>
        <v>0</v>
      </c>
      <c r="G1239" s="24">
        <f t="shared" si="301"/>
        <v>0</v>
      </c>
      <c r="H1239" s="14"/>
      <c r="I1239" s="14"/>
      <c r="J1239" s="29"/>
      <c r="K1239" s="30"/>
      <c r="M1239" s="17"/>
      <c r="N1239" s="7"/>
      <c r="O1239" s="5"/>
      <c r="P1239" s="3"/>
      <c r="Q1239" s="5"/>
      <c r="R1239" s="7"/>
      <c r="S1239" s="5"/>
      <c r="U1239" s="10"/>
      <c r="V1239" s="11"/>
      <c r="W1239" s="6"/>
      <c r="Y1239" s="10"/>
      <c r="Z1239" s="11"/>
      <c r="AA1239" s="6"/>
      <c r="AB1239" s="1">
        <v>1.2</v>
      </c>
      <c r="AC1239" s="21" t="str">
        <f t="shared" si="302"/>
        <v/>
      </c>
      <c r="AD1239" s="27" t="str">
        <f t="shared" si="307"/>
        <v/>
      </c>
      <c r="AE1239" s="27" t="str">
        <f t="shared" si="305"/>
        <v/>
      </c>
      <c r="AF1239" s="14">
        <f t="shared" si="303"/>
        <v>0</v>
      </c>
      <c r="AG1239" s="12">
        <f t="shared" ref="AG1239:AG1302" si="310">INT(AF1239)</f>
        <v>0</v>
      </c>
      <c r="AH1239" s="24">
        <f t="shared" si="304"/>
        <v>0</v>
      </c>
      <c r="AI1239" s="49" t="e">
        <f t="shared" si="306"/>
        <v>#VALUE!</v>
      </c>
      <c r="AK1239" s="50" t="e">
        <f t="shared" ref="AK1239:AK1302" si="311">IF(VALUE(AI1239)&lt;=VALUE($AK$3),"BOM","RUIM")</f>
        <v>#VALUE!</v>
      </c>
    </row>
    <row r="1240" spans="1:37" x14ac:dyDescent="0.4">
      <c r="A1240" s="2">
        <v>2393</v>
      </c>
      <c r="B1240" s="16"/>
      <c r="C1240" s="22">
        <f t="shared" si="308"/>
        <v>0</v>
      </c>
      <c r="D1240" s="23">
        <f t="shared" si="300"/>
        <v>0</v>
      </c>
      <c r="E1240" s="14"/>
      <c r="F1240" s="12">
        <f t="shared" si="309"/>
        <v>0</v>
      </c>
      <c r="G1240" s="24">
        <f t="shared" si="301"/>
        <v>0</v>
      </c>
      <c r="H1240" s="14"/>
      <c r="I1240" s="14"/>
      <c r="J1240" s="29"/>
      <c r="K1240" s="30"/>
      <c r="M1240" s="17"/>
      <c r="N1240" s="7"/>
      <c r="O1240" s="5"/>
      <c r="P1240" s="3"/>
      <c r="Q1240" s="5"/>
      <c r="R1240" s="7"/>
      <c r="S1240" s="5"/>
      <c r="U1240" s="10"/>
      <c r="V1240" s="11"/>
      <c r="W1240" s="6"/>
      <c r="Y1240" s="10"/>
      <c r="Z1240" s="11"/>
      <c r="AA1240" s="6"/>
      <c r="AB1240" s="1">
        <v>1.2</v>
      </c>
      <c r="AC1240" s="21" t="str">
        <f t="shared" si="302"/>
        <v/>
      </c>
      <c r="AD1240" s="27" t="str">
        <f t="shared" si="307"/>
        <v/>
      </c>
      <c r="AE1240" s="27" t="str">
        <f t="shared" si="305"/>
        <v/>
      </c>
      <c r="AF1240" s="14">
        <f t="shared" si="303"/>
        <v>0</v>
      </c>
      <c r="AG1240" s="12">
        <f t="shared" si="310"/>
        <v>0</v>
      </c>
      <c r="AH1240" s="24">
        <f t="shared" si="304"/>
        <v>0</v>
      </c>
      <c r="AI1240" s="49" t="e">
        <f t="shared" si="306"/>
        <v>#VALUE!</v>
      </c>
      <c r="AK1240" s="50" t="e">
        <f t="shared" si="311"/>
        <v>#VALUE!</v>
      </c>
    </row>
    <row r="1241" spans="1:37" x14ac:dyDescent="0.4">
      <c r="A1241" s="2">
        <v>2394</v>
      </c>
      <c r="B1241" s="16"/>
      <c r="C1241" s="22">
        <f t="shared" si="308"/>
        <v>0</v>
      </c>
      <c r="D1241" s="23">
        <f t="shared" si="300"/>
        <v>0</v>
      </c>
      <c r="E1241" s="14"/>
      <c r="F1241" s="12">
        <f t="shared" si="309"/>
        <v>0</v>
      </c>
      <c r="G1241" s="24">
        <f t="shared" si="301"/>
        <v>0</v>
      </c>
      <c r="H1241" s="14"/>
      <c r="I1241" s="14"/>
      <c r="J1241" s="29"/>
      <c r="K1241" s="30"/>
      <c r="M1241" s="17"/>
      <c r="N1241" s="7"/>
      <c r="O1241" s="5"/>
      <c r="P1241" s="3"/>
      <c r="Q1241" s="5"/>
      <c r="R1241" s="7"/>
      <c r="S1241" s="5"/>
      <c r="U1241" s="10"/>
      <c r="V1241" s="11"/>
      <c r="W1241" s="6"/>
      <c r="Y1241" s="10"/>
      <c r="Z1241" s="11"/>
      <c r="AA1241" s="6"/>
      <c r="AB1241" s="1">
        <v>1.2</v>
      </c>
      <c r="AC1241" s="21" t="str">
        <f t="shared" si="302"/>
        <v/>
      </c>
      <c r="AD1241" s="27" t="str">
        <f t="shared" si="307"/>
        <v/>
      </c>
      <c r="AE1241" s="27" t="str">
        <f t="shared" si="305"/>
        <v/>
      </c>
      <c r="AF1241" s="14">
        <f t="shared" si="303"/>
        <v>0</v>
      </c>
      <c r="AG1241" s="12">
        <f t="shared" si="310"/>
        <v>0</v>
      </c>
      <c r="AH1241" s="24">
        <f t="shared" si="304"/>
        <v>0</v>
      </c>
      <c r="AI1241" s="49" t="e">
        <f t="shared" si="306"/>
        <v>#VALUE!</v>
      </c>
      <c r="AK1241" s="50" t="e">
        <f t="shared" si="311"/>
        <v>#VALUE!</v>
      </c>
    </row>
    <row r="1242" spans="1:37" x14ac:dyDescent="0.4">
      <c r="A1242" s="2">
        <v>2395</v>
      </c>
      <c r="B1242" s="16"/>
      <c r="C1242" s="22">
        <f t="shared" si="308"/>
        <v>0</v>
      </c>
      <c r="D1242" s="23">
        <f t="shared" si="300"/>
        <v>0</v>
      </c>
      <c r="E1242" s="14"/>
      <c r="F1242" s="12">
        <f t="shared" si="309"/>
        <v>0</v>
      </c>
      <c r="G1242" s="24">
        <f t="shared" si="301"/>
        <v>0</v>
      </c>
      <c r="H1242" s="14"/>
      <c r="I1242" s="14"/>
      <c r="J1242" s="29"/>
      <c r="K1242" s="30"/>
      <c r="M1242" s="17"/>
      <c r="N1242" s="7"/>
      <c r="O1242" s="5"/>
      <c r="P1242" s="3"/>
      <c r="Q1242" s="5"/>
      <c r="R1242" s="7"/>
      <c r="S1242" s="5"/>
      <c r="U1242" s="10"/>
      <c r="V1242" s="11"/>
      <c r="W1242" s="6"/>
      <c r="Y1242" s="10"/>
      <c r="Z1242" s="11"/>
      <c r="AA1242" s="6"/>
      <c r="AB1242" s="1">
        <v>1.2</v>
      </c>
      <c r="AC1242" s="21" t="str">
        <f t="shared" si="302"/>
        <v/>
      </c>
      <c r="AD1242" s="27" t="str">
        <f t="shared" si="307"/>
        <v/>
      </c>
      <c r="AE1242" s="27" t="str">
        <f t="shared" si="305"/>
        <v/>
      </c>
      <c r="AF1242" s="14">
        <f t="shared" si="303"/>
        <v>0</v>
      </c>
      <c r="AG1242" s="12">
        <f t="shared" si="310"/>
        <v>0</v>
      </c>
      <c r="AH1242" s="24">
        <f t="shared" si="304"/>
        <v>0</v>
      </c>
      <c r="AI1242" s="49" t="e">
        <f t="shared" si="306"/>
        <v>#VALUE!</v>
      </c>
      <c r="AK1242" s="50" t="e">
        <f t="shared" si="311"/>
        <v>#VALUE!</v>
      </c>
    </row>
    <row r="1243" spans="1:37" x14ac:dyDescent="0.4">
      <c r="A1243" s="2">
        <v>2396</v>
      </c>
      <c r="B1243" s="16"/>
      <c r="C1243" s="22">
        <f t="shared" si="308"/>
        <v>0</v>
      </c>
      <c r="D1243" s="23">
        <f t="shared" si="300"/>
        <v>0</v>
      </c>
      <c r="E1243" s="14"/>
      <c r="F1243" s="12">
        <f t="shared" si="309"/>
        <v>0</v>
      </c>
      <c r="G1243" s="24">
        <f t="shared" si="301"/>
        <v>0</v>
      </c>
      <c r="H1243" s="14"/>
      <c r="I1243" s="14"/>
      <c r="J1243" s="29"/>
      <c r="K1243" s="30"/>
      <c r="M1243" s="17"/>
      <c r="N1243" s="7"/>
      <c r="O1243" s="5"/>
      <c r="P1243" s="3"/>
      <c r="Q1243" s="5"/>
      <c r="R1243" s="7"/>
      <c r="S1243" s="5"/>
      <c r="U1243" s="10"/>
      <c r="V1243" s="11"/>
      <c r="W1243" s="6"/>
      <c r="Y1243" s="10"/>
      <c r="Z1243" s="11"/>
      <c r="AA1243" s="6"/>
      <c r="AB1243" s="1">
        <v>1.2</v>
      </c>
      <c r="AC1243" s="21" t="str">
        <f t="shared" si="302"/>
        <v/>
      </c>
      <c r="AD1243" s="27" t="str">
        <f t="shared" si="307"/>
        <v/>
      </c>
      <c r="AE1243" s="27" t="str">
        <f t="shared" si="305"/>
        <v/>
      </c>
      <c r="AF1243" s="14">
        <f t="shared" si="303"/>
        <v>0</v>
      </c>
      <c r="AG1243" s="12">
        <f t="shared" si="310"/>
        <v>0</v>
      </c>
      <c r="AH1243" s="24">
        <f t="shared" si="304"/>
        <v>0</v>
      </c>
      <c r="AI1243" s="49" t="e">
        <f t="shared" si="306"/>
        <v>#VALUE!</v>
      </c>
      <c r="AK1243" s="50" t="e">
        <f t="shared" si="311"/>
        <v>#VALUE!</v>
      </c>
    </row>
    <row r="1244" spans="1:37" x14ac:dyDescent="0.4">
      <c r="A1244" s="2">
        <v>2397</v>
      </c>
      <c r="B1244" s="16"/>
      <c r="C1244" s="22">
        <f t="shared" si="308"/>
        <v>0</v>
      </c>
      <c r="D1244" s="23">
        <f t="shared" si="300"/>
        <v>0</v>
      </c>
      <c r="E1244" s="14"/>
      <c r="F1244" s="12">
        <f t="shared" si="309"/>
        <v>0</v>
      </c>
      <c r="G1244" s="24">
        <f t="shared" si="301"/>
        <v>0</v>
      </c>
      <c r="H1244" s="14"/>
      <c r="I1244" s="14"/>
      <c r="J1244" s="29"/>
      <c r="K1244" s="30"/>
      <c r="M1244" s="17"/>
      <c r="N1244" s="7"/>
      <c r="O1244" s="5"/>
      <c r="P1244" s="3"/>
      <c r="Q1244" s="5"/>
      <c r="R1244" s="7"/>
      <c r="S1244" s="5"/>
      <c r="U1244" s="10"/>
      <c r="V1244" s="11"/>
      <c r="W1244" s="6"/>
      <c r="Y1244" s="10"/>
      <c r="Z1244" s="11"/>
      <c r="AA1244" s="6"/>
      <c r="AB1244" s="1">
        <v>1.2</v>
      </c>
      <c r="AC1244" s="21" t="str">
        <f t="shared" si="302"/>
        <v/>
      </c>
      <c r="AD1244" s="27" t="str">
        <f t="shared" si="307"/>
        <v/>
      </c>
      <c r="AE1244" s="27" t="str">
        <f t="shared" si="305"/>
        <v/>
      </c>
      <c r="AF1244" s="14">
        <f t="shared" si="303"/>
        <v>0</v>
      </c>
      <c r="AG1244" s="12">
        <f t="shared" si="310"/>
        <v>0</v>
      </c>
      <c r="AH1244" s="24">
        <f t="shared" si="304"/>
        <v>0</v>
      </c>
      <c r="AI1244" s="49" t="e">
        <f t="shared" si="306"/>
        <v>#VALUE!</v>
      </c>
      <c r="AK1244" s="50" t="e">
        <f t="shared" si="311"/>
        <v>#VALUE!</v>
      </c>
    </row>
    <row r="1245" spans="1:37" x14ac:dyDescent="0.4">
      <c r="A1245" s="2">
        <v>2398</v>
      </c>
      <c r="B1245" s="16"/>
      <c r="C1245" s="22">
        <f t="shared" si="308"/>
        <v>0</v>
      </c>
      <c r="D1245" s="23">
        <f t="shared" si="300"/>
        <v>0</v>
      </c>
      <c r="E1245" s="14"/>
      <c r="F1245" s="12">
        <f t="shared" si="309"/>
        <v>0</v>
      </c>
      <c r="G1245" s="24">
        <f t="shared" si="301"/>
        <v>0</v>
      </c>
      <c r="H1245" s="14"/>
      <c r="I1245" s="14"/>
      <c r="J1245" s="29"/>
      <c r="K1245" s="30"/>
      <c r="M1245" s="17"/>
      <c r="N1245" s="7"/>
      <c r="O1245" s="5"/>
      <c r="P1245" s="3"/>
      <c r="Q1245" s="5"/>
      <c r="R1245" s="7"/>
      <c r="S1245" s="5"/>
      <c r="U1245" s="10"/>
      <c r="V1245" s="11"/>
      <c r="W1245" s="6"/>
      <c r="Y1245" s="10"/>
      <c r="Z1245" s="11"/>
      <c r="AA1245" s="6"/>
      <c r="AB1245" s="1">
        <v>1.2</v>
      </c>
      <c r="AC1245" s="21" t="str">
        <f t="shared" si="302"/>
        <v/>
      </c>
      <c r="AD1245" s="27" t="str">
        <f t="shared" si="307"/>
        <v/>
      </c>
      <c r="AE1245" s="27" t="str">
        <f t="shared" si="305"/>
        <v/>
      </c>
      <c r="AF1245" s="14">
        <f t="shared" si="303"/>
        <v>0</v>
      </c>
      <c r="AG1245" s="12">
        <f t="shared" si="310"/>
        <v>0</v>
      </c>
      <c r="AH1245" s="24">
        <f t="shared" si="304"/>
        <v>0</v>
      </c>
      <c r="AI1245" s="49" t="e">
        <f t="shared" si="306"/>
        <v>#VALUE!</v>
      </c>
      <c r="AK1245" s="50" t="e">
        <f t="shared" si="311"/>
        <v>#VALUE!</v>
      </c>
    </row>
    <row r="1246" spans="1:37" x14ac:dyDescent="0.4">
      <c r="A1246" s="2">
        <v>2399</v>
      </c>
      <c r="B1246" s="16"/>
      <c r="C1246" s="22">
        <f t="shared" si="308"/>
        <v>0</v>
      </c>
      <c r="D1246" s="23">
        <f t="shared" si="300"/>
        <v>0</v>
      </c>
      <c r="E1246" s="14"/>
      <c r="F1246" s="12">
        <f t="shared" si="309"/>
        <v>0</v>
      </c>
      <c r="G1246" s="24">
        <f t="shared" si="301"/>
        <v>0</v>
      </c>
      <c r="H1246" s="14"/>
      <c r="I1246" s="14"/>
      <c r="J1246" s="29"/>
      <c r="K1246" s="30"/>
      <c r="M1246" s="17"/>
      <c r="N1246" s="7"/>
      <c r="O1246" s="5"/>
      <c r="P1246" s="3"/>
      <c r="Q1246" s="5"/>
      <c r="R1246" s="7"/>
      <c r="S1246" s="5"/>
      <c r="U1246" s="10"/>
      <c r="V1246" s="11"/>
      <c r="W1246" s="6"/>
      <c r="Y1246" s="10"/>
      <c r="Z1246" s="11"/>
      <c r="AA1246" s="6"/>
      <c r="AB1246" s="1">
        <v>1.2</v>
      </c>
      <c r="AC1246" s="21" t="str">
        <f t="shared" si="302"/>
        <v/>
      </c>
      <c r="AD1246" s="27" t="str">
        <f t="shared" si="307"/>
        <v/>
      </c>
      <c r="AE1246" s="27" t="str">
        <f t="shared" si="305"/>
        <v/>
      </c>
      <c r="AF1246" s="14">
        <f t="shared" si="303"/>
        <v>0</v>
      </c>
      <c r="AG1246" s="12">
        <f t="shared" si="310"/>
        <v>0</v>
      </c>
      <c r="AH1246" s="24">
        <f t="shared" si="304"/>
        <v>0</v>
      </c>
      <c r="AI1246" s="49" t="e">
        <f t="shared" si="306"/>
        <v>#VALUE!</v>
      </c>
      <c r="AK1246" s="50" t="e">
        <f t="shared" si="311"/>
        <v>#VALUE!</v>
      </c>
    </row>
    <row r="1247" spans="1:37" x14ac:dyDescent="0.4">
      <c r="A1247" s="2">
        <v>2400</v>
      </c>
      <c r="B1247" s="16"/>
      <c r="C1247" s="22">
        <f t="shared" si="308"/>
        <v>0</v>
      </c>
      <c r="D1247" s="23">
        <f t="shared" si="300"/>
        <v>0</v>
      </c>
      <c r="E1247" s="14"/>
      <c r="F1247" s="12">
        <f t="shared" si="309"/>
        <v>0</v>
      </c>
      <c r="G1247" s="24">
        <f t="shared" si="301"/>
        <v>0</v>
      </c>
      <c r="H1247" s="14"/>
      <c r="I1247" s="14"/>
      <c r="J1247" s="29"/>
      <c r="K1247" s="30"/>
      <c r="M1247" s="17"/>
      <c r="N1247" s="7"/>
      <c r="O1247" s="5"/>
      <c r="P1247" s="3"/>
      <c r="Q1247" s="5"/>
      <c r="R1247" s="7"/>
      <c r="S1247" s="5"/>
      <c r="U1247" s="10"/>
      <c r="V1247" s="11"/>
      <c r="W1247" s="6"/>
      <c r="Y1247" s="10"/>
      <c r="Z1247" s="11"/>
      <c r="AA1247" s="6"/>
      <c r="AB1247" s="1">
        <v>1.2</v>
      </c>
      <c r="AC1247" s="21" t="str">
        <f t="shared" si="302"/>
        <v/>
      </c>
      <c r="AD1247" s="27" t="str">
        <f t="shared" si="307"/>
        <v/>
      </c>
      <c r="AE1247" s="27" t="str">
        <f t="shared" si="305"/>
        <v/>
      </c>
      <c r="AF1247" s="14">
        <f t="shared" si="303"/>
        <v>0</v>
      </c>
      <c r="AG1247" s="12">
        <f t="shared" si="310"/>
        <v>0</v>
      </c>
      <c r="AH1247" s="24">
        <f t="shared" si="304"/>
        <v>0</v>
      </c>
      <c r="AI1247" s="49" t="e">
        <f t="shared" si="306"/>
        <v>#VALUE!</v>
      </c>
      <c r="AK1247" s="50" t="e">
        <f t="shared" si="311"/>
        <v>#VALUE!</v>
      </c>
    </row>
    <row r="1248" spans="1:37" x14ac:dyDescent="0.4">
      <c r="A1248" s="2">
        <v>2401</v>
      </c>
      <c r="B1248" s="16"/>
      <c r="C1248" s="22">
        <f t="shared" si="308"/>
        <v>0</v>
      </c>
      <c r="D1248" s="23">
        <f t="shared" si="300"/>
        <v>0</v>
      </c>
      <c r="E1248" s="14"/>
      <c r="F1248" s="12">
        <f t="shared" si="309"/>
        <v>0</v>
      </c>
      <c r="G1248" s="24">
        <f t="shared" si="301"/>
        <v>0</v>
      </c>
      <c r="H1248" s="14"/>
      <c r="I1248" s="14"/>
      <c r="J1248" s="29"/>
      <c r="K1248" s="30"/>
      <c r="M1248" s="17"/>
      <c r="N1248" s="7"/>
      <c r="O1248" s="5"/>
      <c r="P1248" s="3"/>
      <c r="Q1248" s="5"/>
      <c r="R1248" s="7"/>
      <c r="S1248" s="5"/>
      <c r="U1248" s="10"/>
      <c r="V1248" s="11"/>
      <c r="W1248" s="6"/>
      <c r="Y1248" s="10"/>
      <c r="Z1248" s="11"/>
      <c r="AA1248" s="6"/>
      <c r="AB1248" s="1">
        <v>1.2</v>
      </c>
      <c r="AC1248" s="21" t="str">
        <f t="shared" si="302"/>
        <v/>
      </c>
      <c r="AD1248" s="27" t="str">
        <f t="shared" si="307"/>
        <v/>
      </c>
      <c r="AE1248" s="27" t="str">
        <f t="shared" si="305"/>
        <v/>
      </c>
      <c r="AF1248" s="14">
        <f t="shared" si="303"/>
        <v>0</v>
      </c>
      <c r="AG1248" s="12">
        <f t="shared" si="310"/>
        <v>0</v>
      </c>
      <c r="AH1248" s="24">
        <f t="shared" si="304"/>
        <v>0</v>
      </c>
      <c r="AI1248" s="49" t="e">
        <f t="shared" si="306"/>
        <v>#VALUE!</v>
      </c>
      <c r="AK1248" s="50" t="e">
        <f t="shared" si="311"/>
        <v>#VALUE!</v>
      </c>
    </row>
    <row r="1249" spans="1:37" x14ac:dyDescent="0.4">
      <c r="A1249" s="2">
        <v>2402</v>
      </c>
      <c r="B1249" s="16"/>
      <c r="C1249" s="22">
        <f t="shared" si="308"/>
        <v>0</v>
      </c>
      <c r="D1249" s="23">
        <f t="shared" si="300"/>
        <v>0</v>
      </c>
      <c r="E1249" s="14"/>
      <c r="F1249" s="12">
        <f t="shared" si="309"/>
        <v>0</v>
      </c>
      <c r="G1249" s="24">
        <f t="shared" si="301"/>
        <v>0</v>
      </c>
      <c r="H1249" s="14"/>
      <c r="I1249" s="14"/>
      <c r="J1249" s="29"/>
      <c r="K1249" s="30"/>
      <c r="M1249" s="17"/>
      <c r="N1249" s="7"/>
      <c r="O1249" s="5"/>
      <c r="P1249" s="3"/>
      <c r="Q1249" s="5"/>
      <c r="R1249" s="7"/>
      <c r="S1249" s="5"/>
      <c r="U1249" s="10"/>
      <c r="V1249" s="11"/>
      <c r="W1249" s="6"/>
      <c r="Y1249" s="10"/>
      <c r="Z1249" s="11"/>
      <c r="AA1249" s="6"/>
      <c r="AB1249" s="1">
        <v>1.2</v>
      </c>
      <c r="AC1249" s="21" t="str">
        <f t="shared" si="302"/>
        <v/>
      </c>
      <c r="AD1249" s="27" t="str">
        <f t="shared" si="307"/>
        <v/>
      </c>
      <c r="AE1249" s="27" t="str">
        <f t="shared" si="305"/>
        <v/>
      </c>
      <c r="AF1249" s="14">
        <f t="shared" si="303"/>
        <v>0</v>
      </c>
      <c r="AG1249" s="12">
        <f t="shared" si="310"/>
        <v>0</v>
      </c>
      <c r="AH1249" s="24">
        <f t="shared" si="304"/>
        <v>0</v>
      </c>
      <c r="AI1249" s="49" t="e">
        <f t="shared" si="306"/>
        <v>#VALUE!</v>
      </c>
      <c r="AK1249" s="50" t="e">
        <f t="shared" si="311"/>
        <v>#VALUE!</v>
      </c>
    </row>
    <row r="1250" spans="1:37" x14ac:dyDescent="0.4">
      <c r="A1250" s="2">
        <v>2403</v>
      </c>
      <c r="B1250" s="16"/>
      <c r="C1250" s="22">
        <f t="shared" si="308"/>
        <v>0</v>
      </c>
      <c r="D1250" s="23">
        <f t="shared" si="300"/>
        <v>0</v>
      </c>
      <c r="E1250" s="14"/>
      <c r="F1250" s="12">
        <f t="shared" si="309"/>
        <v>0</v>
      </c>
      <c r="G1250" s="24">
        <f t="shared" si="301"/>
        <v>0</v>
      </c>
      <c r="H1250" s="14"/>
      <c r="I1250" s="14"/>
      <c r="J1250" s="29"/>
      <c r="K1250" s="30"/>
      <c r="M1250" s="17"/>
      <c r="N1250" s="7"/>
      <c r="O1250" s="5"/>
      <c r="P1250" s="3"/>
      <c r="Q1250" s="5"/>
      <c r="R1250" s="7"/>
      <c r="S1250" s="5"/>
      <c r="U1250" s="10"/>
      <c r="V1250" s="11"/>
      <c r="W1250" s="6"/>
      <c r="Y1250" s="10"/>
      <c r="Z1250" s="11"/>
      <c r="AA1250" s="6"/>
      <c r="AB1250" s="1">
        <v>1.2</v>
      </c>
      <c r="AC1250" s="21" t="str">
        <f t="shared" si="302"/>
        <v/>
      </c>
      <c r="AD1250" s="27" t="str">
        <f t="shared" si="307"/>
        <v/>
      </c>
      <c r="AE1250" s="27" t="str">
        <f t="shared" si="305"/>
        <v/>
      </c>
      <c r="AF1250" s="14">
        <f t="shared" si="303"/>
        <v>0</v>
      </c>
      <c r="AG1250" s="12">
        <f t="shared" si="310"/>
        <v>0</v>
      </c>
      <c r="AH1250" s="24">
        <f t="shared" si="304"/>
        <v>0</v>
      </c>
      <c r="AI1250" s="49" t="e">
        <f t="shared" si="306"/>
        <v>#VALUE!</v>
      </c>
      <c r="AK1250" s="50" t="e">
        <f t="shared" si="311"/>
        <v>#VALUE!</v>
      </c>
    </row>
    <row r="1251" spans="1:37" x14ac:dyDescent="0.4">
      <c r="A1251" s="2">
        <v>2404</v>
      </c>
      <c r="B1251" s="16"/>
      <c r="C1251" s="22">
        <f t="shared" si="308"/>
        <v>0</v>
      </c>
      <c r="D1251" s="23">
        <f t="shared" si="300"/>
        <v>0</v>
      </c>
      <c r="E1251" s="14"/>
      <c r="F1251" s="12">
        <f t="shared" si="309"/>
        <v>0</v>
      </c>
      <c r="G1251" s="24">
        <f t="shared" si="301"/>
        <v>0</v>
      </c>
      <c r="H1251" s="14"/>
      <c r="I1251" s="14"/>
      <c r="J1251" s="29"/>
      <c r="K1251" s="30"/>
      <c r="M1251" s="17"/>
      <c r="N1251" s="7"/>
      <c r="O1251" s="5"/>
      <c r="P1251" s="3"/>
      <c r="Q1251" s="5"/>
      <c r="R1251" s="7"/>
      <c r="S1251" s="5"/>
      <c r="U1251" s="10"/>
      <c r="V1251" s="11"/>
      <c r="W1251" s="6"/>
      <c r="Y1251" s="10"/>
      <c r="Z1251" s="11"/>
      <c r="AA1251" s="6"/>
      <c r="AB1251" s="1">
        <v>1.2</v>
      </c>
      <c r="AC1251" s="21" t="str">
        <f t="shared" si="302"/>
        <v/>
      </c>
      <c r="AD1251" s="27" t="str">
        <f t="shared" si="307"/>
        <v/>
      </c>
      <c r="AE1251" s="27" t="str">
        <f t="shared" si="305"/>
        <v/>
      </c>
      <c r="AF1251" s="14">
        <f t="shared" si="303"/>
        <v>0</v>
      </c>
      <c r="AG1251" s="12">
        <f t="shared" si="310"/>
        <v>0</v>
      </c>
      <c r="AH1251" s="24">
        <f t="shared" si="304"/>
        <v>0</v>
      </c>
      <c r="AI1251" s="49" t="e">
        <f t="shared" si="306"/>
        <v>#VALUE!</v>
      </c>
      <c r="AK1251" s="50" t="e">
        <f t="shared" si="311"/>
        <v>#VALUE!</v>
      </c>
    </row>
    <row r="1252" spans="1:37" x14ac:dyDescent="0.4">
      <c r="A1252" s="2">
        <v>2405</v>
      </c>
      <c r="B1252" s="16"/>
      <c r="C1252" s="22">
        <f t="shared" si="308"/>
        <v>0</v>
      </c>
      <c r="D1252" s="23">
        <f t="shared" si="300"/>
        <v>0</v>
      </c>
      <c r="E1252" s="14"/>
      <c r="F1252" s="12">
        <f t="shared" si="309"/>
        <v>0</v>
      </c>
      <c r="G1252" s="24">
        <f t="shared" si="301"/>
        <v>0</v>
      </c>
      <c r="H1252" s="14"/>
      <c r="I1252" s="14"/>
      <c r="J1252" s="29"/>
      <c r="K1252" s="30"/>
      <c r="M1252" s="17"/>
      <c r="N1252" s="7"/>
      <c r="O1252" s="5"/>
      <c r="P1252" s="3"/>
      <c r="Q1252" s="5"/>
      <c r="R1252" s="7"/>
      <c r="S1252" s="5"/>
      <c r="U1252" s="10"/>
      <c r="V1252" s="11"/>
      <c r="W1252" s="6"/>
      <c r="Y1252" s="10"/>
      <c r="Z1252" s="11"/>
      <c r="AA1252" s="6"/>
      <c r="AB1252" s="1">
        <v>1.2</v>
      </c>
      <c r="AC1252" s="21" t="str">
        <f t="shared" si="302"/>
        <v/>
      </c>
      <c r="AD1252" s="27" t="str">
        <f t="shared" si="307"/>
        <v/>
      </c>
      <c r="AE1252" s="27" t="str">
        <f t="shared" si="305"/>
        <v/>
      </c>
      <c r="AF1252" s="14">
        <f t="shared" si="303"/>
        <v>0</v>
      </c>
      <c r="AG1252" s="12">
        <f t="shared" si="310"/>
        <v>0</v>
      </c>
      <c r="AH1252" s="24">
        <f t="shared" si="304"/>
        <v>0</v>
      </c>
      <c r="AI1252" s="49" t="e">
        <f t="shared" si="306"/>
        <v>#VALUE!</v>
      </c>
      <c r="AK1252" s="50" t="e">
        <f t="shared" si="311"/>
        <v>#VALUE!</v>
      </c>
    </row>
    <row r="1253" spans="1:37" x14ac:dyDescent="0.4">
      <c r="A1253" s="2">
        <v>2406</v>
      </c>
      <c r="B1253" s="16"/>
      <c r="C1253" s="22">
        <f t="shared" si="308"/>
        <v>0</v>
      </c>
      <c r="D1253" s="23">
        <f t="shared" si="300"/>
        <v>0</v>
      </c>
      <c r="E1253" s="14"/>
      <c r="F1253" s="12">
        <f t="shared" si="309"/>
        <v>0</v>
      </c>
      <c r="G1253" s="24">
        <f t="shared" si="301"/>
        <v>0</v>
      </c>
      <c r="H1253" s="14"/>
      <c r="I1253" s="14"/>
      <c r="J1253" s="29"/>
      <c r="K1253" s="30"/>
      <c r="M1253" s="17"/>
      <c r="N1253" s="7"/>
      <c r="O1253" s="5"/>
      <c r="P1253" s="3"/>
      <c r="Q1253" s="5"/>
      <c r="R1253" s="7"/>
      <c r="S1253" s="5"/>
      <c r="U1253" s="10"/>
      <c r="V1253" s="11"/>
      <c r="W1253" s="6"/>
      <c r="Y1253" s="10"/>
      <c r="Z1253" s="11"/>
      <c r="AA1253" s="6"/>
      <c r="AB1253" s="1">
        <v>1.2</v>
      </c>
      <c r="AC1253" s="21" t="str">
        <f t="shared" si="302"/>
        <v/>
      </c>
      <c r="AD1253" s="27" t="str">
        <f t="shared" si="307"/>
        <v/>
      </c>
      <c r="AE1253" s="27" t="str">
        <f t="shared" si="305"/>
        <v/>
      </c>
      <c r="AF1253" s="14">
        <f t="shared" si="303"/>
        <v>0</v>
      </c>
      <c r="AG1253" s="12">
        <f t="shared" si="310"/>
        <v>0</v>
      </c>
      <c r="AH1253" s="24">
        <f t="shared" si="304"/>
        <v>0</v>
      </c>
      <c r="AI1253" s="49" t="e">
        <f t="shared" si="306"/>
        <v>#VALUE!</v>
      </c>
      <c r="AK1253" s="50" t="e">
        <f t="shared" si="311"/>
        <v>#VALUE!</v>
      </c>
    </row>
    <row r="1254" spans="1:37" x14ac:dyDescent="0.4">
      <c r="A1254" s="2">
        <v>2407</v>
      </c>
      <c r="B1254" s="16"/>
      <c r="C1254" s="22">
        <f t="shared" si="308"/>
        <v>0</v>
      </c>
      <c r="D1254" s="23">
        <f t="shared" si="300"/>
        <v>0</v>
      </c>
      <c r="E1254" s="14"/>
      <c r="F1254" s="12">
        <f t="shared" si="309"/>
        <v>0</v>
      </c>
      <c r="G1254" s="24">
        <f t="shared" si="301"/>
        <v>0</v>
      </c>
      <c r="H1254" s="14"/>
      <c r="I1254" s="14"/>
      <c r="J1254" s="29"/>
      <c r="K1254" s="30"/>
      <c r="M1254" s="17"/>
      <c r="N1254" s="7"/>
      <c r="O1254" s="5"/>
      <c r="P1254" s="3"/>
      <c r="Q1254" s="5"/>
      <c r="R1254" s="7"/>
      <c r="S1254" s="5"/>
      <c r="U1254" s="10"/>
      <c r="V1254" s="11"/>
      <c r="W1254" s="6"/>
      <c r="Y1254" s="10"/>
      <c r="Z1254" s="11"/>
      <c r="AA1254" s="6"/>
      <c r="AB1254" s="1">
        <v>1.2</v>
      </c>
      <c r="AC1254" s="21" t="str">
        <f t="shared" si="302"/>
        <v/>
      </c>
      <c r="AD1254" s="27" t="str">
        <f t="shared" si="307"/>
        <v/>
      </c>
      <c r="AE1254" s="27" t="str">
        <f t="shared" si="305"/>
        <v/>
      </c>
      <c r="AF1254" s="14">
        <f t="shared" si="303"/>
        <v>0</v>
      </c>
      <c r="AG1254" s="12">
        <f t="shared" si="310"/>
        <v>0</v>
      </c>
      <c r="AH1254" s="24">
        <f t="shared" si="304"/>
        <v>0</v>
      </c>
      <c r="AI1254" s="49" t="e">
        <f t="shared" si="306"/>
        <v>#VALUE!</v>
      </c>
      <c r="AK1254" s="50" t="e">
        <f t="shared" si="311"/>
        <v>#VALUE!</v>
      </c>
    </row>
    <row r="1255" spans="1:37" x14ac:dyDescent="0.4">
      <c r="A1255" s="2">
        <v>2408</v>
      </c>
      <c r="B1255" s="16"/>
      <c r="C1255" s="22">
        <f t="shared" si="308"/>
        <v>0</v>
      </c>
      <c r="D1255" s="23">
        <f t="shared" si="300"/>
        <v>0</v>
      </c>
      <c r="E1255" s="14"/>
      <c r="F1255" s="12">
        <f t="shared" si="309"/>
        <v>0</v>
      </c>
      <c r="G1255" s="24">
        <f t="shared" si="301"/>
        <v>0</v>
      </c>
      <c r="H1255" s="14"/>
      <c r="I1255" s="14"/>
      <c r="J1255" s="29"/>
      <c r="K1255" s="30"/>
      <c r="M1255" s="17"/>
      <c r="N1255" s="7"/>
      <c r="O1255" s="5"/>
      <c r="P1255" s="3"/>
      <c r="Q1255" s="5"/>
      <c r="R1255" s="7"/>
      <c r="S1255" s="5"/>
      <c r="U1255" s="10"/>
      <c r="V1255" s="11"/>
      <c r="W1255" s="6"/>
      <c r="Y1255" s="10"/>
      <c r="Z1255" s="11"/>
      <c r="AA1255" s="6"/>
      <c r="AB1255" s="1">
        <v>1.2</v>
      </c>
      <c r="AC1255" s="21" t="str">
        <f t="shared" si="302"/>
        <v/>
      </c>
      <c r="AD1255" s="27" t="str">
        <f t="shared" si="307"/>
        <v/>
      </c>
      <c r="AE1255" s="27" t="str">
        <f t="shared" si="305"/>
        <v/>
      </c>
      <c r="AF1255" s="14">
        <f t="shared" si="303"/>
        <v>0</v>
      </c>
      <c r="AG1255" s="12">
        <f t="shared" si="310"/>
        <v>0</v>
      </c>
      <c r="AH1255" s="24">
        <f t="shared" si="304"/>
        <v>0</v>
      </c>
      <c r="AI1255" s="49" t="e">
        <f t="shared" si="306"/>
        <v>#VALUE!</v>
      </c>
      <c r="AK1255" s="50" t="e">
        <f t="shared" si="311"/>
        <v>#VALUE!</v>
      </c>
    </row>
    <row r="1256" spans="1:37" x14ac:dyDescent="0.4">
      <c r="A1256" s="2">
        <v>2409</v>
      </c>
      <c r="B1256" s="16"/>
      <c r="C1256" s="22">
        <f t="shared" si="308"/>
        <v>0</v>
      </c>
      <c r="D1256" s="23">
        <f t="shared" ref="D1256:D1319" si="312">B1256-INT(B1256)</f>
        <v>0</v>
      </c>
      <c r="E1256" s="14"/>
      <c r="F1256" s="12">
        <f t="shared" si="309"/>
        <v>0</v>
      </c>
      <c r="G1256" s="24">
        <f t="shared" ref="G1256:G1319" si="313">E1256-INT(E1256)</f>
        <v>0</v>
      </c>
      <c r="H1256" s="14"/>
      <c r="I1256" s="14"/>
      <c r="J1256" s="29"/>
      <c r="K1256" s="30"/>
      <c r="M1256" s="17"/>
      <c r="N1256" s="7"/>
      <c r="O1256" s="5"/>
      <c r="P1256" s="3"/>
      <c r="Q1256" s="5"/>
      <c r="R1256" s="7"/>
      <c r="S1256" s="5"/>
      <c r="U1256" s="10"/>
      <c r="V1256" s="11"/>
      <c r="W1256" s="6"/>
      <c r="Y1256" s="10"/>
      <c r="Z1256" s="11"/>
      <c r="AA1256" s="6"/>
      <c r="AB1256" s="1">
        <v>1.2</v>
      </c>
      <c r="AC1256" s="21" t="str">
        <f t="shared" ref="AC1256:AC1319" si="314">IF(B1256="","",TEXT(E1256-B1256,"[hh]:mm"))</f>
        <v/>
      </c>
      <c r="AD1256" s="27" t="str">
        <f t="shared" si="307"/>
        <v/>
      </c>
      <c r="AE1256" s="27" t="str">
        <f t="shared" si="305"/>
        <v/>
      </c>
      <c r="AF1256" s="14">
        <f t="shared" ref="AF1256:AF1319" si="315">MAX(E1256,H1256,I1256)</f>
        <v>0</v>
      </c>
      <c r="AG1256" s="12">
        <f t="shared" si="310"/>
        <v>0</v>
      </c>
      <c r="AH1256" s="24">
        <f t="shared" ref="AH1256:AH1319" si="316">AF1256-INT(AF1256)</f>
        <v>0</v>
      </c>
      <c r="AI1256" s="49" t="e">
        <f t="shared" si="306"/>
        <v>#VALUE!</v>
      </c>
      <c r="AK1256" s="50" t="e">
        <f t="shared" si="311"/>
        <v>#VALUE!</v>
      </c>
    </row>
    <row r="1257" spans="1:37" x14ac:dyDescent="0.4">
      <c r="A1257" s="2">
        <v>2410</v>
      </c>
      <c r="B1257" s="16"/>
      <c r="C1257" s="22">
        <f t="shared" si="308"/>
        <v>0</v>
      </c>
      <c r="D1257" s="23">
        <f t="shared" si="312"/>
        <v>0</v>
      </c>
      <c r="E1257" s="14"/>
      <c r="F1257" s="12">
        <f t="shared" si="309"/>
        <v>0</v>
      </c>
      <c r="G1257" s="24">
        <f t="shared" si="313"/>
        <v>0</v>
      </c>
      <c r="H1257" s="14"/>
      <c r="I1257" s="14"/>
      <c r="J1257" s="29"/>
      <c r="K1257" s="30"/>
      <c r="M1257" s="17"/>
      <c r="N1257" s="7"/>
      <c r="O1257" s="5"/>
      <c r="P1257" s="3"/>
      <c r="Q1257" s="5"/>
      <c r="R1257" s="7"/>
      <c r="S1257" s="5"/>
      <c r="U1257" s="10"/>
      <c r="V1257" s="11"/>
      <c r="W1257" s="6"/>
      <c r="Y1257" s="10"/>
      <c r="Z1257" s="11"/>
      <c r="AA1257" s="6"/>
      <c r="AB1257" s="1">
        <v>1.2</v>
      </c>
      <c r="AC1257" s="21" t="str">
        <f t="shared" si="314"/>
        <v/>
      </c>
      <c r="AD1257" s="27" t="str">
        <f t="shared" si="307"/>
        <v/>
      </c>
      <c r="AE1257" s="27" t="str">
        <f t="shared" si="305"/>
        <v/>
      </c>
      <c r="AF1257" s="14">
        <f t="shared" si="315"/>
        <v>0</v>
      </c>
      <c r="AG1257" s="12">
        <f t="shared" si="310"/>
        <v>0</v>
      </c>
      <c r="AH1257" s="24">
        <f t="shared" si="316"/>
        <v>0</v>
      </c>
      <c r="AI1257" s="49" t="e">
        <f t="shared" si="306"/>
        <v>#VALUE!</v>
      </c>
      <c r="AK1257" s="50" t="e">
        <f t="shared" si="311"/>
        <v>#VALUE!</v>
      </c>
    </row>
    <row r="1258" spans="1:37" x14ac:dyDescent="0.4">
      <c r="A1258" s="2">
        <v>2411</v>
      </c>
      <c r="B1258" s="16"/>
      <c r="C1258" s="22">
        <f t="shared" si="308"/>
        <v>0</v>
      </c>
      <c r="D1258" s="23">
        <f t="shared" si="312"/>
        <v>0</v>
      </c>
      <c r="E1258" s="14"/>
      <c r="F1258" s="12">
        <f t="shared" si="309"/>
        <v>0</v>
      </c>
      <c r="G1258" s="24">
        <f t="shared" si="313"/>
        <v>0</v>
      </c>
      <c r="H1258" s="14"/>
      <c r="I1258" s="14"/>
      <c r="J1258" s="29"/>
      <c r="K1258" s="30"/>
      <c r="M1258" s="17"/>
      <c r="N1258" s="7"/>
      <c r="O1258" s="5"/>
      <c r="P1258" s="3"/>
      <c r="Q1258" s="5"/>
      <c r="R1258" s="7"/>
      <c r="S1258" s="5"/>
      <c r="U1258" s="10"/>
      <c r="V1258" s="11"/>
      <c r="W1258" s="6"/>
      <c r="Y1258" s="10"/>
      <c r="Z1258" s="11"/>
      <c r="AA1258" s="6"/>
      <c r="AB1258" s="1">
        <v>1.2</v>
      </c>
      <c r="AC1258" s="21" t="str">
        <f t="shared" si="314"/>
        <v/>
      </c>
      <c r="AD1258" s="27" t="str">
        <f t="shared" si="307"/>
        <v/>
      </c>
      <c r="AE1258" s="27" t="str">
        <f t="shared" si="305"/>
        <v/>
      </c>
      <c r="AF1258" s="14">
        <f t="shared" si="315"/>
        <v>0</v>
      </c>
      <c r="AG1258" s="12">
        <f t="shared" si="310"/>
        <v>0</v>
      </c>
      <c r="AH1258" s="24">
        <f t="shared" si="316"/>
        <v>0</v>
      </c>
      <c r="AI1258" s="49" t="e">
        <f t="shared" si="306"/>
        <v>#VALUE!</v>
      </c>
      <c r="AK1258" s="50" t="e">
        <f t="shared" si="311"/>
        <v>#VALUE!</v>
      </c>
    </row>
    <row r="1259" spans="1:37" x14ac:dyDescent="0.4">
      <c r="A1259" s="2">
        <v>2412</v>
      </c>
      <c r="B1259" s="16"/>
      <c r="C1259" s="22">
        <f t="shared" si="308"/>
        <v>0</v>
      </c>
      <c r="D1259" s="23">
        <f t="shared" si="312"/>
        <v>0</v>
      </c>
      <c r="E1259" s="14"/>
      <c r="F1259" s="12">
        <f t="shared" si="309"/>
        <v>0</v>
      </c>
      <c r="G1259" s="24">
        <f t="shared" si="313"/>
        <v>0</v>
      </c>
      <c r="H1259" s="14"/>
      <c r="I1259" s="14"/>
      <c r="J1259" s="29"/>
      <c r="K1259" s="30"/>
      <c r="M1259" s="17"/>
      <c r="N1259" s="7"/>
      <c r="O1259" s="5"/>
      <c r="P1259" s="3"/>
      <c r="Q1259" s="5"/>
      <c r="R1259" s="7"/>
      <c r="S1259" s="5"/>
      <c r="U1259" s="10"/>
      <c r="V1259" s="11"/>
      <c r="W1259" s="6"/>
      <c r="Y1259" s="10"/>
      <c r="Z1259" s="11"/>
      <c r="AA1259" s="6"/>
      <c r="AB1259" s="1">
        <v>1.2</v>
      </c>
      <c r="AC1259" s="21" t="str">
        <f t="shared" si="314"/>
        <v/>
      </c>
      <c r="AD1259" s="27" t="str">
        <f t="shared" si="307"/>
        <v/>
      </c>
      <c r="AE1259" s="27" t="str">
        <f t="shared" si="305"/>
        <v/>
      </c>
      <c r="AF1259" s="14">
        <f t="shared" si="315"/>
        <v>0</v>
      </c>
      <c r="AG1259" s="12">
        <f t="shared" si="310"/>
        <v>0</v>
      </c>
      <c r="AH1259" s="24">
        <f t="shared" si="316"/>
        <v>0</v>
      </c>
      <c r="AI1259" s="49" t="e">
        <f t="shared" si="306"/>
        <v>#VALUE!</v>
      </c>
      <c r="AK1259" s="50" t="e">
        <f t="shared" si="311"/>
        <v>#VALUE!</v>
      </c>
    </row>
    <row r="1260" spans="1:37" x14ac:dyDescent="0.4">
      <c r="A1260" s="2">
        <v>2413</v>
      </c>
      <c r="B1260" s="16"/>
      <c r="C1260" s="22">
        <f t="shared" si="308"/>
        <v>0</v>
      </c>
      <c r="D1260" s="23">
        <f t="shared" si="312"/>
        <v>0</v>
      </c>
      <c r="E1260" s="14"/>
      <c r="F1260" s="12">
        <f t="shared" si="309"/>
        <v>0</v>
      </c>
      <c r="G1260" s="24">
        <f t="shared" si="313"/>
        <v>0</v>
      </c>
      <c r="H1260" s="14"/>
      <c r="I1260" s="14"/>
      <c r="J1260" s="29"/>
      <c r="K1260" s="30"/>
      <c r="M1260" s="17"/>
      <c r="N1260" s="7"/>
      <c r="O1260" s="5"/>
      <c r="P1260" s="3"/>
      <c r="Q1260" s="5"/>
      <c r="R1260" s="7"/>
      <c r="S1260" s="5"/>
      <c r="U1260" s="10"/>
      <c r="V1260" s="11"/>
      <c r="W1260" s="6"/>
      <c r="Y1260" s="10"/>
      <c r="Z1260" s="11"/>
      <c r="AA1260" s="6"/>
      <c r="AB1260" s="1">
        <v>1.2</v>
      </c>
      <c r="AC1260" s="21" t="str">
        <f t="shared" si="314"/>
        <v/>
      </c>
      <c r="AD1260" s="27" t="str">
        <f t="shared" si="307"/>
        <v/>
      </c>
      <c r="AE1260" s="27" t="str">
        <f t="shared" si="305"/>
        <v/>
      </c>
      <c r="AF1260" s="14">
        <f t="shared" si="315"/>
        <v>0</v>
      </c>
      <c r="AG1260" s="12">
        <f t="shared" si="310"/>
        <v>0</v>
      </c>
      <c r="AH1260" s="24">
        <f t="shared" si="316"/>
        <v>0</v>
      </c>
      <c r="AI1260" s="49" t="e">
        <f t="shared" si="306"/>
        <v>#VALUE!</v>
      </c>
      <c r="AK1260" s="50" t="e">
        <f t="shared" si="311"/>
        <v>#VALUE!</v>
      </c>
    </row>
    <row r="1261" spans="1:37" x14ac:dyDescent="0.4">
      <c r="A1261" s="2">
        <v>2414</v>
      </c>
      <c r="B1261" s="16"/>
      <c r="C1261" s="22">
        <f t="shared" si="308"/>
        <v>0</v>
      </c>
      <c r="D1261" s="23">
        <f t="shared" si="312"/>
        <v>0</v>
      </c>
      <c r="E1261" s="14"/>
      <c r="F1261" s="12">
        <f t="shared" si="309"/>
        <v>0</v>
      </c>
      <c r="G1261" s="24">
        <f t="shared" si="313"/>
        <v>0</v>
      </c>
      <c r="H1261" s="14"/>
      <c r="I1261" s="14"/>
      <c r="J1261" s="29"/>
      <c r="K1261" s="30"/>
      <c r="M1261" s="17"/>
      <c r="N1261" s="7"/>
      <c r="O1261" s="5"/>
      <c r="P1261" s="3"/>
      <c r="Q1261" s="5"/>
      <c r="R1261" s="7"/>
      <c r="S1261" s="5"/>
      <c r="U1261" s="10"/>
      <c r="V1261" s="11"/>
      <c r="W1261" s="6"/>
      <c r="Y1261" s="10"/>
      <c r="Z1261" s="11"/>
      <c r="AA1261" s="6"/>
      <c r="AB1261" s="1">
        <v>1.2</v>
      </c>
      <c r="AC1261" s="21" t="str">
        <f t="shared" si="314"/>
        <v/>
      </c>
      <c r="AD1261" s="27" t="str">
        <f t="shared" si="307"/>
        <v/>
      </c>
      <c r="AE1261" s="27" t="str">
        <f t="shared" si="305"/>
        <v/>
      </c>
      <c r="AF1261" s="14">
        <f t="shared" si="315"/>
        <v>0</v>
      </c>
      <c r="AG1261" s="12">
        <f t="shared" si="310"/>
        <v>0</v>
      </c>
      <c r="AH1261" s="24">
        <f t="shared" si="316"/>
        <v>0</v>
      </c>
      <c r="AI1261" s="49" t="e">
        <f t="shared" si="306"/>
        <v>#VALUE!</v>
      </c>
      <c r="AK1261" s="50" t="e">
        <f t="shared" si="311"/>
        <v>#VALUE!</v>
      </c>
    </row>
    <row r="1262" spans="1:37" x14ac:dyDescent="0.4">
      <c r="A1262" s="2">
        <v>2415</v>
      </c>
      <c r="B1262" s="16"/>
      <c r="C1262" s="22">
        <f t="shared" si="308"/>
        <v>0</v>
      </c>
      <c r="D1262" s="23">
        <f t="shared" si="312"/>
        <v>0</v>
      </c>
      <c r="E1262" s="14"/>
      <c r="F1262" s="12">
        <f t="shared" si="309"/>
        <v>0</v>
      </c>
      <c r="G1262" s="24">
        <f t="shared" si="313"/>
        <v>0</v>
      </c>
      <c r="H1262" s="14"/>
      <c r="I1262" s="14"/>
      <c r="J1262" s="29"/>
      <c r="K1262" s="30"/>
      <c r="M1262" s="17"/>
      <c r="N1262" s="7"/>
      <c r="O1262" s="5"/>
      <c r="P1262" s="3"/>
      <c r="Q1262" s="5"/>
      <c r="R1262" s="7"/>
      <c r="S1262" s="5"/>
      <c r="U1262" s="10"/>
      <c r="V1262" s="11"/>
      <c r="W1262" s="6"/>
      <c r="Y1262" s="10"/>
      <c r="Z1262" s="11"/>
      <c r="AA1262" s="6"/>
      <c r="AB1262" s="1">
        <v>1.2</v>
      </c>
      <c r="AC1262" s="21" t="str">
        <f t="shared" si="314"/>
        <v/>
      </c>
      <c r="AD1262" s="27" t="str">
        <f t="shared" si="307"/>
        <v/>
      </c>
      <c r="AE1262" s="27" t="str">
        <f t="shared" si="305"/>
        <v/>
      </c>
      <c r="AF1262" s="14">
        <f t="shared" si="315"/>
        <v>0</v>
      </c>
      <c r="AG1262" s="12">
        <f t="shared" si="310"/>
        <v>0</v>
      </c>
      <c r="AH1262" s="24">
        <f t="shared" si="316"/>
        <v>0</v>
      </c>
      <c r="AI1262" s="49" t="e">
        <f t="shared" si="306"/>
        <v>#VALUE!</v>
      </c>
      <c r="AK1262" s="50" t="e">
        <f t="shared" si="311"/>
        <v>#VALUE!</v>
      </c>
    </row>
    <row r="1263" spans="1:37" x14ac:dyDescent="0.4">
      <c r="A1263" s="2">
        <v>2416</v>
      </c>
      <c r="B1263" s="16"/>
      <c r="C1263" s="22">
        <f t="shared" si="308"/>
        <v>0</v>
      </c>
      <c r="D1263" s="23">
        <f t="shared" si="312"/>
        <v>0</v>
      </c>
      <c r="E1263" s="14"/>
      <c r="F1263" s="12">
        <f t="shared" si="309"/>
        <v>0</v>
      </c>
      <c r="G1263" s="24">
        <f t="shared" si="313"/>
        <v>0</v>
      </c>
      <c r="H1263" s="14"/>
      <c r="I1263" s="14"/>
      <c r="J1263" s="29"/>
      <c r="K1263" s="30"/>
      <c r="M1263" s="17"/>
      <c r="N1263" s="7"/>
      <c r="O1263" s="5"/>
      <c r="P1263" s="3"/>
      <c r="Q1263" s="5"/>
      <c r="R1263" s="7"/>
      <c r="S1263" s="5"/>
      <c r="U1263" s="10"/>
      <c r="V1263" s="11"/>
      <c r="W1263" s="6"/>
      <c r="Y1263" s="10"/>
      <c r="Z1263" s="11"/>
      <c r="AA1263" s="6"/>
      <c r="AB1263" s="1">
        <v>1.2</v>
      </c>
      <c r="AC1263" s="21" t="str">
        <f t="shared" si="314"/>
        <v/>
      </c>
      <c r="AD1263" s="27" t="str">
        <f t="shared" si="307"/>
        <v/>
      </c>
      <c r="AE1263" s="27" t="str">
        <f t="shared" si="305"/>
        <v/>
      </c>
      <c r="AF1263" s="14">
        <f t="shared" si="315"/>
        <v>0</v>
      </c>
      <c r="AG1263" s="12">
        <f t="shared" si="310"/>
        <v>0</v>
      </c>
      <c r="AH1263" s="24">
        <f t="shared" si="316"/>
        <v>0</v>
      </c>
      <c r="AI1263" s="49" t="e">
        <f t="shared" si="306"/>
        <v>#VALUE!</v>
      </c>
      <c r="AK1263" s="50" t="e">
        <f t="shared" si="311"/>
        <v>#VALUE!</v>
      </c>
    </row>
    <row r="1264" spans="1:37" x14ac:dyDescent="0.4">
      <c r="A1264" s="2">
        <v>2417</v>
      </c>
      <c r="B1264" s="16"/>
      <c r="C1264" s="22">
        <f t="shared" si="308"/>
        <v>0</v>
      </c>
      <c r="D1264" s="23">
        <f t="shared" si="312"/>
        <v>0</v>
      </c>
      <c r="E1264" s="14"/>
      <c r="F1264" s="12">
        <f t="shared" si="309"/>
        <v>0</v>
      </c>
      <c r="G1264" s="24">
        <f t="shared" si="313"/>
        <v>0</v>
      </c>
      <c r="H1264" s="14"/>
      <c r="I1264" s="14"/>
      <c r="J1264" s="29"/>
      <c r="K1264" s="30"/>
      <c r="M1264" s="17"/>
      <c r="N1264" s="7"/>
      <c r="O1264" s="5"/>
      <c r="P1264" s="3"/>
      <c r="Q1264" s="5"/>
      <c r="R1264" s="7"/>
      <c r="S1264" s="5"/>
      <c r="U1264" s="10"/>
      <c r="V1264" s="11"/>
      <c r="W1264" s="6"/>
      <c r="Y1264" s="10"/>
      <c r="Z1264" s="11"/>
      <c r="AA1264" s="6"/>
      <c r="AB1264" s="1">
        <v>1.2</v>
      </c>
      <c r="AC1264" s="21" t="str">
        <f t="shared" si="314"/>
        <v/>
      </c>
      <c r="AD1264" s="27" t="str">
        <f t="shared" si="307"/>
        <v/>
      </c>
      <c r="AE1264" s="27" t="str">
        <f t="shared" si="305"/>
        <v/>
      </c>
      <c r="AF1264" s="14">
        <f t="shared" si="315"/>
        <v>0</v>
      </c>
      <c r="AG1264" s="12">
        <f t="shared" si="310"/>
        <v>0</v>
      </c>
      <c r="AH1264" s="24">
        <f t="shared" si="316"/>
        <v>0</v>
      </c>
      <c r="AI1264" s="49" t="e">
        <f t="shared" si="306"/>
        <v>#VALUE!</v>
      </c>
      <c r="AK1264" s="50" t="e">
        <f t="shared" si="311"/>
        <v>#VALUE!</v>
      </c>
    </row>
    <row r="1265" spans="1:37" x14ac:dyDescent="0.4">
      <c r="A1265" s="2">
        <v>2418</v>
      </c>
      <c r="B1265" s="16"/>
      <c r="C1265" s="22">
        <f t="shared" si="308"/>
        <v>0</v>
      </c>
      <c r="D1265" s="23">
        <f t="shared" si="312"/>
        <v>0</v>
      </c>
      <c r="E1265" s="14"/>
      <c r="F1265" s="12">
        <f t="shared" si="309"/>
        <v>0</v>
      </c>
      <c r="G1265" s="24">
        <f t="shared" si="313"/>
        <v>0</v>
      </c>
      <c r="H1265" s="14"/>
      <c r="I1265" s="14"/>
      <c r="J1265" s="29"/>
      <c r="K1265" s="30"/>
      <c r="M1265" s="17"/>
      <c r="N1265" s="7"/>
      <c r="O1265" s="5"/>
      <c r="P1265" s="3"/>
      <c r="Q1265" s="5"/>
      <c r="R1265" s="7"/>
      <c r="S1265" s="5"/>
      <c r="U1265" s="10"/>
      <c r="V1265" s="11"/>
      <c r="W1265" s="6"/>
      <c r="Y1265" s="10"/>
      <c r="Z1265" s="11"/>
      <c r="AA1265" s="6"/>
      <c r="AB1265" s="1">
        <v>1.2</v>
      </c>
      <c r="AC1265" s="21" t="str">
        <f t="shared" si="314"/>
        <v/>
      </c>
      <c r="AD1265" s="27" t="str">
        <f t="shared" si="307"/>
        <v/>
      </c>
      <c r="AE1265" s="27" t="str">
        <f t="shared" si="305"/>
        <v/>
      </c>
      <c r="AF1265" s="14">
        <f t="shared" si="315"/>
        <v>0</v>
      </c>
      <c r="AG1265" s="12">
        <f t="shared" si="310"/>
        <v>0</v>
      </c>
      <c r="AH1265" s="24">
        <f t="shared" si="316"/>
        <v>0</v>
      </c>
      <c r="AI1265" s="49" t="e">
        <f t="shared" si="306"/>
        <v>#VALUE!</v>
      </c>
      <c r="AK1265" s="50" t="e">
        <f t="shared" si="311"/>
        <v>#VALUE!</v>
      </c>
    </row>
    <row r="1266" spans="1:37" x14ac:dyDescent="0.4">
      <c r="A1266" s="2">
        <v>2419</v>
      </c>
      <c r="B1266" s="16"/>
      <c r="C1266" s="22">
        <f t="shared" si="308"/>
        <v>0</v>
      </c>
      <c r="D1266" s="23">
        <f t="shared" si="312"/>
        <v>0</v>
      </c>
      <c r="E1266" s="14"/>
      <c r="F1266" s="12">
        <f t="shared" si="309"/>
        <v>0</v>
      </c>
      <c r="G1266" s="24">
        <f t="shared" si="313"/>
        <v>0</v>
      </c>
      <c r="H1266" s="14"/>
      <c r="I1266" s="14"/>
      <c r="J1266" s="29"/>
      <c r="K1266" s="30"/>
      <c r="M1266" s="17"/>
      <c r="N1266" s="7"/>
      <c r="O1266" s="5"/>
      <c r="P1266" s="3"/>
      <c r="Q1266" s="5"/>
      <c r="R1266" s="7"/>
      <c r="S1266" s="5"/>
      <c r="U1266" s="10"/>
      <c r="V1266" s="11"/>
      <c r="W1266" s="6"/>
      <c r="Y1266" s="10"/>
      <c r="Z1266" s="11"/>
      <c r="AA1266" s="6"/>
      <c r="AB1266" s="1">
        <v>1.2</v>
      </c>
      <c r="AC1266" s="21" t="str">
        <f t="shared" si="314"/>
        <v/>
      </c>
      <c r="AD1266" s="27" t="str">
        <f t="shared" si="307"/>
        <v/>
      </c>
      <c r="AE1266" s="27" t="str">
        <f t="shared" si="305"/>
        <v/>
      </c>
      <c r="AF1266" s="14">
        <f t="shared" si="315"/>
        <v>0</v>
      </c>
      <c r="AG1266" s="12">
        <f t="shared" si="310"/>
        <v>0</v>
      </c>
      <c r="AH1266" s="24">
        <f t="shared" si="316"/>
        <v>0</v>
      </c>
      <c r="AI1266" s="49" t="e">
        <f t="shared" si="306"/>
        <v>#VALUE!</v>
      </c>
      <c r="AK1266" s="50" t="e">
        <f t="shared" si="311"/>
        <v>#VALUE!</v>
      </c>
    </row>
    <row r="1267" spans="1:37" x14ac:dyDescent="0.4">
      <c r="A1267" s="2">
        <v>2420</v>
      </c>
      <c r="B1267" s="16"/>
      <c r="C1267" s="22">
        <f t="shared" si="308"/>
        <v>0</v>
      </c>
      <c r="D1267" s="23">
        <f t="shared" si="312"/>
        <v>0</v>
      </c>
      <c r="E1267" s="14"/>
      <c r="F1267" s="12">
        <f t="shared" si="309"/>
        <v>0</v>
      </c>
      <c r="G1267" s="24">
        <f t="shared" si="313"/>
        <v>0</v>
      </c>
      <c r="H1267" s="14"/>
      <c r="I1267" s="14"/>
      <c r="J1267" s="29"/>
      <c r="K1267" s="30"/>
      <c r="M1267" s="17"/>
      <c r="N1267" s="7"/>
      <c r="O1267" s="5"/>
      <c r="P1267" s="3"/>
      <c r="Q1267" s="5"/>
      <c r="R1267" s="7"/>
      <c r="S1267" s="5"/>
      <c r="U1267" s="10"/>
      <c r="V1267" s="11"/>
      <c r="W1267" s="6"/>
      <c r="Y1267" s="10"/>
      <c r="Z1267" s="11"/>
      <c r="AA1267" s="6"/>
      <c r="AB1267" s="1">
        <v>1.2</v>
      </c>
      <c r="AC1267" s="21" t="str">
        <f t="shared" si="314"/>
        <v/>
      </c>
      <c r="AD1267" s="27" t="str">
        <f t="shared" si="307"/>
        <v/>
      </c>
      <c r="AE1267" s="27" t="str">
        <f t="shared" si="305"/>
        <v/>
      </c>
      <c r="AF1267" s="14">
        <f t="shared" si="315"/>
        <v>0</v>
      </c>
      <c r="AG1267" s="12">
        <f t="shared" si="310"/>
        <v>0</v>
      </c>
      <c r="AH1267" s="24">
        <f t="shared" si="316"/>
        <v>0</v>
      </c>
      <c r="AI1267" s="49" t="e">
        <f t="shared" si="306"/>
        <v>#VALUE!</v>
      </c>
      <c r="AK1267" s="50" t="e">
        <f t="shared" si="311"/>
        <v>#VALUE!</v>
      </c>
    </row>
    <row r="1268" spans="1:37" x14ac:dyDescent="0.4">
      <c r="A1268" s="2">
        <v>2421</v>
      </c>
      <c r="B1268" s="16"/>
      <c r="C1268" s="22">
        <f t="shared" si="308"/>
        <v>0</v>
      </c>
      <c r="D1268" s="23">
        <f t="shared" si="312"/>
        <v>0</v>
      </c>
      <c r="E1268" s="14"/>
      <c r="F1268" s="12">
        <f t="shared" si="309"/>
        <v>0</v>
      </c>
      <c r="G1268" s="24">
        <f t="shared" si="313"/>
        <v>0</v>
      </c>
      <c r="H1268" s="14"/>
      <c r="I1268" s="14"/>
      <c r="J1268" s="29"/>
      <c r="K1268" s="30"/>
      <c r="M1268" s="17"/>
      <c r="N1268" s="7"/>
      <c r="O1268" s="5"/>
      <c r="P1268" s="3"/>
      <c r="Q1268" s="5"/>
      <c r="R1268" s="7"/>
      <c r="S1268" s="5"/>
      <c r="U1268" s="10"/>
      <c r="V1268" s="11"/>
      <c r="W1268" s="6"/>
      <c r="Y1268" s="10"/>
      <c r="Z1268" s="11"/>
      <c r="AA1268" s="6"/>
      <c r="AB1268" s="1">
        <v>1.2</v>
      </c>
      <c r="AC1268" s="21" t="str">
        <f t="shared" si="314"/>
        <v/>
      </c>
      <c r="AD1268" s="27" t="str">
        <f t="shared" si="307"/>
        <v/>
      </c>
      <c r="AE1268" s="27" t="str">
        <f t="shared" si="305"/>
        <v/>
      </c>
      <c r="AF1268" s="14">
        <f t="shared" si="315"/>
        <v>0</v>
      </c>
      <c r="AG1268" s="12">
        <f t="shared" si="310"/>
        <v>0</v>
      </c>
      <c r="AH1268" s="24">
        <f t="shared" si="316"/>
        <v>0</v>
      </c>
      <c r="AI1268" s="49" t="e">
        <f t="shared" si="306"/>
        <v>#VALUE!</v>
      </c>
      <c r="AK1268" s="50" t="e">
        <f t="shared" si="311"/>
        <v>#VALUE!</v>
      </c>
    </row>
    <row r="1269" spans="1:37" x14ac:dyDescent="0.4">
      <c r="A1269" s="2">
        <v>2422</v>
      </c>
      <c r="B1269" s="16"/>
      <c r="C1269" s="22">
        <f t="shared" si="308"/>
        <v>0</v>
      </c>
      <c r="D1269" s="23">
        <f t="shared" si="312"/>
        <v>0</v>
      </c>
      <c r="E1269" s="14"/>
      <c r="F1269" s="12">
        <f t="shared" si="309"/>
        <v>0</v>
      </c>
      <c r="G1269" s="24">
        <f t="shared" si="313"/>
        <v>0</v>
      </c>
      <c r="H1269" s="14"/>
      <c r="I1269" s="14"/>
      <c r="J1269" s="29"/>
      <c r="K1269" s="30"/>
      <c r="M1269" s="17"/>
      <c r="N1269" s="7"/>
      <c r="O1269" s="5"/>
      <c r="P1269" s="3"/>
      <c r="Q1269" s="5"/>
      <c r="R1269" s="7"/>
      <c r="S1269" s="5"/>
      <c r="U1269" s="10"/>
      <c r="V1269" s="11"/>
      <c r="W1269" s="6"/>
      <c r="Y1269" s="10"/>
      <c r="Z1269" s="11"/>
      <c r="AA1269" s="6"/>
      <c r="AB1269" s="1">
        <v>1.2</v>
      </c>
      <c r="AC1269" s="21" t="str">
        <f t="shared" si="314"/>
        <v/>
      </c>
      <c r="AD1269" s="27" t="str">
        <f t="shared" si="307"/>
        <v/>
      </c>
      <c r="AE1269" s="27" t="str">
        <f t="shared" si="305"/>
        <v/>
      </c>
      <c r="AF1269" s="14">
        <f t="shared" si="315"/>
        <v>0</v>
      </c>
      <c r="AG1269" s="12">
        <f t="shared" si="310"/>
        <v>0</v>
      </c>
      <c r="AH1269" s="24">
        <f t="shared" si="316"/>
        <v>0</v>
      </c>
      <c r="AI1269" s="49" t="e">
        <f t="shared" si="306"/>
        <v>#VALUE!</v>
      </c>
      <c r="AK1269" s="50" t="e">
        <f t="shared" si="311"/>
        <v>#VALUE!</v>
      </c>
    </row>
    <row r="1270" spans="1:37" x14ac:dyDescent="0.4">
      <c r="A1270" s="2">
        <v>2423</v>
      </c>
      <c r="B1270" s="16"/>
      <c r="C1270" s="22">
        <f t="shared" si="308"/>
        <v>0</v>
      </c>
      <c r="D1270" s="23">
        <f t="shared" si="312"/>
        <v>0</v>
      </c>
      <c r="E1270" s="14"/>
      <c r="F1270" s="12">
        <f t="shared" si="309"/>
        <v>0</v>
      </c>
      <c r="G1270" s="24">
        <f t="shared" si="313"/>
        <v>0</v>
      </c>
      <c r="H1270" s="14"/>
      <c r="I1270" s="14"/>
      <c r="J1270" s="29"/>
      <c r="K1270" s="30"/>
      <c r="M1270" s="17"/>
      <c r="N1270" s="7"/>
      <c r="O1270" s="5"/>
      <c r="P1270" s="3"/>
      <c r="Q1270" s="5"/>
      <c r="R1270" s="7"/>
      <c r="S1270" s="5"/>
      <c r="U1270" s="10"/>
      <c r="V1270" s="11"/>
      <c r="W1270" s="6"/>
      <c r="Y1270" s="10"/>
      <c r="Z1270" s="11"/>
      <c r="AA1270" s="6"/>
      <c r="AB1270" s="1">
        <v>1.2</v>
      </c>
      <c r="AC1270" s="21" t="str">
        <f t="shared" si="314"/>
        <v/>
      </c>
      <c r="AD1270" s="27" t="str">
        <f t="shared" si="307"/>
        <v/>
      </c>
      <c r="AE1270" s="27" t="str">
        <f t="shared" si="305"/>
        <v/>
      </c>
      <c r="AF1270" s="14">
        <f t="shared" si="315"/>
        <v>0</v>
      </c>
      <c r="AG1270" s="12">
        <f t="shared" si="310"/>
        <v>0</v>
      </c>
      <c r="AH1270" s="24">
        <f t="shared" si="316"/>
        <v>0</v>
      </c>
      <c r="AI1270" s="49" t="e">
        <f t="shared" si="306"/>
        <v>#VALUE!</v>
      </c>
      <c r="AK1270" s="50" t="e">
        <f t="shared" si="311"/>
        <v>#VALUE!</v>
      </c>
    </row>
    <row r="1271" spans="1:37" x14ac:dyDescent="0.4">
      <c r="A1271" s="2">
        <v>2424</v>
      </c>
      <c r="B1271" s="16"/>
      <c r="C1271" s="22">
        <f t="shared" si="308"/>
        <v>0</v>
      </c>
      <c r="D1271" s="23">
        <f t="shared" si="312"/>
        <v>0</v>
      </c>
      <c r="E1271" s="14"/>
      <c r="F1271" s="12">
        <f t="shared" si="309"/>
        <v>0</v>
      </c>
      <c r="G1271" s="24">
        <f t="shared" si="313"/>
        <v>0</v>
      </c>
      <c r="H1271" s="14"/>
      <c r="I1271" s="14"/>
      <c r="J1271" s="29"/>
      <c r="K1271" s="30"/>
      <c r="M1271" s="17"/>
      <c r="N1271" s="7"/>
      <c r="O1271" s="5"/>
      <c r="P1271" s="3"/>
      <c r="Q1271" s="5"/>
      <c r="R1271" s="7"/>
      <c r="S1271" s="5"/>
      <c r="U1271" s="10"/>
      <c r="V1271" s="11"/>
      <c r="W1271" s="6"/>
      <c r="Y1271" s="10"/>
      <c r="Z1271" s="11"/>
      <c r="AA1271" s="6"/>
      <c r="AB1271" s="1">
        <v>1.2</v>
      </c>
      <c r="AC1271" s="21" t="str">
        <f t="shared" si="314"/>
        <v/>
      </c>
      <c r="AD1271" s="27" t="str">
        <f t="shared" si="307"/>
        <v/>
      </c>
      <c r="AE1271" s="27" t="str">
        <f t="shared" si="305"/>
        <v/>
      </c>
      <c r="AF1271" s="14">
        <f t="shared" si="315"/>
        <v>0</v>
      </c>
      <c r="AG1271" s="12">
        <f t="shared" si="310"/>
        <v>0</v>
      </c>
      <c r="AH1271" s="24">
        <f t="shared" si="316"/>
        <v>0</v>
      </c>
      <c r="AI1271" s="49" t="e">
        <f t="shared" si="306"/>
        <v>#VALUE!</v>
      </c>
      <c r="AK1271" s="50" t="e">
        <f t="shared" si="311"/>
        <v>#VALUE!</v>
      </c>
    </row>
    <row r="1272" spans="1:37" x14ac:dyDescent="0.4">
      <c r="A1272" s="2">
        <v>2425</v>
      </c>
      <c r="B1272" s="16"/>
      <c r="C1272" s="22">
        <f t="shared" si="308"/>
        <v>0</v>
      </c>
      <c r="D1272" s="23">
        <f t="shared" si="312"/>
        <v>0</v>
      </c>
      <c r="E1272" s="14"/>
      <c r="F1272" s="12">
        <f t="shared" si="309"/>
        <v>0</v>
      </c>
      <c r="G1272" s="24">
        <f t="shared" si="313"/>
        <v>0</v>
      </c>
      <c r="H1272" s="14"/>
      <c r="I1272" s="14"/>
      <c r="J1272" s="29"/>
      <c r="K1272" s="30"/>
      <c r="M1272" s="17"/>
      <c r="N1272" s="7"/>
      <c r="O1272" s="5"/>
      <c r="P1272" s="3"/>
      <c r="Q1272" s="5"/>
      <c r="R1272" s="7"/>
      <c r="S1272" s="5"/>
      <c r="U1272" s="10"/>
      <c r="V1272" s="11"/>
      <c r="W1272" s="6"/>
      <c r="Y1272" s="10"/>
      <c r="Z1272" s="11"/>
      <c r="AA1272" s="6"/>
      <c r="AB1272" s="1">
        <v>1.2</v>
      </c>
      <c r="AC1272" s="21" t="str">
        <f t="shared" si="314"/>
        <v/>
      </c>
      <c r="AD1272" s="27" t="str">
        <f t="shared" si="307"/>
        <v/>
      </c>
      <c r="AE1272" s="27" t="str">
        <f t="shared" si="305"/>
        <v/>
      </c>
      <c r="AF1272" s="14">
        <f t="shared" si="315"/>
        <v>0</v>
      </c>
      <c r="AG1272" s="12">
        <f t="shared" si="310"/>
        <v>0</v>
      </c>
      <c r="AH1272" s="24">
        <f t="shared" si="316"/>
        <v>0</v>
      </c>
      <c r="AI1272" s="49" t="e">
        <f t="shared" si="306"/>
        <v>#VALUE!</v>
      </c>
      <c r="AK1272" s="50" t="e">
        <f t="shared" si="311"/>
        <v>#VALUE!</v>
      </c>
    </row>
    <row r="1273" spans="1:37" x14ac:dyDescent="0.4">
      <c r="A1273" s="2">
        <v>2426</v>
      </c>
      <c r="B1273" s="16"/>
      <c r="C1273" s="22">
        <f t="shared" si="308"/>
        <v>0</v>
      </c>
      <c r="D1273" s="23">
        <f t="shared" si="312"/>
        <v>0</v>
      </c>
      <c r="E1273" s="14"/>
      <c r="F1273" s="12">
        <f t="shared" si="309"/>
        <v>0</v>
      </c>
      <c r="G1273" s="24">
        <f t="shared" si="313"/>
        <v>0</v>
      </c>
      <c r="H1273" s="14"/>
      <c r="I1273" s="14"/>
      <c r="J1273" s="29"/>
      <c r="K1273" s="30"/>
      <c r="M1273" s="17"/>
      <c r="N1273" s="7"/>
      <c r="O1273" s="5"/>
      <c r="P1273" s="3"/>
      <c r="Q1273" s="5"/>
      <c r="R1273" s="7"/>
      <c r="S1273" s="5"/>
      <c r="U1273" s="10"/>
      <c r="V1273" s="11"/>
      <c r="W1273" s="6"/>
      <c r="Y1273" s="10"/>
      <c r="Z1273" s="11"/>
      <c r="AA1273" s="6"/>
      <c r="AB1273" s="1">
        <v>1.2</v>
      </c>
      <c r="AC1273" s="21" t="str">
        <f t="shared" si="314"/>
        <v/>
      </c>
      <c r="AD1273" s="27" t="str">
        <f t="shared" si="307"/>
        <v/>
      </c>
      <c r="AE1273" s="27" t="str">
        <f t="shared" si="305"/>
        <v/>
      </c>
      <c r="AF1273" s="14">
        <f t="shared" si="315"/>
        <v>0</v>
      </c>
      <c r="AG1273" s="12">
        <f t="shared" si="310"/>
        <v>0</v>
      </c>
      <c r="AH1273" s="24">
        <f t="shared" si="316"/>
        <v>0</v>
      </c>
      <c r="AI1273" s="49" t="e">
        <f t="shared" si="306"/>
        <v>#VALUE!</v>
      </c>
      <c r="AK1273" s="50" t="e">
        <f t="shared" si="311"/>
        <v>#VALUE!</v>
      </c>
    </row>
    <row r="1274" spans="1:37" x14ac:dyDescent="0.4">
      <c r="A1274" s="2">
        <v>2427</v>
      </c>
      <c r="B1274" s="16"/>
      <c r="C1274" s="22">
        <f t="shared" si="308"/>
        <v>0</v>
      </c>
      <c r="D1274" s="23">
        <f t="shared" si="312"/>
        <v>0</v>
      </c>
      <c r="E1274" s="14"/>
      <c r="F1274" s="12">
        <f t="shared" si="309"/>
        <v>0</v>
      </c>
      <c r="G1274" s="24">
        <f t="shared" si="313"/>
        <v>0</v>
      </c>
      <c r="H1274" s="14"/>
      <c r="I1274" s="14"/>
      <c r="J1274" s="29"/>
      <c r="K1274" s="30"/>
      <c r="M1274" s="17"/>
      <c r="N1274" s="7"/>
      <c r="O1274" s="5"/>
      <c r="P1274" s="3"/>
      <c r="Q1274" s="5"/>
      <c r="R1274" s="7"/>
      <c r="S1274" s="5"/>
      <c r="U1274" s="10"/>
      <c r="V1274" s="11"/>
      <c r="W1274" s="6"/>
      <c r="Y1274" s="10"/>
      <c r="Z1274" s="11"/>
      <c r="AA1274" s="6"/>
      <c r="AB1274" s="1">
        <v>1.2</v>
      </c>
      <c r="AC1274" s="21" t="str">
        <f t="shared" si="314"/>
        <v/>
      </c>
      <c r="AD1274" s="27" t="str">
        <f t="shared" si="307"/>
        <v/>
      </c>
      <c r="AE1274" s="27" t="str">
        <f t="shared" si="305"/>
        <v/>
      </c>
      <c r="AF1274" s="14">
        <f t="shared" si="315"/>
        <v>0</v>
      </c>
      <c r="AG1274" s="12">
        <f t="shared" si="310"/>
        <v>0</v>
      </c>
      <c r="AH1274" s="24">
        <f t="shared" si="316"/>
        <v>0</v>
      </c>
      <c r="AI1274" s="49" t="e">
        <f t="shared" si="306"/>
        <v>#VALUE!</v>
      </c>
      <c r="AK1274" s="50" t="e">
        <f t="shared" si="311"/>
        <v>#VALUE!</v>
      </c>
    </row>
    <row r="1275" spans="1:37" x14ac:dyDescent="0.4">
      <c r="A1275" s="2">
        <v>2428</v>
      </c>
      <c r="B1275" s="16"/>
      <c r="C1275" s="22">
        <f t="shared" si="308"/>
        <v>0</v>
      </c>
      <c r="D1275" s="23">
        <f t="shared" si="312"/>
        <v>0</v>
      </c>
      <c r="E1275" s="14"/>
      <c r="F1275" s="12">
        <f t="shared" si="309"/>
        <v>0</v>
      </c>
      <c r="G1275" s="24">
        <f t="shared" si="313"/>
        <v>0</v>
      </c>
      <c r="H1275" s="14"/>
      <c r="I1275" s="14"/>
      <c r="J1275" s="29"/>
      <c r="K1275" s="30"/>
      <c r="M1275" s="17"/>
      <c r="N1275" s="7"/>
      <c r="O1275" s="5"/>
      <c r="P1275" s="3"/>
      <c r="Q1275" s="5"/>
      <c r="R1275" s="7"/>
      <c r="S1275" s="5"/>
      <c r="U1275" s="10"/>
      <c r="V1275" s="11"/>
      <c r="W1275" s="6"/>
      <c r="Y1275" s="10"/>
      <c r="Z1275" s="11"/>
      <c r="AA1275" s="6"/>
      <c r="AB1275" s="1">
        <v>1.2</v>
      </c>
      <c r="AC1275" s="21" t="str">
        <f t="shared" si="314"/>
        <v/>
      </c>
      <c r="AD1275" s="27" t="str">
        <f t="shared" si="307"/>
        <v/>
      </c>
      <c r="AE1275" s="27" t="str">
        <f t="shared" si="305"/>
        <v/>
      </c>
      <c r="AF1275" s="14">
        <f t="shared" si="315"/>
        <v>0</v>
      </c>
      <c r="AG1275" s="12">
        <f t="shared" si="310"/>
        <v>0</v>
      </c>
      <c r="AH1275" s="24">
        <f t="shared" si="316"/>
        <v>0</v>
      </c>
      <c r="AI1275" s="49" t="e">
        <f t="shared" si="306"/>
        <v>#VALUE!</v>
      </c>
      <c r="AK1275" s="50" t="e">
        <f t="shared" si="311"/>
        <v>#VALUE!</v>
      </c>
    </row>
    <row r="1276" spans="1:37" x14ac:dyDescent="0.4">
      <c r="A1276" s="2">
        <v>2429</v>
      </c>
      <c r="B1276" s="16"/>
      <c r="C1276" s="22">
        <f t="shared" si="308"/>
        <v>0</v>
      </c>
      <c r="D1276" s="23">
        <f t="shared" si="312"/>
        <v>0</v>
      </c>
      <c r="E1276" s="14"/>
      <c r="F1276" s="12">
        <f t="shared" si="309"/>
        <v>0</v>
      </c>
      <c r="G1276" s="24">
        <f t="shared" si="313"/>
        <v>0</v>
      </c>
      <c r="H1276" s="14"/>
      <c r="I1276" s="14"/>
      <c r="J1276" s="29"/>
      <c r="K1276" s="30"/>
      <c r="M1276" s="17"/>
      <c r="N1276" s="7"/>
      <c r="O1276" s="5"/>
      <c r="P1276" s="3"/>
      <c r="Q1276" s="5"/>
      <c r="R1276" s="7"/>
      <c r="S1276" s="5"/>
      <c r="U1276" s="10"/>
      <c r="V1276" s="11"/>
      <c r="W1276" s="6"/>
      <c r="Y1276" s="10"/>
      <c r="Z1276" s="11"/>
      <c r="AA1276" s="6"/>
      <c r="AB1276" s="1">
        <v>1.2</v>
      </c>
      <c r="AC1276" s="21" t="str">
        <f t="shared" si="314"/>
        <v/>
      </c>
      <c r="AD1276" s="27" t="str">
        <f t="shared" si="307"/>
        <v/>
      </c>
      <c r="AE1276" s="27" t="str">
        <f t="shared" si="305"/>
        <v/>
      </c>
      <c r="AF1276" s="14">
        <f t="shared" si="315"/>
        <v>0</v>
      </c>
      <c r="AG1276" s="12">
        <f t="shared" si="310"/>
        <v>0</v>
      </c>
      <c r="AH1276" s="24">
        <f t="shared" si="316"/>
        <v>0</v>
      </c>
      <c r="AI1276" s="49" t="e">
        <f t="shared" si="306"/>
        <v>#VALUE!</v>
      </c>
      <c r="AK1276" s="50" t="e">
        <f t="shared" si="311"/>
        <v>#VALUE!</v>
      </c>
    </row>
    <row r="1277" spans="1:37" x14ac:dyDescent="0.4">
      <c r="A1277" s="2">
        <v>2430</v>
      </c>
      <c r="B1277" s="16"/>
      <c r="C1277" s="22">
        <f t="shared" si="308"/>
        <v>0</v>
      </c>
      <c r="D1277" s="23">
        <f t="shared" si="312"/>
        <v>0</v>
      </c>
      <c r="E1277" s="14"/>
      <c r="F1277" s="12">
        <f t="shared" si="309"/>
        <v>0</v>
      </c>
      <c r="G1277" s="24">
        <f t="shared" si="313"/>
        <v>0</v>
      </c>
      <c r="H1277" s="14"/>
      <c r="I1277" s="14"/>
      <c r="J1277" s="29"/>
      <c r="K1277" s="30"/>
      <c r="M1277" s="17"/>
      <c r="N1277" s="7"/>
      <c r="O1277" s="5"/>
      <c r="P1277" s="3"/>
      <c r="Q1277" s="5"/>
      <c r="R1277" s="7"/>
      <c r="S1277" s="5"/>
      <c r="U1277" s="10"/>
      <c r="V1277" s="11"/>
      <c r="W1277" s="6"/>
      <c r="Y1277" s="10"/>
      <c r="Z1277" s="11"/>
      <c r="AA1277" s="6"/>
      <c r="AB1277" s="1">
        <v>1.2</v>
      </c>
      <c r="AC1277" s="21" t="str">
        <f t="shared" si="314"/>
        <v/>
      </c>
      <c r="AD1277" s="27" t="str">
        <f t="shared" si="307"/>
        <v/>
      </c>
      <c r="AE1277" s="27" t="str">
        <f t="shared" si="305"/>
        <v/>
      </c>
      <c r="AF1277" s="14">
        <f t="shared" si="315"/>
        <v>0</v>
      </c>
      <c r="AG1277" s="12">
        <f t="shared" si="310"/>
        <v>0</v>
      </c>
      <c r="AH1277" s="24">
        <f t="shared" si="316"/>
        <v>0</v>
      </c>
      <c r="AI1277" s="49" t="e">
        <f t="shared" si="306"/>
        <v>#VALUE!</v>
      </c>
      <c r="AK1277" s="50" t="e">
        <f t="shared" si="311"/>
        <v>#VALUE!</v>
      </c>
    </row>
    <row r="1278" spans="1:37" x14ac:dyDescent="0.4">
      <c r="A1278" s="2">
        <v>2431</v>
      </c>
      <c r="B1278" s="16"/>
      <c r="C1278" s="22">
        <f t="shared" si="308"/>
        <v>0</v>
      </c>
      <c r="D1278" s="23">
        <f t="shared" si="312"/>
        <v>0</v>
      </c>
      <c r="E1278" s="14"/>
      <c r="F1278" s="12">
        <f t="shared" si="309"/>
        <v>0</v>
      </c>
      <c r="G1278" s="24">
        <f t="shared" si="313"/>
        <v>0</v>
      </c>
      <c r="H1278" s="14"/>
      <c r="I1278" s="14"/>
      <c r="J1278" s="29"/>
      <c r="K1278" s="30"/>
      <c r="M1278" s="17"/>
      <c r="N1278" s="7"/>
      <c r="O1278" s="5"/>
      <c r="P1278" s="3"/>
      <c r="Q1278" s="5"/>
      <c r="R1278" s="7"/>
      <c r="S1278" s="5"/>
      <c r="U1278" s="10"/>
      <c r="V1278" s="11"/>
      <c r="W1278" s="6"/>
      <c r="Y1278" s="10"/>
      <c r="Z1278" s="11"/>
      <c r="AA1278" s="6"/>
      <c r="AB1278" s="1">
        <v>1.2</v>
      </c>
      <c r="AC1278" s="21" t="str">
        <f t="shared" si="314"/>
        <v/>
      </c>
      <c r="AD1278" s="27" t="str">
        <f t="shared" si="307"/>
        <v/>
      </c>
      <c r="AE1278" s="27" t="str">
        <f t="shared" si="305"/>
        <v/>
      </c>
      <c r="AF1278" s="14">
        <f t="shared" si="315"/>
        <v>0</v>
      </c>
      <c r="AG1278" s="12">
        <f t="shared" si="310"/>
        <v>0</v>
      </c>
      <c r="AH1278" s="24">
        <f t="shared" si="316"/>
        <v>0</v>
      </c>
      <c r="AI1278" s="49" t="e">
        <f t="shared" si="306"/>
        <v>#VALUE!</v>
      </c>
      <c r="AK1278" s="50" t="e">
        <f t="shared" si="311"/>
        <v>#VALUE!</v>
      </c>
    </row>
    <row r="1279" spans="1:37" x14ac:dyDescent="0.4">
      <c r="A1279" s="2">
        <v>2432</v>
      </c>
      <c r="B1279" s="16"/>
      <c r="C1279" s="22">
        <f t="shared" si="308"/>
        <v>0</v>
      </c>
      <c r="D1279" s="23">
        <f t="shared" si="312"/>
        <v>0</v>
      </c>
      <c r="E1279" s="14"/>
      <c r="F1279" s="12">
        <f t="shared" si="309"/>
        <v>0</v>
      </c>
      <c r="G1279" s="24">
        <f t="shared" si="313"/>
        <v>0</v>
      </c>
      <c r="H1279" s="14"/>
      <c r="I1279" s="14"/>
      <c r="J1279" s="29"/>
      <c r="K1279" s="30"/>
      <c r="M1279" s="17"/>
      <c r="N1279" s="7"/>
      <c r="O1279" s="5"/>
      <c r="P1279" s="3"/>
      <c r="Q1279" s="5"/>
      <c r="R1279" s="7"/>
      <c r="S1279" s="5"/>
      <c r="U1279" s="10"/>
      <c r="V1279" s="11"/>
      <c r="W1279" s="6"/>
      <c r="Y1279" s="10"/>
      <c r="Z1279" s="11"/>
      <c r="AA1279" s="6"/>
      <c r="AB1279" s="1">
        <v>1.2</v>
      </c>
      <c r="AC1279" s="21" t="str">
        <f t="shared" si="314"/>
        <v/>
      </c>
      <c r="AD1279" s="27" t="str">
        <f t="shared" si="307"/>
        <v/>
      </c>
      <c r="AE1279" s="27" t="str">
        <f t="shared" si="305"/>
        <v/>
      </c>
      <c r="AF1279" s="14">
        <f t="shared" si="315"/>
        <v>0</v>
      </c>
      <c r="AG1279" s="12">
        <f t="shared" si="310"/>
        <v>0</v>
      </c>
      <c r="AH1279" s="24">
        <f t="shared" si="316"/>
        <v>0</v>
      </c>
      <c r="AI1279" s="49" t="e">
        <f t="shared" si="306"/>
        <v>#VALUE!</v>
      </c>
      <c r="AK1279" s="50" t="e">
        <f t="shared" si="311"/>
        <v>#VALUE!</v>
      </c>
    </row>
    <row r="1280" spans="1:37" x14ac:dyDescent="0.4">
      <c r="A1280" s="2">
        <v>2433</v>
      </c>
      <c r="B1280" s="16"/>
      <c r="C1280" s="22">
        <f t="shared" si="308"/>
        <v>0</v>
      </c>
      <c r="D1280" s="23">
        <f t="shared" si="312"/>
        <v>0</v>
      </c>
      <c r="E1280" s="14"/>
      <c r="F1280" s="12">
        <f t="shared" si="309"/>
        <v>0</v>
      </c>
      <c r="G1280" s="24">
        <f t="shared" si="313"/>
        <v>0</v>
      </c>
      <c r="H1280" s="14"/>
      <c r="I1280" s="14"/>
      <c r="J1280" s="29"/>
      <c r="K1280" s="30"/>
      <c r="M1280" s="17"/>
      <c r="N1280" s="7"/>
      <c r="O1280" s="5"/>
      <c r="P1280" s="3"/>
      <c r="Q1280" s="5"/>
      <c r="R1280" s="7"/>
      <c r="S1280" s="5"/>
      <c r="U1280" s="10"/>
      <c r="V1280" s="11"/>
      <c r="W1280" s="6"/>
      <c r="Y1280" s="10"/>
      <c r="Z1280" s="11"/>
      <c r="AA1280" s="6"/>
      <c r="AB1280" s="1">
        <v>1.2</v>
      </c>
      <c r="AC1280" s="21" t="str">
        <f t="shared" si="314"/>
        <v/>
      </c>
      <c r="AD1280" s="27" t="str">
        <f t="shared" si="307"/>
        <v/>
      </c>
      <c r="AE1280" s="27" t="str">
        <f t="shared" si="305"/>
        <v/>
      </c>
      <c r="AF1280" s="14">
        <f t="shared" si="315"/>
        <v>0</v>
      </c>
      <c r="AG1280" s="12">
        <f t="shared" si="310"/>
        <v>0</v>
      </c>
      <c r="AH1280" s="24">
        <f t="shared" si="316"/>
        <v>0</v>
      </c>
      <c r="AI1280" s="49" t="e">
        <f t="shared" si="306"/>
        <v>#VALUE!</v>
      </c>
      <c r="AK1280" s="50" t="e">
        <f t="shared" si="311"/>
        <v>#VALUE!</v>
      </c>
    </row>
    <row r="1281" spans="1:37" x14ac:dyDescent="0.4">
      <c r="A1281" s="2">
        <v>2434</v>
      </c>
      <c r="B1281" s="16"/>
      <c r="C1281" s="22">
        <f t="shared" si="308"/>
        <v>0</v>
      </c>
      <c r="D1281" s="23">
        <f t="shared" si="312"/>
        <v>0</v>
      </c>
      <c r="E1281" s="14"/>
      <c r="F1281" s="12">
        <f t="shared" si="309"/>
        <v>0</v>
      </c>
      <c r="G1281" s="24">
        <f t="shared" si="313"/>
        <v>0</v>
      </c>
      <c r="H1281" s="14"/>
      <c r="I1281" s="14"/>
      <c r="J1281" s="29"/>
      <c r="K1281" s="30"/>
      <c r="M1281" s="17"/>
      <c r="N1281" s="7"/>
      <c r="O1281" s="5"/>
      <c r="P1281" s="3"/>
      <c r="Q1281" s="5"/>
      <c r="R1281" s="7"/>
      <c r="S1281" s="5"/>
      <c r="U1281" s="10"/>
      <c r="V1281" s="11"/>
      <c r="W1281" s="6"/>
      <c r="Y1281" s="10"/>
      <c r="Z1281" s="11"/>
      <c r="AA1281" s="6"/>
      <c r="AB1281" s="1">
        <v>1.2</v>
      </c>
      <c r="AC1281" s="21" t="str">
        <f t="shared" si="314"/>
        <v/>
      </c>
      <c r="AD1281" s="27" t="str">
        <f t="shared" si="307"/>
        <v/>
      </c>
      <c r="AE1281" s="27" t="str">
        <f t="shared" si="305"/>
        <v/>
      </c>
      <c r="AF1281" s="14">
        <f t="shared" si="315"/>
        <v>0</v>
      </c>
      <c r="AG1281" s="12">
        <f t="shared" si="310"/>
        <v>0</v>
      </c>
      <c r="AH1281" s="24">
        <f t="shared" si="316"/>
        <v>0</v>
      </c>
      <c r="AI1281" s="49" t="e">
        <f t="shared" si="306"/>
        <v>#VALUE!</v>
      </c>
      <c r="AK1281" s="50" t="e">
        <f t="shared" si="311"/>
        <v>#VALUE!</v>
      </c>
    </row>
    <row r="1282" spans="1:37" x14ac:dyDescent="0.4">
      <c r="A1282" s="2">
        <v>2435</v>
      </c>
      <c r="B1282" s="16"/>
      <c r="C1282" s="22">
        <f t="shared" si="308"/>
        <v>0</v>
      </c>
      <c r="D1282" s="23">
        <f t="shared" si="312"/>
        <v>0</v>
      </c>
      <c r="E1282" s="14"/>
      <c r="F1282" s="12">
        <f t="shared" si="309"/>
        <v>0</v>
      </c>
      <c r="G1282" s="24">
        <f t="shared" si="313"/>
        <v>0</v>
      </c>
      <c r="H1282" s="14"/>
      <c r="I1282" s="14"/>
      <c r="J1282" s="29"/>
      <c r="K1282" s="30"/>
      <c r="M1282" s="17"/>
      <c r="N1282" s="7"/>
      <c r="O1282" s="5"/>
      <c r="P1282" s="3"/>
      <c r="Q1282" s="5"/>
      <c r="R1282" s="7"/>
      <c r="S1282" s="5"/>
      <c r="U1282" s="10"/>
      <c r="V1282" s="11"/>
      <c r="W1282" s="6"/>
      <c r="Y1282" s="10"/>
      <c r="Z1282" s="11"/>
      <c r="AA1282" s="6"/>
      <c r="AB1282" s="1">
        <v>1.2</v>
      </c>
      <c r="AC1282" s="21" t="str">
        <f t="shared" si="314"/>
        <v/>
      </c>
      <c r="AD1282" s="27" t="str">
        <f t="shared" si="307"/>
        <v/>
      </c>
      <c r="AE1282" s="27" t="str">
        <f t="shared" si="305"/>
        <v/>
      </c>
      <c r="AF1282" s="14">
        <f t="shared" si="315"/>
        <v>0</v>
      </c>
      <c r="AG1282" s="12">
        <f t="shared" si="310"/>
        <v>0</v>
      </c>
      <c r="AH1282" s="24">
        <f t="shared" si="316"/>
        <v>0</v>
      </c>
      <c r="AI1282" s="49" t="e">
        <f t="shared" si="306"/>
        <v>#VALUE!</v>
      </c>
      <c r="AK1282" s="50" t="e">
        <f t="shared" si="311"/>
        <v>#VALUE!</v>
      </c>
    </row>
    <row r="1283" spans="1:37" x14ac:dyDescent="0.4">
      <c r="A1283" s="2">
        <v>2436</v>
      </c>
      <c r="B1283" s="16"/>
      <c r="C1283" s="22">
        <f t="shared" si="308"/>
        <v>0</v>
      </c>
      <c r="D1283" s="23">
        <f t="shared" si="312"/>
        <v>0</v>
      </c>
      <c r="E1283" s="14"/>
      <c r="F1283" s="12">
        <f t="shared" si="309"/>
        <v>0</v>
      </c>
      <c r="G1283" s="24">
        <f t="shared" si="313"/>
        <v>0</v>
      </c>
      <c r="H1283" s="14"/>
      <c r="I1283" s="14"/>
      <c r="J1283" s="29"/>
      <c r="K1283" s="30"/>
      <c r="M1283" s="17"/>
      <c r="N1283" s="7"/>
      <c r="O1283" s="5"/>
      <c r="P1283" s="3"/>
      <c r="Q1283" s="5"/>
      <c r="R1283" s="7"/>
      <c r="S1283" s="5"/>
      <c r="U1283" s="10"/>
      <c r="V1283" s="11"/>
      <c r="W1283" s="6"/>
      <c r="Y1283" s="10"/>
      <c r="Z1283" s="11"/>
      <c r="AA1283" s="6"/>
      <c r="AB1283" s="1">
        <v>1.2</v>
      </c>
      <c r="AC1283" s="21" t="str">
        <f t="shared" si="314"/>
        <v/>
      </c>
      <c r="AD1283" s="27" t="str">
        <f t="shared" si="307"/>
        <v/>
      </c>
      <c r="AE1283" s="27" t="str">
        <f t="shared" si="305"/>
        <v/>
      </c>
      <c r="AF1283" s="14">
        <f t="shared" si="315"/>
        <v>0</v>
      </c>
      <c r="AG1283" s="12">
        <f t="shared" si="310"/>
        <v>0</v>
      </c>
      <c r="AH1283" s="24">
        <f t="shared" si="316"/>
        <v>0</v>
      </c>
      <c r="AI1283" s="49" t="e">
        <f t="shared" si="306"/>
        <v>#VALUE!</v>
      </c>
      <c r="AK1283" s="50" t="e">
        <f t="shared" si="311"/>
        <v>#VALUE!</v>
      </c>
    </row>
    <row r="1284" spans="1:37" x14ac:dyDescent="0.4">
      <c r="A1284" s="2">
        <v>2437</v>
      </c>
      <c r="B1284" s="16"/>
      <c r="C1284" s="22">
        <f t="shared" si="308"/>
        <v>0</v>
      </c>
      <c r="D1284" s="23">
        <f t="shared" si="312"/>
        <v>0</v>
      </c>
      <c r="E1284" s="14"/>
      <c r="F1284" s="12">
        <f t="shared" si="309"/>
        <v>0</v>
      </c>
      <c r="G1284" s="24">
        <f t="shared" si="313"/>
        <v>0</v>
      </c>
      <c r="H1284" s="14"/>
      <c r="I1284" s="14"/>
      <c r="J1284" s="29"/>
      <c r="K1284" s="30"/>
      <c r="M1284" s="17"/>
      <c r="N1284" s="7"/>
      <c r="O1284" s="5"/>
      <c r="P1284" s="3"/>
      <c r="Q1284" s="5"/>
      <c r="R1284" s="7"/>
      <c r="S1284" s="5"/>
      <c r="U1284" s="10"/>
      <c r="V1284" s="11"/>
      <c r="W1284" s="6"/>
      <c r="Y1284" s="10"/>
      <c r="Z1284" s="11"/>
      <c r="AA1284" s="6"/>
      <c r="AB1284" s="1">
        <v>1.2</v>
      </c>
      <c r="AC1284" s="21" t="str">
        <f t="shared" si="314"/>
        <v/>
      </c>
      <c r="AD1284" s="27" t="str">
        <f t="shared" si="307"/>
        <v/>
      </c>
      <c r="AE1284" s="27" t="str">
        <f t="shared" si="305"/>
        <v/>
      </c>
      <c r="AF1284" s="14">
        <f t="shared" si="315"/>
        <v>0</v>
      </c>
      <c r="AG1284" s="12">
        <f t="shared" si="310"/>
        <v>0</v>
      </c>
      <c r="AH1284" s="24">
        <f t="shared" si="316"/>
        <v>0</v>
      </c>
      <c r="AI1284" s="49" t="e">
        <f t="shared" si="306"/>
        <v>#VALUE!</v>
      </c>
      <c r="AK1284" s="50" t="e">
        <f t="shared" si="311"/>
        <v>#VALUE!</v>
      </c>
    </row>
    <row r="1285" spans="1:37" x14ac:dyDescent="0.4">
      <c r="A1285" s="2">
        <v>2438</v>
      </c>
      <c r="B1285" s="16"/>
      <c r="C1285" s="22">
        <f t="shared" si="308"/>
        <v>0</v>
      </c>
      <c r="D1285" s="23">
        <f t="shared" si="312"/>
        <v>0</v>
      </c>
      <c r="E1285" s="14"/>
      <c r="F1285" s="12">
        <f t="shared" si="309"/>
        <v>0</v>
      </c>
      <c r="G1285" s="24">
        <f t="shared" si="313"/>
        <v>0</v>
      </c>
      <c r="H1285" s="14"/>
      <c r="I1285" s="14"/>
      <c r="J1285" s="29"/>
      <c r="K1285" s="30"/>
      <c r="M1285" s="17"/>
      <c r="N1285" s="7"/>
      <c r="O1285" s="5"/>
      <c r="P1285" s="3"/>
      <c r="Q1285" s="5"/>
      <c r="R1285" s="7"/>
      <c r="S1285" s="5"/>
      <c r="U1285" s="10"/>
      <c r="V1285" s="11"/>
      <c r="W1285" s="6"/>
      <c r="Y1285" s="10"/>
      <c r="Z1285" s="11"/>
      <c r="AA1285" s="6"/>
      <c r="AB1285" s="1">
        <v>1.2</v>
      </c>
      <c r="AC1285" s="21" t="str">
        <f t="shared" si="314"/>
        <v/>
      </c>
      <c r="AD1285" s="27" t="str">
        <f t="shared" si="307"/>
        <v/>
      </c>
      <c r="AE1285" s="27" t="str">
        <f t="shared" si="305"/>
        <v/>
      </c>
      <c r="AF1285" s="14">
        <f t="shared" si="315"/>
        <v>0</v>
      </c>
      <c r="AG1285" s="12">
        <f t="shared" si="310"/>
        <v>0</v>
      </c>
      <c r="AH1285" s="24">
        <f t="shared" si="316"/>
        <v>0</v>
      </c>
      <c r="AI1285" s="49" t="e">
        <f t="shared" si="306"/>
        <v>#VALUE!</v>
      </c>
      <c r="AK1285" s="50" t="e">
        <f t="shared" si="311"/>
        <v>#VALUE!</v>
      </c>
    </row>
    <row r="1286" spans="1:37" x14ac:dyDescent="0.4">
      <c r="A1286" s="2">
        <v>2439</v>
      </c>
      <c r="B1286" s="16"/>
      <c r="C1286" s="22">
        <f t="shared" si="308"/>
        <v>0</v>
      </c>
      <c r="D1286" s="23">
        <f t="shared" si="312"/>
        <v>0</v>
      </c>
      <c r="E1286" s="14"/>
      <c r="F1286" s="12">
        <f t="shared" si="309"/>
        <v>0</v>
      </c>
      <c r="G1286" s="24">
        <f t="shared" si="313"/>
        <v>0</v>
      </c>
      <c r="H1286" s="14"/>
      <c r="I1286" s="14"/>
      <c r="J1286" s="29"/>
      <c r="K1286" s="30"/>
      <c r="M1286" s="17"/>
      <c r="N1286" s="7"/>
      <c r="O1286" s="5"/>
      <c r="P1286" s="3"/>
      <c r="Q1286" s="5"/>
      <c r="R1286" s="7"/>
      <c r="S1286" s="5"/>
      <c r="U1286" s="10"/>
      <c r="V1286" s="11"/>
      <c r="W1286" s="6"/>
      <c r="Y1286" s="10"/>
      <c r="Z1286" s="11"/>
      <c r="AA1286" s="6"/>
      <c r="AB1286" s="1">
        <v>1.2</v>
      </c>
      <c r="AC1286" s="21" t="str">
        <f t="shared" si="314"/>
        <v/>
      </c>
      <c r="AD1286" s="27" t="str">
        <f t="shared" si="307"/>
        <v/>
      </c>
      <c r="AE1286" s="27" t="str">
        <f t="shared" si="305"/>
        <v/>
      </c>
      <c r="AF1286" s="14">
        <f t="shared" si="315"/>
        <v>0</v>
      </c>
      <c r="AG1286" s="12">
        <f t="shared" si="310"/>
        <v>0</v>
      </c>
      <c r="AH1286" s="24">
        <f t="shared" si="316"/>
        <v>0</v>
      </c>
      <c r="AI1286" s="49" t="e">
        <f t="shared" si="306"/>
        <v>#VALUE!</v>
      </c>
      <c r="AK1286" s="50" t="e">
        <f t="shared" si="311"/>
        <v>#VALUE!</v>
      </c>
    </row>
    <row r="1287" spans="1:37" x14ac:dyDescent="0.4">
      <c r="A1287" s="2">
        <v>2440</v>
      </c>
      <c r="B1287" s="16"/>
      <c r="C1287" s="22">
        <f t="shared" si="308"/>
        <v>0</v>
      </c>
      <c r="D1287" s="23">
        <f t="shared" si="312"/>
        <v>0</v>
      </c>
      <c r="E1287" s="14"/>
      <c r="F1287" s="12">
        <f t="shared" si="309"/>
        <v>0</v>
      </c>
      <c r="G1287" s="24">
        <f t="shared" si="313"/>
        <v>0</v>
      </c>
      <c r="H1287" s="14"/>
      <c r="I1287" s="14"/>
      <c r="J1287" s="29"/>
      <c r="K1287" s="30"/>
      <c r="M1287" s="17"/>
      <c r="N1287" s="7"/>
      <c r="O1287" s="5"/>
      <c r="P1287" s="3"/>
      <c r="Q1287" s="5"/>
      <c r="R1287" s="7"/>
      <c r="S1287" s="5"/>
      <c r="U1287" s="10"/>
      <c r="V1287" s="11"/>
      <c r="W1287" s="6"/>
      <c r="Y1287" s="10"/>
      <c r="Z1287" s="11"/>
      <c r="AA1287" s="6"/>
      <c r="AB1287" s="1">
        <v>1.2</v>
      </c>
      <c r="AC1287" s="21" t="str">
        <f t="shared" si="314"/>
        <v/>
      </c>
      <c r="AD1287" s="27" t="str">
        <f t="shared" si="307"/>
        <v/>
      </c>
      <c r="AE1287" s="27" t="str">
        <f t="shared" si="305"/>
        <v/>
      </c>
      <c r="AF1287" s="14">
        <f t="shared" si="315"/>
        <v>0</v>
      </c>
      <c r="AG1287" s="12">
        <f t="shared" si="310"/>
        <v>0</v>
      </c>
      <c r="AH1287" s="24">
        <f t="shared" si="316"/>
        <v>0</v>
      </c>
      <c r="AI1287" s="49" t="e">
        <f t="shared" si="306"/>
        <v>#VALUE!</v>
      </c>
      <c r="AK1287" s="50" t="e">
        <f t="shared" si="311"/>
        <v>#VALUE!</v>
      </c>
    </row>
    <row r="1288" spans="1:37" x14ac:dyDescent="0.4">
      <c r="A1288" s="2">
        <v>2441</v>
      </c>
      <c r="B1288" s="16"/>
      <c r="C1288" s="22">
        <f t="shared" si="308"/>
        <v>0</v>
      </c>
      <c r="D1288" s="23">
        <f t="shared" si="312"/>
        <v>0</v>
      </c>
      <c r="E1288" s="14"/>
      <c r="F1288" s="12">
        <f t="shared" si="309"/>
        <v>0</v>
      </c>
      <c r="G1288" s="24">
        <f t="shared" si="313"/>
        <v>0</v>
      </c>
      <c r="H1288" s="14"/>
      <c r="I1288" s="14"/>
      <c r="J1288" s="29"/>
      <c r="K1288" s="30"/>
      <c r="M1288" s="17"/>
      <c r="N1288" s="7"/>
      <c r="O1288" s="5"/>
      <c r="P1288" s="3"/>
      <c r="Q1288" s="5"/>
      <c r="R1288" s="7"/>
      <c r="S1288" s="5"/>
      <c r="U1288" s="10"/>
      <c r="V1288" s="11"/>
      <c r="W1288" s="6"/>
      <c r="Y1288" s="10"/>
      <c r="Z1288" s="11"/>
      <c r="AA1288" s="6"/>
      <c r="AB1288" s="1">
        <v>1.2</v>
      </c>
      <c r="AC1288" s="21" t="str">
        <f t="shared" si="314"/>
        <v/>
      </c>
      <c r="AD1288" s="27" t="str">
        <f t="shared" si="307"/>
        <v/>
      </c>
      <c r="AE1288" s="27" t="str">
        <f t="shared" si="305"/>
        <v/>
      </c>
      <c r="AF1288" s="14">
        <f t="shared" si="315"/>
        <v>0</v>
      </c>
      <c r="AG1288" s="12">
        <f t="shared" si="310"/>
        <v>0</v>
      </c>
      <c r="AH1288" s="24">
        <f t="shared" si="316"/>
        <v>0</v>
      </c>
      <c r="AI1288" s="49" t="e">
        <f t="shared" si="306"/>
        <v>#VALUE!</v>
      </c>
      <c r="AK1288" s="50" t="e">
        <f t="shared" si="311"/>
        <v>#VALUE!</v>
      </c>
    </row>
    <row r="1289" spans="1:37" x14ac:dyDescent="0.4">
      <c r="A1289" s="2">
        <v>2442</v>
      </c>
      <c r="B1289" s="16"/>
      <c r="C1289" s="22">
        <f t="shared" si="308"/>
        <v>0</v>
      </c>
      <c r="D1289" s="23">
        <f t="shared" si="312"/>
        <v>0</v>
      </c>
      <c r="E1289" s="14"/>
      <c r="F1289" s="12">
        <f t="shared" si="309"/>
        <v>0</v>
      </c>
      <c r="G1289" s="24">
        <f t="shared" si="313"/>
        <v>0</v>
      </c>
      <c r="H1289" s="14"/>
      <c r="I1289" s="14"/>
      <c r="J1289" s="29"/>
      <c r="K1289" s="30"/>
      <c r="M1289" s="17"/>
      <c r="N1289" s="7"/>
      <c r="O1289" s="5"/>
      <c r="P1289" s="3"/>
      <c r="Q1289" s="5"/>
      <c r="R1289" s="7"/>
      <c r="S1289" s="5"/>
      <c r="U1289" s="10"/>
      <c r="V1289" s="11"/>
      <c r="W1289" s="6"/>
      <c r="Y1289" s="10"/>
      <c r="Z1289" s="11"/>
      <c r="AA1289" s="6"/>
      <c r="AB1289" s="1">
        <v>1.2</v>
      </c>
      <c r="AC1289" s="21" t="str">
        <f t="shared" si="314"/>
        <v/>
      </c>
      <c r="AD1289" s="27" t="str">
        <f t="shared" si="307"/>
        <v/>
      </c>
      <c r="AE1289" s="27" t="str">
        <f t="shared" si="305"/>
        <v/>
      </c>
      <c r="AF1289" s="14">
        <f t="shared" si="315"/>
        <v>0</v>
      </c>
      <c r="AG1289" s="12">
        <f t="shared" si="310"/>
        <v>0</v>
      </c>
      <c r="AH1289" s="24">
        <f t="shared" si="316"/>
        <v>0</v>
      </c>
      <c r="AI1289" s="49" t="e">
        <f t="shared" si="306"/>
        <v>#VALUE!</v>
      </c>
      <c r="AK1289" s="50" t="e">
        <f t="shared" si="311"/>
        <v>#VALUE!</v>
      </c>
    </row>
    <row r="1290" spans="1:37" x14ac:dyDescent="0.4">
      <c r="A1290" s="2">
        <v>2443</v>
      </c>
      <c r="B1290" s="16"/>
      <c r="C1290" s="22">
        <f t="shared" si="308"/>
        <v>0</v>
      </c>
      <c r="D1290" s="23">
        <f t="shared" si="312"/>
        <v>0</v>
      </c>
      <c r="E1290" s="14"/>
      <c r="F1290" s="12">
        <f t="shared" si="309"/>
        <v>0</v>
      </c>
      <c r="G1290" s="24">
        <f t="shared" si="313"/>
        <v>0</v>
      </c>
      <c r="H1290" s="14"/>
      <c r="I1290" s="14"/>
      <c r="J1290" s="29"/>
      <c r="K1290" s="30"/>
      <c r="M1290" s="17"/>
      <c r="N1290" s="7"/>
      <c r="O1290" s="5"/>
      <c r="P1290" s="3"/>
      <c r="Q1290" s="5"/>
      <c r="R1290" s="7"/>
      <c r="S1290" s="5"/>
      <c r="U1290" s="10"/>
      <c r="V1290" s="11"/>
      <c r="W1290" s="6"/>
      <c r="Y1290" s="10"/>
      <c r="Z1290" s="11"/>
      <c r="AA1290" s="6"/>
      <c r="AB1290" s="1">
        <v>1.2</v>
      </c>
      <c r="AC1290" s="21" t="str">
        <f t="shared" si="314"/>
        <v/>
      </c>
      <c r="AD1290" s="27" t="str">
        <f t="shared" si="307"/>
        <v/>
      </c>
      <c r="AE1290" s="27" t="str">
        <f t="shared" si="305"/>
        <v/>
      </c>
      <c r="AF1290" s="14">
        <f t="shared" si="315"/>
        <v>0</v>
      </c>
      <c r="AG1290" s="12">
        <f t="shared" si="310"/>
        <v>0</v>
      </c>
      <c r="AH1290" s="24">
        <f t="shared" si="316"/>
        <v>0</v>
      </c>
      <c r="AI1290" s="49" t="e">
        <f t="shared" si="306"/>
        <v>#VALUE!</v>
      </c>
      <c r="AK1290" s="50" t="e">
        <f t="shared" si="311"/>
        <v>#VALUE!</v>
      </c>
    </row>
    <row r="1291" spans="1:37" x14ac:dyDescent="0.4">
      <c r="A1291" s="2">
        <v>2444</v>
      </c>
      <c r="B1291" s="16"/>
      <c r="C1291" s="22">
        <f t="shared" si="308"/>
        <v>0</v>
      </c>
      <c r="D1291" s="23">
        <f t="shared" si="312"/>
        <v>0</v>
      </c>
      <c r="E1291" s="14"/>
      <c r="F1291" s="12">
        <f t="shared" si="309"/>
        <v>0</v>
      </c>
      <c r="G1291" s="24">
        <f t="shared" si="313"/>
        <v>0</v>
      </c>
      <c r="H1291" s="14"/>
      <c r="I1291" s="14"/>
      <c r="J1291" s="29"/>
      <c r="K1291" s="30"/>
      <c r="M1291" s="17"/>
      <c r="N1291" s="7"/>
      <c r="O1291" s="5"/>
      <c r="P1291" s="3"/>
      <c r="Q1291" s="5"/>
      <c r="R1291" s="7"/>
      <c r="S1291" s="5"/>
      <c r="U1291" s="10"/>
      <c r="V1291" s="11"/>
      <c r="W1291" s="6"/>
      <c r="Y1291" s="10"/>
      <c r="Z1291" s="11"/>
      <c r="AA1291" s="6"/>
      <c r="AB1291" s="1">
        <v>1.2</v>
      </c>
      <c r="AC1291" s="21" t="str">
        <f t="shared" si="314"/>
        <v/>
      </c>
      <c r="AD1291" s="27" t="str">
        <f t="shared" si="307"/>
        <v/>
      </c>
      <c r="AE1291" s="27" t="str">
        <f t="shared" si="305"/>
        <v/>
      </c>
      <c r="AF1291" s="14">
        <f t="shared" si="315"/>
        <v>0</v>
      </c>
      <c r="AG1291" s="12">
        <f t="shared" si="310"/>
        <v>0</v>
      </c>
      <c r="AH1291" s="24">
        <f t="shared" si="316"/>
        <v>0</v>
      </c>
      <c r="AI1291" s="49" t="e">
        <f t="shared" si="306"/>
        <v>#VALUE!</v>
      </c>
      <c r="AK1291" s="50" t="e">
        <f t="shared" si="311"/>
        <v>#VALUE!</v>
      </c>
    </row>
    <row r="1292" spans="1:37" x14ac:dyDescent="0.4">
      <c r="A1292" s="2">
        <v>2445</v>
      </c>
      <c r="B1292" s="16"/>
      <c r="C1292" s="22">
        <f t="shared" si="308"/>
        <v>0</v>
      </c>
      <c r="D1292" s="23">
        <f t="shared" si="312"/>
        <v>0</v>
      </c>
      <c r="E1292" s="14"/>
      <c r="F1292" s="12">
        <f t="shared" si="309"/>
        <v>0</v>
      </c>
      <c r="G1292" s="24">
        <f t="shared" si="313"/>
        <v>0</v>
      </c>
      <c r="H1292" s="14"/>
      <c r="I1292" s="14"/>
      <c r="J1292" s="29"/>
      <c r="K1292" s="30"/>
      <c r="M1292" s="17"/>
      <c r="N1292" s="7"/>
      <c r="O1292" s="5"/>
      <c r="P1292" s="3"/>
      <c r="Q1292" s="5"/>
      <c r="R1292" s="7"/>
      <c r="S1292" s="5"/>
      <c r="U1292" s="10"/>
      <c r="V1292" s="11"/>
      <c r="W1292" s="6"/>
      <c r="Y1292" s="10"/>
      <c r="Z1292" s="11"/>
      <c r="AA1292" s="6"/>
      <c r="AB1292" s="1">
        <v>1.2</v>
      </c>
      <c r="AC1292" s="21" t="str">
        <f t="shared" si="314"/>
        <v/>
      </c>
      <c r="AD1292" s="27" t="str">
        <f t="shared" si="307"/>
        <v/>
      </c>
      <c r="AE1292" s="27" t="str">
        <f t="shared" si="305"/>
        <v/>
      </c>
      <c r="AF1292" s="14">
        <f t="shared" si="315"/>
        <v>0</v>
      </c>
      <c r="AG1292" s="12">
        <f t="shared" si="310"/>
        <v>0</v>
      </c>
      <c r="AH1292" s="24">
        <f t="shared" si="316"/>
        <v>0</v>
      </c>
      <c r="AI1292" s="49" t="e">
        <f t="shared" si="306"/>
        <v>#VALUE!</v>
      </c>
      <c r="AK1292" s="50" t="e">
        <f t="shared" si="311"/>
        <v>#VALUE!</v>
      </c>
    </row>
    <row r="1293" spans="1:37" x14ac:dyDescent="0.4">
      <c r="A1293" s="2">
        <v>2446</v>
      </c>
      <c r="B1293" s="16"/>
      <c r="C1293" s="22">
        <f t="shared" si="308"/>
        <v>0</v>
      </c>
      <c r="D1293" s="23">
        <f t="shared" si="312"/>
        <v>0</v>
      </c>
      <c r="E1293" s="14"/>
      <c r="F1293" s="12">
        <f t="shared" si="309"/>
        <v>0</v>
      </c>
      <c r="G1293" s="24">
        <f t="shared" si="313"/>
        <v>0</v>
      </c>
      <c r="H1293" s="14"/>
      <c r="I1293" s="14"/>
      <c r="J1293" s="29"/>
      <c r="K1293" s="30"/>
      <c r="M1293" s="17"/>
      <c r="N1293" s="7"/>
      <c r="O1293" s="5"/>
      <c r="P1293" s="3"/>
      <c r="Q1293" s="5"/>
      <c r="R1293" s="7"/>
      <c r="S1293" s="5"/>
      <c r="U1293" s="10"/>
      <c r="V1293" s="11"/>
      <c r="W1293" s="6"/>
      <c r="Y1293" s="10"/>
      <c r="Z1293" s="11"/>
      <c r="AA1293" s="6"/>
      <c r="AB1293" s="1">
        <v>1.2</v>
      </c>
      <c r="AC1293" s="21" t="str">
        <f t="shared" si="314"/>
        <v/>
      </c>
      <c r="AD1293" s="27" t="str">
        <f t="shared" si="307"/>
        <v/>
      </c>
      <c r="AE1293" s="27" t="str">
        <f t="shared" ref="AE1293:AE1337" si="317">IF(I1293="","",TEXT(I1293-B1293,"[hh]:mm"))</f>
        <v/>
      </c>
      <c r="AF1293" s="14">
        <f t="shared" si="315"/>
        <v>0</v>
      </c>
      <c r="AG1293" s="12">
        <f t="shared" si="310"/>
        <v>0</v>
      </c>
      <c r="AH1293" s="24">
        <f t="shared" si="316"/>
        <v>0</v>
      </c>
      <c r="AI1293" s="49" t="e">
        <f t="shared" ref="AI1293:AI1337" si="318">MAX(VALUE(AC1293),VALUE(AD1293),VALUE(AE1293))</f>
        <v>#VALUE!</v>
      </c>
      <c r="AK1293" s="50" t="e">
        <f t="shared" si="311"/>
        <v>#VALUE!</v>
      </c>
    </row>
    <row r="1294" spans="1:37" x14ac:dyDescent="0.4">
      <c r="A1294" s="2">
        <v>2447</v>
      </c>
      <c r="B1294" s="16"/>
      <c r="C1294" s="22">
        <f t="shared" si="308"/>
        <v>0</v>
      </c>
      <c r="D1294" s="23">
        <f t="shared" si="312"/>
        <v>0</v>
      </c>
      <c r="E1294" s="14"/>
      <c r="F1294" s="12">
        <f t="shared" si="309"/>
        <v>0</v>
      </c>
      <c r="G1294" s="24">
        <f t="shared" si="313"/>
        <v>0</v>
      </c>
      <c r="H1294" s="14"/>
      <c r="I1294" s="14"/>
      <c r="J1294" s="29"/>
      <c r="K1294" s="30"/>
      <c r="M1294" s="17"/>
      <c r="N1294" s="7"/>
      <c r="O1294" s="5"/>
      <c r="P1294" s="3"/>
      <c r="Q1294" s="5"/>
      <c r="R1294" s="7"/>
      <c r="S1294" s="5"/>
      <c r="U1294" s="10"/>
      <c r="V1294" s="11"/>
      <c r="W1294" s="6"/>
      <c r="Y1294" s="10"/>
      <c r="Z1294" s="11"/>
      <c r="AA1294" s="6"/>
      <c r="AB1294" s="1">
        <v>1.2</v>
      </c>
      <c r="AC1294" s="21" t="str">
        <f t="shared" si="314"/>
        <v/>
      </c>
      <c r="AD1294" s="27" t="str">
        <f t="shared" si="307"/>
        <v/>
      </c>
      <c r="AE1294" s="27" t="str">
        <f t="shared" si="317"/>
        <v/>
      </c>
      <c r="AF1294" s="14">
        <f t="shared" si="315"/>
        <v>0</v>
      </c>
      <c r="AG1294" s="12">
        <f t="shared" si="310"/>
        <v>0</v>
      </c>
      <c r="AH1294" s="24">
        <f t="shared" si="316"/>
        <v>0</v>
      </c>
      <c r="AI1294" s="49" t="e">
        <f t="shared" si="318"/>
        <v>#VALUE!</v>
      </c>
      <c r="AK1294" s="50" t="e">
        <f t="shared" si="311"/>
        <v>#VALUE!</v>
      </c>
    </row>
    <row r="1295" spans="1:37" x14ac:dyDescent="0.4">
      <c r="A1295" s="2">
        <v>2448</v>
      </c>
      <c r="B1295" s="16"/>
      <c r="C1295" s="22">
        <f t="shared" si="308"/>
        <v>0</v>
      </c>
      <c r="D1295" s="23">
        <f t="shared" si="312"/>
        <v>0</v>
      </c>
      <c r="E1295" s="14"/>
      <c r="F1295" s="12">
        <f t="shared" si="309"/>
        <v>0</v>
      </c>
      <c r="G1295" s="24">
        <f t="shared" si="313"/>
        <v>0</v>
      </c>
      <c r="H1295" s="14"/>
      <c r="I1295" s="14"/>
      <c r="J1295" s="29"/>
      <c r="K1295" s="30"/>
      <c r="M1295" s="17"/>
      <c r="N1295" s="7"/>
      <c r="O1295" s="5"/>
      <c r="P1295" s="3"/>
      <c r="Q1295" s="5"/>
      <c r="R1295" s="7"/>
      <c r="S1295" s="5"/>
      <c r="U1295" s="10"/>
      <c r="V1295" s="11"/>
      <c r="W1295" s="6"/>
      <c r="Y1295" s="10"/>
      <c r="Z1295" s="11"/>
      <c r="AA1295" s="6"/>
      <c r="AB1295" s="1">
        <v>1.2</v>
      </c>
      <c r="AC1295" s="21" t="str">
        <f t="shared" si="314"/>
        <v/>
      </c>
      <c r="AD1295" s="27" t="str">
        <f t="shared" si="307"/>
        <v/>
      </c>
      <c r="AE1295" s="27" t="str">
        <f t="shared" si="317"/>
        <v/>
      </c>
      <c r="AF1295" s="14">
        <f t="shared" si="315"/>
        <v>0</v>
      </c>
      <c r="AG1295" s="12">
        <f t="shared" si="310"/>
        <v>0</v>
      </c>
      <c r="AH1295" s="24">
        <f t="shared" si="316"/>
        <v>0</v>
      </c>
      <c r="AI1295" s="49" t="e">
        <f t="shared" si="318"/>
        <v>#VALUE!</v>
      </c>
      <c r="AK1295" s="50" t="e">
        <f t="shared" si="311"/>
        <v>#VALUE!</v>
      </c>
    </row>
    <row r="1296" spans="1:37" x14ac:dyDescent="0.4">
      <c r="A1296" s="2">
        <v>2449</v>
      </c>
      <c r="B1296" s="16"/>
      <c r="C1296" s="22">
        <f t="shared" si="308"/>
        <v>0</v>
      </c>
      <c r="D1296" s="23">
        <f t="shared" si="312"/>
        <v>0</v>
      </c>
      <c r="E1296" s="14"/>
      <c r="F1296" s="12">
        <f t="shared" si="309"/>
        <v>0</v>
      </c>
      <c r="G1296" s="24">
        <f t="shared" si="313"/>
        <v>0</v>
      </c>
      <c r="H1296" s="14"/>
      <c r="I1296" s="14"/>
      <c r="J1296" s="29"/>
      <c r="K1296" s="30"/>
      <c r="M1296" s="17"/>
      <c r="N1296" s="7"/>
      <c r="O1296" s="5"/>
      <c r="P1296" s="3"/>
      <c r="Q1296" s="5"/>
      <c r="R1296" s="7"/>
      <c r="S1296" s="5"/>
      <c r="U1296" s="10"/>
      <c r="V1296" s="11"/>
      <c r="W1296" s="6"/>
      <c r="Y1296" s="10"/>
      <c r="Z1296" s="11"/>
      <c r="AA1296" s="6"/>
      <c r="AB1296" s="1">
        <v>1.2</v>
      </c>
      <c r="AC1296" s="21" t="str">
        <f t="shared" si="314"/>
        <v/>
      </c>
      <c r="AD1296" s="27" t="str">
        <f t="shared" si="307"/>
        <v/>
      </c>
      <c r="AE1296" s="27" t="str">
        <f t="shared" si="317"/>
        <v/>
      </c>
      <c r="AF1296" s="14">
        <f t="shared" si="315"/>
        <v>0</v>
      </c>
      <c r="AG1296" s="12">
        <f t="shared" si="310"/>
        <v>0</v>
      </c>
      <c r="AH1296" s="24">
        <f t="shared" si="316"/>
        <v>0</v>
      </c>
      <c r="AI1296" s="49" t="e">
        <f t="shared" si="318"/>
        <v>#VALUE!</v>
      </c>
      <c r="AK1296" s="50" t="e">
        <f t="shared" si="311"/>
        <v>#VALUE!</v>
      </c>
    </row>
    <row r="1297" spans="1:37" x14ac:dyDescent="0.4">
      <c r="A1297" s="2">
        <v>2450</v>
      </c>
      <c r="B1297" s="16"/>
      <c r="C1297" s="22">
        <f t="shared" si="308"/>
        <v>0</v>
      </c>
      <c r="D1297" s="23">
        <f t="shared" si="312"/>
        <v>0</v>
      </c>
      <c r="E1297" s="14"/>
      <c r="F1297" s="12">
        <f t="shared" si="309"/>
        <v>0</v>
      </c>
      <c r="G1297" s="24">
        <f t="shared" si="313"/>
        <v>0</v>
      </c>
      <c r="H1297" s="14"/>
      <c r="I1297" s="14"/>
      <c r="J1297" s="29"/>
      <c r="K1297" s="30"/>
      <c r="M1297" s="17"/>
      <c r="N1297" s="7"/>
      <c r="O1297" s="5"/>
      <c r="P1297" s="3"/>
      <c r="Q1297" s="5"/>
      <c r="R1297" s="7"/>
      <c r="S1297" s="5"/>
      <c r="U1297" s="10"/>
      <c r="V1297" s="11"/>
      <c r="W1297" s="6"/>
      <c r="Y1297" s="10"/>
      <c r="Z1297" s="11"/>
      <c r="AA1297" s="6"/>
      <c r="AB1297" s="1">
        <v>1.2</v>
      </c>
      <c r="AC1297" s="21" t="str">
        <f t="shared" si="314"/>
        <v/>
      </c>
      <c r="AD1297" s="27" t="str">
        <f t="shared" si="307"/>
        <v/>
      </c>
      <c r="AE1297" s="27" t="str">
        <f t="shared" si="317"/>
        <v/>
      </c>
      <c r="AF1297" s="14">
        <f t="shared" si="315"/>
        <v>0</v>
      </c>
      <c r="AG1297" s="12">
        <f t="shared" si="310"/>
        <v>0</v>
      </c>
      <c r="AH1297" s="24">
        <f t="shared" si="316"/>
        <v>0</v>
      </c>
      <c r="AI1297" s="49" t="e">
        <f t="shared" si="318"/>
        <v>#VALUE!</v>
      </c>
      <c r="AK1297" s="50" t="e">
        <f t="shared" si="311"/>
        <v>#VALUE!</v>
      </c>
    </row>
    <row r="1298" spans="1:37" x14ac:dyDescent="0.4">
      <c r="A1298" s="2">
        <v>2451</v>
      </c>
      <c r="B1298" s="16"/>
      <c r="C1298" s="22">
        <f t="shared" si="308"/>
        <v>0</v>
      </c>
      <c r="D1298" s="23">
        <f t="shared" si="312"/>
        <v>0</v>
      </c>
      <c r="E1298" s="14"/>
      <c r="F1298" s="12">
        <f t="shared" si="309"/>
        <v>0</v>
      </c>
      <c r="G1298" s="24">
        <f t="shared" si="313"/>
        <v>0</v>
      </c>
      <c r="H1298" s="14"/>
      <c r="I1298" s="14"/>
      <c r="J1298" s="29"/>
      <c r="K1298" s="30"/>
      <c r="M1298" s="17"/>
      <c r="N1298" s="7"/>
      <c r="O1298" s="5"/>
      <c r="P1298" s="3"/>
      <c r="Q1298" s="5"/>
      <c r="R1298" s="7"/>
      <c r="S1298" s="5"/>
      <c r="U1298" s="10"/>
      <c r="V1298" s="11"/>
      <c r="W1298" s="6"/>
      <c r="Y1298" s="10"/>
      <c r="Z1298" s="11"/>
      <c r="AA1298" s="6"/>
      <c r="AB1298" s="1">
        <v>1.2</v>
      </c>
      <c r="AC1298" s="21" t="str">
        <f t="shared" si="314"/>
        <v/>
      </c>
      <c r="AD1298" s="27" t="str">
        <f t="shared" si="307"/>
        <v/>
      </c>
      <c r="AE1298" s="27" t="str">
        <f t="shared" si="317"/>
        <v/>
      </c>
      <c r="AF1298" s="14">
        <f t="shared" si="315"/>
        <v>0</v>
      </c>
      <c r="AG1298" s="12">
        <f t="shared" si="310"/>
        <v>0</v>
      </c>
      <c r="AH1298" s="24">
        <f t="shared" si="316"/>
        <v>0</v>
      </c>
      <c r="AI1298" s="49" t="e">
        <f t="shared" si="318"/>
        <v>#VALUE!</v>
      </c>
      <c r="AK1298" s="50" t="e">
        <f t="shared" si="311"/>
        <v>#VALUE!</v>
      </c>
    </row>
    <row r="1299" spans="1:37" x14ac:dyDescent="0.4">
      <c r="A1299" s="2">
        <v>2452</v>
      </c>
      <c r="B1299" s="16"/>
      <c r="C1299" s="22">
        <f t="shared" si="308"/>
        <v>0</v>
      </c>
      <c r="D1299" s="23">
        <f t="shared" si="312"/>
        <v>0</v>
      </c>
      <c r="E1299" s="14"/>
      <c r="F1299" s="12">
        <f t="shared" si="309"/>
        <v>0</v>
      </c>
      <c r="G1299" s="24">
        <f t="shared" si="313"/>
        <v>0</v>
      </c>
      <c r="H1299" s="14"/>
      <c r="I1299" s="14"/>
      <c r="J1299" s="29"/>
      <c r="K1299" s="30"/>
      <c r="M1299" s="17"/>
      <c r="N1299" s="7"/>
      <c r="O1299" s="5"/>
      <c r="P1299" s="3"/>
      <c r="Q1299" s="5"/>
      <c r="R1299" s="7"/>
      <c r="S1299" s="5"/>
      <c r="U1299" s="10"/>
      <c r="V1299" s="11"/>
      <c r="W1299" s="6"/>
      <c r="Y1299" s="10"/>
      <c r="Z1299" s="11"/>
      <c r="AA1299" s="6"/>
      <c r="AB1299" s="1">
        <v>1.2</v>
      </c>
      <c r="AC1299" s="21" t="str">
        <f t="shared" si="314"/>
        <v/>
      </c>
      <c r="AD1299" s="27" t="str">
        <f t="shared" si="307"/>
        <v/>
      </c>
      <c r="AE1299" s="27" t="str">
        <f t="shared" si="317"/>
        <v/>
      </c>
      <c r="AF1299" s="14">
        <f t="shared" si="315"/>
        <v>0</v>
      </c>
      <c r="AG1299" s="12">
        <f t="shared" si="310"/>
        <v>0</v>
      </c>
      <c r="AH1299" s="24">
        <f t="shared" si="316"/>
        <v>0</v>
      </c>
      <c r="AI1299" s="49" t="e">
        <f t="shared" si="318"/>
        <v>#VALUE!</v>
      </c>
      <c r="AK1299" s="50" t="e">
        <f t="shared" si="311"/>
        <v>#VALUE!</v>
      </c>
    </row>
    <row r="1300" spans="1:37" x14ac:dyDescent="0.4">
      <c r="A1300" s="2">
        <v>2453</v>
      </c>
      <c r="B1300" s="16"/>
      <c r="C1300" s="22">
        <f t="shared" si="308"/>
        <v>0</v>
      </c>
      <c r="D1300" s="23">
        <f t="shared" si="312"/>
        <v>0</v>
      </c>
      <c r="E1300" s="14"/>
      <c r="F1300" s="12">
        <f t="shared" si="309"/>
        <v>0</v>
      </c>
      <c r="G1300" s="24">
        <f t="shared" si="313"/>
        <v>0</v>
      </c>
      <c r="H1300" s="14"/>
      <c r="I1300" s="14"/>
      <c r="J1300" s="29"/>
      <c r="K1300" s="30"/>
      <c r="M1300" s="17"/>
      <c r="N1300" s="7"/>
      <c r="O1300" s="5"/>
      <c r="P1300" s="3"/>
      <c r="Q1300" s="5"/>
      <c r="R1300" s="7"/>
      <c r="S1300" s="5"/>
      <c r="U1300" s="10"/>
      <c r="V1300" s="11"/>
      <c r="W1300" s="6"/>
      <c r="Y1300" s="10"/>
      <c r="Z1300" s="11"/>
      <c r="AA1300" s="6"/>
      <c r="AB1300" s="1">
        <v>1.2</v>
      </c>
      <c r="AC1300" s="21" t="str">
        <f t="shared" si="314"/>
        <v/>
      </c>
      <c r="AD1300" s="27" t="str">
        <f t="shared" si="307"/>
        <v/>
      </c>
      <c r="AE1300" s="27" t="str">
        <f t="shared" si="317"/>
        <v/>
      </c>
      <c r="AF1300" s="14">
        <f t="shared" si="315"/>
        <v>0</v>
      </c>
      <c r="AG1300" s="12">
        <f t="shared" si="310"/>
        <v>0</v>
      </c>
      <c r="AH1300" s="24">
        <f t="shared" si="316"/>
        <v>0</v>
      </c>
      <c r="AI1300" s="49" t="e">
        <f t="shared" si="318"/>
        <v>#VALUE!</v>
      </c>
      <c r="AK1300" s="50" t="e">
        <f t="shared" si="311"/>
        <v>#VALUE!</v>
      </c>
    </row>
    <row r="1301" spans="1:37" x14ac:dyDescent="0.4">
      <c r="A1301" s="2">
        <v>2454</v>
      </c>
      <c r="B1301" s="16"/>
      <c r="C1301" s="22">
        <f t="shared" si="308"/>
        <v>0</v>
      </c>
      <c r="D1301" s="23">
        <f t="shared" si="312"/>
        <v>0</v>
      </c>
      <c r="E1301" s="14"/>
      <c r="F1301" s="12">
        <f t="shared" si="309"/>
        <v>0</v>
      </c>
      <c r="G1301" s="24">
        <f t="shared" si="313"/>
        <v>0</v>
      </c>
      <c r="H1301" s="14"/>
      <c r="I1301" s="14"/>
      <c r="J1301" s="29"/>
      <c r="K1301" s="30"/>
      <c r="M1301" s="17"/>
      <c r="N1301" s="7"/>
      <c r="O1301" s="5"/>
      <c r="P1301" s="3"/>
      <c r="Q1301" s="5"/>
      <c r="R1301" s="7"/>
      <c r="S1301" s="5"/>
      <c r="U1301" s="10"/>
      <c r="V1301" s="11"/>
      <c r="W1301" s="6"/>
      <c r="Y1301" s="10"/>
      <c r="Z1301" s="11"/>
      <c r="AA1301" s="6"/>
      <c r="AB1301" s="1">
        <v>1.2</v>
      </c>
      <c r="AC1301" s="21" t="str">
        <f t="shared" si="314"/>
        <v/>
      </c>
      <c r="AD1301" s="27" t="str">
        <f t="shared" si="307"/>
        <v/>
      </c>
      <c r="AE1301" s="27" t="str">
        <f t="shared" si="317"/>
        <v/>
      </c>
      <c r="AF1301" s="14">
        <f t="shared" si="315"/>
        <v>0</v>
      </c>
      <c r="AG1301" s="12">
        <f t="shared" si="310"/>
        <v>0</v>
      </c>
      <c r="AH1301" s="24">
        <f t="shared" si="316"/>
        <v>0</v>
      </c>
      <c r="AI1301" s="49" t="e">
        <f t="shared" si="318"/>
        <v>#VALUE!</v>
      </c>
      <c r="AK1301" s="50" t="e">
        <f t="shared" si="311"/>
        <v>#VALUE!</v>
      </c>
    </row>
    <row r="1302" spans="1:37" x14ac:dyDescent="0.4">
      <c r="A1302" s="2">
        <v>2455</v>
      </c>
      <c r="B1302" s="16"/>
      <c r="C1302" s="22">
        <f t="shared" si="308"/>
        <v>0</v>
      </c>
      <c r="D1302" s="23">
        <f t="shared" si="312"/>
        <v>0</v>
      </c>
      <c r="E1302" s="14"/>
      <c r="F1302" s="12">
        <f t="shared" si="309"/>
        <v>0</v>
      </c>
      <c r="G1302" s="24">
        <f t="shared" si="313"/>
        <v>0</v>
      </c>
      <c r="H1302" s="14"/>
      <c r="I1302" s="14"/>
      <c r="J1302" s="29"/>
      <c r="K1302" s="30"/>
      <c r="M1302" s="17"/>
      <c r="N1302" s="7"/>
      <c r="O1302" s="5"/>
      <c r="P1302" s="3"/>
      <c r="Q1302" s="5"/>
      <c r="R1302" s="7"/>
      <c r="S1302" s="5"/>
      <c r="U1302" s="10"/>
      <c r="V1302" s="11"/>
      <c r="W1302" s="6"/>
      <c r="Y1302" s="10"/>
      <c r="Z1302" s="11"/>
      <c r="AA1302" s="6"/>
      <c r="AB1302" s="1">
        <v>1.2</v>
      </c>
      <c r="AC1302" s="21" t="str">
        <f t="shared" si="314"/>
        <v/>
      </c>
      <c r="AD1302" s="27" t="str">
        <f t="shared" ref="AD1302:AD1337" si="319">IF(H1302="","",TEXT(H1302-B1302,"[hh]:mm"))</f>
        <v/>
      </c>
      <c r="AE1302" s="27" t="str">
        <f t="shared" si="317"/>
        <v/>
      </c>
      <c r="AF1302" s="14">
        <f t="shared" si="315"/>
        <v>0</v>
      </c>
      <c r="AG1302" s="12">
        <f t="shared" si="310"/>
        <v>0</v>
      </c>
      <c r="AH1302" s="24">
        <f t="shared" si="316"/>
        <v>0</v>
      </c>
      <c r="AI1302" s="49" t="e">
        <f t="shared" si="318"/>
        <v>#VALUE!</v>
      </c>
      <c r="AK1302" s="50" t="e">
        <f t="shared" si="311"/>
        <v>#VALUE!</v>
      </c>
    </row>
    <row r="1303" spans="1:37" x14ac:dyDescent="0.4">
      <c r="A1303" s="2">
        <v>2456</v>
      </c>
      <c r="B1303" s="16"/>
      <c r="C1303" s="22">
        <f t="shared" ref="C1303:C1337" si="320">INT(B1303)</f>
        <v>0</v>
      </c>
      <c r="D1303" s="23">
        <f t="shared" si="312"/>
        <v>0</v>
      </c>
      <c r="E1303" s="14"/>
      <c r="F1303" s="12">
        <f t="shared" ref="F1303:F1337" si="321">INT(E1303)</f>
        <v>0</v>
      </c>
      <c r="G1303" s="24">
        <f t="shared" si="313"/>
        <v>0</v>
      </c>
      <c r="H1303" s="14"/>
      <c r="I1303" s="14"/>
      <c r="J1303" s="29"/>
      <c r="K1303" s="30"/>
      <c r="M1303" s="17"/>
      <c r="N1303" s="7"/>
      <c r="O1303" s="5"/>
      <c r="P1303" s="3"/>
      <c r="Q1303" s="5"/>
      <c r="R1303" s="7"/>
      <c r="S1303" s="5"/>
      <c r="U1303" s="10"/>
      <c r="V1303" s="11"/>
      <c r="W1303" s="6"/>
      <c r="Y1303" s="10"/>
      <c r="Z1303" s="11"/>
      <c r="AA1303" s="6"/>
      <c r="AB1303" s="1">
        <v>1.2</v>
      </c>
      <c r="AC1303" s="21" t="str">
        <f t="shared" si="314"/>
        <v/>
      </c>
      <c r="AD1303" s="27" t="str">
        <f t="shared" si="319"/>
        <v/>
      </c>
      <c r="AE1303" s="27" t="str">
        <f t="shared" si="317"/>
        <v/>
      </c>
      <c r="AF1303" s="14">
        <f t="shared" si="315"/>
        <v>0</v>
      </c>
      <c r="AG1303" s="12">
        <f t="shared" ref="AG1303:AG1337" si="322">INT(AF1303)</f>
        <v>0</v>
      </c>
      <c r="AH1303" s="24">
        <f t="shared" si="316"/>
        <v>0</v>
      </c>
      <c r="AI1303" s="49" t="e">
        <f t="shared" si="318"/>
        <v>#VALUE!</v>
      </c>
      <c r="AK1303" s="50" t="e">
        <f t="shared" ref="AK1303:AK1337" si="323">IF(VALUE(AI1303)&lt;=VALUE($AK$3),"BOM","RUIM")</f>
        <v>#VALUE!</v>
      </c>
    </row>
    <row r="1304" spans="1:37" x14ac:dyDescent="0.4">
      <c r="A1304" s="2">
        <v>2457</v>
      </c>
      <c r="B1304" s="16"/>
      <c r="C1304" s="22">
        <f t="shared" si="320"/>
        <v>0</v>
      </c>
      <c r="D1304" s="23">
        <f t="shared" si="312"/>
        <v>0</v>
      </c>
      <c r="E1304" s="14"/>
      <c r="F1304" s="12">
        <f t="shared" si="321"/>
        <v>0</v>
      </c>
      <c r="G1304" s="24">
        <f t="shared" si="313"/>
        <v>0</v>
      </c>
      <c r="H1304" s="14"/>
      <c r="I1304" s="14"/>
      <c r="J1304" s="29"/>
      <c r="K1304" s="30"/>
      <c r="M1304" s="17"/>
      <c r="N1304" s="7"/>
      <c r="O1304" s="5"/>
      <c r="P1304" s="3"/>
      <c r="Q1304" s="5"/>
      <c r="R1304" s="7"/>
      <c r="S1304" s="5"/>
      <c r="U1304" s="10"/>
      <c r="V1304" s="11"/>
      <c r="W1304" s="6"/>
      <c r="Y1304" s="10"/>
      <c r="Z1304" s="11"/>
      <c r="AA1304" s="6"/>
      <c r="AB1304" s="1">
        <v>1.2</v>
      </c>
      <c r="AC1304" s="21" t="str">
        <f t="shared" si="314"/>
        <v/>
      </c>
      <c r="AD1304" s="27" t="str">
        <f t="shared" si="319"/>
        <v/>
      </c>
      <c r="AE1304" s="27" t="str">
        <f t="shared" si="317"/>
        <v/>
      </c>
      <c r="AF1304" s="14">
        <f t="shared" si="315"/>
        <v>0</v>
      </c>
      <c r="AG1304" s="12">
        <f t="shared" si="322"/>
        <v>0</v>
      </c>
      <c r="AH1304" s="24">
        <f t="shared" si="316"/>
        <v>0</v>
      </c>
      <c r="AI1304" s="49" t="e">
        <f t="shared" si="318"/>
        <v>#VALUE!</v>
      </c>
      <c r="AK1304" s="50" t="e">
        <f t="shared" si="323"/>
        <v>#VALUE!</v>
      </c>
    </row>
    <row r="1305" spans="1:37" x14ac:dyDescent="0.4">
      <c r="A1305" s="2">
        <v>2458</v>
      </c>
      <c r="B1305" s="16"/>
      <c r="C1305" s="22">
        <f t="shared" si="320"/>
        <v>0</v>
      </c>
      <c r="D1305" s="23">
        <f t="shared" si="312"/>
        <v>0</v>
      </c>
      <c r="E1305" s="14"/>
      <c r="F1305" s="12">
        <f t="shared" si="321"/>
        <v>0</v>
      </c>
      <c r="G1305" s="24">
        <f t="shared" si="313"/>
        <v>0</v>
      </c>
      <c r="H1305" s="14"/>
      <c r="I1305" s="14"/>
      <c r="J1305" s="29"/>
      <c r="K1305" s="30"/>
      <c r="M1305" s="17"/>
      <c r="N1305" s="7"/>
      <c r="O1305" s="5"/>
      <c r="P1305" s="3"/>
      <c r="Q1305" s="5"/>
      <c r="R1305" s="7"/>
      <c r="S1305" s="5"/>
      <c r="U1305" s="10"/>
      <c r="V1305" s="11"/>
      <c r="W1305" s="6"/>
      <c r="Y1305" s="10"/>
      <c r="Z1305" s="11"/>
      <c r="AA1305" s="6"/>
      <c r="AB1305" s="1">
        <v>1.2</v>
      </c>
      <c r="AC1305" s="21" t="str">
        <f t="shared" si="314"/>
        <v/>
      </c>
      <c r="AD1305" s="27" t="str">
        <f t="shared" si="319"/>
        <v/>
      </c>
      <c r="AE1305" s="27" t="str">
        <f t="shared" si="317"/>
        <v/>
      </c>
      <c r="AF1305" s="14">
        <f t="shared" si="315"/>
        <v>0</v>
      </c>
      <c r="AG1305" s="12">
        <f t="shared" si="322"/>
        <v>0</v>
      </c>
      <c r="AH1305" s="24">
        <f t="shared" si="316"/>
        <v>0</v>
      </c>
      <c r="AI1305" s="49" t="e">
        <f t="shared" si="318"/>
        <v>#VALUE!</v>
      </c>
      <c r="AK1305" s="50" t="e">
        <f t="shared" si="323"/>
        <v>#VALUE!</v>
      </c>
    </row>
    <row r="1306" spans="1:37" x14ac:dyDescent="0.4">
      <c r="A1306" s="2">
        <v>2459</v>
      </c>
      <c r="B1306" s="16"/>
      <c r="C1306" s="22">
        <f t="shared" si="320"/>
        <v>0</v>
      </c>
      <c r="D1306" s="23">
        <f t="shared" si="312"/>
        <v>0</v>
      </c>
      <c r="E1306" s="14"/>
      <c r="F1306" s="12">
        <f t="shared" si="321"/>
        <v>0</v>
      </c>
      <c r="G1306" s="24">
        <f t="shared" si="313"/>
        <v>0</v>
      </c>
      <c r="H1306" s="14"/>
      <c r="I1306" s="14"/>
      <c r="J1306" s="29"/>
      <c r="K1306" s="30"/>
      <c r="M1306" s="17"/>
      <c r="N1306" s="7"/>
      <c r="O1306" s="5"/>
      <c r="P1306" s="3"/>
      <c r="Q1306" s="5"/>
      <c r="R1306" s="7"/>
      <c r="S1306" s="5"/>
      <c r="U1306" s="10"/>
      <c r="V1306" s="11"/>
      <c r="W1306" s="6"/>
      <c r="Y1306" s="10"/>
      <c r="Z1306" s="11"/>
      <c r="AA1306" s="6"/>
      <c r="AB1306" s="1">
        <v>1.2</v>
      </c>
      <c r="AC1306" s="21" t="str">
        <f t="shared" si="314"/>
        <v/>
      </c>
      <c r="AD1306" s="27" t="str">
        <f t="shared" si="319"/>
        <v/>
      </c>
      <c r="AE1306" s="27" t="str">
        <f t="shared" si="317"/>
        <v/>
      </c>
      <c r="AF1306" s="14">
        <f t="shared" si="315"/>
        <v>0</v>
      </c>
      <c r="AG1306" s="12">
        <f t="shared" si="322"/>
        <v>0</v>
      </c>
      <c r="AH1306" s="24">
        <f t="shared" si="316"/>
        <v>0</v>
      </c>
      <c r="AI1306" s="49" t="e">
        <f t="shared" si="318"/>
        <v>#VALUE!</v>
      </c>
      <c r="AK1306" s="50" t="e">
        <f t="shared" si="323"/>
        <v>#VALUE!</v>
      </c>
    </row>
    <row r="1307" spans="1:37" x14ac:dyDescent="0.4">
      <c r="A1307" s="2">
        <v>2460</v>
      </c>
      <c r="B1307" s="16"/>
      <c r="C1307" s="22">
        <f t="shared" si="320"/>
        <v>0</v>
      </c>
      <c r="D1307" s="23">
        <f t="shared" si="312"/>
        <v>0</v>
      </c>
      <c r="E1307" s="14"/>
      <c r="F1307" s="12">
        <f t="shared" si="321"/>
        <v>0</v>
      </c>
      <c r="G1307" s="24">
        <f t="shared" si="313"/>
        <v>0</v>
      </c>
      <c r="H1307" s="14"/>
      <c r="I1307" s="14"/>
      <c r="J1307" s="29"/>
      <c r="K1307" s="30"/>
      <c r="M1307" s="17"/>
      <c r="N1307" s="7"/>
      <c r="O1307" s="5"/>
      <c r="P1307" s="3"/>
      <c r="Q1307" s="5"/>
      <c r="R1307" s="7"/>
      <c r="S1307" s="5"/>
      <c r="U1307" s="10"/>
      <c r="V1307" s="11"/>
      <c r="W1307" s="6"/>
      <c r="Y1307" s="10"/>
      <c r="Z1307" s="11"/>
      <c r="AA1307" s="6"/>
      <c r="AB1307" s="1">
        <v>1.2</v>
      </c>
      <c r="AC1307" s="21" t="str">
        <f t="shared" si="314"/>
        <v/>
      </c>
      <c r="AD1307" s="27" t="str">
        <f t="shared" si="319"/>
        <v/>
      </c>
      <c r="AE1307" s="27" t="str">
        <f t="shared" si="317"/>
        <v/>
      </c>
      <c r="AF1307" s="14">
        <f t="shared" si="315"/>
        <v>0</v>
      </c>
      <c r="AG1307" s="12">
        <f t="shared" si="322"/>
        <v>0</v>
      </c>
      <c r="AH1307" s="24">
        <f t="shared" si="316"/>
        <v>0</v>
      </c>
      <c r="AI1307" s="49" t="e">
        <f t="shared" si="318"/>
        <v>#VALUE!</v>
      </c>
      <c r="AK1307" s="50" t="e">
        <f t="shared" si="323"/>
        <v>#VALUE!</v>
      </c>
    </row>
    <row r="1308" spans="1:37" x14ac:dyDescent="0.4">
      <c r="A1308" s="2">
        <v>2461</v>
      </c>
      <c r="B1308" s="16"/>
      <c r="C1308" s="22">
        <f t="shared" si="320"/>
        <v>0</v>
      </c>
      <c r="D1308" s="23">
        <f t="shared" si="312"/>
        <v>0</v>
      </c>
      <c r="E1308" s="14"/>
      <c r="F1308" s="12">
        <f t="shared" si="321"/>
        <v>0</v>
      </c>
      <c r="G1308" s="24">
        <f t="shared" si="313"/>
        <v>0</v>
      </c>
      <c r="H1308" s="14"/>
      <c r="I1308" s="14"/>
      <c r="J1308" s="29"/>
      <c r="K1308" s="30"/>
      <c r="M1308" s="17"/>
      <c r="N1308" s="7"/>
      <c r="O1308" s="5"/>
      <c r="P1308" s="3"/>
      <c r="Q1308" s="5"/>
      <c r="R1308" s="7"/>
      <c r="S1308" s="5"/>
      <c r="U1308" s="10"/>
      <c r="V1308" s="11"/>
      <c r="W1308" s="6"/>
      <c r="Y1308" s="10"/>
      <c r="Z1308" s="11"/>
      <c r="AA1308" s="6"/>
      <c r="AB1308" s="1">
        <v>1.2</v>
      </c>
      <c r="AC1308" s="21" t="str">
        <f t="shared" si="314"/>
        <v/>
      </c>
      <c r="AD1308" s="27" t="str">
        <f t="shared" si="319"/>
        <v/>
      </c>
      <c r="AE1308" s="27" t="str">
        <f t="shared" si="317"/>
        <v/>
      </c>
      <c r="AF1308" s="14">
        <f t="shared" si="315"/>
        <v>0</v>
      </c>
      <c r="AG1308" s="12">
        <f t="shared" si="322"/>
        <v>0</v>
      </c>
      <c r="AH1308" s="24">
        <f t="shared" si="316"/>
        <v>0</v>
      </c>
      <c r="AI1308" s="49" t="e">
        <f t="shared" si="318"/>
        <v>#VALUE!</v>
      </c>
      <c r="AK1308" s="50" t="e">
        <f t="shared" si="323"/>
        <v>#VALUE!</v>
      </c>
    </row>
    <row r="1309" spans="1:37" x14ac:dyDescent="0.4">
      <c r="A1309" s="2">
        <v>2462</v>
      </c>
      <c r="B1309" s="16"/>
      <c r="C1309" s="22">
        <f t="shared" si="320"/>
        <v>0</v>
      </c>
      <c r="D1309" s="23">
        <f t="shared" si="312"/>
        <v>0</v>
      </c>
      <c r="E1309" s="14"/>
      <c r="F1309" s="12">
        <f t="shared" si="321"/>
        <v>0</v>
      </c>
      <c r="G1309" s="24">
        <f t="shared" si="313"/>
        <v>0</v>
      </c>
      <c r="H1309" s="14"/>
      <c r="I1309" s="14"/>
      <c r="J1309" s="29"/>
      <c r="K1309" s="30"/>
      <c r="M1309" s="17"/>
      <c r="N1309" s="7"/>
      <c r="O1309" s="5"/>
      <c r="P1309" s="3"/>
      <c r="Q1309" s="5"/>
      <c r="R1309" s="7"/>
      <c r="S1309" s="5"/>
      <c r="U1309" s="10"/>
      <c r="V1309" s="11"/>
      <c r="W1309" s="6"/>
      <c r="Y1309" s="10"/>
      <c r="Z1309" s="11"/>
      <c r="AA1309" s="6"/>
      <c r="AB1309" s="1">
        <v>1.2</v>
      </c>
      <c r="AC1309" s="21" t="str">
        <f t="shared" si="314"/>
        <v/>
      </c>
      <c r="AD1309" s="27" t="str">
        <f t="shared" si="319"/>
        <v/>
      </c>
      <c r="AE1309" s="27" t="str">
        <f t="shared" si="317"/>
        <v/>
      </c>
      <c r="AF1309" s="14">
        <f t="shared" si="315"/>
        <v>0</v>
      </c>
      <c r="AG1309" s="12">
        <f t="shared" si="322"/>
        <v>0</v>
      </c>
      <c r="AH1309" s="24">
        <f t="shared" si="316"/>
        <v>0</v>
      </c>
      <c r="AI1309" s="49" t="e">
        <f t="shared" si="318"/>
        <v>#VALUE!</v>
      </c>
      <c r="AK1309" s="50" t="e">
        <f t="shared" si="323"/>
        <v>#VALUE!</v>
      </c>
    </row>
    <row r="1310" spans="1:37" x14ac:dyDescent="0.4">
      <c r="A1310" s="2">
        <v>2463</v>
      </c>
      <c r="B1310" s="16"/>
      <c r="C1310" s="22">
        <f t="shared" si="320"/>
        <v>0</v>
      </c>
      <c r="D1310" s="23">
        <f t="shared" si="312"/>
        <v>0</v>
      </c>
      <c r="E1310" s="14"/>
      <c r="F1310" s="12">
        <f t="shared" si="321"/>
        <v>0</v>
      </c>
      <c r="G1310" s="24">
        <f t="shared" si="313"/>
        <v>0</v>
      </c>
      <c r="H1310" s="14"/>
      <c r="I1310" s="14"/>
      <c r="J1310" s="29"/>
      <c r="K1310" s="30"/>
      <c r="M1310" s="17"/>
      <c r="N1310" s="7"/>
      <c r="O1310" s="5"/>
      <c r="P1310" s="3"/>
      <c r="Q1310" s="5"/>
      <c r="R1310" s="7"/>
      <c r="S1310" s="5"/>
      <c r="U1310" s="10"/>
      <c r="V1310" s="11"/>
      <c r="W1310" s="6"/>
      <c r="Y1310" s="10"/>
      <c r="Z1310" s="11"/>
      <c r="AA1310" s="6"/>
      <c r="AB1310" s="1">
        <v>1.2</v>
      </c>
      <c r="AC1310" s="21" t="str">
        <f t="shared" si="314"/>
        <v/>
      </c>
      <c r="AD1310" s="27" t="str">
        <f t="shared" si="319"/>
        <v/>
      </c>
      <c r="AE1310" s="27" t="str">
        <f t="shared" si="317"/>
        <v/>
      </c>
      <c r="AF1310" s="14">
        <f t="shared" si="315"/>
        <v>0</v>
      </c>
      <c r="AG1310" s="12">
        <f t="shared" si="322"/>
        <v>0</v>
      </c>
      <c r="AH1310" s="24">
        <f t="shared" si="316"/>
        <v>0</v>
      </c>
      <c r="AI1310" s="49" t="e">
        <f t="shared" si="318"/>
        <v>#VALUE!</v>
      </c>
      <c r="AK1310" s="50" t="e">
        <f t="shared" si="323"/>
        <v>#VALUE!</v>
      </c>
    </row>
    <row r="1311" spans="1:37" x14ac:dyDescent="0.4">
      <c r="A1311" s="2">
        <v>2464</v>
      </c>
      <c r="B1311" s="16"/>
      <c r="C1311" s="22">
        <f t="shared" si="320"/>
        <v>0</v>
      </c>
      <c r="D1311" s="23">
        <f t="shared" si="312"/>
        <v>0</v>
      </c>
      <c r="E1311" s="14"/>
      <c r="F1311" s="12">
        <f t="shared" si="321"/>
        <v>0</v>
      </c>
      <c r="G1311" s="24">
        <f t="shared" si="313"/>
        <v>0</v>
      </c>
      <c r="H1311" s="14"/>
      <c r="I1311" s="14"/>
      <c r="J1311" s="29"/>
      <c r="K1311" s="30"/>
      <c r="M1311" s="17"/>
      <c r="N1311" s="7"/>
      <c r="O1311" s="5"/>
      <c r="P1311" s="3"/>
      <c r="Q1311" s="5"/>
      <c r="R1311" s="7"/>
      <c r="S1311" s="5"/>
      <c r="U1311" s="10"/>
      <c r="V1311" s="11"/>
      <c r="W1311" s="6"/>
      <c r="Y1311" s="10"/>
      <c r="Z1311" s="11"/>
      <c r="AA1311" s="6"/>
      <c r="AB1311" s="1">
        <v>1.2</v>
      </c>
      <c r="AC1311" s="21" t="str">
        <f t="shared" si="314"/>
        <v/>
      </c>
      <c r="AD1311" s="27" t="str">
        <f t="shared" si="319"/>
        <v/>
      </c>
      <c r="AE1311" s="27" t="str">
        <f t="shared" si="317"/>
        <v/>
      </c>
      <c r="AF1311" s="14">
        <f t="shared" si="315"/>
        <v>0</v>
      </c>
      <c r="AG1311" s="12">
        <f t="shared" si="322"/>
        <v>0</v>
      </c>
      <c r="AH1311" s="24">
        <f t="shared" si="316"/>
        <v>0</v>
      </c>
      <c r="AI1311" s="49" t="e">
        <f t="shared" si="318"/>
        <v>#VALUE!</v>
      </c>
      <c r="AK1311" s="50" t="e">
        <f t="shared" si="323"/>
        <v>#VALUE!</v>
      </c>
    </row>
    <row r="1312" spans="1:37" x14ac:dyDescent="0.4">
      <c r="A1312" s="2">
        <v>2465</v>
      </c>
      <c r="B1312" s="16"/>
      <c r="C1312" s="22">
        <f t="shared" si="320"/>
        <v>0</v>
      </c>
      <c r="D1312" s="23">
        <f t="shared" si="312"/>
        <v>0</v>
      </c>
      <c r="E1312" s="14"/>
      <c r="F1312" s="12">
        <f t="shared" si="321"/>
        <v>0</v>
      </c>
      <c r="G1312" s="24">
        <f t="shared" si="313"/>
        <v>0</v>
      </c>
      <c r="H1312" s="14"/>
      <c r="I1312" s="14"/>
      <c r="J1312" s="29"/>
      <c r="K1312" s="30"/>
      <c r="M1312" s="17"/>
      <c r="N1312" s="7"/>
      <c r="O1312" s="5"/>
      <c r="P1312" s="3"/>
      <c r="Q1312" s="5"/>
      <c r="R1312" s="7"/>
      <c r="S1312" s="5"/>
      <c r="U1312" s="10"/>
      <c r="V1312" s="11"/>
      <c r="W1312" s="6"/>
      <c r="Y1312" s="10"/>
      <c r="Z1312" s="11"/>
      <c r="AA1312" s="6"/>
      <c r="AB1312" s="1">
        <v>1.2</v>
      </c>
      <c r="AC1312" s="21" t="str">
        <f t="shared" si="314"/>
        <v/>
      </c>
      <c r="AD1312" s="27" t="str">
        <f t="shared" si="319"/>
        <v/>
      </c>
      <c r="AE1312" s="27" t="str">
        <f t="shared" si="317"/>
        <v/>
      </c>
      <c r="AF1312" s="14">
        <f t="shared" si="315"/>
        <v>0</v>
      </c>
      <c r="AG1312" s="12">
        <f t="shared" si="322"/>
        <v>0</v>
      </c>
      <c r="AH1312" s="24">
        <f t="shared" si="316"/>
        <v>0</v>
      </c>
      <c r="AI1312" s="49" t="e">
        <f t="shared" si="318"/>
        <v>#VALUE!</v>
      </c>
      <c r="AK1312" s="50" t="e">
        <f t="shared" si="323"/>
        <v>#VALUE!</v>
      </c>
    </row>
    <row r="1313" spans="1:37" x14ac:dyDescent="0.4">
      <c r="A1313" s="2">
        <v>2466</v>
      </c>
      <c r="B1313" s="16"/>
      <c r="C1313" s="22">
        <f t="shared" si="320"/>
        <v>0</v>
      </c>
      <c r="D1313" s="23">
        <f t="shared" si="312"/>
        <v>0</v>
      </c>
      <c r="E1313" s="14"/>
      <c r="F1313" s="12">
        <f t="shared" si="321"/>
        <v>0</v>
      </c>
      <c r="G1313" s="24">
        <f t="shared" si="313"/>
        <v>0</v>
      </c>
      <c r="H1313" s="14"/>
      <c r="I1313" s="14"/>
      <c r="J1313" s="29"/>
      <c r="K1313" s="30"/>
      <c r="M1313" s="17"/>
      <c r="N1313" s="7"/>
      <c r="O1313" s="5"/>
      <c r="P1313" s="3"/>
      <c r="Q1313" s="5"/>
      <c r="R1313" s="7"/>
      <c r="S1313" s="5"/>
      <c r="U1313" s="10"/>
      <c r="V1313" s="11"/>
      <c r="W1313" s="6"/>
      <c r="Y1313" s="10"/>
      <c r="Z1313" s="11"/>
      <c r="AA1313" s="6"/>
      <c r="AB1313" s="1">
        <v>1.2</v>
      </c>
      <c r="AC1313" s="21" t="str">
        <f t="shared" si="314"/>
        <v/>
      </c>
      <c r="AD1313" s="27" t="str">
        <f t="shared" si="319"/>
        <v/>
      </c>
      <c r="AE1313" s="27" t="str">
        <f t="shared" si="317"/>
        <v/>
      </c>
      <c r="AF1313" s="14">
        <f t="shared" si="315"/>
        <v>0</v>
      </c>
      <c r="AG1313" s="12">
        <f t="shared" si="322"/>
        <v>0</v>
      </c>
      <c r="AH1313" s="24">
        <f t="shared" si="316"/>
        <v>0</v>
      </c>
      <c r="AI1313" s="49" t="e">
        <f t="shared" si="318"/>
        <v>#VALUE!</v>
      </c>
      <c r="AK1313" s="50" t="e">
        <f t="shared" si="323"/>
        <v>#VALUE!</v>
      </c>
    </row>
    <row r="1314" spans="1:37" x14ac:dyDescent="0.4">
      <c r="A1314" s="2">
        <v>2467</v>
      </c>
      <c r="B1314" s="16"/>
      <c r="C1314" s="22">
        <f t="shared" si="320"/>
        <v>0</v>
      </c>
      <c r="D1314" s="23">
        <f t="shared" si="312"/>
        <v>0</v>
      </c>
      <c r="E1314" s="14"/>
      <c r="F1314" s="12">
        <f t="shared" si="321"/>
        <v>0</v>
      </c>
      <c r="G1314" s="24">
        <f t="shared" si="313"/>
        <v>0</v>
      </c>
      <c r="H1314" s="14"/>
      <c r="I1314" s="14"/>
      <c r="J1314" s="29"/>
      <c r="K1314" s="30"/>
      <c r="M1314" s="17"/>
      <c r="N1314" s="7"/>
      <c r="O1314" s="5"/>
      <c r="P1314" s="3"/>
      <c r="Q1314" s="5"/>
      <c r="R1314" s="7"/>
      <c r="S1314" s="5"/>
      <c r="U1314" s="10"/>
      <c r="V1314" s="11"/>
      <c r="W1314" s="6"/>
      <c r="Y1314" s="10"/>
      <c r="Z1314" s="11"/>
      <c r="AA1314" s="6"/>
      <c r="AB1314" s="1">
        <v>1.2</v>
      </c>
      <c r="AC1314" s="21" t="str">
        <f t="shared" si="314"/>
        <v/>
      </c>
      <c r="AD1314" s="27" t="str">
        <f t="shared" si="319"/>
        <v/>
      </c>
      <c r="AE1314" s="27" t="str">
        <f t="shared" si="317"/>
        <v/>
      </c>
      <c r="AF1314" s="14">
        <f t="shared" si="315"/>
        <v>0</v>
      </c>
      <c r="AG1314" s="12">
        <f t="shared" si="322"/>
        <v>0</v>
      </c>
      <c r="AH1314" s="24">
        <f t="shared" si="316"/>
        <v>0</v>
      </c>
      <c r="AI1314" s="49" t="e">
        <f t="shared" si="318"/>
        <v>#VALUE!</v>
      </c>
      <c r="AK1314" s="50" t="e">
        <f t="shared" si="323"/>
        <v>#VALUE!</v>
      </c>
    </row>
    <row r="1315" spans="1:37" x14ac:dyDescent="0.4">
      <c r="A1315" s="2">
        <v>2468</v>
      </c>
      <c r="B1315" s="16"/>
      <c r="C1315" s="22">
        <f t="shared" si="320"/>
        <v>0</v>
      </c>
      <c r="D1315" s="23">
        <f t="shared" si="312"/>
        <v>0</v>
      </c>
      <c r="E1315" s="14"/>
      <c r="F1315" s="12">
        <f t="shared" si="321"/>
        <v>0</v>
      </c>
      <c r="G1315" s="24">
        <f t="shared" si="313"/>
        <v>0</v>
      </c>
      <c r="H1315" s="14"/>
      <c r="I1315" s="14"/>
      <c r="J1315" s="29"/>
      <c r="K1315" s="30"/>
      <c r="M1315" s="17"/>
      <c r="N1315" s="7"/>
      <c r="O1315" s="5"/>
      <c r="P1315" s="3"/>
      <c r="Q1315" s="5"/>
      <c r="R1315" s="7"/>
      <c r="S1315" s="5"/>
      <c r="U1315" s="10"/>
      <c r="V1315" s="11"/>
      <c r="W1315" s="6"/>
      <c r="Y1315" s="10"/>
      <c r="Z1315" s="11"/>
      <c r="AA1315" s="6"/>
      <c r="AB1315" s="1">
        <v>1.2</v>
      </c>
      <c r="AC1315" s="21" t="str">
        <f t="shared" si="314"/>
        <v/>
      </c>
      <c r="AD1315" s="27" t="str">
        <f t="shared" si="319"/>
        <v/>
      </c>
      <c r="AE1315" s="27" t="str">
        <f t="shared" si="317"/>
        <v/>
      </c>
      <c r="AF1315" s="14">
        <f t="shared" si="315"/>
        <v>0</v>
      </c>
      <c r="AG1315" s="12">
        <f t="shared" si="322"/>
        <v>0</v>
      </c>
      <c r="AH1315" s="24">
        <f t="shared" si="316"/>
        <v>0</v>
      </c>
      <c r="AI1315" s="49" t="e">
        <f t="shared" si="318"/>
        <v>#VALUE!</v>
      </c>
      <c r="AK1315" s="50" t="e">
        <f t="shared" si="323"/>
        <v>#VALUE!</v>
      </c>
    </row>
    <row r="1316" spans="1:37" x14ac:dyDescent="0.4">
      <c r="A1316" s="2">
        <v>2469</v>
      </c>
      <c r="B1316" s="16"/>
      <c r="C1316" s="22">
        <f t="shared" si="320"/>
        <v>0</v>
      </c>
      <c r="D1316" s="23">
        <f t="shared" si="312"/>
        <v>0</v>
      </c>
      <c r="E1316" s="14"/>
      <c r="F1316" s="12">
        <f t="shared" si="321"/>
        <v>0</v>
      </c>
      <c r="G1316" s="24">
        <f t="shared" si="313"/>
        <v>0</v>
      </c>
      <c r="H1316" s="14"/>
      <c r="I1316" s="14"/>
      <c r="J1316" s="29"/>
      <c r="K1316" s="30"/>
      <c r="M1316" s="17"/>
      <c r="N1316" s="7"/>
      <c r="O1316" s="5"/>
      <c r="P1316" s="3"/>
      <c r="Q1316" s="5"/>
      <c r="R1316" s="7"/>
      <c r="S1316" s="5"/>
      <c r="U1316" s="10"/>
      <c r="V1316" s="11"/>
      <c r="W1316" s="6"/>
      <c r="Y1316" s="10"/>
      <c r="Z1316" s="11"/>
      <c r="AA1316" s="6"/>
      <c r="AB1316" s="1">
        <v>1.2</v>
      </c>
      <c r="AC1316" s="21" t="str">
        <f t="shared" si="314"/>
        <v/>
      </c>
      <c r="AD1316" s="27" t="str">
        <f t="shared" si="319"/>
        <v/>
      </c>
      <c r="AE1316" s="27" t="str">
        <f t="shared" si="317"/>
        <v/>
      </c>
      <c r="AF1316" s="14">
        <f t="shared" si="315"/>
        <v>0</v>
      </c>
      <c r="AG1316" s="12">
        <f t="shared" si="322"/>
        <v>0</v>
      </c>
      <c r="AH1316" s="24">
        <f t="shared" si="316"/>
        <v>0</v>
      </c>
      <c r="AI1316" s="49" t="e">
        <f t="shared" si="318"/>
        <v>#VALUE!</v>
      </c>
      <c r="AK1316" s="50" t="e">
        <f t="shared" si="323"/>
        <v>#VALUE!</v>
      </c>
    </row>
    <row r="1317" spans="1:37" x14ac:dyDescent="0.4">
      <c r="A1317" s="2">
        <v>2470</v>
      </c>
      <c r="B1317" s="16"/>
      <c r="C1317" s="22">
        <f t="shared" si="320"/>
        <v>0</v>
      </c>
      <c r="D1317" s="23">
        <f t="shared" si="312"/>
        <v>0</v>
      </c>
      <c r="E1317" s="14"/>
      <c r="F1317" s="12">
        <f t="shared" si="321"/>
        <v>0</v>
      </c>
      <c r="G1317" s="24">
        <f t="shared" si="313"/>
        <v>0</v>
      </c>
      <c r="H1317" s="14"/>
      <c r="I1317" s="14"/>
      <c r="J1317" s="29"/>
      <c r="K1317" s="30"/>
      <c r="M1317" s="17"/>
      <c r="N1317" s="7"/>
      <c r="O1317" s="5"/>
      <c r="P1317" s="3"/>
      <c r="Q1317" s="5"/>
      <c r="R1317" s="7"/>
      <c r="S1317" s="5"/>
      <c r="U1317" s="10"/>
      <c r="V1317" s="11"/>
      <c r="W1317" s="6"/>
      <c r="Y1317" s="10"/>
      <c r="Z1317" s="11"/>
      <c r="AA1317" s="6"/>
      <c r="AB1317" s="1">
        <v>1.2</v>
      </c>
      <c r="AC1317" s="21" t="str">
        <f t="shared" si="314"/>
        <v/>
      </c>
      <c r="AD1317" s="27" t="str">
        <f t="shared" si="319"/>
        <v/>
      </c>
      <c r="AE1317" s="27" t="str">
        <f t="shared" si="317"/>
        <v/>
      </c>
      <c r="AF1317" s="14">
        <f t="shared" si="315"/>
        <v>0</v>
      </c>
      <c r="AG1317" s="12">
        <f t="shared" si="322"/>
        <v>0</v>
      </c>
      <c r="AH1317" s="24">
        <f t="shared" si="316"/>
        <v>0</v>
      </c>
      <c r="AI1317" s="49" t="e">
        <f t="shared" si="318"/>
        <v>#VALUE!</v>
      </c>
      <c r="AK1317" s="50" t="e">
        <f t="shared" si="323"/>
        <v>#VALUE!</v>
      </c>
    </row>
    <row r="1318" spans="1:37" x14ac:dyDescent="0.4">
      <c r="A1318" s="2">
        <v>2471</v>
      </c>
      <c r="B1318" s="16"/>
      <c r="C1318" s="22">
        <f t="shared" si="320"/>
        <v>0</v>
      </c>
      <c r="D1318" s="23">
        <f t="shared" si="312"/>
        <v>0</v>
      </c>
      <c r="E1318" s="14"/>
      <c r="F1318" s="12">
        <f t="shared" si="321"/>
        <v>0</v>
      </c>
      <c r="G1318" s="24">
        <f t="shared" si="313"/>
        <v>0</v>
      </c>
      <c r="H1318" s="14"/>
      <c r="I1318" s="14"/>
      <c r="J1318" s="29"/>
      <c r="K1318" s="30"/>
      <c r="M1318" s="17"/>
      <c r="N1318" s="7"/>
      <c r="O1318" s="5"/>
      <c r="P1318" s="3"/>
      <c r="Q1318" s="5"/>
      <c r="R1318" s="7"/>
      <c r="S1318" s="5"/>
      <c r="U1318" s="10"/>
      <c r="V1318" s="11"/>
      <c r="W1318" s="6"/>
      <c r="Y1318" s="10"/>
      <c r="Z1318" s="11"/>
      <c r="AA1318" s="6"/>
      <c r="AB1318" s="1">
        <v>1.2</v>
      </c>
      <c r="AC1318" s="21" t="str">
        <f t="shared" si="314"/>
        <v/>
      </c>
      <c r="AD1318" s="27" t="str">
        <f t="shared" si="319"/>
        <v/>
      </c>
      <c r="AE1318" s="27" t="str">
        <f t="shared" si="317"/>
        <v/>
      </c>
      <c r="AF1318" s="14">
        <f t="shared" si="315"/>
        <v>0</v>
      </c>
      <c r="AG1318" s="12">
        <f t="shared" si="322"/>
        <v>0</v>
      </c>
      <c r="AH1318" s="24">
        <f t="shared" si="316"/>
        <v>0</v>
      </c>
      <c r="AI1318" s="49" t="e">
        <f t="shared" si="318"/>
        <v>#VALUE!</v>
      </c>
      <c r="AK1318" s="50" t="e">
        <f t="shared" si="323"/>
        <v>#VALUE!</v>
      </c>
    </row>
    <row r="1319" spans="1:37" x14ac:dyDescent="0.4">
      <c r="A1319" s="2">
        <v>2472</v>
      </c>
      <c r="B1319" s="16"/>
      <c r="C1319" s="22">
        <f t="shared" si="320"/>
        <v>0</v>
      </c>
      <c r="D1319" s="23">
        <f t="shared" si="312"/>
        <v>0</v>
      </c>
      <c r="E1319" s="14"/>
      <c r="F1319" s="12">
        <f t="shared" si="321"/>
        <v>0</v>
      </c>
      <c r="G1319" s="24">
        <f t="shared" si="313"/>
        <v>0</v>
      </c>
      <c r="H1319" s="14"/>
      <c r="I1319" s="14"/>
      <c r="J1319" s="29"/>
      <c r="K1319" s="30"/>
      <c r="M1319" s="17"/>
      <c r="N1319" s="7"/>
      <c r="O1319" s="5"/>
      <c r="P1319" s="3"/>
      <c r="Q1319" s="5"/>
      <c r="R1319" s="7"/>
      <c r="S1319" s="5"/>
      <c r="U1319" s="10"/>
      <c r="V1319" s="11"/>
      <c r="W1319" s="6"/>
      <c r="Y1319" s="10"/>
      <c r="Z1319" s="11"/>
      <c r="AA1319" s="6"/>
      <c r="AB1319" s="1">
        <v>1.2</v>
      </c>
      <c r="AC1319" s="21" t="str">
        <f t="shared" si="314"/>
        <v/>
      </c>
      <c r="AD1319" s="27" t="str">
        <f t="shared" si="319"/>
        <v/>
      </c>
      <c r="AE1319" s="27" t="str">
        <f t="shared" si="317"/>
        <v/>
      </c>
      <c r="AF1319" s="14">
        <f t="shared" si="315"/>
        <v>0</v>
      </c>
      <c r="AG1319" s="12">
        <f t="shared" si="322"/>
        <v>0</v>
      </c>
      <c r="AH1319" s="24">
        <f t="shared" si="316"/>
        <v>0</v>
      </c>
      <c r="AI1319" s="49" t="e">
        <f t="shared" si="318"/>
        <v>#VALUE!</v>
      </c>
      <c r="AK1319" s="50" t="e">
        <f t="shared" si="323"/>
        <v>#VALUE!</v>
      </c>
    </row>
    <row r="1320" spans="1:37" x14ac:dyDescent="0.4">
      <c r="A1320" s="2">
        <v>2473</v>
      </c>
      <c r="B1320" s="16"/>
      <c r="C1320" s="22">
        <f t="shared" si="320"/>
        <v>0</v>
      </c>
      <c r="D1320" s="23">
        <f t="shared" ref="D1320:D1337" si="324">B1320-INT(B1320)</f>
        <v>0</v>
      </c>
      <c r="E1320" s="14"/>
      <c r="F1320" s="12">
        <f t="shared" si="321"/>
        <v>0</v>
      </c>
      <c r="G1320" s="24">
        <f t="shared" ref="G1320:G1337" si="325">E1320-INT(E1320)</f>
        <v>0</v>
      </c>
      <c r="H1320" s="14"/>
      <c r="I1320" s="14"/>
      <c r="J1320" s="29"/>
      <c r="K1320" s="30"/>
      <c r="M1320" s="17"/>
      <c r="N1320" s="7"/>
      <c r="O1320" s="5"/>
      <c r="P1320" s="3"/>
      <c r="Q1320" s="5"/>
      <c r="R1320" s="7"/>
      <c r="S1320" s="5"/>
      <c r="U1320" s="10"/>
      <c r="V1320" s="11"/>
      <c r="W1320" s="6"/>
      <c r="Y1320" s="10"/>
      <c r="Z1320" s="11"/>
      <c r="AA1320" s="6"/>
      <c r="AB1320" s="1">
        <v>1.2</v>
      </c>
      <c r="AC1320" s="21" t="str">
        <f t="shared" ref="AC1320:AC1337" si="326">IF(B1320="","",TEXT(E1320-B1320,"[hh]:mm"))</f>
        <v/>
      </c>
      <c r="AD1320" s="27" t="str">
        <f t="shared" si="319"/>
        <v/>
      </c>
      <c r="AE1320" s="27" t="str">
        <f t="shared" si="317"/>
        <v/>
      </c>
      <c r="AF1320" s="14">
        <f t="shared" ref="AF1320:AF1337" si="327">MAX(E1320,H1320,I1320)</f>
        <v>0</v>
      </c>
      <c r="AG1320" s="12">
        <f t="shared" si="322"/>
        <v>0</v>
      </c>
      <c r="AH1320" s="24">
        <f t="shared" ref="AH1320:AH1337" si="328">AF1320-INT(AF1320)</f>
        <v>0</v>
      </c>
      <c r="AI1320" s="49" t="e">
        <f t="shared" si="318"/>
        <v>#VALUE!</v>
      </c>
      <c r="AK1320" s="50" t="e">
        <f t="shared" si="323"/>
        <v>#VALUE!</v>
      </c>
    </row>
    <row r="1321" spans="1:37" x14ac:dyDescent="0.4">
      <c r="A1321" s="2">
        <v>2474</v>
      </c>
      <c r="B1321" s="16"/>
      <c r="C1321" s="22">
        <f t="shared" si="320"/>
        <v>0</v>
      </c>
      <c r="D1321" s="23">
        <f t="shared" si="324"/>
        <v>0</v>
      </c>
      <c r="E1321" s="14"/>
      <c r="F1321" s="12">
        <f t="shared" si="321"/>
        <v>0</v>
      </c>
      <c r="G1321" s="24">
        <f t="shared" si="325"/>
        <v>0</v>
      </c>
      <c r="H1321" s="14"/>
      <c r="I1321" s="14"/>
      <c r="J1321" s="29"/>
      <c r="K1321" s="30"/>
      <c r="M1321" s="17"/>
      <c r="N1321" s="7"/>
      <c r="O1321" s="5"/>
      <c r="P1321" s="3"/>
      <c r="Q1321" s="5"/>
      <c r="R1321" s="7"/>
      <c r="S1321" s="5"/>
      <c r="U1321" s="10"/>
      <c r="V1321" s="11"/>
      <c r="W1321" s="6"/>
      <c r="Y1321" s="10"/>
      <c r="Z1321" s="11"/>
      <c r="AA1321" s="6"/>
      <c r="AB1321" s="1">
        <v>1.2</v>
      </c>
      <c r="AC1321" s="21" t="str">
        <f t="shared" si="326"/>
        <v/>
      </c>
      <c r="AD1321" s="27" t="str">
        <f t="shared" si="319"/>
        <v/>
      </c>
      <c r="AE1321" s="27" t="str">
        <f t="shared" si="317"/>
        <v/>
      </c>
      <c r="AF1321" s="14">
        <f t="shared" si="327"/>
        <v>0</v>
      </c>
      <c r="AG1321" s="12">
        <f t="shared" si="322"/>
        <v>0</v>
      </c>
      <c r="AH1321" s="24">
        <f t="shared" si="328"/>
        <v>0</v>
      </c>
      <c r="AI1321" s="49" t="e">
        <f t="shared" si="318"/>
        <v>#VALUE!</v>
      </c>
      <c r="AK1321" s="50" t="e">
        <f t="shared" si="323"/>
        <v>#VALUE!</v>
      </c>
    </row>
    <row r="1322" spans="1:37" x14ac:dyDescent="0.4">
      <c r="A1322" s="2">
        <v>2475</v>
      </c>
      <c r="B1322" s="16"/>
      <c r="C1322" s="22">
        <f t="shared" si="320"/>
        <v>0</v>
      </c>
      <c r="D1322" s="23">
        <f t="shared" si="324"/>
        <v>0</v>
      </c>
      <c r="E1322" s="14"/>
      <c r="F1322" s="12">
        <f t="shared" si="321"/>
        <v>0</v>
      </c>
      <c r="G1322" s="24">
        <f t="shared" si="325"/>
        <v>0</v>
      </c>
      <c r="H1322" s="14"/>
      <c r="I1322" s="14"/>
      <c r="J1322" s="29"/>
      <c r="K1322" s="30"/>
      <c r="M1322" s="17"/>
      <c r="N1322" s="7"/>
      <c r="O1322" s="5"/>
      <c r="P1322" s="3"/>
      <c r="Q1322" s="5"/>
      <c r="R1322" s="7"/>
      <c r="S1322" s="5"/>
      <c r="U1322" s="10"/>
      <c r="V1322" s="11"/>
      <c r="W1322" s="6"/>
      <c r="Y1322" s="10"/>
      <c r="Z1322" s="11"/>
      <c r="AA1322" s="6"/>
      <c r="AB1322" s="1">
        <v>1.2</v>
      </c>
      <c r="AC1322" s="21" t="str">
        <f t="shared" si="326"/>
        <v/>
      </c>
      <c r="AD1322" s="27" t="str">
        <f t="shared" si="319"/>
        <v/>
      </c>
      <c r="AE1322" s="27" t="str">
        <f t="shared" si="317"/>
        <v/>
      </c>
      <c r="AF1322" s="14">
        <f t="shared" si="327"/>
        <v>0</v>
      </c>
      <c r="AG1322" s="12">
        <f t="shared" si="322"/>
        <v>0</v>
      </c>
      <c r="AH1322" s="24">
        <f t="shared" si="328"/>
        <v>0</v>
      </c>
      <c r="AI1322" s="49" t="e">
        <f t="shared" si="318"/>
        <v>#VALUE!</v>
      </c>
      <c r="AK1322" s="50" t="e">
        <f t="shared" si="323"/>
        <v>#VALUE!</v>
      </c>
    </row>
    <row r="1323" spans="1:37" x14ac:dyDescent="0.4">
      <c r="A1323" s="2">
        <v>2476</v>
      </c>
      <c r="B1323" s="16"/>
      <c r="C1323" s="22">
        <f t="shared" si="320"/>
        <v>0</v>
      </c>
      <c r="D1323" s="23">
        <f t="shared" si="324"/>
        <v>0</v>
      </c>
      <c r="E1323" s="14"/>
      <c r="F1323" s="12">
        <f t="shared" si="321"/>
        <v>0</v>
      </c>
      <c r="G1323" s="24">
        <f t="shared" si="325"/>
        <v>0</v>
      </c>
      <c r="H1323" s="14"/>
      <c r="I1323" s="14"/>
      <c r="J1323" s="29"/>
      <c r="K1323" s="30"/>
      <c r="M1323" s="17"/>
      <c r="N1323" s="7"/>
      <c r="O1323" s="5"/>
      <c r="P1323" s="3"/>
      <c r="Q1323" s="5"/>
      <c r="R1323" s="7"/>
      <c r="S1323" s="5"/>
      <c r="U1323" s="10"/>
      <c r="V1323" s="11"/>
      <c r="W1323" s="6"/>
      <c r="Y1323" s="10"/>
      <c r="Z1323" s="11"/>
      <c r="AA1323" s="6"/>
      <c r="AB1323" s="1">
        <v>1.2</v>
      </c>
      <c r="AC1323" s="21" t="str">
        <f t="shared" si="326"/>
        <v/>
      </c>
      <c r="AD1323" s="27" t="str">
        <f t="shared" si="319"/>
        <v/>
      </c>
      <c r="AE1323" s="27" t="str">
        <f t="shared" si="317"/>
        <v/>
      </c>
      <c r="AF1323" s="14">
        <f t="shared" si="327"/>
        <v>0</v>
      </c>
      <c r="AG1323" s="12">
        <f t="shared" si="322"/>
        <v>0</v>
      </c>
      <c r="AH1323" s="24">
        <f t="shared" si="328"/>
        <v>0</v>
      </c>
      <c r="AI1323" s="49" t="e">
        <f t="shared" si="318"/>
        <v>#VALUE!</v>
      </c>
      <c r="AK1323" s="50" t="e">
        <f t="shared" si="323"/>
        <v>#VALUE!</v>
      </c>
    </row>
    <row r="1324" spans="1:37" x14ac:dyDescent="0.4">
      <c r="A1324" s="2">
        <v>2477</v>
      </c>
      <c r="B1324" s="16"/>
      <c r="C1324" s="22">
        <f t="shared" si="320"/>
        <v>0</v>
      </c>
      <c r="D1324" s="23">
        <f t="shared" si="324"/>
        <v>0</v>
      </c>
      <c r="E1324" s="14"/>
      <c r="F1324" s="12">
        <f t="shared" si="321"/>
        <v>0</v>
      </c>
      <c r="G1324" s="24">
        <f t="shared" si="325"/>
        <v>0</v>
      </c>
      <c r="H1324" s="14"/>
      <c r="I1324" s="14"/>
      <c r="J1324" s="29"/>
      <c r="K1324" s="30"/>
      <c r="M1324" s="17"/>
      <c r="N1324" s="7"/>
      <c r="O1324" s="5"/>
      <c r="P1324" s="3"/>
      <c r="Q1324" s="5"/>
      <c r="R1324" s="7"/>
      <c r="S1324" s="5"/>
      <c r="U1324" s="10"/>
      <c r="V1324" s="11"/>
      <c r="W1324" s="6"/>
      <c r="Y1324" s="10"/>
      <c r="Z1324" s="11"/>
      <c r="AA1324" s="6"/>
      <c r="AB1324" s="1">
        <v>1.2</v>
      </c>
      <c r="AC1324" s="21" t="str">
        <f t="shared" si="326"/>
        <v/>
      </c>
      <c r="AD1324" s="27" t="str">
        <f t="shared" si="319"/>
        <v/>
      </c>
      <c r="AE1324" s="27" t="str">
        <f t="shared" si="317"/>
        <v/>
      </c>
      <c r="AF1324" s="14">
        <f t="shared" si="327"/>
        <v>0</v>
      </c>
      <c r="AG1324" s="12">
        <f t="shared" si="322"/>
        <v>0</v>
      </c>
      <c r="AH1324" s="24">
        <f t="shared" si="328"/>
        <v>0</v>
      </c>
      <c r="AI1324" s="49" t="e">
        <f t="shared" si="318"/>
        <v>#VALUE!</v>
      </c>
      <c r="AK1324" s="50" t="e">
        <f t="shared" si="323"/>
        <v>#VALUE!</v>
      </c>
    </row>
    <row r="1325" spans="1:37" x14ac:dyDescent="0.4">
      <c r="A1325" s="2">
        <v>2478</v>
      </c>
      <c r="B1325" s="16"/>
      <c r="C1325" s="22">
        <f t="shared" si="320"/>
        <v>0</v>
      </c>
      <c r="D1325" s="23">
        <f t="shared" si="324"/>
        <v>0</v>
      </c>
      <c r="E1325" s="14"/>
      <c r="F1325" s="12">
        <f t="shared" si="321"/>
        <v>0</v>
      </c>
      <c r="G1325" s="24">
        <f t="shared" si="325"/>
        <v>0</v>
      </c>
      <c r="H1325" s="14"/>
      <c r="I1325" s="14"/>
      <c r="J1325" s="29"/>
      <c r="K1325" s="30"/>
      <c r="M1325" s="17"/>
      <c r="N1325" s="7"/>
      <c r="O1325" s="5"/>
      <c r="P1325" s="3"/>
      <c r="Q1325" s="5"/>
      <c r="R1325" s="7"/>
      <c r="S1325" s="5"/>
      <c r="U1325" s="10"/>
      <c r="V1325" s="11"/>
      <c r="W1325" s="6"/>
      <c r="Y1325" s="10"/>
      <c r="Z1325" s="11"/>
      <c r="AA1325" s="6"/>
      <c r="AB1325" s="1">
        <v>1.2</v>
      </c>
      <c r="AC1325" s="21" t="str">
        <f t="shared" si="326"/>
        <v/>
      </c>
      <c r="AD1325" s="27" t="str">
        <f t="shared" si="319"/>
        <v/>
      </c>
      <c r="AE1325" s="27" t="str">
        <f t="shared" si="317"/>
        <v/>
      </c>
      <c r="AF1325" s="14">
        <f t="shared" si="327"/>
        <v>0</v>
      </c>
      <c r="AG1325" s="12">
        <f t="shared" si="322"/>
        <v>0</v>
      </c>
      <c r="AH1325" s="24">
        <f t="shared" si="328"/>
        <v>0</v>
      </c>
      <c r="AI1325" s="49" t="e">
        <f t="shared" si="318"/>
        <v>#VALUE!</v>
      </c>
      <c r="AK1325" s="50" t="e">
        <f t="shared" si="323"/>
        <v>#VALUE!</v>
      </c>
    </row>
    <row r="1326" spans="1:37" x14ac:dyDescent="0.4">
      <c r="A1326" s="2">
        <v>2479</v>
      </c>
      <c r="B1326" s="16"/>
      <c r="C1326" s="22">
        <f t="shared" si="320"/>
        <v>0</v>
      </c>
      <c r="D1326" s="23">
        <f t="shared" si="324"/>
        <v>0</v>
      </c>
      <c r="E1326" s="14"/>
      <c r="F1326" s="12">
        <f t="shared" si="321"/>
        <v>0</v>
      </c>
      <c r="G1326" s="24">
        <f t="shared" si="325"/>
        <v>0</v>
      </c>
      <c r="H1326" s="14"/>
      <c r="I1326" s="14"/>
      <c r="J1326" s="29"/>
      <c r="K1326" s="30"/>
      <c r="M1326" s="17"/>
      <c r="N1326" s="7"/>
      <c r="O1326" s="5"/>
      <c r="P1326" s="3"/>
      <c r="Q1326" s="5"/>
      <c r="R1326" s="7"/>
      <c r="S1326" s="5"/>
      <c r="U1326" s="10"/>
      <c r="V1326" s="11"/>
      <c r="W1326" s="6"/>
      <c r="Y1326" s="10"/>
      <c r="Z1326" s="11"/>
      <c r="AA1326" s="6"/>
      <c r="AB1326" s="1">
        <v>1.2</v>
      </c>
      <c r="AC1326" s="21" t="str">
        <f t="shared" si="326"/>
        <v/>
      </c>
      <c r="AD1326" s="27" t="str">
        <f t="shared" si="319"/>
        <v/>
      </c>
      <c r="AE1326" s="27" t="str">
        <f t="shared" si="317"/>
        <v/>
      </c>
      <c r="AF1326" s="14">
        <f t="shared" si="327"/>
        <v>0</v>
      </c>
      <c r="AG1326" s="12">
        <f t="shared" si="322"/>
        <v>0</v>
      </c>
      <c r="AH1326" s="24">
        <f t="shared" si="328"/>
        <v>0</v>
      </c>
      <c r="AI1326" s="49" t="e">
        <f t="shared" si="318"/>
        <v>#VALUE!</v>
      </c>
      <c r="AK1326" s="50" t="e">
        <f t="shared" si="323"/>
        <v>#VALUE!</v>
      </c>
    </row>
    <row r="1327" spans="1:37" x14ac:dyDescent="0.4">
      <c r="A1327" s="2">
        <v>2480</v>
      </c>
      <c r="B1327" s="16"/>
      <c r="C1327" s="22">
        <f t="shared" si="320"/>
        <v>0</v>
      </c>
      <c r="D1327" s="23">
        <f t="shared" si="324"/>
        <v>0</v>
      </c>
      <c r="E1327" s="14"/>
      <c r="F1327" s="12">
        <f t="shared" si="321"/>
        <v>0</v>
      </c>
      <c r="G1327" s="24">
        <f t="shared" si="325"/>
        <v>0</v>
      </c>
      <c r="H1327" s="14"/>
      <c r="I1327" s="14"/>
      <c r="J1327" s="29"/>
      <c r="K1327" s="30"/>
      <c r="M1327" s="17"/>
      <c r="N1327" s="7"/>
      <c r="O1327" s="5"/>
      <c r="P1327" s="3"/>
      <c r="Q1327" s="5"/>
      <c r="R1327" s="7"/>
      <c r="S1327" s="5"/>
      <c r="U1327" s="10"/>
      <c r="V1327" s="11"/>
      <c r="W1327" s="6"/>
      <c r="Y1327" s="10"/>
      <c r="Z1327" s="11"/>
      <c r="AA1327" s="6"/>
      <c r="AB1327" s="1">
        <v>1.2</v>
      </c>
      <c r="AC1327" s="21" t="str">
        <f t="shared" si="326"/>
        <v/>
      </c>
      <c r="AD1327" s="27" t="str">
        <f t="shared" si="319"/>
        <v/>
      </c>
      <c r="AE1327" s="27" t="str">
        <f t="shared" si="317"/>
        <v/>
      </c>
      <c r="AF1327" s="14">
        <f t="shared" si="327"/>
        <v>0</v>
      </c>
      <c r="AG1327" s="12">
        <f t="shared" si="322"/>
        <v>0</v>
      </c>
      <c r="AH1327" s="24">
        <f t="shared" si="328"/>
        <v>0</v>
      </c>
      <c r="AI1327" s="49" t="e">
        <f t="shared" si="318"/>
        <v>#VALUE!</v>
      </c>
      <c r="AK1327" s="50" t="e">
        <f t="shared" si="323"/>
        <v>#VALUE!</v>
      </c>
    </row>
    <row r="1328" spans="1:37" x14ac:dyDescent="0.4">
      <c r="A1328" s="2">
        <v>2481</v>
      </c>
      <c r="B1328" s="16"/>
      <c r="C1328" s="22">
        <f t="shared" si="320"/>
        <v>0</v>
      </c>
      <c r="D1328" s="23">
        <f t="shared" si="324"/>
        <v>0</v>
      </c>
      <c r="E1328" s="14"/>
      <c r="F1328" s="12">
        <f t="shared" si="321"/>
        <v>0</v>
      </c>
      <c r="G1328" s="24">
        <f t="shared" si="325"/>
        <v>0</v>
      </c>
      <c r="H1328" s="14"/>
      <c r="I1328" s="14"/>
      <c r="J1328" s="29"/>
      <c r="K1328" s="30"/>
      <c r="M1328" s="17"/>
      <c r="N1328" s="7"/>
      <c r="O1328" s="5"/>
      <c r="P1328" s="3"/>
      <c r="Q1328" s="5"/>
      <c r="R1328" s="7"/>
      <c r="S1328" s="5"/>
      <c r="U1328" s="10"/>
      <c r="V1328" s="11"/>
      <c r="W1328" s="6"/>
      <c r="Y1328" s="10"/>
      <c r="Z1328" s="11"/>
      <c r="AA1328" s="6"/>
      <c r="AB1328" s="1">
        <v>1.2</v>
      </c>
      <c r="AC1328" s="21" t="str">
        <f t="shared" si="326"/>
        <v/>
      </c>
      <c r="AD1328" s="27" t="str">
        <f t="shared" si="319"/>
        <v/>
      </c>
      <c r="AE1328" s="27" t="str">
        <f t="shared" si="317"/>
        <v/>
      </c>
      <c r="AF1328" s="14">
        <f t="shared" si="327"/>
        <v>0</v>
      </c>
      <c r="AG1328" s="12">
        <f t="shared" si="322"/>
        <v>0</v>
      </c>
      <c r="AH1328" s="24">
        <f t="shared" si="328"/>
        <v>0</v>
      </c>
      <c r="AI1328" s="49" t="e">
        <f t="shared" si="318"/>
        <v>#VALUE!</v>
      </c>
      <c r="AK1328" s="50" t="e">
        <f t="shared" si="323"/>
        <v>#VALUE!</v>
      </c>
    </row>
    <row r="1329" spans="1:37" x14ac:dyDescent="0.4">
      <c r="A1329" s="2">
        <v>2482</v>
      </c>
      <c r="B1329" s="16"/>
      <c r="C1329" s="22">
        <f t="shared" si="320"/>
        <v>0</v>
      </c>
      <c r="D1329" s="23">
        <f t="shared" si="324"/>
        <v>0</v>
      </c>
      <c r="E1329" s="14"/>
      <c r="F1329" s="12">
        <f t="shared" si="321"/>
        <v>0</v>
      </c>
      <c r="G1329" s="24">
        <f t="shared" si="325"/>
        <v>0</v>
      </c>
      <c r="H1329" s="14"/>
      <c r="I1329" s="14"/>
      <c r="J1329" s="29"/>
      <c r="K1329" s="30"/>
      <c r="M1329" s="17"/>
      <c r="N1329" s="7"/>
      <c r="O1329" s="5"/>
      <c r="P1329" s="3"/>
      <c r="Q1329" s="5"/>
      <c r="R1329" s="7"/>
      <c r="S1329" s="5"/>
      <c r="U1329" s="10"/>
      <c r="V1329" s="11"/>
      <c r="W1329" s="6"/>
      <c r="Y1329" s="10"/>
      <c r="Z1329" s="11"/>
      <c r="AA1329" s="6"/>
      <c r="AB1329" s="1">
        <v>1.2</v>
      </c>
      <c r="AC1329" s="21" t="str">
        <f t="shared" si="326"/>
        <v/>
      </c>
      <c r="AD1329" s="27" t="str">
        <f t="shared" si="319"/>
        <v/>
      </c>
      <c r="AE1329" s="27" t="str">
        <f t="shared" si="317"/>
        <v/>
      </c>
      <c r="AF1329" s="14">
        <f t="shared" si="327"/>
        <v>0</v>
      </c>
      <c r="AG1329" s="12">
        <f t="shared" si="322"/>
        <v>0</v>
      </c>
      <c r="AH1329" s="24">
        <f t="shared" si="328"/>
        <v>0</v>
      </c>
      <c r="AI1329" s="49" t="e">
        <f t="shared" si="318"/>
        <v>#VALUE!</v>
      </c>
      <c r="AK1329" s="50" t="e">
        <f t="shared" si="323"/>
        <v>#VALUE!</v>
      </c>
    </row>
    <row r="1330" spans="1:37" x14ac:dyDescent="0.4">
      <c r="A1330" s="2">
        <v>2483</v>
      </c>
      <c r="B1330" s="16"/>
      <c r="C1330" s="22">
        <f t="shared" si="320"/>
        <v>0</v>
      </c>
      <c r="D1330" s="23">
        <f t="shared" si="324"/>
        <v>0</v>
      </c>
      <c r="E1330" s="14"/>
      <c r="F1330" s="12">
        <f t="shared" si="321"/>
        <v>0</v>
      </c>
      <c r="G1330" s="24">
        <f t="shared" si="325"/>
        <v>0</v>
      </c>
      <c r="H1330" s="14"/>
      <c r="I1330" s="14"/>
      <c r="J1330" s="29"/>
      <c r="K1330" s="30"/>
      <c r="M1330" s="17"/>
      <c r="N1330" s="7"/>
      <c r="O1330" s="5"/>
      <c r="P1330" s="3"/>
      <c r="Q1330" s="5"/>
      <c r="R1330" s="7"/>
      <c r="S1330" s="5"/>
      <c r="U1330" s="10"/>
      <c r="V1330" s="11"/>
      <c r="W1330" s="6"/>
      <c r="Y1330" s="10"/>
      <c r="Z1330" s="11"/>
      <c r="AA1330" s="6"/>
      <c r="AB1330" s="1">
        <v>1.2</v>
      </c>
      <c r="AC1330" s="21" t="str">
        <f t="shared" si="326"/>
        <v/>
      </c>
      <c r="AD1330" s="27" t="str">
        <f t="shared" si="319"/>
        <v/>
      </c>
      <c r="AE1330" s="27" t="str">
        <f t="shared" si="317"/>
        <v/>
      </c>
      <c r="AF1330" s="14">
        <f t="shared" si="327"/>
        <v>0</v>
      </c>
      <c r="AG1330" s="12">
        <f t="shared" si="322"/>
        <v>0</v>
      </c>
      <c r="AH1330" s="24">
        <f t="shared" si="328"/>
        <v>0</v>
      </c>
      <c r="AI1330" s="49" t="e">
        <f t="shared" si="318"/>
        <v>#VALUE!</v>
      </c>
      <c r="AK1330" s="50" t="e">
        <f t="shared" si="323"/>
        <v>#VALUE!</v>
      </c>
    </row>
    <row r="1331" spans="1:37" x14ac:dyDescent="0.4">
      <c r="A1331" s="2">
        <v>2484</v>
      </c>
      <c r="B1331" s="16"/>
      <c r="C1331" s="22">
        <f t="shared" si="320"/>
        <v>0</v>
      </c>
      <c r="D1331" s="23">
        <f t="shared" si="324"/>
        <v>0</v>
      </c>
      <c r="E1331" s="14"/>
      <c r="F1331" s="12">
        <f t="shared" si="321"/>
        <v>0</v>
      </c>
      <c r="G1331" s="24">
        <f t="shared" si="325"/>
        <v>0</v>
      </c>
      <c r="H1331" s="14"/>
      <c r="I1331" s="14"/>
      <c r="J1331" s="29"/>
      <c r="K1331" s="30"/>
      <c r="M1331" s="17"/>
      <c r="N1331" s="7"/>
      <c r="O1331" s="5"/>
      <c r="P1331" s="3"/>
      <c r="Q1331" s="5"/>
      <c r="R1331" s="7"/>
      <c r="S1331" s="5"/>
      <c r="U1331" s="10"/>
      <c r="V1331" s="11"/>
      <c r="W1331" s="6"/>
      <c r="Y1331" s="10"/>
      <c r="Z1331" s="11"/>
      <c r="AA1331" s="6"/>
      <c r="AB1331" s="1">
        <v>1.2</v>
      </c>
      <c r="AC1331" s="21" t="str">
        <f t="shared" si="326"/>
        <v/>
      </c>
      <c r="AD1331" s="27" t="str">
        <f t="shared" si="319"/>
        <v/>
      </c>
      <c r="AE1331" s="27" t="str">
        <f t="shared" si="317"/>
        <v/>
      </c>
      <c r="AF1331" s="14">
        <f t="shared" si="327"/>
        <v>0</v>
      </c>
      <c r="AG1331" s="12">
        <f t="shared" si="322"/>
        <v>0</v>
      </c>
      <c r="AH1331" s="24">
        <f t="shared" si="328"/>
        <v>0</v>
      </c>
      <c r="AI1331" s="49" t="e">
        <f t="shared" si="318"/>
        <v>#VALUE!</v>
      </c>
      <c r="AK1331" s="50" t="e">
        <f t="shared" si="323"/>
        <v>#VALUE!</v>
      </c>
    </row>
    <row r="1332" spans="1:37" x14ac:dyDescent="0.4">
      <c r="A1332" s="2">
        <v>2485</v>
      </c>
      <c r="B1332" s="16"/>
      <c r="C1332" s="22">
        <f t="shared" si="320"/>
        <v>0</v>
      </c>
      <c r="D1332" s="23">
        <f t="shared" si="324"/>
        <v>0</v>
      </c>
      <c r="E1332" s="14"/>
      <c r="F1332" s="12">
        <f t="shared" si="321"/>
        <v>0</v>
      </c>
      <c r="G1332" s="24">
        <f t="shared" si="325"/>
        <v>0</v>
      </c>
      <c r="H1332" s="14"/>
      <c r="I1332" s="14"/>
      <c r="J1332" s="29"/>
      <c r="K1332" s="30"/>
      <c r="M1332" s="17"/>
      <c r="N1332" s="7"/>
      <c r="O1332" s="5"/>
      <c r="P1332" s="3"/>
      <c r="Q1332" s="5"/>
      <c r="R1332" s="7"/>
      <c r="S1332" s="5"/>
      <c r="U1332" s="10"/>
      <c r="V1332" s="11"/>
      <c r="W1332" s="6"/>
      <c r="Y1332" s="10"/>
      <c r="Z1332" s="11"/>
      <c r="AA1332" s="6"/>
      <c r="AB1332" s="1">
        <v>1.2</v>
      </c>
      <c r="AC1332" s="21" t="str">
        <f t="shared" si="326"/>
        <v/>
      </c>
      <c r="AD1332" s="27" t="str">
        <f t="shared" si="319"/>
        <v/>
      </c>
      <c r="AE1332" s="27" t="str">
        <f t="shared" si="317"/>
        <v/>
      </c>
      <c r="AF1332" s="14">
        <f t="shared" si="327"/>
        <v>0</v>
      </c>
      <c r="AG1332" s="12">
        <f t="shared" si="322"/>
        <v>0</v>
      </c>
      <c r="AH1332" s="24">
        <f t="shared" si="328"/>
        <v>0</v>
      </c>
      <c r="AI1332" s="49" t="e">
        <f t="shared" si="318"/>
        <v>#VALUE!</v>
      </c>
      <c r="AK1332" s="50" t="e">
        <f t="shared" si="323"/>
        <v>#VALUE!</v>
      </c>
    </row>
    <row r="1333" spans="1:37" x14ac:dyDescent="0.4">
      <c r="A1333" s="2">
        <v>2486</v>
      </c>
      <c r="B1333" s="16"/>
      <c r="C1333" s="22">
        <f t="shared" si="320"/>
        <v>0</v>
      </c>
      <c r="D1333" s="23">
        <f t="shared" si="324"/>
        <v>0</v>
      </c>
      <c r="E1333" s="14"/>
      <c r="F1333" s="12">
        <f t="shared" si="321"/>
        <v>0</v>
      </c>
      <c r="G1333" s="24">
        <f t="shared" si="325"/>
        <v>0</v>
      </c>
      <c r="H1333" s="14"/>
      <c r="I1333" s="14"/>
      <c r="J1333" s="29"/>
      <c r="K1333" s="30"/>
      <c r="M1333" s="17"/>
      <c r="N1333" s="7"/>
      <c r="O1333" s="5"/>
      <c r="P1333" s="3"/>
      <c r="Q1333" s="5"/>
      <c r="R1333" s="7"/>
      <c r="S1333" s="5"/>
      <c r="U1333" s="10"/>
      <c r="V1333" s="11"/>
      <c r="W1333" s="6"/>
      <c r="Y1333" s="10"/>
      <c r="Z1333" s="11"/>
      <c r="AA1333" s="6"/>
      <c r="AB1333" s="1">
        <v>1.2</v>
      </c>
      <c r="AC1333" s="21" t="str">
        <f t="shared" si="326"/>
        <v/>
      </c>
      <c r="AD1333" s="27" t="str">
        <f t="shared" si="319"/>
        <v/>
      </c>
      <c r="AE1333" s="27" t="str">
        <f t="shared" si="317"/>
        <v/>
      </c>
      <c r="AF1333" s="14">
        <f t="shared" si="327"/>
        <v>0</v>
      </c>
      <c r="AG1333" s="12">
        <f t="shared" si="322"/>
        <v>0</v>
      </c>
      <c r="AH1333" s="24">
        <f t="shared" si="328"/>
        <v>0</v>
      </c>
      <c r="AI1333" s="49" t="e">
        <f t="shared" si="318"/>
        <v>#VALUE!</v>
      </c>
      <c r="AK1333" s="50" t="e">
        <f t="shared" si="323"/>
        <v>#VALUE!</v>
      </c>
    </row>
    <row r="1334" spans="1:37" x14ac:dyDescent="0.4">
      <c r="A1334" s="2">
        <v>2487</v>
      </c>
      <c r="B1334" s="16"/>
      <c r="C1334" s="22">
        <f t="shared" si="320"/>
        <v>0</v>
      </c>
      <c r="D1334" s="23">
        <f t="shared" si="324"/>
        <v>0</v>
      </c>
      <c r="E1334" s="14"/>
      <c r="F1334" s="12">
        <f t="shared" si="321"/>
        <v>0</v>
      </c>
      <c r="G1334" s="24">
        <f t="shared" si="325"/>
        <v>0</v>
      </c>
      <c r="H1334" s="14"/>
      <c r="I1334" s="14"/>
      <c r="J1334" s="29"/>
      <c r="K1334" s="30"/>
      <c r="M1334" s="17"/>
      <c r="N1334" s="7"/>
      <c r="O1334" s="5"/>
      <c r="P1334" s="3"/>
      <c r="Q1334" s="5"/>
      <c r="R1334" s="7"/>
      <c r="S1334" s="5"/>
      <c r="U1334" s="10"/>
      <c r="V1334" s="11"/>
      <c r="W1334" s="6"/>
      <c r="Y1334" s="10"/>
      <c r="Z1334" s="11"/>
      <c r="AA1334" s="6"/>
      <c r="AB1334" s="1">
        <v>1.2</v>
      </c>
      <c r="AC1334" s="21" t="str">
        <f t="shared" si="326"/>
        <v/>
      </c>
      <c r="AD1334" s="27" t="str">
        <f t="shared" si="319"/>
        <v/>
      </c>
      <c r="AE1334" s="27" t="str">
        <f t="shared" si="317"/>
        <v/>
      </c>
      <c r="AF1334" s="14">
        <f t="shared" si="327"/>
        <v>0</v>
      </c>
      <c r="AG1334" s="12">
        <f t="shared" si="322"/>
        <v>0</v>
      </c>
      <c r="AH1334" s="24">
        <f t="shared" si="328"/>
        <v>0</v>
      </c>
      <c r="AI1334" s="49" t="e">
        <f t="shared" si="318"/>
        <v>#VALUE!</v>
      </c>
      <c r="AK1334" s="50" t="e">
        <f t="shared" si="323"/>
        <v>#VALUE!</v>
      </c>
    </row>
    <row r="1335" spans="1:37" x14ac:dyDescent="0.4">
      <c r="A1335" s="2">
        <v>2488</v>
      </c>
      <c r="B1335" s="16"/>
      <c r="C1335" s="22">
        <f t="shared" si="320"/>
        <v>0</v>
      </c>
      <c r="D1335" s="23">
        <f t="shared" si="324"/>
        <v>0</v>
      </c>
      <c r="E1335" s="14"/>
      <c r="F1335" s="12">
        <f t="shared" si="321"/>
        <v>0</v>
      </c>
      <c r="G1335" s="24">
        <f t="shared" si="325"/>
        <v>0</v>
      </c>
      <c r="H1335" s="14"/>
      <c r="I1335" s="14"/>
      <c r="J1335" s="29"/>
      <c r="K1335" s="30"/>
      <c r="M1335" s="17"/>
      <c r="N1335" s="7"/>
      <c r="O1335" s="5"/>
      <c r="P1335" s="3"/>
      <c r="Q1335" s="5"/>
      <c r="R1335" s="7"/>
      <c r="S1335" s="5"/>
      <c r="U1335" s="10"/>
      <c r="V1335" s="11"/>
      <c r="W1335" s="6"/>
      <c r="Y1335" s="10"/>
      <c r="Z1335" s="11"/>
      <c r="AA1335" s="6"/>
      <c r="AB1335" s="1">
        <v>1.2</v>
      </c>
      <c r="AC1335" s="21" t="str">
        <f t="shared" si="326"/>
        <v/>
      </c>
      <c r="AD1335" s="27" t="str">
        <f t="shared" si="319"/>
        <v/>
      </c>
      <c r="AE1335" s="27" t="str">
        <f t="shared" si="317"/>
        <v/>
      </c>
      <c r="AF1335" s="14">
        <f t="shared" si="327"/>
        <v>0</v>
      </c>
      <c r="AG1335" s="12">
        <f t="shared" si="322"/>
        <v>0</v>
      </c>
      <c r="AH1335" s="24">
        <f t="shared" si="328"/>
        <v>0</v>
      </c>
      <c r="AI1335" s="49" t="e">
        <f t="shared" si="318"/>
        <v>#VALUE!</v>
      </c>
      <c r="AK1335" s="50" t="e">
        <f t="shared" si="323"/>
        <v>#VALUE!</v>
      </c>
    </row>
    <row r="1336" spans="1:37" x14ac:dyDescent="0.4">
      <c r="A1336" s="2">
        <v>2489</v>
      </c>
      <c r="B1336" s="16"/>
      <c r="C1336" s="22">
        <f t="shared" si="320"/>
        <v>0</v>
      </c>
      <c r="D1336" s="23">
        <f t="shared" si="324"/>
        <v>0</v>
      </c>
      <c r="E1336" s="14"/>
      <c r="F1336" s="12">
        <f t="shared" si="321"/>
        <v>0</v>
      </c>
      <c r="G1336" s="24">
        <f t="shared" si="325"/>
        <v>0</v>
      </c>
      <c r="H1336" s="14"/>
      <c r="I1336" s="14"/>
      <c r="J1336" s="29"/>
      <c r="K1336" s="30"/>
      <c r="M1336" s="17"/>
      <c r="N1336" s="7"/>
      <c r="O1336" s="5"/>
      <c r="P1336" s="3"/>
      <c r="Q1336" s="5"/>
      <c r="R1336" s="7"/>
      <c r="S1336" s="5"/>
      <c r="U1336" s="10"/>
      <c r="V1336" s="11"/>
      <c r="W1336" s="6"/>
      <c r="Y1336" s="10"/>
      <c r="Z1336" s="11"/>
      <c r="AA1336" s="6"/>
      <c r="AB1336" s="1">
        <v>1.2</v>
      </c>
      <c r="AC1336" s="21" t="str">
        <f t="shared" si="326"/>
        <v/>
      </c>
      <c r="AD1336" s="27" t="str">
        <f t="shared" si="319"/>
        <v/>
      </c>
      <c r="AE1336" s="27" t="str">
        <f t="shared" si="317"/>
        <v/>
      </c>
      <c r="AF1336" s="14">
        <f t="shared" si="327"/>
        <v>0</v>
      </c>
      <c r="AG1336" s="12">
        <f t="shared" si="322"/>
        <v>0</v>
      </c>
      <c r="AH1336" s="24">
        <f t="shared" si="328"/>
        <v>0</v>
      </c>
      <c r="AI1336" s="49" t="e">
        <f t="shared" si="318"/>
        <v>#VALUE!</v>
      </c>
      <c r="AK1336" s="50" t="e">
        <f t="shared" si="323"/>
        <v>#VALUE!</v>
      </c>
    </row>
    <row r="1337" spans="1:37" x14ac:dyDescent="0.4">
      <c r="A1337" s="2">
        <v>2490</v>
      </c>
      <c r="B1337" s="16"/>
      <c r="C1337" s="22">
        <f t="shared" si="320"/>
        <v>0</v>
      </c>
      <c r="D1337" s="23">
        <f t="shared" si="324"/>
        <v>0</v>
      </c>
      <c r="E1337" s="14"/>
      <c r="F1337" s="12">
        <f t="shared" si="321"/>
        <v>0</v>
      </c>
      <c r="G1337" s="24">
        <f t="shared" si="325"/>
        <v>0</v>
      </c>
      <c r="H1337" s="14"/>
      <c r="I1337" s="14"/>
      <c r="J1337" s="29"/>
      <c r="K1337" s="30"/>
      <c r="M1337" s="17"/>
      <c r="N1337" s="7"/>
      <c r="O1337" s="5"/>
      <c r="P1337" s="3"/>
      <c r="Q1337" s="5"/>
      <c r="R1337" s="7"/>
      <c r="S1337" s="5"/>
      <c r="U1337" s="10"/>
      <c r="V1337" s="11"/>
      <c r="W1337" s="6"/>
      <c r="Y1337" s="10"/>
      <c r="Z1337" s="11"/>
      <c r="AA1337" s="6"/>
      <c r="AB1337" s="1">
        <v>1.2</v>
      </c>
      <c r="AC1337" s="21" t="str">
        <f t="shared" si="326"/>
        <v/>
      </c>
      <c r="AD1337" s="27" t="str">
        <f t="shared" si="319"/>
        <v/>
      </c>
      <c r="AE1337" s="27" t="str">
        <f t="shared" si="317"/>
        <v/>
      </c>
      <c r="AF1337" s="14">
        <f t="shared" si="327"/>
        <v>0</v>
      </c>
      <c r="AG1337" s="12">
        <f t="shared" si="322"/>
        <v>0</v>
      </c>
      <c r="AH1337" s="24">
        <f t="shared" si="328"/>
        <v>0</v>
      </c>
      <c r="AI1337" s="49" t="e">
        <f t="shared" si="318"/>
        <v>#VALUE!</v>
      </c>
      <c r="AK1337" s="50" t="e">
        <f t="shared" si="323"/>
        <v>#VALUE!</v>
      </c>
    </row>
  </sheetData>
  <mergeCells count="7">
    <mergeCell ref="AC2:AE2"/>
    <mergeCell ref="U3:W3"/>
    <mergeCell ref="Y3:AA3"/>
    <mergeCell ref="M2:O2"/>
    <mergeCell ref="Q2:S2"/>
    <mergeCell ref="U2:W2"/>
    <mergeCell ref="Y2:AA2"/>
  </mergeCells>
  <phoneticPr fontId="2" type="noConversion"/>
  <conditionalFormatting sqref="AD3:AE1048576">
    <cfRule type="cellIs" dxfId="3" priority="5" operator="greaterThan">
      <formula>0.75</formula>
    </cfRule>
  </conditionalFormatting>
  <conditionalFormatting sqref="AK1:AK1048576">
    <cfRule type="cellIs" dxfId="2" priority="2" operator="equal">
      <formula>"RUIM"</formula>
    </cfRule>
    <cfRule type="cellIs" dxfId="1" priority="3" operator="equal">
      <formula>"BOM"</formula>
    </cfRule>
  </conditionalFormatting>
  <conditionalFormatting sqref="AD1:AE1048576">
    <cfRule type="cellIs" dxfId="0" priority="6" operator="equal">
      <formula>$AD$268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8bd75-e5af-473e-a771-af58d935aeec">
      <Terms xmlns="http://schemas.microsoft.com/office/infopath/2007/PartnerControls"/>
    </lcf76f155ced4ddcb4097134ff3c332f>
    <teste xmlns="4f78bd75-e5af-473e-a771-af58d935aeec" xsi:nil="true"/>
    <TaxCatchAll xmlns="2e1cb776-6995-4ef2-a2af-ac4d4b6f492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F60118CF4DD941A5203D2B469A8CE2" ma:contentTypeVersion="20" ma:contentTypeDescription="Crie um novo documento." ma:contentTypeScope="" ma:versionID="c583f6d12674ae1edc69bc686666a066">
  <xsd:schema xmlns:xsd="http://www.w3.org/2001/XMLSchema" xmlns:xs="http://www.w3.org/2001/XMLSchema" xmlns:p="http://schemas.microsoft.com/office/2006/metadata/properties" xmlns:ns2="4f78bd75-e5af-473e-a771-af58d935aeec" xmlns:ns3="2e1cb776-6995-4ef2-a2af-ac4d4b6f4925" targetNamespace="http://schemas.microsoft.com/office/2006/metadata/properties" ma:root="true" ma:fieldsID="34e355a2a8a4285c73523a208aba7276" ns2:_="" ns3:_="">
    <xsd:import namespace="4f78bd75-e5af-473e-a771-af58d935aeec"/>
    <xsd:import namespace="2e1cb776-6995-4ef2-a2af-ac4d4b6f49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tes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8bd75-e5af-473e-a771-af58d935a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339697e3-62eb-412e-b6ec-2aacf9b20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e" ma:index="26" nillable="true" ma:displayName="teste" ma:format="Dropdown" ma:internalName="teste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cb776-6995-4ef2-a2af-ac4d4b6f492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d191ebc-237e-4a87-a075-334d50cd7af5}" ma:internalName="TaxCatchAll" ma:showField="CatchAllData" ma:web="2e1cb776-6995-4ef2-a2af-ac4d4b6f49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CA4E99-D35C-4EFD-A8FA-B57A7B46C103}">
  <ds:schemaRefs>
    <ds:schemaRef ds:uri="http://schemas.microsoft.com/office/2006/metadata/properties"/>
    <ds:schemaRef ds:uri="http://www.w3.org/2000/xmlns/"/>
    <ds:schemaRef ds:uri="4f78bd75-e5af-473e-a771-af58d935aeec"/>
    <ds:schemaRef ds:uri="http://schemas.microsoft.com/office/infopath/2007/PartnerControls"/>
    <ds:schemaRef ds:uri="http://www.w3.org/2001/XMLSchema-instance"/>
    <ds:schemaRef ds:uri="2e1cb776-6995-4ef2-a2af-ac4d4b6f4925"/>
  </ds:schemaRefs>
</ds:datastoreItem>
</file>

<file path=customXml/itemProps2.xml><?xml version="1.0" encoding="utf-8"?>
<ds:datastoreItem xmlns:ds="http://schemas.openxmlformats.org/officeDocument/2006/customXml" ds:itemID="{59520554-F3A0-4585-99A7-C10AB43828D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4f78bd75-e5af-473e-a771-af58d935aeec"/>
    <ds:schemaRef ds:uri="2e1cb776-6995-4ef2-a2af-ac4d4b6f492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F4CDF8-8F83-40A3-AE80-28238BB7B8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ruptura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Gean Junior Reinholz</dc:creator>
  <cp:keywords/>
  <dc:description/>
  <cp:lastModifiedBy>Leandro Netto</cp:lastModifiedBy>
  <cp:revision/>
  <dcterms:created xsi:type="dcterms:W3CDTF">2025-08-13T11:39:01Z</dcterms:created>
  <dcterms:modified xsi:type="dcterms:W3CDTF">2026-01-08T19:25:33Z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