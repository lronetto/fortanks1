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 hidden="0" function="0" vbProcedure="0">'1'!$C$2:$U$55</definedName>
    <definedName name="_xlnm.Print_Area" localSheetId="0">'1'!$B$1:$V$56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d/m/yyyy"/>
    <numFmt numFmtId="166" formatCode="hh:mm"/>
  </numFmts>
  <fonts count="10">
    <font>
      <name val="Calibri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color rgb="FF000000"/>
      <sz val="11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000000"/>
      <sz val="11"/>
      <u val="single"/>
    </font>
    <font>
      <name val="Calibri"/>
      <family val="2"/>
      <color rgb="FF000000"/>
      <sz val="10"/>
      <u val="single"/>
    </font>
    <font>
      <name val="Calibri"/>
      <family val="2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66">
    <border>
      <left/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thin"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 style="thin"/>
      <bottom style="thin"/>
      <diagonal/>
    </border>
    <border>
      <left style="thin"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 style="thin"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 style="medium"/>
      <right style="thin"/>
      <top/>
      <bottom/>
      <diagonal/>
    </border>
    <border>
      <left style="thin"/>
      <right style="medium"/>
      <top/>
      <bottom style="thin"/>
      <diagonal/>
    </border>
    <border>
      <left style="medium"/>
      <right/>
      <top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/>
      <bottom style="medium"/>
      <diagonal/>
    </border>
    <border>
      <left/>
      <right style="thin"/>
      <top style="thin"/>
      <bottom style="medium"/>
      <diagonal/>
    </border>
    <border>
      <left style="thin"/>
      <right style="thin"/>
      <top/>
      <bottom style="medium"/>
      <diagonal/>
    </border>
    <border>
      <left style="medium"/>
      <right style="medium"/>
      <top/>
      <bottom style="medium"/>
      <diagonal/>
    </border>
    <border>
      <left style="thin"/>
      <right style="medium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medium"/>
      <top/>
      <bottom/>
      <diagonal/>
    </border>
    <border>
      <left style="thin"/>
      <right style="hair"/>
      <top style="thin"/>
      <bottom style="thin"/>
      <diagonal/>
    </border>
    <border>
      <left style="hair"/>
      <right style="thin"/>
      <top style="thin"/>
      <bottom style="thin"/>
      <diagonal/>
    </border>
    <border>
      <left style="medium"/>
      <right style="thin"/>
      <top style="thin"/>
      <bottom/>
      <diagonal/>
    </border>
    <border>
      <left style="thin"/>
      <right style="hair"/>
      <top style="thin"/>
      <bottom/>
      <diagonal/>
    </border>
    <border>
      <left style="hair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/>
      <top style="thin"/>
      <bottom/>
      <diagonal/>
    </border>
    <border>
      <left style="medium"/>
      <right style="medium"/>
      <top style="thin"/>
      <bottom style="medium"/>
      <diagonal/>
    </border>
    <border>
      <left style="medium"/>
      <right style="thin"/>
      <top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thin"/>
      <top/>
      <bottom style="medium"/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thin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thin"/>
      <top style="thin"/>
      <bottom/>
      <diagonal/>
    </border>
    <border>
      <left/>
      <right/>
      <top style="thin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4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5" fillId="0" borderId="3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center" vertical="bottom"/>
    </xf>
    <xf numFmtId="0" fontId="0" fillId="0" borderId="54" pivotButton="0" quotePrefix="0" xfId="0"/>
    <xf numFmtId="0" fontId="0" fillId="0" borderId="56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5" pivotButton="0" quotePrefix="0" xfId="0"/>
    <xf numFmtId="0" fontId="0" fillId="0" borderId="35" pivotButton="0" quotePrefix="0" xfId="0"/>
    <xf numFmtId="0" fontId="0" fillId="0" borderId="5" applyAlignment="1" pivotButton="0" quotePrefix="0" xfId="0">
      <alignment horizontal="left" vertical="center"/>
    </xf>
    <xf numFmtId="0" fontId="0" fillId="0" borderId="12" pivotButton="0" quotePrefix="0" xfId="0"/>
    <xf numFmtId="0" fontId="4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0" fontId="0" fillId="0" borderId="11" pivotButton="0" quotePrefix="0" xfId="0"/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0" fillId="0" borderId="16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64" pivotButton="0" quotePrefix="0" xfId="0"/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27" pivotButton="0" quotePrefix="0" xfId="0"/>
    <xf numFmtId="0" fontId="0" fillId="0" borderId="21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0" fontId="0" fillId="0" borderId="65" pivotButton="0" quotePrefix="0" xfId="0"/>
    <xf numFmtId="0" fontId="0" fillId="0" borderId="20" pivotButton="0" quotePrefix="0" xfId="0"/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0" fillId="0" borderId="63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34" pivotButton="0" quotePrefix="0" xfId="0"/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0" fontId="0" fillId="0" borderId="15" pivotButton="0" quotePrefix="0" xfId="0"/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0" fillId="0" borderId="23" pivotButton="0" quotePrefix="0" xfId="0"/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0" fillId="0" borderId="30" pivotButton="0" quotePrefix="0" xfId="0"/>
    <xf numFmtId="0" fontId="5" fillId="0" borderId="31" applyAlignment="1" pivotButton="0" quotePrefix="0" xfId="0">
      <alignment horizontal="left" vertical="center"/>
    </xf>
    <xf numFmtId="0" fontId="0" fillId="0" borderId="7" pivotButton="0" quotePrefix="0" xfId="0"/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36" pivotButton="0" quotePrefix="0" xfId="0"/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0" fillId="0" borderId="46" pivotButton="0" quotePrefix="0" xfId="0"/>
    <xf numFmtId="0" fontId="0" fillId="0" borderId="17" pivotButton="0" quotePrefix="0" xfId="0"/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0" fillId="0" borderId="62" pivotButton="0" quotePrefix="0" xfId="0"/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Calibri"/>
        <family val="0"/>
        <color rgb="FFFFFFFF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14</col>
      <colOff>104760</colOff>
      <row>31</row>
      <rowOff>19080</rowOff>
    </from>
    <to>
      <col>15</col>
      <colOff>278280</colOff>
      <row>34</row>
      <rowOff>180720</rowOff>
    </to>
    <pic>
      <nvPicPr>
        <cNvPr id="1" name="image1.png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703480" y="6477120"/>
          <a:ext cx="5043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47520</colOff>
      <row>31</row>
      <rowOff>19080</rowOff>
    </from>
    <to>
      <col>16</col>
      <colOff>570960</colOff>
      <row>34</row>
      <rowOff>190080</rowOff>
    </to>
    <pic>
      <nvPicPr>
        <cNvPr id="2" name="image2.png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410880" y="6477120"/>
          <a:ext cx="523440" cy="856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57240</colOff>
      <row>31</row>
      <rowOff>19080</rowOff>
    </from>
    <to>
      <col>18</col>
      <colOff>249840</colOff>
      <row>34</row>
      <rowOff>171000</rowOff>
    </to>
    <pic>
      <nvPicPr>
        <cNvPr id="3" name="image3.png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103880" y="6477120"/>
          <a:ext cx="523440" cy="837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19</col>
      <colOff>38160</colOff>
      <row>31</row>
      <rowOff>19080</rowOff>
    </from>
    <to>
      <col>19</col>
      <colOff>571320</colOff>
      <row>34</row>
      <rowOff>180720</rowOff>
    </to>
    <pic>
      <nvPicPr>
        <cNvPr id="4" name="image4.png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789680" y="6477120"/>
          <a:ext cx="5331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20</col>
      <colOff>47520</colOff>
      <row>31</row>
      <rowOff>24480</rowOff>
    </from>
    <to>
      <col>20</col>
      <colOff>542520</colOff>
      <row>34</row>
      <rowOff>186120</rowOff>
    </to>
    <pic>
      <nvPicPr>
        <cNvPr id="5" name="image5.png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8411760" y="6482520"/>
          <a:ext cx="49500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343080</colOff>
      <row>1</row>
      <rowOff>47520</rowOff>
    </from>
    <to>
      <col>5</col>
      <colOff>288360</colOff>
      <row>3</row>
      <rowOff>132840</rowOff>
    </to>
    <pic>
      <nvPicPr>
        <cNvPr id="6" name="image6.jpg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497600" y="162000"/>
          <a:ext cx="1533240" cy="5425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18</col>
      <colOff>321120</colOff>
      <row>44</row>
      <rowOff>5400</rowOff>
    </from>
    <to>
      <col>19</col>
      <colOff>594000</colOff>
      <row>45</row>
      <rowOff>360</rowOff>
    </to>
    <pic>
      <nvPicPr>
        <cNvPr id="7" name="Imagem 7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7698600" y="9711360"/>
          <a:ext cx="646920" cy="2235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21600</colOff>
      <row>53</row>
      <rowOff>191160</rowOff>
    </from>
    <to>
      <col>17</col>
      <colOff>304200</colOff>
      <row>54</row>
      <rowOff>287280</rowOff>
    </to>
    <pic>
      <nvPicPr>
        <cNvPr id="8" name="Imagem 8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6384960" y="12335400"/>
          <a:ext cx="965880" cy="324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92D050"/>
    <outlinePr summaryBelow="1" summaryRight="1"/>
    <pageSetUpPr fitToPage="1"/>
  </sheetPr>
  <dimension ref="A1:V55"/>
  <sheetViews>
    <sheetView showFormulas="0" showGridLines="0" showRowColHeaders="1" showZeros="1" rightToLeft="0" tabSelected="1" showOutlineSymbols="1" defaultGridColor="1" view="pageBreakPreview" topLeftCell="A18" colorId="64" zoomScale="100" zoomScaleNormal="100" zoomScalePageLayoutView="100" workbookViewId="0">
      <selection pane="topLeft" activeCell="Q25" activeCellId="0" sqref="Q25"/>
    </sheetView>
  </sheetViews>
  <sheetFormatPr baseColWidth="8" defaultColWidth="14.3828125" defaultRowHeight="15" customHeight="1" zeroHeight="0" outlineLevelRow="0"/>
  <cols>
    <col width="2" customWidth="1" style="130" min="2" max="2"/>
    <col width="9.529999999999999" customWidth="1" style="130" min="3" max="3"/>
    <col width="9.85" customWidth="1" style="130" min="4" max="4"/>
    <col width="3.15" customWidth="1" style="130" min="5" max="5"/>
    <col width="8.69" customWidth="1" style="130" min="6" max="6"/>
    <col width="7.38" customWidth="1" style="130" min="7" max="7"/>
    <col width="1" customWidth="1" style="130" min="8" max="8"/>
    <col width="0.85" customWidth="1" style="130" min="9" max="9"/>
    <col width="1.31" customWidth="1" style="130" min="10" max="10"/>
    <col width="2.38" customWidth="1" style="130" min="11" max="11"/>
    <col width="8.300000000000001" customWidth="1" style="130" min="12" max="12"/>
    <col width="5.31" customWidth="1" style="130" min="13" max="14"/>
    <col width="4.69" customWidth="1" style="130" min="15" max="15"/>
    <col width="6.15" customWidth="1" style="130" min="16" max="16"/>
    <col width="9.69" customWidth="1" style="130" min="17" max="17"/>
    <col width="4.69" customWidth="1" style="130" min="18" max="18"/>
    <col width="5.31" customWidth="1" style="130" min="19" max="19"/>
    <col width="8.69" customWidth="1" style="130" min="20" max="21"/>
    <col width="1.85" customWidth="1" style="130" min="22" max="22"/>
  </cols>
  <sheetData>
    <row r="1" ht="9" customHeight="1" s="131"/>
    <row r="2" ht="18" customHeight="1" s="131">
      <c r="C2" s="132" t="n"/>
      <c r="D2" s="133" t="n"/>
      <c r="E2" s="133" t="n"/>
      <c r="F2" s="134" t="n"/>
      <c r="G2" s="135" t="inlineStr">
        <is>
          <t xml:space="preserve">FICHA DE MOLDAGEM E ROMPIMENTO DE CONCRETO </t>
        </is>
      </c>
      <c r="H2" s="136" t="n"/>
      <c r="I2" s="136" t="n"/>
      <c r="J2" s="136" t="n"/>
      <c r="K2" s="136" t="n"/>
      <c r="L2" s="136" t="n"/>
      <c r="M2" s="136" t="n"/>
      <c r="N2" s="136" t="n"/>
      <c r="O2" s="136" t="n"/>
      <c r="P2" s="136" t="n"/>
      <c r="Q2" s="137" t="n"/>
      <c r="R2" s="138" t="inlineStr">
        <is>
          <t>FMRC Nº:</t>
        </is>
      </c>
      <c r="S2" s="136" t="n"/>
      <c r="T2" s="139" t="inlineStr">
        <is>
          <t>1015</t>
        </is>
      </c>
      <c r="U2" s="140" t="n"/>
    </row>
    <row r="3" ht="18" customHeight="1" s="131">
      <c r="C3" s="141" t="n"/>
      <c r="F3" s="142" t="n"/>
      <c r="G3" s="143" t="inlineStr">
        <is>
          <t>CLIENTE:</t>
        </is>
      </c>
      <c r="H3" s="144" t="n"/>
      <c r="I3" s="144" t="n"/>
      <c r="J3" s="145" t="inlineStr">
        <is>
          <t>ARAUCO CELULOSE DO BRASIL S.A.</t>
        </is>
      </c>
      <c r="K3" s="144" t="n"/>
      <c r="L3" s="144" t="n"/>
      <c r="M3" s="144" t="n"/>
      <c r="N3" s="144" t="n"/>
      <c r="O3" s="144" t="n"/>
      <c r="P3" s="144" t="n"/>
      <c r="Q3" s="144" t="n"/>
      <c r="R3" s="144" t="n"/>
      <c r="S3" s="144" t="n"/>
      <c r="T3" s="144" t="n"/>
      <c r="U3" s="146" t="n"/>
    </row>
    <row r="4" ht="18" customHeight="1" s="131">
      <c r="C4" s="147" t="n"/>
      <c r="D4" s="148" t="n"/>
      <c r="E4" s="148" t="n"/>
      <c r="F4" s="149" t="n"/>
      <c r="G4" s="150" t="inlineStr">
        <is>
          <t>OBRA:</t>
        </is>
      </c>
      <c r="H4" s="148" t="n"/>
      <c r="I4" s="148" t="n"/>
      <c r="J4" s="151" t="inlineStr">
        <is>
          <t>CLARIFICADOR PRIMARIO 01</t>
        </is>
      </c>
      <c r="K4" s="148" t="n"/>
      <c r="L4" s="148" t="n"/>
      <c r="M4" s="148" t="n"/>
      <c r="N4" s="148" t="n"/>
      <c r="O4" s="148" t="n"/>
      <c r="P4" s="148" t="n"/>
      <c r="Q4" s="148" t="n"/>
      <c r="R4" s="148" t="n"/>
      <c r="S4" s="148" t="n"/>
      <c r="T4" s="148" t="n"/>
      <c r="U4" s="152" t="n"/>
    </row>
    <row r="5" ht="12.75" customHeight="1" s="131">
      <c r="C5" s="153" t="n"/>
      <c r="D5" s="153" t="n"/>
      <c r="E5" s="153" t="n"/>
      <c r="F5" s="153" t="n"/>
      <c r="G5" s="154" t="n"/>
      <c r="H5" s="154" t="n"/>
      <c r="I5" s="154" t="n"/>
      <c r="J5" s="154" t="n"/>
      <c r="K5" s="154" t="n"/>
      <c r="L5" s="154" t="n"/>
      <c r="M5" s="154" t="n"/>
      <c r="N5" s="154" t="n"/>
      <c r="O5" s="154" t="n"/>
      <c r="P5" s="154" t="n"/>
      <c r="Q5" s="154" t="n"/>
      <c r="R5" s="154" t="n"/>
      <c r="S5" s="154" t="n"/>
      <c r="T5" s="154" t="n"/>
      <c r="U5" s="154" t="n"/>
    </row>
    <row r="6" ht="18" customHeight="1" s="131">
      <c r="C6" s="155" t="inlineStr">
        <is>
          <t>ESPECIFICAÇÃO DO CONCRETO</t>
        </is>
      </c>
      <c r="D6" s="136" t="n"/>
      <c r="E6" s="136" t="n"/>
      <c r="F6" s="136" t="n"/>
      <c r="G6" s="136" t="n"/>
      <c r="H6" s="136" t="n"/>
      <c r="I6" s="136" t="n"/>
      <c r="J6" s="136" t="n"/>
      <c r="K6" s="136" t="n"/>
      <c r="L6" s="136" t="n"/>
      <c r="M6" s="136" t="n"/>
      <c r="N6" s="136" t="n"/>
      <c r="O6" s="136" t="n"/>
      <c r="P6" s="136" t="n"/>
      <c r="Q6" s="136" t="n"/>
      <c r="R6" s="136" t="n"/>
      <c r="S6" s="136" t="n"/>
      <c r="T6" s="136" t="n"/>
      <c r="U6" s="140" t="n"/>
    </row>
    <row r="7" ht="18" customHeight="1" s="131">
      <c r="C7" s="156" t="inlineStr">
        <is>
          <t>TIPO DO CONCRETO:</t>
        </is>
      </c>
      <c r="D7" s="157" t="n"/>
      <c r="E7" s="158" t="inlineStr">
        <is>
          <t>fck&gt;=</t>
        </is>
      </c>
      <c r="F7" s="159" t="n"/>
      <c r="G7" s="160" t="inlineStr">
        <is>
          <t>40 MPa</t>
        </is>
      </c>
      <c r="H7" s="159" t="n"/>
      <c r="I7" s="159" t="n"/>
      <c r="J7" s="159" t="n"/>
      <c r="K7" s="159" t="n"/>
      <c r="L7" s="161" t="inlineStr">
        <is>
          <t>MPa</t>
        </is>
      </c>
      <c r="M7" s="161" t="inlineStr">
        <is>
          <t>28 dias</t>
        </is>
      </c>
      <c r="N7" s="161" t="n"/>
      <c r="O7" s="157" t="inlineStr">
        <is>
          <t>TRAÇO    FTK-</t>
        </is>
      </c>
      <c r="P7" s="162" t="n"/>
      <c r="Q7" s="163" t="inlineStr">
        <is>
          <t>40</t>
        </is>
      </c>
      <c r="R7" s="162" t="n"/>
      <c r="S7" s="164" t="n"/>
      <c r="T7" s="165" t="inlineStr">
        <is>
          <t>BRITA:</t>
        </is>
      </c>
      <c r="U7" s="166" t="inlineStr">
        <is>
          <t>0</t>
        </is>
      </c>
    </row>
    <row r="8" ht="18" customHeight="1" s="131">
      <c r="C8" s="167" t="inlineStr">
        <is>
          <t>RESTRIÇÃO:</t>
        </is>
      </c>
      <c r="D8" s="144" t="n"/>
      <c r="E8" s="168" t="inlineStr">
        <is>
          <t>fck&gt;=</t>
        </is>
      </c>
      <c r="F8" s="144" t="n"/>
      <c r="G8" s="160" t="inlineStr">
        <is>
          <t>24,0</t>
        </is>
      </c>
      <c r="H8" s="159" t="n"/>
      <c r="I8" s="159" t="n"/>
      <c r="J8" s="159" t="n"/>
      <c r="K8" s="159" t="n"/>
      <c r="L8" s="161" t="inlineStr">
        <is>
          <t>MPa p/ desprotensão</t>
        </is>
      </c>
      <c r="M8" s="161" t="n"/>
      <c r="N8" s="161" t="n"/>
      <c r="O8" s="169" t="inlineStr">
        <is>
          <t>CIMENTO 1 :</t>
        </is>
      </c>
      <c r="P8" s="161" t="n"/>
      <c r="Q8" s="161" t="n"/>
      <c r="R8" s="170" t="inlineStr">
        <is>
          <t>CPIII 40 RS</t>
        </is>
      </c>
      <c r="S8" s="159" t="n"/>
      <c r="T8" s="159" t="n"/>
      <c r="U8" s="171" t="n"/>
    </row>
    <row r="9" ht="18" customHeight="1" s="131">
      <c r="C9" s="172" t="inlineStr">
        <is>
          <t>CONSISTÊNCIA PREVISTA:</t>
        </is>
      </c>
      <c r="D9" s="173" t="n"/>
      <c r="E9" s="174" t="n"/>
      <c r="F9" s="175" t="inlineStr">
        <is>
          <t>SLUMP=</t>
        </is>
      </c>
      <c r="G9" s="176" t="n"/>
      <c r="H9" s="168" t="n"/>
      <c r="I9" s="144" t="n"/>
      <c r="J9" s="144" t="n"/>
      <c r="K9" s="144" t="n"/>
      <c r="L9" s="168" t="n"/>
      <c r="M9" s="177" t="inlineStr">
        <is>
          <t>mm</t>
        </is>
      </c>
      <c r="N9" s="178" t="n"/>
      <c r="O9" s="157" t="inlineStr">
        <is>
          <t>CIMENTO 2:</t>
        </is>
      </c>
      <c r="P9" s="161" t="n"/>
      <c r="Q9" s="161" t="n"/>
      <c r="R9" s="170" t="inlineStr">
        <is>
          <t>CP V</t>
        </is>
      </c>
      <c r="S9" s="159" t="n"/>
      <c r="T9" s="159" t="n"/>
      <c r="U9" s="171" t="n"/>
      <c r="V9" s="153" t="n"/>
    </row>
    <row r="10" ht="18" customHeight="1" s="131">
      <c r="C10" s="179" t="n"/>
      <c r="D10" s="180" t="n"/>
      <c r="E10" s="181" t="inlineStr">
        <is>
          <t>X</t>
        </is>
      </c>
      <c r="F10" s="182" t="inlineStr">
        <is>
          <t>FLOW=</t>
        </is>
      </c>
      <c r="G10" s="176" t="inlineStr">
        <is>
          <t>700 +- 50</t>
        </is>
      </c>
      <c r="H10" s="144" t="n"/>
      <c r="I10" s="144" t="n"/>
      <c r="J10" s="144" t="n"/>
      <c r="K10" s="144" t="n"/>
      <c r="L10" s="144" t="n"/>
      <c r="M10" s="177" t="inlineStr">
        <is>
          <t>mm</t>
        </is>
      </c>
      <c r="N10" s="178" t="n"/>
      <c r="O10" s="183" t="inlineStr">
        <is>
          <t>CONSUMO DE CIMENTO ( kg/m³ ):</t>
        </is>
      </c>
      <c r="P10" s="144" t="n"/>
      <c r="Q10" s="144" t="n"/>
      <c r="R10" s="144" t="n"/>
      <c r="S10" s="144" t="n"/>
      <c r="T10" s="184" t="inlineStr">
        <is>
          <t>1 (50%)  /   2 (50%)</t>
        </is>
      </c>
      <c r="U10" s="146" t="n"/>
      <c r="V10" s="153" t="n"/>
    </row>
    <row r="11" ht="18" customHeight="1" s="131">
      <c r="C11" s="185" t="inlineStr">
        <is>
          <t>ADITIVO:</t>
        </is>
      </c>
      <c r="D11" s="186" t="inlineStr">
        <is>
          <t>superplastificante</t>
        </is>
      </c>
      <c r="E11" s="144" t="n"/>
      <c r="F11" s="144" t="n"/>
      <c r="G11" s="144" t="n"/>
      <c r="H11" s="144" t="n"/>
      <c r="I11" s="144" t="n"/>
      <c r="J11" s="144" t="n"/>
      <c r="K11" s="178" t="n"/>
      <c r="L11" s="187" t="inlineStr">
        <is>
          <t xml:space="preserve">LANÇAMENTO: </t>
        </is>
      </c>
      <c r="M11" s="144" t="n"/>
      <c r="N11" s="144" t="n"/>
      <c r="O11" s="188" t="n"/>
      <c r="P11" s="162" t="inlineStr">
        <is>
          <t>BOMBEADO</t>
        </is>
      </c>
      <c r="Q11" s="162" t="n"/>
      <c r="R11" s="189" t="inlineStr">
        <is>
          <t>X</t>
        </is>
      </c>
      <c r="S11" s="190" t="inlineStr">
        <is>
          <t>CONVENCIONAL</t>
        </is>
      </c>
      <c r="T11" s="144" t="n"/>
      <c r="U11" s="146" t="n"/>
      <c r="V11" s="153" t="n"/>
    </row>
    <row r="12" ht="18" customHeight="1" s="131">
      <c r="C12" s="191" t="inlineStr">
        <is>
          <t>OUTROS :</t>
        </is>
      </c>
      <c r="D12" s="192" t="inlineStr">
        <is>
          <t>SILICA ATIVA 5,5% DO CIMENTO</t>
        </is>
      </c>
      <c r="E12" s="193" t="n"/>
      <c r="F12" s="193" t="n"/>
      <c r="G12" s="193" t="n"/>
      <c r="H12" s="193" t="n"/>
      <c r="I12" s="193" t="n"/>
      <c r="J12" s="193" t="n"/>
      <c r="K12" s="193" t="n"/>
      <c r="L12" s="193" t="n"/>
      <c r="M12" s="193" t="n"/>
      <c r="N12" s="193" t="n"/>
      <c r="O12" s="193" t="n"/>
      <c r="P12" s="193" t="n"/>
      <c r="Q12" s="193" t="n"/>
      <c r="R12" s="193" t="n"/>
      <c r="S12" s="193" t="n"/>
      <c r="T12" s="193" t="n"/>
      <c r="U12" s="194" t="n"/>
      <c r="V12" s="153" t="n"/>
    </row>
    <row r="13" ht="7.5" customHeight="1" s="131">
      <c r="C13" s="153" t="n"/>
      <c r="D13" s="153" t="n"/>
      <c r="E13" s="153" t="n"/>
      <c r="F13" s="153" t="n"/>
      <c r="G13" s="154" t="n"/>
      <c r="H13" s="154" t="n"/>
      <c r="I13" s="154" t="n"/>
      <c r="J13" s="154" t="n"/>
      <c r="K13" s="154" t="n"/>
      <c r="L13" s="154" t="n"/>
      <c r="M13" s="154" t="n"/>
      <c r="N13" s="154" t="n"/>
      <c r="O13" s="154" t="n"/>
      <c r="P13" s="154" t="n"/>
      <c r="Q13" s="154" t="n"/>
      <c r="R13" s="154" t="n"/>
      <c r="S13" s="154" t="n"/>
      <c r="T13" s="154" t="n"/>
      <c r="U13" s="154" t="n"/>
    </row>
    <row r="14" ht="18" customHeight="1" s="131">
      <c r="C14" s="155" t="inlineStr">
        <is>
          <t>RECEBIMENTO DO CONCRETO / MOLDAGEM ( NBR 5738 / 2015 )</t>
        </is>
      </c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  <c r="M14" s="136" t="n"/>
      <c r="N14" s="136" t="n"/>
      <c r="O14" s="136" t="n"/>
      <c r="P14" s="136" t="n"/>
      <c r="Q14" s="136" t="n"/>
      <c r="R14" s="136" t="n"/>
      <c r="S14" s="136" t="n"/>
      <c r="T14" s="136" t="n"/>
      <c r="U14" s="140" t="n"/>
    </row>
    <row r="15" ht="18" customHeight="1" s="131">
      <c r="C15" s="167" t="inlineStr">
        <is>
          <t>CONCRETEIRA:</t>
        </is>
      </c>
      <c r="D15" s="195" t="n"/>
      <c r="E15" s="196" t="inlineStr">
        <is>
          <t>Fortanks</t>
        </is>
      </c>
      <c r="F15" s="144" t="n"/>
      <c r="G15" s="144" t="n"/>
      <c r="H15" s="197" t="inlineStr">
        <is>
          <t>DATA:</t>
        </is>
      </c>
      <c r="I15" s="144" t="n"/>
      <c r="J15" s="144" t="n"/>
      <c r="K15" s="144" t="n"/>
      <c r="L15" s="198" t="inlineStr">
        <is>
          <t>02/04/2025</t>
        </is>
      </c>
      <c r="M15" s="144" t="n"/>
      <c r="N15" s="178" t="n"/>
      <c r="O15" s="199" t="inlineStr">
        <is>
          <t>NÚMERO DO CAMINHÃO / PLACA:</t>
        </is>
      </c>
      <c r="P15" s="200" t="n"/>
      <c r="Q15" s="158" t="n"/>
      <c r="R15" s="158" t="n"/>
      <c r="S15" s="158" t="n"/>
      <c r="T15" s="166" t="inlineStr">
        <is>
          <t>01</t>
        </is>
      </c>
      <c r="U15" s="146" t="n"/>
      <c r="V15" s="153" t="n"/>
    </row>
    <row r="16" ht="18" customHeight="1" s="131">
      <c r="C16" s="167" t="inlineStr">
        <is>
          <t>NOTA FISCAL:</t>
        </is>
      </c>
      <c r="D16" s="144" t="n"/>
      <c r="E16" s="201" t="inlineStr">
        <is>
          <t>636</t>
        </is>
      </c>
      <c r="F16" s="144" t="n"/>
      <c r="G16" s="178" t="n"/>
      <c r="H16" s="202" t="inlineStr">
        <is>
          <t>HORÁRIO SAÍDA DA USINA:</t>
        </is>
      </c>
      <c r="I16" s="144" t="n"/>
      <c r="J16" s="144" t="n"/>
      <c r="K16" s="144" t="n"/>
      <c r="L16" s="144" t="n"/>
      <c r="M16" s="144" t="n"/>
      <c r="N16" s="144" t="n"/>
      <c r="O16" s="203" t="inlineStr">
        <is>
          <t>14:05</t>
        </is>
      </c>
      <c r="P16" s="178" t="n"/>
      <c r="Q16" s="176" t="inlineStr">
        <is>
          <t>HORÁRIO CHEGADA NO DESTINO:</t>
        </is>
      </c>
      <c r="R16" s="144" t="n"/>
      <c r="S16" s="144" t="n"/>
      <c r="T16" s="144" t="n"/>
      <c r="U16" s="204" t="inlineStr">
        <is>
          <t>14:10</t>
        </is>
      </c>
      <c r="V16" s="153" t="n"/>
    </row>
    <row r="17" ht="18" customHeight="1" s="131">
      <c r="C17" s="172" t="inlineStr">
        <is>
          <t>CONSISTÊNCIA REAL:</t>
        </is>
      </c>
      <c r="D17" s="173" t="n"/>
      <c r="E17" s="174" t="inlineStr"/>
      <c r="F17" s="205" t="inlineStr">
        <is>
          <t>SLUMP=</t>
        </is>
      </c>
      <c r="G17" s="206" t="inlineStr"/>
      <c r="H17" s="159" t="n"/>
      <c r="I17" s="159" t="n"/>
      <c r="J17" s="159" t="n"/>
      <c r="K17" s="159" t="n"/>
      <c r="L17" s="159" t="n"/>
      <c r="M17" s="207" t="inlineStr">
        <is>
          <t>mm</t>
        </is>
      </c>
      <c r="N17" s="180" t="n"/>
      <c r="O17" s="208" t="inlineStr">
        <is>
          <t>MOLDADOR:</t>
        </is>
      </c>
      <c r="P17" s="200" t="n"/>
      <c r="Q17" s="209" t="inlineStr">
        <is>
          <t>GEAN JR</t>
        </is>
      </c>
      <c r="R17" s="159" t="n"/>
      <c r="S17" s="159" t="n"/>
      <c r="T17" s="159" t="n"/>
      <c r="U17" s="171" t="n"/>
      <c r="V17" s="210" t="n"/>
    </row>
    <row r="18" ht="18" customHeight="1" s="131">
      <c r="C18" s="179" t="n"/>
      <c r="D18" s="180" t="n"/>
      <c r="E18" s="174" t="inlineStr">
        <is>
          <t>X</t>
        </is>
      </c>
      <c r="F18" s="211" t="inlineStr">
        <is>
          <t>FLOW=</t>
        </is>
      </c>
      <c r="G18" s="206" t="inlineStr">
        <is>
          <t>650/650</t>
        </is>
      </c>
      <c r="H18" s="159" t="n"/>
      <c r="I18" s="159" t="n"/>
      <c r="J18" s="159" t="n"/>
      <c r="K18" s="159" t="n"/>
      <c r="L18" s="159" t="n"/>
      <c r="M18" s="177" t="inlineStr">
        <is>
          <t>mm</t>
        </is>
      </c>
      <c r="N18" s="178" t="n"/>
      <c r="O18" s="212" t="inlineStr">
        <is>
          <t>caso não aceitar concreto justificar:</t>
        </is>
      </c>
      <c r="P18" s="213" t="n"/>
      <c r="Q18" s="213" t="n"/>
      <c r="R18" s="213" t="n"/>
      <c r="S18" s="213" t="n"/>
      <c r="T18" s="214" t="n"/>
      <c r="U18" s="215" t="n"/>
      <c r="V18" s="210" t="n"/>
    </row>
    <row r="19" ht="18" customHeight="1" s="131">
      <c r="C19" s="216" t="inlineStr">
        <is>
          <t>verificada as características do concreto na Nota e o abatimento,</t>
        </is>
      </c>
      <c r="N19" s="142" t="n"/>
      <c r="O19" s="217" t="n"/>
      <c r="U19" s="218" t="n"/>
      <c r="V19" s="210" t="n"/>
    </row>
    <row r="20" ht="18" customHeight="1" s="131">
      <c r="C20" s="216" t="inlineStr">
        <is>
          <t>liberar para lançamento ?</t>
        </is>
      </c>
      <c r="E20" s="142" t="n"/>
      <c r="F20" s="189" t="inlineStr">
        <is>
          <t>X</t>
        </is>
      </c>
      <c r="G20" s="219" t="inlineStr">
        <is>
          <t>sim</t>
        </is>
      </c>
      <c r="H20" s="219" t="n"/>
      <c r="I20" s="219" t="n"/>
      <c r="J20" s="219" t="n"/>
      <c r="K20" s="219" t="n"/>
      <c r="L20" s="188" t="n"/>
      <c r="M20" s="219" t="inlineStr">
        <is>
          <t>não</t>
        </is>
      </c>
      <c r="N20" s="219" t="n"/>
      <c r="O20" s="220" t="n"/>
      <c r="U20" s="218" t="n"/>
      <c r="V20" s="210" t="n"/>
    </row>
    <row r="21" ht="5.25" customHeight="1" s="131">
      <c r="C21" s="221" t="n"/>
      <c r="D21" s="222" t="n"/>
      <c r="E21" s="222" t="n"/>
      <c r="F21" s="223" t="n"/>
      <c r="G21" s="219" t="n"/>
      <c r="H21" s="219" t="n"/>
      <c r="I21" s="219" t="n"/>
      <c r="J21" s="219" t="n"/>
      <c r="K21" s="219" t="n"/>
      <c r="L21" s="202" t="n"/>
      <c r="M21" s="219" t="n"/>
      <c r="N21" s="219" t="n"/>
      <c r="O21" s="224" t="n"/>
      <c r="P21" s="159" t="n"/>
      <c r="Q21" s="159" t="n"/>
      <c r="R21" s="159" t="n"/>
      <c r="S21" s="159" t="n"/>
      <c r="T21" s="159" t="n"/>
      <c r="U21" s="171" t="n"/>
      <c r="V21" s="210" t="n"/>
    </row>
    <row r="22" ht="18" customHeight="1" s="131">
      <c r="C22" s="167" t="inlineStr">
        <is>
          <t>HORÁRIO DA MOLDAGEM:</t>
        </is>
      </c>
      <c r="D22" s="202" t="n"/>
      <c r="E22" s="202" t="n"/>
      <c r="F22" s="223" t="inlineStr">
        <is>
          <t>14:20</t>
        </is>
      </c>
      <c r="G22" s="168" t="inlineStr">
        <is>
          <t>VOLUME:</t>
        </is>
      </c>
      <c r="H22" s="144" t="n"/>
      <c r="I22" s="225" t="inlineStr">
        <is>
          <t>1.00</t>
        </is>
      </c>
      <c r="J22" s="144" t="n"/>
      <c r="K22" s="144" t="n"/>
      <c r="L22" s="144" t="n"/>
      <c r="M22" s="162" t="inlineStr">
        <is>
          <t>m³</t>
        </is>
      </c>
      <c r="N22" s="226" t="n"/>
      <c r="O22" s="212" t="inlineStr">
        <is>
          <t>observações:</t>
        </is>
      </c>
      <c r="P22" s="213" t="n"/>
      <c r="Q22" s="214" t="n"/>
      <c r="R22" s="227" t="n"/>
      <c r="S22" s="227" t="n"/>
      <c r="T22" s="227" t="n"/>
      <c r="U22" s="215" t="n"/>
    </row>
    <row r="23" ht="18" customHeight="1" s="131">
      <c r="C23" s="167" t="inlineStr">
        <is>
          <t>SÉRIE Nº:</t>
        </is>
      </c>
      <c r="D23" s="202" t="inlineStr">
        <is>
          <t>1015</t>
        </is>
      </c>
      <c r="E23" s="202" t="n"/>
      <c r="F23" s="202" t="n"/>
      <c r="G23" s="228" t="inlineStr">
        <is>
          <t>CRITÉRIO DE ROMPIMENTO PREVISTO:</t>
        </is>
      </c>
      <c r="H23" s="227" t="n"/>
      <c r="I23" s="227" t="n"/>
      <c r="J23" s="227" t="n"/>
      <c r="K23" s="227" t="n"/>
      <c r="L23" s="227" t="n"/>
      <c r="M23" s="227" t="n"/>
      <c r="N23" s="173" t="n"/>
      <c r="O23" s="229" t="inlineStr">
        <is>
          <t>TP: ( sentido da concretagem TOPO para "PÉ" do painel )</t>
        </is>
      </c>
      <c r="U23" s="218" t="n"/>
    </row>
    <row r="24" ht="18" customHeight="1" s="131">
      <c r="C24" s="230" t="inlineStr">
        <is>
          <t>QUANTIDADE DE CP's:</t>
        </is>
      </c>
      <c r="D24" s="193" t="n"/>
      <c r="E24" s="231" t="n">
        <v>4</v>
      </c>
      <c r="F24" s="232" t="n"/>
      <c r="G24" s="233" t="inlineStr">
        <is>
          <t>2 (24 h)  - 2 (28 dias)</t>
        </is>
      </c>
      <c r="H24" s="148" t="n"/>
      <c r="I24" s="148" t="n"/>
      <c r="J24" s="148" t="n"/>
      <c r="K24" s="148" t="n"/>
      <c r="L24" s="148" t="n"/>
      <c r="M24" s="148" t="n"/>
      <c r="N24" s="149" t="n"/>
      <c r="O24" s="234" t="n"/>
      <c r="P24" s="148" t="n"/>
      <c r="Q24" s="148" t="n"/>
      <c r="R24" s="148" t="n"/>
      <c r="S24" s="148" t="n"/>
      <c r="T24" s="148" t="n"/>
      <c r="U24" s="152" t="n"/>
    </row>
    <row r="25" ht="16.5" customHeight="1" s="131">
      <c r="C25" s="153" t="n"/>
      <c r="D25" s="153" t="n"/>
      <c r="E25" s="153" t="n"/>
      <c r="F25" s="153" t="n"/>
      <c r="G25" s="154" t="n"/>
      <c r="H25" s="154" t="n"/>
      <c r="I25" s="154" t="n"/>
      <c r="J25" s="154" t="n"/>
      <c r="K25" s="154" t="n"/>
      <c r="L25" s="154" t="n"/>
      <c r="M25" s="154" t="n"/>
      <c r="N25" s="154" t="n"/>
      <c r="O25" s="154" t="n"/>
      <c r="P25" s="154" t="n"/>
      <c r="Q25" s="154" t="n"/>
      <c r="R25" s="154" t="n"/>
      <c r="S25" s="154" t="n"/>
      <c r="T25" s="235" t="n"/>
      <c r="U25" s="154" t="n"/>
    </row>
    <row r="26" ht="18" customHeight="1" s="131">
      <c r="C26" s="155" t="inlineStr">
        <is>
          <t>PEÇA CONCRETADA</t>
        </is>
      </c>
      <c r="D26" s="136" t="n"/>
      <c r="E26" s="136" t="n"/>
      <c r="F26" s="136" t="n"/>
      <c r="G26" s="136" t="n"/>
      <c r="H26" s="136" t="n"/>
      <c r="I26" s="136" t="n"/>
      <c r="J26" s="136" t="n"/>
      <c r="K26" s="136" t="n"/>
      <c r="L26" s="136" t="n"/>
      <c r="M26" s="136" t="n"/>
      <c r="N26" s="136" t="n"/>
      <c r="O26" s="136" t="n"/>
      <c r="P26" s="136" t="n"/>
      <c r="Q26" s="136" t="n"/>
      <c r="R26" s="136" t="n"/>
      <c r="S26" s="136" t="n"/>
      <c r="T26" s="136" t="n"/>
      <c r="U26" s="140" t="n"/>
    </row>
    <row r="27" ht="18" customHeight="1" s="131">
      <c r="C27" s="236" t="inlineStr">
        <is>
          <t>PN-09</t>
        </is>
      </c>
      <c r="U27" s="218" t="n"/>
    </row>
    <row r="28" ht="18" customHeight="1" s="131">
      <c r="C28" s="147" t="n"/>
      <c r="D28" s="148" t="n"/>
      <c r="E28" s="148" t="n"/>
      <c r="F28" s="148" t="n"/>
      <c r="G28" s="148" t="n"/>
      <c r="H28" s="148" t="n"/>
      <c r="I28" s="148" t="n"/>
      <c r="J28" s="148" t="n"/>
      <c r="K28" s="148" t="n"/>
      <c r="L28" s="148" t="n"/>
      <c r="M28" s="148" t="n"/>
      <c r="N28" s="148" t="n"/>
      <c r="O28" s="148" t="n"/>
      <c r="P28" s="148" t="n"/>
      <c r="Q28" s="148" t="n"/>
      <c r="R28" s="148" t="n"/>
      <c r="S28" s="148" t="n"/>
      <c r="T28" s="148" t="n"/>
      <c r="U28" s="152" t="n"/>
    </row>
    <row r="29" ht="7.5" customHeight="1" s="131">
      <c r="C29" s="153" t="n"/>
      <c r="D29" s="153" t="n"/>
      <c r="E29" s="153" t="n"/>
      <c r="F29" s="153" t="n"/>
      <c r="G29" s="154" t="n"/>
      <c r="H29" s="154" t="n"/>
      <c r="I29" s="154" t="n"/>
      <c r="J29" s="154" t="n"/>
      <c r="K29" s="154" t="n"/>
      <c r="L29" s="154" t="n"/>
      <c r="M29" s="154" t="n"/>
      <c r="N29" s="154" t="n"/>
      <c r="O29" s="154" t="n"/>
      <c r="P29" s="154" t="n"/>
      <c r="Q29" s="154" t="n"/>
      <c r="R29" s="154" t="n"/>
      <c r="S29" s="154" t="n"/>
      <c r="T29" s="154" t="n"/>
      <c r="U29" s="154" t="n"/>
    </row>
    <row r="30" ht="18" customHeight="1" s="131">
      <c r="C30" s="155" t="inlineStr">
        <is>
          <t>ROMPIMENTO DO CONCRETO - RESISTÊNCIA À COMPRESSÃO ( NBR 5739 / 2007 )</t>
        </is>
      </c>
      <c r="D30" s="136" t="n"/>
      <c r="E30" s="136" t="n"/>
      <c r="F30" s="136" t="n"/>
      <c r="G30" s="136" t="n"/>
      <c r="H30" s="136" t="n"/>
      <c r="I30" s="136" t="n"/>
      <c r="J30" s="136" t="n"/>
      <c r="K30" s="136" t="n"/>
      <c r="L30" s="136" t="n"/>
      <c r="M30" s="136" t="n"/>
      <c r="N30" s="136" t="n"/>
      <c r="O30" s="136" t="n"/>
      <c r="P30" s="136" t="n"/>
      <c r="Q30" s="136" t="n"/>
      <c r="R30" s="136" t="n"/>
      <c r="S30" s="136" t="n"/>
      <c r="T30" s="136" t="n"/>
      <c r="U30" s="140" t="n"/>
    </row>
    <row r="31" ht="18" customHeight="1" s="131">
      <c r="C31" s="237" t="inlineStr">
        <is>
          <t>Responsável pelo rompimento</t>
        </is>
      </c>
      <c r="D31" s="238" t="inlineStr">
        <is>
          <t>Rompimentos</t>
        </is>
      </c>
      <c r="E31" s="188" t="inlineStr">
        <is>
          <t>DATA</t>
        </is>
      </c>
      <c r="F31" s="173" t="n"/>
      <c r="G31" s="239" t="inlineStr">
        <is>
          <t>PRAZO 
dia (d )
ou 
hora (h)</t>
        </is>
      </c>
      <c r="H31" s="227" t="n"/>
      <c r="I31" s="227" t="n"/>
      <c r="J31" s="227" t="n"/>
      <c r="K31" s="173" t="n"/>
      <c r="L31" s="188" t="inlineStr">
        <is>
          <t>HORÁRIO</t>
        </is>
      </c>
      <c r="M31" s="181" t="inlineStr">
        <is>
          <t>Fck obtido
( MPa )</t>
        </is>
      </c>
      <c r="N31" s="173" t="n"/>
      <c r="O31" s="240" t="inlineStr">
        <is>
          <t>TIPO DA RUPTURA DO CORPO DE PROVA ( x )</t>
        </is>
      </c>
      <c r="P31" s="144" t="n"/>
      <c r="Q31" s="144" t="n"/>
      <c r="R31" s="144" t="n"/>
      <c r="S31" s="144" t="n"/>
      <c r="T31" s="144" t="n"/>
      <c r="U31" s="146" t="n"/>
    </row>
    <row r="32" ht="18" customHeight="1" s="131">
      <c r="C32" s="241" t="n"/>
      <c r="D32" s="242" t="n"/>
      <c r="E32" s="220" t="n"/>
      <c r="F32" s="142" t="n"/>
      <c r="G32" s="220" t="n"/>
      <c r="K32" s="142" t="n"/>
      <c r="L32" s="242" t="n"/>
      <c r="M32" s="220" t="n"/>
      <c r="N32" s="142" t="n"/>
      <c r="O32" s="243" t="n"/>
      <c r="P32" s="244" t="n"/>
      <c r="Q32" s="245" t="n"/>
      <c r="R32" s="243" t="n"/>
      <c r="S32" s="244" t="n"/>
      <c r="T32" s="245" t="n"/>
      <c r="U32" s="246" t="n"/>
    </row>
    <row r="33" ht="18" customHeight="1" s="131">
      <c r="C33" s="241" t="n"/>
      <c r="D33" s="242" t="n"/>
      <c r="E33" s="220" t="n"/>
      <c r="F33" s="142" t="n"/>
      <c r="G33" s="220" t="n"/>
      <c r="K33" s="142" t="n"/>
      <c r="L33" s="242" t="n"/>
      <c r="M33" s="220" t="n"/>
      <c r="N33" s="142" t="n"/>
      <c r="O33" s="243" t="n"/>
      <c r="P33" s="244" t="n"/>
      <c r="Q33" s="245" t="n"/>
      <c r="R33" s="243" t="n"/>
      <c r="S33" s="244" t="n"/>
      <c r="T33" s="245" t="n"/>
      <c r="U33" s="246" t="n"/>
    </row>
    <row r="34" ht="18" customHeight="1" s="131">
      <c r="C34" s="241" t="n"/>
      <c r="D34" s="242" t="n"/>
      <c r="E34" s="220" t="n"/>
      <c r="F34" s="142" t="n"/>
      <c r="G34" s="220" t="n"/>
      <c r="K34" s="142" t="n"/>
      <c r="L34" s="242" t="n"/>
      <c r="M34" s="220" t="n"/>
      <c r="N34" s="142" t="n"/>
      <c r="O34" s="243" t="n"/>
      <c r="P34" s="244" t="n"/>
      <c r="Q34" s="245" t="n"/>
      <c r="R34" s="243" t="n"/>
      <c r="S34" s="244" t="n"/>
      <c r="T34" s="245" t="n"/>
      <c r="U34" s="246" t="n"/>
    </row>
    <row r="35" ht="39.75" customHeight="1" s="131">
      <c r="C35" s="247" t="n"/>
      <c r="D35" s="248" t="n"/>
      <c r="E35" s="224" t="n"/>
      <c r="F35" s="180" t="n"/>
      <c r="G35" s="224" t="n"/>
      <c r="H35" s="159" t="n"/>
      <c r="I35" s="159" t="n"/>
      <c r="J35" s="159" t="n"/>
      <c r="K35" s="180" t="n"/>
      <c r="L35" s="248" t="n"/>
      <c r="M35" s="224" t="n"/>
      <c r="N35" s="180" t="n"/>
      <c r="O35" s="249" t="inlineStr">
        <is>
          <t>cônica</t>
        </is>
      </c>
      <c r="P35" s="180" t="n"/>
      <c r="Q35" s="250" t="inlineStr">
        <is>
          <t>cônica e bipartida</t>
        </is>
      </c>
      <c r="R35" s="250" t="inlineStr">
        <is>
          <t>cônica e cisalhada</t>
        </is>
      </c>
      <c r="S35" s="180" t="n"/>
      <c r="T35" s="249" t="inlineStr">
        <is>
          <t>cisalhada</t>
        </is>
      </c>
      <c r="U35" s="251" t="inlineStr">
        <is>
          <t>colunar</t>
        </is>
      </c>
      <c r="V35" s="210" t="n"/>
    </row>
    <row r="36" ht="18" customHeight="1" s="131">
      <c r="C36" s="252" t="inlineStr">
        <is>
          <t>RR-1</t>
        </is>
      </c>
      <c r="D36" s="188" t="n">
        <v>1</v>
      </c>
      <c r="E36" s="253" t="inlineStr"/>
      <c r="F36" s="178" t="n"/>
      <c r="G36" s="254" t="inlineStr"/>
      <c r="H36" s="255" t="inlineStr">
        <is>
          <t>H</t>
        </is>
      </c>
      <c r="I36" s="144" t="n"/>
      <c r="J36" s="144" t="n"/>
      <c r="K36" s="178" t="n"/>
      <c r="L36" s="256" t="inlineStr"/>
      <c r="M36" s="257" t="inlineStr"/>
      <c r="N36" s="178" t="n"/>
      <c r="O36" s="188" t="inlineStr"/>
      <c r="P36" s="178" t="n"/>
      <c r="Q36" s="188" t="inlineStr"/>
      <c r="R36" s="188" t="inlineStr"/>
      <c r="S36" s="178" t="n"/>
      <c r="T36" s="188" t="inlineStr"/>
      <c r="U36" s="240" t="inlineStr"/>
      <c r="V36" s="210" t="n"/>
    </row>
    <row r="37" ht="18" customHeight="1" s="131">
      <c r="C37" s="252" t="inlineStr">
        <is>
          <t>RR-1</t>
        </is>
      </c>
      <c r="D37" s="188" t="n">
        <v>2</v>
      </c>
      <c r="E37" s="253" t="inlineStr"/>
      <c r="F37" s="178" t="n"/>
      <c r="G37" s="254" t="inlineStr"/>
      <c r="H37" s="255" t="inlineStr">
        <is>
          <t>H</t>
        </is>
      </c>
      <c r="I37" s="144" t="n"/>
      <c r="J37" s="144" t="n"/>
      <c r="K37" s="178" t="n"/>
      <c r="L37" s="256" t="inlineStr"/>
      <c r="M37" s="257" t="inlineStr"/>
      <c r="N37" s="178" t="n"/>
      <c r="O37" s="188" t="inlineStr"/>
      <c r="P37" s="178" t="n"/>
      <c r="Q37" s="188" t="inlineStr"/>
      <c r="R37" s="188" t="inlineStr"/>
      <c r="S37" s="178" t="n"/>
      <c r="T37" s="188" t="inlineStr"/>
      <c r="U37" s="240" t="inlineStr"/>
      <c r="V37" s="210" t="n"/>
    </row>
    <row r="38" ht="18" customHeight="1" s="131">
      <c r="C38" s="252" t="inlineStr">
        <is>
          <t>RR-1</t>
        </is>
      </c>
      <c r="D38" s="188" t="n">
        <v>3</v>
      </c>
      <c r="E38" s="253" t="inlineStr"/>
      <c r="F38" s="178" t="n"/>
      <c r="G38" s="258" t="n">
        <v>28</v>
      </c>
      <c r="H38" s="255" t="inlineStr">
        <is>
          <t>D</t>
        </is>
      </c>
      <c r="I38" s="144" t="n"/>
      <c r="J38" s="144" t="n"/>
      <c r="K38" s="178" t="n"/>
      <c r="L38" s="256" t="inlineStr"/>
      <c r="M38" s="257" t="inlineStr"/>
      <c r="N38" s="178" t="n"/>
      <c r="O38" s="188" t="inlineStr"/>
      <c r="P38" s="178" t="n"/>
      <c r="Q38" s="188" t="inlineStr"/>
      <c r="R38" s="188" t="inlineStr"/>
      <c r="S38" s="178" t="n"/>
      <c r="T38" s="188" t="inlineStr"/>
      <c r="U38" s="240" t="inlineStr"/>
      <c r="V38" s="210" t="n"/>
    </row>
    <row r="39" ht="18" customHeight="1" s="131">
      <c r="C39" s="252" t="inlineStr">
        <is>
          <t>RR-1</t>
        </is>
      </c>
      <c r="D39" s="188" t="n">
        <v>4</v>
      </c>
      <c r="E39" s="253" t="inlineStr"/>
      <c r="F39" s="178" t="n"/>
      <c r="G39" s="258" t="n">
        <v>28</v>
      </c>
      <c r="H39" s="255" t="inlineStr">
        <is>
          <t>D</t>
        </is>
      </c>
      <c r="I39" s="144" t="n"/>
      <c r="J39" s="144" t="n"/>
      <c r="K39" s="178" t="n"/>
      <c r="L39" s="256" t="inlineStr"/>
      <c r="M39" s="257" t="inlineStr"/>
      <c r="N39" s="178" t="n"/>
      <c r="O39" s="188" t="inlineStr"/>
      <c r="P39" s="178" t="n"/>
      <c r="Q39" s="188" t="inlineStr"/>
      <c r="R39" s="188" t="inlineStr"/>
      <c r="S39" s="178" t="n"/>
      <c r="T39" s="188" t="inlineStr"/>
      <c r="U39" s="240" t="inlineStr"/>
      <c r="V39" s="210" t="n"/>
    </row>
    <row r="40" ht="18" customHeight="1" s="131">
      <c r="C40" s="252" t="inlineStr">
        <is>
          <t>RR-1</t>
        </is>
      </c>
      <c r="D40" s="188" t="n">
        <v>5</v>
      </c>
      <c r="E40" s="253" t="n"/>
      <c r="F40" s="178" t="n"/>
      <c r="G40" s="258" t="n"/>
      <c r="H40" s="255" t="n"/>
      <c r="I40" s="144" t="n"/>
      <c r="J40" s="144" t="n"/>
      <c r="K40" s="178" t="n"/>
      <c r="L40" s="256" t="n"/>
      <c r="M40" s="259" t="n"/>
      <c r="N40" s="178" t="n"/>
      <c r="O40" s="188" t="n"/>
      <c r="P40" s="178" t="n"/>
      <c r="Q40" s="188" t="n"/>
      <c r="R40" s="188" t="n"/>
      <c r="S40" s="178" t="n"/>
      <c r="T40" s="188" t="n"/>
      <c r="U40" s="240" t="n"/>
      <c r="V40" s="210" t="n"/>
    </row>
    <row r="41" ht="18" customHeight="1" s="131">
      <c r="C41" s="252" t="inlineStr">
        <is>
          <t>RR-1</t>
        </is>
      </c>
      <c r="D41" s="188" t="n">
        <v>6</v>
      </c>
      <c r="E41" s="253" t="n"/>
      <c r="F41" s="178" t="n"/>
      <c r="G41" s="258" t="n"/>
      <c r="H41" s="255" t="n"/>
      <c r="I41" s="144" t="n"/>
      <c r="J41" s="144" t="n"/>
      <c r="K41" s="178" t="n"/>
      <c r="L41" s="256" t="n"/>
      <c r="M41" s="259" t="n"/>
      <c r="N41" s="178" t="n"/>
      <c r="O41" s="188" t="n"/>
      <c r="P41" s="178" t="n"/>
      <c r="Q41" s="188" t="n"/>
      <c r="R41" s="188" t="n"/>
      <c r="S41" s="178" t="n"/>
      <c r="T41" s="188" t="n"/>
      <c r="U41" s="240" t="n"/>
      <c r="V41" s="210" t="n"/>
    </row>
    <row r="42" ht="18" customHeight="1" s="131">
      <c r="C42" s="252" t="n"/>
      <c r="D42" s="188" t="n">
        <v>7</v>
      </c>
      <c r="E42" s="253" t="n"/>
      <c r="F42" s="178" t="n"/>
      <c r="G42" s="258" t="n"/>
      <c r="H42" s="255" t="n"/>
      <c r="I42" s="144" t="n"/>
      <c r="J42" s="144" t="n"/>
      <c r="K42" s="178" t="n"/>
      <c r="L42" s="256" t="n"/>
      <c r="M42" s="259" t="n"/>
      <c r="N42" s="178" t="n"/>
      <c r="O42" s="188" t="n"/>
      <c r="P42" s="178" t="n"/>
      <c r="Q42" s="188" t="n"/>
      <c r="R42" s="188" t="n"/>
      <c r="S42" s="178" t="n"/>
      <c r="T42" s="188" t="n"/>
      <c r="U42" s="260" t="n"/>
      <c r="V42" s="210" t="n"/>
    </row>
    <row r="43" ht="18" customHeight="1" s="131">
      <c r="C43" s="261" t="n"/>
      <c r="D43" s="262" t="n">
        <v>8</v>
      </c>
      <c r="E43" s="263" t="n"/>
      <c r="F43" s="173" t="n"/>
      <c r="G43" s="264" t="n"/>
      <c r="H43" s="265" t="n"/>
      <c r="I43" s="227" t="n"/>
      <c r="J43" s="227" t="n"/>
      <c r="K43" s="173" t="n"/>
      <c r="L43" s="266" t="n"/>
      <c r="M43" s="266" t="n"/>
      <c r="N43" s="173" t="n"/>
      <c r="O43" s="262" t="n"/>
      <c r="P43" s="173" t="n"/>
      <c r="Q43" s="262" t="n"/>
      <c r="R43" s="262" t="n"/>
      <c r="S43" s="173" t="n"/>
      <c r="T43" s="262" t="n"/>
      <c r="U43" s="267" t="n"/>
      <c r="V43" s="210" t="n"/>
    </row>
    <row r="44" ht="18" customHeight="1" s="131">
      <c r="C44" s="268" t="inlineStr">
        <is>
          <t>responsável pelo rompimento</t>
        </is>
      </c>
      <c r="D44" s="181" t="inlineStr">
        <is>
          <t>CÓDIGO</t>
        </is>
      </c>
      <c r="E44" s="253" t="inlineStr">
        <is>
          <t>NOME</t>
        </is>
      </c>
      <c r="F44" s="144" t="n"/>
      <c r="G44" s="144" t="n"/>
      <c r="H44" s="144" t="n"/>
      <c r="I44" s="144" t="n"/>
      <c r="J44" s="144" t="n"/>
      <c r="K44" s="144" t="n"/>
      <c r="L44" s="178" t="n"/>
      <c r="M44" s="256" t="inlineStr">
        <is>
          <t>FUNÇÃO</t>
        </is>
      </c>
      <c r="N44" s="144" t="n"/>
      <c r="O44" s="144" t="n"/>
      <c r="P44" s="144" t="n"/>
      <c r="Q44" s="178" t="n"/>
      <c r="R44" s="240" t="inlineStr">
        <is>
          <t>ASSINATURA</t>
        </is>
      </c>
      <c r="S44" s="144" t="n"/>
      <c r="T44" s="144" t="n"/>
      <c r="U44" s="146" t="n"/>
      <c r="V44" s="210" t="n"/>
    </row>
    <row r="45" ht="18" customHeight="1" s="131">
      <c r="C45" s="141" t="n"/>
      <c r="D45" s="269" t="inlineStr">
        <is>
          <t>RR-1</t>
        </is>
      </c>
      <c r="E45" s="270" t="inlineStr">
        <is>
          <t>Gean Junior Reinholz</t>
        </is>
      </c>
      <c r="F45" s="227" t="n"/>
      <c r="G45" s="227" t="n"/>
      <c r="H45" s="227" t="n"/>
      <c r="I45" s="227" t="n"/>
      <c r="J45" s="227" t="n"/>
      <c r="K45" s="227" t="n"/>
      <c r="L45" s="173" t="n"/>
      <c r="M45" s="259" t="inlineStr">
        <is>
          <t>Técnico de Edificações</t>
        </is>
      </c>
      <c r="N45" s="144" t="n"/>
      <c r="O45" s="144" t="n"/>
      <c r="P45" s="144" t="n"/>
      <c r="Q45" s="178" t="n"/>
      <c r="R45" s="271" t="n"/>
      <c r="S45" s="144" t="n"/>
      <c r="T45" s="144" t="n"/>
      <c r="U45" s="146" t="n"/>
      <c r="V45" s="210" t="n"/>
    </row>
    <row r="46" ht="18" customHeight="1" s="131">
      <c r="C46" s="141" t="n"/>
      <c r="D46" s="269" t="inlineStr">
        <is>
          <t>RR-2</t>
        </is>
      </c>
      <c r="E46" s="270" t="inlineStr">
        <is>
          <t>Leandro Rodrigues Netto</t>
        </is>
      </c>
      <c r="F46" s="227" t="n"/>
      <c r="G46" s="227" t="n"/>
      <c r="H46" s="227" t="n"/>
      <c r="I46" s="227" t="n"/>
      <c r="J46" s="227" t="n"/>
      <c r="K46" s="227" t="n"/>
      <c r="L46" s="173" t="n"/>
      <c r="M46" s="259" t="inlineStr">
        <is>
          <t>Gestor de Fábrica</t>
        </is>
      </c>
      <c r="N46" s="144" t="n"/>
      <c r="O46" s="144" t="n"/>
      <c r="P46" s="144" t="n"/>
      <c r="Q46" s="178" t="n"/>
      <c r="R46" s="271" t="n"/>
      <c r="S46" s="144" t="n"/>
      <c r="T46" s="144" t="n"/>
      <c r="U46" s="146" t="n"/>
      <c r="V46" s="210" t="n"/>
    </row>
    <row r="47" ht="18" customHeight="1" s="131">
      <c r="C47" s="141" t="n"/>
      <c r="D47" s="272" t="inlineStr">
        <is>
          <t>RR-3</t>
        </is>
      </c>
      <c r="E47" s="270" t="n"/>
      <c r="F47" s="227" t="n"/>
      <c r="G47" s="227" t="n"/>
      <c r="H47" s="227" t="n"/>
      <c r="I47" s="227" t="n"/>
      <c r="J47" s="227" t="n"/>
      <c r="K47" s="227" t="n"/>
      <c r="L47" s="173" t="n"/>
      <c r="M47" s="273" t="n"/>
      <c r="N47" s="227" t="n"/>
      <c r="O47" s="227" t="n"/>
      <c r="P47" s="227" t="n"/>
      <c r="Q47" s="173" t="n"/>
      <c r="R47" s="274" t="n"/>
      <c r="S47" s="227" t="n"/>
      <c r="T47" s="227" t="n"/>
      <c r="U47" s="215" t="n"/>
      <c r="V47" s="210" t="n"/>
    </row>
    <row r="48" ht="15.75" customHeight="1" s="131">
      <c r="C48" s="275" t="inlineStr">
        <is>
          <t>ENSAIO EXECUTADO NA PRENSA  MARCA PAVITEST / CONTENCO - FAIXA NOMINAL 100 tf, CERTIFICADO DE CALIBRAÇÃO SCM101907, EMITIDA PELO LABORATÓRIO DE METROLOGIA DA ONIX  EM 02/04/2025</t>
        </is>
      </c>
      <c r="D48" s="227" t="n"/>
      <c r="E48" s="227" t="n"/>
      <c r="F48" s="227" t="n"/>
      <c r="G48" s="227" t="n"/>
      <c r="H48" s="227" t="n"/>
      <c r="I48" s="227" t="n"/>
      <c r="J48" s="227" t="n"/>
      <c r="K48" s="227" t="n"/>
      <c r="L48" s="227" t="n"/>
      <c r="M48" s="227" t="n"/>
      <c r="N48" s="227" t="n"/>
      <c r="O48" s="227" t="n"/>
      <c r="P48" s="227" t="n"/>
      <c r="Q48" s="227" t="n"/>
      <c r="R48" s="227" t="n"/>
      <c r="S48" s="227" t="n"/>
      <c r="T48" s="227" t="n"/>
      <c r="U48" s="215" t="n"/>
    </row>
    <row r="49" ht="15.75" customHeight="1" s="131">
      <c r="C49" s="147" t="n"/>
      <c r="D49" s="148" t="n"/>
      <c r="E49" s="148" t="n"/>
      <c r="F49" s="148" t="n"/>
      <c r="G49" s="148" t="n"/>
      <c r="H49" s="148" t="n"/>
      <c r="I49" s="148" t="n"/>
      <c r="J49" s="148" t="n"/>
      <c r="K49" s="148" t="n"/>
      <c r="L49" s="148" t="n"/>
      <c r="M49" s="148" t="n"/>
      <c r="N49" s="148" t="n"/>
      <c r="O49" s="148" t="n"/>
      <c r="P49" s="148" t="n"/>
      <c r="Q49" s="148" t="n"/>
      <c r="R49" s="148" t="n"/>
      <c r="S49" s="148" t="n"/>
      <c r="T49" s="148" t="n"/>
      <c r="U49" s="152" t="n"/>
    </row>
    <row r="50" ht="18" customHeight="1" s="131">
      <c r="C50" s="155" t="inlineStr">
        <is>
          <t xml:space="preserve">RESISTÊNCIA FINAL </t>
        </is>
      </c>
      <c r="D50" s="136" t="n"/>
      <c r="E50" s="136" t="n"/>
      <c r="F50" s="136" t="n"/>
      <c r="G50" s="136" t="n"/>
      <c r="H50" s="136" t="n"/>
      <c r="I50" s="136" t="n"/>
      <c r="J50" s="136" t="n"/>
      <c r="K50" s="136" t="n"/>
      <c r="L50" s="136" t="n"/>
      <c r="M50" s="136" t="n"/>
      <c r="N50" s="136" t="n"/>
      <c r="O50" s="136" t="n"/>
      <c r="P50" s="136" t="n"/>
      <c r="Q50" s="136" t="n"/>
      <c r="R50" s="136" t="n"/>
      <c r="S50" s="136" t="n"/>
      <c r="T50" s="136" t="n"/>
      <c r="U50" s="140" t="n"/>
      <c r="V50" s="210" t="n"/>
    </row>
    <row r="51" ht="52.5" customHeight="1" s="131">
      <c r="C51" s="276" t="inlineStr">
        <is>
          <t>DATA DA RUPTURA</t>
        </is>
      </c>
      <c r="D51" s="159" t="n"/>
      <c r="E51" s="159" t="n"/>
      <c r="F51" s="180" t="n"/>
      <c r="G51" s="174" t="inlineStr">
        <is>
          <t>PRAZO 
dia (d )
ou 
hora (h)</t>
        </is>
      </c>
      <c r="H51" s="159" t="n"/>
      <c r="I51" s="159" t="n"/>
      <c r="J51" s="159" t="n"/>
      <c r="K51" s="180" t="n"/>
      <c r="L51" s="277" t="inlineStr">
        <is>
          <t>RESISTÊNCIA (MPa)
Valor adotado</t>
        </is>
      </c>
      <c r="M51" s="159" t="n"/>
      <c r="N51" s="171" t="n"/>
      <c r="O51" s="276" t="inlineStr">
        <is>
          <t>DATA DA RUPTURA</t>
        </is>
      </c>
      <c r="P51" s="159" t="n"/>
      <c r="Q51" s="180" t="n"/>
      <c r="R51" s="174" t="inlineStr">
        <is>
          <t>PRAZO 
dia (d )
ou 
hora (h)</t>
        </is>
      </c>
      <c r="S51" s="180" t="n"/>
      <c r="T51" s="277" t="inlineStr">
        <is>
          <t>RESISTÊNCIA (MPa)
Valor adotado</t>
        </is>
      </c>
      <c r="U51" s="171" t="n"/>
      <c r="V51" s="210" t="n"/>
    </row>
    <row r="52" ht="18" customHeight="1" s="131">
      <c r="C52" s="278" t="inlineStr"/>
      <c r="D52" s="144" t="n"/>
      <c r="E52" s="144" t="n"/>
      <c r="F52" s="178" t="n"/>
      <c r="G52" s="257" t="inlineStr"/>
      <c r="H52" s="259">
        <f>H36</f>
        <v/>
      </c>
      <c r="I52" s="144" t="n"/>
      <c r="J52" s="144" t="n"/>
      <c r="K52" s="178" t="n"/>
      <c r="L52" s="279" t="inlineStr"/>
      <c r="M52" s="144" t="n"/>
      <c r="N52" s="146" t="n"/>
      <c r="O52" s="278" t="n"/>
      <c r="P52" s="144" t="n"/>
      <c r="Q52" s="178" t="n"/>
      <c r="R52" s="269" t="n"/>
      <c r="S52" s="259" t="n"/>
      <c r="T52" s="280" t="n"/>
      <c r="U52" s="146" t="n"/>
      <c r="V52" s="210" t="n"/>
    </row>
    <row r="53" ht="18" customHeight="1" s="131">
      <c r="C53" s="281" t="inlineStr"/>
      <c r="D53" s="193" t="n"/>
      <c r="E53" s="193" t="n"/>
      <c r="F53" s="232" t="n"/>
      <c r="G53" s="282">
        <f>G38</f>
        <v/>
      </c>
      <c r="H53" s="283">
        <f>H38</f>
        <v/>
      </c>
      <c r="I53" s="193" t="n"/>
      <c r="J53" s="193" t="n"/>
      <c r="K53" s="232" t="n"/>
      <c r="L53" s="284" t="inlineStr"/>
      <c r="M53" s="193" t="n"/>
      <c r="N53" s="194" t="n"/>
      <c r="O53" s="281" t="n"/>
      <c r="P53" s="193" t="n"/>
      <c r="Q53" s="232" t="n"/>
      <c r="R53" s="282" t="n"/>
      <c r="S53" s="283" t="n"/>
      <c r="T53" s="285" t="n"/>
      <c r="U53" s="194" t="n"/>
      <c r="V53" s="210" t="n"/>
    </row>
    <row r="54" ht="18" customHeight="1" s="131">
      <c r="C54" s="286" t="inlineStr">
        <is>
          <t>responsável final pelo controle tecnógico:</t>
        </is>
      </c>
      <c r="D54" s="133" t="n"/>
      <c r="E54" s="133" t="n"/>
      <c r="F54" s="133" t="n"/>
      <c r="G54" s="134" t="n"/>
      <c r="H54" s="287" t="inlineStr">
        <is>
          <t>função:</t>
        </is>
      </c>
      <c r="I54" s="133" t="n"/>
      <c r="J54" s="133" t="n"/>
      <c r="K54" s="133" t="n"/>
      <c r="L54" s="133" t="n"/>
      <c r="M54" s="133" t="n"/>
      <c r="N54" s="133" t="n"/>
      <c r="O54" s="134" t="n"/>
      <c r="P54" s="288" t="inlineStr">
        <is>
          <t>ASSINATURA</t>
        </is>
      </c>
      <c r="Q54" s="133" t="n"/>
      <c r="R54" s="133" t="n"/>
      <c r="S54" s="289" t="n"/>
      <c r="T54" s="290" t="inlineStr">
        <is>
          <t>data</t>
        </is>
      </c>
      <c r="U54" s="289" t="n"/>
      <c r="V54" s="210" t="n"/>
    </row>
    <row r="55" ht="25.5" customHeight="1" s="131">
      <c r="C55" s="291" t="inlineStr">
        <is>
          <t>Leandro Rodrigues Netto</t>
        </is>
      </c>
      <c r="D55" s="148" t="n"/>
      <c r="E55" s="148" t="n"/>
      <c r="F55" s="148" t="n"/>
      <c r="G55" s="149" t="n"/>
      <c r="H55" s="292" t="inlineStr">
        <is>
          <t xml:space="preserve">Gestor de Fábrica </t>
        </is>
      </c>
      <c r="I55" s="148" t="n"/>
      <c r="J55" s="148" t="n"/>
      <c r="K55" s="148" t="n"/>
      <c r="L55" s="148" t="n"/>
      <c r="M55" s="148" t="n"/>
      <c r="N55" s="148" t="n"/>
      <c r="O55" s="149" t="n"/>
      <c r="P55" s="293" t="n"/>
      <c r="Q55" s="148" t="n"/>
      <c r="R55" s="148" t="n"/>
      <c r="S55" s="152" t="n"/>
      <c r="T55" s="293" t="inlineStr"/>
      <c r="U55" s="152" t="n"/>
      <c r="V55" s="210" t="n"/>
    </row>
    <row r="56" ht="7.5" customHeight="1" s="131"/>
    <row r="57" ht="7.5" customHeight="1" s="131"/>
    <row r="58" ht="15.75" customHeight="1" s="131"/>
    <row r="59" ht="15.75" customHeight="1" s="131"/>
    <row r="60" ht="15.75" customHeight="1" s="131"/>
    <row r="61" ht="15.75" customHeight="1" s="131"/>
    <row r="62" ht="15.75" customHeight="1" s="131"/>
    <row r="63" ht="15.75" customHeight="1" s="131"/>
    <row r="64" ht="15.75" customHeight="1" s="131"/>
    <row r="65" ht="15.75" customHeight="1" s="131"/>
    <row r="66" ht="15.75" customHeight="1" s="131"/>
    <row r="67" ht="15.75" customHeight="1" s="131"/>
    <row r="68" ht="15.75" customHeight="1" s="131"/>
    <row r="69" ht="15.75" customHeight="1" s="131"/>
    <row r="70" ht="15.75" customHeight="1" s="131"/>
    <row r="71" ht="15.75" customHeight="1" s="131"/>
    <row r="72" ht="15.75" customHeight="1" s="131"/>
    <row r="73" ht="15.75" customHeight="1" s="131"/>
    <row r="74" ht="15.75" customHeight="1" s="131"/>
    <row r="75" ht="15.75" customHeight="1" s="131"/>
    <row r="76" ht="15.75" customHeight="1" s="131"/>
    <row r="77" ht="15.75" customHeight="1" s="131"/>
    <row r="78" ht="15.75" customHeight="1" s="131"/>
    <row r="79" ht="15.75" customHeight="1" s="131"/>
    <row r="80" ht="15.75" customHeight="1" s="131"/>
    <row r="81" ht="15.75" customHeight="1" s="131"/>
    <row r="82" ht="15.75" customHeight="1" s="131"/>
    <row r="83" ht="15.75" customHeight="1" s="131"/>
    <row r="84" ht="15.75" customHeight="1" s="131"/>
    <row r="85" ht="15.75" customHeight="1" s="131"/>
    <row r="86" ht="15.75" customHeight="1" s="131"/>
    <row r="87" ht="15.75" customHeight="1" s="131"/>
    <row r="88" ht="15.75" customHeight="1" s="131"/>
    <row r="89" ht="15.75" customHeight="1" s="131"/>
    <row r="90" ht="15.75" customHeight="1" s="131"/>
    <row r="91" ht="15.75" customHeight="1" s="131"/>
    <row r="92" ht="15.75" customHeight="1" s="131"/>
    <row r="93" ht="15.75" customHeight="1" s="131"/>
    <row r="94" ht="15.75" customHeight="1" s="131"/>
    <row r="95" ht="15.75" customHeight="1" s="131"/>
    <row r="96" ht="15.75" customHeight="1" s="131"/>
    <row r="97" ht="15.75" customHeight="1" s="131"/>
    <row r="98" ht="15.75" customHeight="1" s="131"/>
    <row r="99" ht="15.75" customHeight="1" s="131"/>
    <row r="100" ht="15.75" customHeight="1" s="131"/>
    <row r="101" ht="15.75" customHeight="1" s="131"/>
    <row r="102" ht="15.75" customHeight="1" s="131"/>
  </sheetData>
  <mergeCells count="146">
    <mergeCell ref="C52:F52"/>
    <mergeCell ref="M43:N43"/>
    <mergeCell ref="M44:Q44"/>
    <mergeCell ref="E15:G15"/>
    <mergeCell ref="E8:F8"/>
    <mergeCell ref="H42:K42"/>
    <mergeCell ref="E44:L44"/>
    <mergeCell ref="O51:Q51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O40:P40"/>
    <mergeCell ref="M36:N36"/>
    <mergeCell ref="E46:L4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H15:K15"/>
    <mergeCell ref="L51:N51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G8:K8"/>
    <mergeCell ref="G23:N23"/>
    <mergeCell ref="O36:P36"/>
    <mergeCell ref="O39:P39"/>
    <mergeCell ref="L31:L35"/>
    <mergeCell ref="C53:F53"/>
    <mergeCell ref="T54:U54"/>
    <mergeCell ref="P55:S55"/>
    <mergeCell ref="D11:K11"/>
    <mergeCell ref="H38:K38"/>
    <mergeCell ref="C55:G55"/>
    <mergeCell ref="H43:K43"/>
    <mergeCell ref="C6:U6"/>
    <mergeCell ref="D12:U12"/>
    <mergeCell ref="R35:S35"/>
    <mergeCell ref="M40:N40"/>
    <mergeCell ref="H40:K40"/>
    <mergeCell ref="M37:N37"/>
    <mergeCell ref="M46:Q46"/>
    <mergeCell ref="Q22:U22"/>
    <mergeCell ref="O23:U24"/>
    <mergeCell ref="O53:Q53"/>
    <mergeCell ref="C48:U49"/>
    <mergeCell ref="E7:F7"/>
    <mergeCell ref="C50:U50"/>
    <mergeCell ref="M38:N38"/>
    <mergeCell ref="E41:F41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G17:L17"/>
    <mergeCell ref="E37:F37"/>
    <mergeCell ref="T18:U18"/>
    <mergeCell ref="O37:P37"/>
  </mergeCells>
  <conditionalFormatting sqref="E17:E18 G17:L18 O36:U39">
    <cfRule type="cellIs" rank="0" priority="2" equalAverage="0" operator="equal" aboveAverage="0" dxfId="0" text="" percent="0" bottom="0">
      <formula>0</formula>
    </cfRule>
  </conditionalFormatting>
  <printOptions horizontalCentered="1" verticalCentered="0" headings="0" gridLines="0" gridLinesSet="1"/>
  <pageMargins left="0.2" right="0.2" top="0.3" bottom="0.3" header="0.1" footer="0.1"/>
  <pageSetup orientation="portrait" paperSize="9" scale="100" fitToHeight="1" fitToWidth="1" pageOrder="downThenOver" blackAndWhite="0" draft="0" horizontalDpi="300" verticalDpi="300" copies="1"/>
  <colBreaks count="1" manualBreakCount="1">
    <brk id="21" min="0" max="6553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:language xmlns:dc="http://purl.org/dc/elements/1.1/">pt-BR</dc:language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2026-01-22T18:07:20Z</dcterms:modified>
  <cp:revision>1</cp:revision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