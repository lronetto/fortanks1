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25350" yWindow="2895" windowWidth="18510" windowHeight="10740" tabRatio="866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'1'!$C$2:$U$55</definedName>
    <definedName name="_xlnm.Print_Area" localSheetId="0">'1'!$B$1:$V$56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rgb="FF000000"/>
      <sz val="11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sz val="10"/>
    </font>
    <font>
      <name val="Calibri"/>
      <family val="2"/>
      <color rgb="FF000000"/>
      <sz val="10"/>
      <u val="single"/>
    </font>
    <font>
      <name val="Calibri"/>
      <family val="2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20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20" fontId="2" fillId="0" borderId="2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vertical="center"/>
    </xf>
    <xf numFmtId="0" fontId="2" fillId="0" borderId="37" pivotButton="0" quotePrefix="0" xfId="0"/>
    <xf numFmtId="0" fontId="2" fillId="0" borderId="9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2" fontId="2" fillId="0" borderId="46" applyAlignment="1" pivotButton="0" quotePrefix="0" xfId="0">
      <alignment horizontal="center"/>
    </xf>
    <xf numFmtId="20" fontId="2" fillId="0" borderId="28" applyAlignment="1" pivotButton="0" quotePrefix="0" xfId="0">
      <alignment horizontal="center"/>
    </xf>
    <xf numFmtId="0" fontId="2" fillId="0" borderId="48" applyAlignment="1" pivotButton="0" quotePrefix="0" xfId="0">
      <alignment horizontal="center" vertical="center"/>
    </xf>
    <xf numFmtId="1" fontId="2" fillId="0" borderId="46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49" applyAlignment="1" pivotButton="0" quotePrefix="0" xfId="0">
      <alignment horizontal="center"/>
    </xf>
    <xf numFmtId="2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/>
    </xf>
    <xf numFmtId="1" fontId="2" fillId="0" borderId="41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" fontId="2" fillId="0" borderId="52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0" borderId="2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6" fillId="0" borderId="5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14" fontId="2" fillId="0" borderId="11" applyAlignment="1" pivotButton="0" quotePrefix="0" xfId="0">
      <alignment horizontal="center" vertical="center"/>
    </xf>
    <xf numFmtId="2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41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/>
    </xf>
    <xf numFmtId="0" fontId="2" fillId="0" borderId="60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2" fillId="0" borderId="65" applyAlignment="1" pivotButton="0" quotePrefix="0" xfId="0">
      <alignment vertical="center"/>
    </xf>
    <xf numFmtId="0" fontId="2" fillId="0" borderId="67" applyAlignment="1" pivotButton="0" quotePrefix="0" xfId="0">
      <alignment horizontal="left" vertical="center"/>
    </xf>
    <xf numFmtId="0" fontId="2" fillId="0" borderId="67" applyAlignment="1" pivotButton="0" quotePrefix="0" xfId="0">
      <alignment vertical="center"/>
    </xf>
    <xf numFmtId="0" fontId="2" fillId="0" borderId="70" applyAlignment="1" pivotButton="0" quotePrefix="0" xfId="0">
      <alignment vertical="center"/>
    </xf>
    <xf numFmtId="20" fontId="2" fillId="0" borderId="74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2" borderId="8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0" fillId="0" borderId="0" pivotButton="0" quotePrefix="0" xfId="0"/>
    <xf numFmtId="0" fontId="1" fillId="0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4" fillId="2" borderId="5" applyAlignment="1" pivotButton="0" quotePrefix="0" xfId="0">
      <alignment horizontal="center" vertical="center"/>
    </xf>
    <xf numFmtId="0" fontId="1" fillId="2" borderId="7" pivotButton="0" quotePrefix="0" xfId="0"/>
    <xf numFmtId="0" fontId="0" fillId="0" borderId="10" applyAlignment="1" pivotButton="0" quotePrefix="0" xfId="0">
      <alignment horizontal="left" vertical="center"/>
    </xf>
    <xf numFmtId="0" fontId="1" fillId="0" borderId="11" pivotButton="0" quotePrefix="0" xfId="0"/>
    <xf numFmtId="0" fontId="4" fillId="0" borderId="11" applyAlignment="1" pivotButton="0" quotePrefix="0" xfId="0">
      <alignment horizontal="left" vertical="center"/>
    </xf>
    <xf numFmtId="0" fontId="1" fillId="0" borderId="12" pivotButton="0" quotePrefix="0" xfId="0"/>
    <xf numFmtId="0" fontId="0" fillId="0" borderId="16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1" fillId="0" borderId="17" pivotButton="0" quotePrefix="0" xfId="0"/>
    <xf numFmtId="0" fontId="2" fillId="0" borderId="68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69" pivotButton="0" quotePrefix="0" xfId="0"/>
    <xf numFmtId="0" fontId="1" fillId="0" borderId="27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25" pivotButton="0" quotePrefix="0" xfId="0"/>
    <xf numFmtId="0" fontId="2" fillId="2" borderId="22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63" pivotButton="0" quotePrefix="0" xfId="0"/>
    <xf numFmtId="0" fontId="1" fillId="0" borderId="64" pivotButton="0" quotePrefix="0" xfId="0"/>
    <xf numFmtId="0" fontId="2" fillId="0" borderId="22" applyAlignment="1" pivotButton="0" quotePrefix="0" xfId="0">
      <alignment horizontal="center" vertical="center"/>
    </xf>
    <xf numFmtId="0" fontId="1" fillId="0" borderId="22" pivotButton="0" quotePrefix="0" xfId="0"/>
    <xf numFmtId="164" fontId="2" fillId="2" borderId="22" applyAlignment="1" pivotButton="0" quotePrefix="0" xfId="0">
      <alignment horizontal="center" vertical="center"/>
    </xf>
    <xf numFmtId="164" fontId="1" fillId="2" borderId="22" pivotButton="0" quotePrefix="0" xfId="0"/>
    <xf numFmtId="0" fontId="2" fillId="0" borderId="67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" fillId="2" borderId="11" pivotButton="0" quotePrefix="0" xfId="0"/>
    <xf numFmtId="0" fontId="1" fillId="2" borderId="25" pivotButton="0" quotePrefix="0" xfId="0"/>
    <xf numFmtId="0" fontId="2" fillId="0" borderId="10" applyAlignment="1" pivotButton="0" quotePrefix="0" xfId="0">
      <alignment horizontal="left" vertical="center"/>
    </xf>
    <xf numFmtId="0" fontId="1" fillId="0" borderId="66" pivotButton="0" quotePrefix="0" xfId="0"/>
    <xf numFmtId="0" fontId="2" fillId="0" borderId="71" applyAlignment="1" pivotButton="0" quotePrefix="0" xfId="0">
      <alignment horizontal="left" vertical="center"/>
    </xf>
    <xf numFmtId="0" fontId="1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14" fontId="2" fillId="2" borderId="11" applyAlignment="1" pivotButton="0" quotePrefix="0" xfId="0">
      <alignment horizontal="left" vertical="center"/>
    </xf>
    <xf numFmtId="14" fontId="2" fillId="0" borderId="10" applyAlignment="1" pivotButton="0" quotePrefix="0" xfId="0">
      <alignment horizontal="center" vertical="center"/>
    </xf>
    <xf numFmtId="14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66" pivotButton="0" quotePrefix="0" xfId="0"/>
    <xf numFmtId="1" fontId="2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/>
    </xf>
    <xf numFmtId="1" fontId="1" fillId="0" borderId="25" applyAlignment="1" pivotButton="0" quotePrefix="0" xfId="0">
      <alignment horizontal="center"/>
    </xf>
    <xf numFmtId="20" fontId="2" fillId="0" borderId="11" applyAlignment="1" pivotButton="0" quotePrefix="0" xfId="0">
      <alignment horizontal="left" vertical="center"/>
    </xf>
    <xf numFmtId="0" fontId="2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/>
    </xf>
    <xf numFmtId="0" fontId="2" fillId="0" borderId="22" applyAlignment="1" pivotButton="0" quotePrefix="0" xfId="0">
      <alignment horizontal="left" vertical="center"/>
    </xf>
    <xf numFmtId="0" fontId="1" fillId="0" borderId="74" pivotButton="0" quotePrefix="0" xfId="0"/>
    <xf numFmtId="0" fontId="2" fillId="0" borderId="34" applyAlignment="1" pivotButton="0" quotePrefix="0" xfId="0">
      <alignment horizontal="left" vertical="center"/>
    </xf>
    <xf numFmtId="0" fontId="1" fillId="0" borderId="35" pivotButton="0" quotePrefix="0" xfId="0"/>
    <xf numFmtId="0" fontId="2" fillId="0" borderId="37" applyAlignment="1" pivotButton="0" quotePrefix="0" xfId="0">
      <alignment horizontal="left" vertical="center"/>
    </xf>
    <xf numFmtId="0" fontId="1" fillId="0" borderId="77" pivotButton="0" quotePrefix="0" xfId="0"/>
    <xf numFmtId="0" fontId="1" fillId="0" borderId="79" pivotButton="0" quotePrefix="0" xfId="0"/>
    <xf numFmtId="0" fontId="1" fillId="0" borderId="81" pivotButton="0" quotePrefix="0" xfId="0"/>
    <xf numFmtId="0" fontId="2" fillId="0" borderId="70" applyAlignment="1" pivotButton="0" quotePrefix="0" xfId="0">
      <alignment horizontal="left" vertical="center"/>
    </xf>
    <xf numFmtId="0" fontId="1" fillId="0" borderId="78" pivotButton="0" quotePrefix="0" xfId="0"/>
    <xf numFmtId="0" fontId="2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0" fillId="0" borderId="18" applyAlignment="1" pivotButton="0" quotePrefix="0" xfId="0">
      <alignment horizontal="center" vertical="center"/>
    </xf>
    <xf numFmtId="0" fontId="1" fillId="0" borderId="7" pivotButton="0" quotePrefix="0" xfId="0"/>
    <xf numFmtId="0" fontId="2" fillId="0" borderId="35" applyAlignment="1" pivotButton="0" quotePrefix="0" xfId="0">
      <alignment horizontal="left" vertical="center"/>
    </xf>
    <xf numFmtId="0" fontId="1" fillId="0" borderId="75" pivotButton="0" quotePrefix="0" xfId="0"/>
    <xf numFmtId="0" fontId="2" fillId="0" borderId="76" applyAlignment="1" pivotButton="0" quotePrefix="0" xfId="0">
      <alignment horizontal="left" vertical="center" wrapText="1"/>
    </xf>
    <xf numFmtId="0" fontId="1" fillId="0" borderId="37" pivotButton="0" quotePrefix="0" xfId="0"/>
    <xf numFmtId="0" fontId="1" fillId="0" borderId="21" pivotButton="0" quotePrefix="0" xfId="0"/>
    <xf numFmtId="2" fontId="2" fillId="0" borderId="1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wrapText="1"/>
    </xf>
    <xf numFmtId="14" fontId="2" fillId="0" borderId="10" applyAlignment="1" pivotButton="0" quotePrefix="0" xfId="0">
      <alignment horizontal="center"/>
    </xf>
    <xf numFmtId="14" fontId="1" fillId="0" borderId="25" pivotButton="0" quotePrefix="0" xfId="0"/>
    <xf numFmtId="0" fontId="2" fillId="0" borderId="47" applyAlignment="1" pivotButton="0" quotePrefix="0" xfId="0">
      <alignment horizontal="center"/>
    </xf>
    <xf numFmtId="2" fontId="2" fillId="0" borderId="10" applyAlignment="1" pivotButton="0" quotePrefix="0" xfId="0">
      <alignment horizontal="center"/>
    </xf>
    <xf numFmtId="0" fontId="2" fillId="2" borderId="8" applyAlignment="1" pivotButton="0" quotePrefix="0" xfId="0">
      <alignment horizontal="left" vertical="top" wrapText="1"/>
    </xf>
    <xf numFmtId="0" fontId="0" fillId="2" borderId="0" pivotButton="0" quotePrefix="0" xfId="0"/>
    <xf numFmtId="0" fontId="1" fillId="2" borderId="38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2" borderId="17" pivotButton="0" quotePrefix="0" xfId="0"/>
    <xf numFmtId="0" fontId="2" fillId="0" borderId="40" applyAlignment="1" pivotButton="0" quotePrefix="0" xfId="0">
      <alignment horizontal="center" vertical="center" textRotation="90" wrapText="1"/>
    </xf>
    <xf numFmtId="0" fontId="1" fillId="0" borderId="42" pivotButton="0" quotePrefix="0" xfId="0"/>
    <xf numFmtId="0" fontId="1" fillId="0" borderId="19" pivotButton="0" quotePrefix="0" xfId="0"/>
    <xf numFmtId="0" fontId="2" fillId="0" borderId="41" applyAlignment="1" pivotButton="0" quotePrefix="0" xfId="0">
      <alignment horizontal="center" vertical="center" textRotation="45"/>
    </xf>
    <xf numFmtId="0" fontId="1" fillId="0" borderId="43" pivotButton="0" quotePrefix="0" xfId="0"/>
    <xf numFmtId="0" fontId="1" fillId="0" borderId="20" pivotButton="0" quotePrefix="0" xfId="0"/>
    <xf numFmtId="0" fontId="2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8" fillId="0" borderId="35" pivotButton="0" quotePrefix="0" xfId="0"/>
    <xf numFmtId="0" fontId="8" fillId="0" borderId="24" pivotButton="0" quotePrefix="0" xfId="0"/>
    <xf numFmtId="0" fontId="8" fillId="0" borderId="37" pivotButton="0" quotePrefix="0" xfId="0"/>
    <xf numFmtId="0" fontId="5" fillId="0" borderId="0" pivotButton="0" quotePrefix="0" xfId="0"/>
    <xf numFmtId="0" fontId="8" fillId="0" borderId="9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7" pivotButton="0" quotePrefix="0" xfId="0"/>
    <xf numFmtId="0" fontId="2" fillId="0" borderId="41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4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20" fontId="2" fillId="0" borderId="34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textRotation="90" wrapText="1"/>
    </xf>
    <xf numFmtId="2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wrapText="1"/>
    </xf>
    <xf numFmtId="0" fontId="1" fillId="0" borderId="36" pivotButton="0" quotePrefix="0" xfId="0"/>
    <xf numFmtId="0" fontId="2" fillId="0" borderId="2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0" borderId="29" pivotButton="0" quotePrefix="0" xfId="0"/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14" fontId="4" fillId="0" borderId="54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14" fontId="4" fillId="0" borderId="55" applyAlignment="1" pivotButton="0" quotePrefix="0" xfId="0">
      <alignment horizontal="center" vertical="center" wrapText="1"/>
    </xf>
    <xf numFmtId="0" fontId="1" fillId="0" borderId="55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14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2" fillId="0" borderId="3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4" fontId="2" fillId="0" borderId="31" applyAlignment="1" pivotButton="0" quotePrefix="0" xfId="0">
      <alignment horizontal="center" vertical="center"/>
    </xf>
    <xf numFmtId="0" fontId="1" fillId="0" borderId="32" pivotButton="0" quotePrefix="0" xfId="0"/>
    <xf numFmtId="0" fontId="1" fillId="0" borderId="39" pivotButton="0" quotePrefix="0" xfId="0"/>
    <xf numFmtId="0" fontId="2" fillId="0" borderId="53" applyAlignment="1" pivotButton="0" quotePrefix="0" xfId="0">
      <alignment horizontal="center"/>
    </xf>
    <xf numFmtId="2" fontId="3" fillId="0" borderId="53" applyAlignment="1" pivotButton="0" quotePrefix="0" xfId="0">
      <alignment horizontal="center" vertical="center"/>
    </xf>
    <xf numFmtId="0" fontId="1" fillId="0" borderId="33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0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0" fontId="0" fillId="0" borderId="22" pivotButton="0" quotePrefix="0" xfId="0"/>
    <xf numFmtId="0" fontId="2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69" pivotButton="0" quotePrefix="0" xfId="0"/>
    <xf numFmtId="0" fontId="0" fillId="0" borderId="27" pivotButton="0" quotePrefix="0" xfId="0"/>
    <xf numFmtId="0" fontId="0" fillId="0" borderId="66" pivotButton="0" quotePrefix="0" xfId="0"/>
    <xf numFmtId="0" fontId="2" fillId="2" borderId="25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3" pivotButton="0" quotePrefix="0" xfId="0"/>
    <xf numFmtId="14" fontId="2" fillId="2" borderId="2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1" fontId="2" fillId="0" borderId="25" applyAlignment="1" pivotButton="0" quotePrefix="0" xfId="0">
      <alignment horizontal="center" vertical="center"/>
    </xf>
    <xf numFmtId="20" fontId="2" fillId="0" borderId="25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74" applyAlignment="1" pivotButton="0" quotePrefix="0" xfId="0">
      <alignment horizontal="left" vertical="center"/>
    </xf>
    <xf numFmtId="0" fontId="2" fillId="0" borderId="75" applyAlignment="1" pivotButton="0" quotePrefix="0" xfId="0">
      <alignment horizontal="left" vertical="center"/>
    </xf>
    <xf numFmtId="0" fontId="0" fillId="0" borderId="75" pivotButton="0" quotePrefix="0" xfId="0"/>
    <xf numFmtId="0" fontId="2" fillId="0" borderId="99" applyAlignment="1" pivotButton="0" quotePrefix="0" xfId="0">
      <alignment horizontal="left" vertical="center" wrapText="1"/>
    </xf>
    <xf numFmtId="0" fontId="2" fillId="0" borderId="100" applyAlignment="1" pivotButton="0" quotePrefix="0" xfId="0">
      <alignment horizontal="left" vertical="center"/>
    </xf>
    <xf numFmtId="0" fontId="0" fillId="0" borderId="77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left" vertical="center"/>
    </xf>
    <xf numFmtId="0" fontId="2" fillId="0" borderId="97" applyAlignment="1" pivotButton="0" quotePrefix="0" xfId="0">
      <alignment horizontal="left" vertical="center"/>
    </xf>
    <xf numFmtId="0" fontId="2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2" fillId="0" borderId="98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80" pivotButton="0" quotePrefix="0" xfId="0"/>
    <xf numFmtId="0" fontId="0" fillId="0" borderId="79" pivotButton="0" quotePrefix="0" xfId="0"/>
    <xf numFmtId="0" fontId="0" fillId="0" borderId="81" pivotButton="0" quotePrefix="0" xfId="0"/>
    <xf numFmtId="0" fontId="0" fillId="0" borderId="92" applyAlignment="1" pivotButton="0" quotePrefix="0" xfId="0">
      <alignment horizontal="center" vertical="center"/>
    </xf>
    <xf numFmtId="0" fontId="2" fillId="2" borderId="96" applyAlignment="1" pivotButton="0" quotePrefix="0" xfId="0">
      <alignment horizontal="left" vertical="top" wrapText="1"/>
    </xf>
    <xf numFmtId="0" fontId="0" fillId="0" borderId="38" pivotButton="0" quotePrefix="0" xfId="0"/>
    <xf numFmtId="0" fontId="2" fillId="0" borderId="45" applyAlignment="1" pivotButton="0" quotePrefix="0" xfId="0">
      <alignment horizontal="center" vertical="center" textRotation="90" wrapText="1"/>
    </xf>
    <xf numFmtId="0" fontId="2" fillId="0" borderId="28" applyAlignment="1" pivotButton="0" quotePrefix="0" xfId="0">
      <alignment horizontal="center" vertical="center" textRotation="45"/>
    </xf>
    <xf numFmtId="0" fontId="7" fillId="0" borderId="28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19" pivotButton="0" quotePrefix="0" xfId="0"/>
    <xf numFmtId="0" fontId="0" fillId="0" borderId="20" pivotButton="0" quotePrefix="0" xfId="0"/>
    <xf numFmtId="14" fontId="2" fillId="0" borderId="28" applyAlignment="1" pivotButton="0" quotePrefix="0" xfId="0">
      <alignment horizontal="center"/>
    </xf>
    <xf numFmtId="0" fontId="2" fillId="0" borderId="95" applyAlignment="1" pivotButton="0" quotePrefix="0" xfId="0">
      <alignment horizontal="center"/>
    </xf>
    <xf numFmtId="14" fontId="2" fillId="0" borderId="41" applyAlignment="1" pivotButton="0" quotePrefix="0" xfId="0">
      <alignment horizontal="center"/>
    </xf>
    <xf numFmtId="0" fontId="2" fillId="0" borderId="94" applyAlignment="1" pivotButton="0" quotePrefix="0" xfId="0">
      <alignment horizontal="center"/>
    </xf>
    <xf numFmtId="0" fontId="2" fillId="0" borderId="41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/>
    </xf>
    <xf numFmtId="0" fontId="0" fillId="0" borderId="36" pivotButton="0" quotePrefix="0" xfId="0"/>
    <xf numFmtId="0" fontId="2" fillId="0" borderId="9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0" fillId="0" borderId="29" pivotButton="0" quotePrefix="0" xfId="0"/>
    <xf numFmtId="14" fontId="2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4" fontId="2" fillId="0" borderId="8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2" fontId="3" fillId="0" borderId="9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9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14" fontId="4" fillId="0" borderId="85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 wrapText="1"/>
    </xf>
    <xf numFmtId="0" fontId="2" fillId="0" borderId="87" applyAlignment="1" pivotButton="0" quotePrefix="0" xfId="0">
      <alignment horizontal="center" vertical="center" wrapText="1"/>
    </xf>
    <xf numFmtId="14" fontId="4" fillId="0" borderId="88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18</col>
      <colOff>321131</colOff>
      <row>44</row>
      <rowOff>5443</rowOff>
    </from>
    <to>
      <col>19</col>
      <colOff>594472</colOff>
      <row>45</row>
      <rowOff>598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659966" y="9643487"/>
          <a:ext cx="650155" cy="220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21774</colOff>
      <row>53</row>
      <rowOff>191051</rowOff>
    </from>
    <to>
      <col>17</col>
      <colOff>304800</colOff>
      <row>54</row>
      <rowOff>287433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50331" y="12192551"/>
          <a:ext cx="968826" cy="32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14</col>
      <colOff>104775</colOff>
      <row>31</row>
      <rowOff>19050</rowOff>
    </from>
    <ext cx="504825" cy="8477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10075" y="6362700"/>
          <a:ext cx="50482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47625</colOff>
      <row>31</row>
      <rowOff>19050</rowOff>
    </from>
    <ext cx="523875" cy="85725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76825" y="6362700"/>
          <a:ext cx="523875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57150</colOff>
      <row>31</row>
      <rowOff>19050</rowOff>
    </from>
    <ext cx="523875" cy="838200"/>
    <pic>
      <nvPicPr>
        <cNvPr id="4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34050" y="6362700"/>
          <a:ext cx="52387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38100</colOff>
      <row>31</row>
      <rowOff>19050</rowOff>
    </from>
    <ext cx="533400" cy="847725"/>
    <pic>
      <nvPicPr>
        <cNvPr id="5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1750" y="6362700"/>
          <a:ext cx="5334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47627</colOff>
      <row>31</row>
      <rowOff>24492</rowOff>
    </from>
    <ext cx="495300" cy="847725"/>
    <pic>
      <nvPicPr>
        <cNvPr id="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384598" y="6354535"/>
          <a:ext cx="4953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342900</colOff>
      <row>1</row>
      <rowOff>47625</rowOff>
    </from>
    <ext cx="1533525" cy="54292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38150" y="47625"/>
          <a:ext cx="1533525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tabColor rgb="FF92D050"/>
    <outlinePr summaryBelow="1" summaryRight="1"/>
    <pageSetUpPr fitToPage="1"/>
  </sheetPr>
  <dimension ref="A1:V55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baseColWidth="8" defaultColWidth="14.3828125" defaultRowHeight="15" customHeight="1"/>
  <cols>
    <col width="2" customWidth="1" style="73" min="2" max="2"/>
    <col width="9.53515625" customWidth="1" style="73" min="3" max="3"/>
    <col width="9.84375" customWidth="1" style="73" min="4" max="4"/>
    <col width="3.15234375" customWidth="1" style="73" min="5" max="5"/>
    <col width="8.69140625" customWidth="1" style="73" min="6" max="6"/>
    <col width="7.3828125" customWidth="1" style="73" min="7" max="7"/>
    <col width="1" customWidth="1" style="73" min="8" max="8"/>
    <col width="0.84375" customWidth="1" style="73" min="9" max="9"/>
    <col width="1.3046875" customWidth="1" style="73" min="10" max="10"/>
    <col width="2.3828125" customWidth="1" style="73" min="11" max="11"/>
    <col width="8.3046875" customWidth="1" style="73" min="12" max="12"/>
    <col width="5.3046875" customWidth="1" style="73" min="13" max="14"/>
    <col width="4.69140625" customWidth="1" style="73" min="15" max="15"/>
    <col width="6.15234375" customWidth="1" style="73" min="16" max="16"/>
    <col width="9.69140625" customWidth="1" style="73" min="17" max="17"/>
    <col width="4.69140625" customWidth="1" style="73" min="18" max="18"/>
    <col width="5.3046875" customWidth="1" style="73" min="19" max="19"/>
    <col width="8.69140625" customWidth="1" style="73" min="20" max="21"/>
    <col width="1.84375" customWidth="1" style="73" min="22" max="22"/>
  </cols>
  <sheetData>
    <row r="1" ht="9.449999999999999" customHeight="1" s="73" thickBot="1"/>
    <row r="2" ht="18" customHeight="1" s="73">
      <c r="C2" s="223" t="n"/>
      <c r="D2" s="224" t="n"/>
      <c r="E2" s="224" t="n"/>
      <c r="F2" s="225" t="n"/>
      <c r="G2" s="226" t="inlineStr">
        <is>
          <t xml:space="preserve">FICHA DE MOLDAGEM E ROMPIMENTO DE CONCRETO </t>
        </is>
      </c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8" t="n"/>
      <c r="R2" s="78" t="inlineStr">
        <is>
          <t>FMRC Nº:</t>
        </is>
      </c>
      <c r="S2" s="227" t="n"/>
      <c r="T2" s="229" t="inlineStr">
        <is>
          <t>1047</t>
        </is>
      </c>
      <c r="U2" s="230" t="n"/>
    </row>
    <row r="3" ht="18" customHeight="1" s="73">
      <c r="C3" s="231" t="n"/>
      <c r="F3" s="232" t="n"/>
      <c r="G3" s="83" t="inlineStr">
        <is>
          <t>CLIENTE:</t>
        </is>
      </c>
      <c r="H3" s="233" t="n"/>
      <c r="I3" s="233" t="n"/>
      <c r="J3" s="234" t="inlineStr">
        <is>
          <t>ARAUCO CELULOSE DO BRASIL S.A.</t>
        </is>
      </c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5" t="n"/>
    </row>
    <row r="4" ht="18" customHeight="1" s="73" thickBot="1">
      <c r="C4" s="236" t="n"/>
      <c r="D4" s="237" t="n"/>
      <c r="E4" s="237" t="n"/>
      <c r="F4" s="238" t="n"/>
      <c r="G4" s="87" t="inlineStr">
        <is>
          <t>OBRA:</t>
        </is>
      </c>
      <c r="H4" s="237" t="n"/>
      <c r="I4" s="237" t="n"/>
      <c r="J4" s="239" t="inlineStr">
        <is>
          <t>CLARIFICADOR PRIMARIO 01</t>
        </is>
      </c>
      <c r="K4" s="237" t="n"/>
      <c r="L4" s="237" t="n"/>
      <c r="M4" s="237" t="n"/>
      <c r="N4" s="237" t="n"/>
      <c r="O4" s="237" t="n"/>
      <c r="P4" s="237" t="n"/>
      <c r="Q4" s="237" t="n"/>
      <c r="R4" s="237" t="n"/>
      <c r="S4" s="237" t="n"/>
      <c r="T4" s="237" t="n"/>
      <c r="U4" s="240" t="n"/>
    </row>
    <row r="5" ht="12.75" customHeight="1" s="73" thickBot="1">
      <c r="C5" s="1" t="n"/>
      <c r="D5" s="1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8" customHeight="1" s="73">
      <c r="C6" s="241" t="inlineStr">
        <is>
          <t>ESPECIFICAÇÃO DO CONCRETO</t>
        </is>
      </c>
      <c r="D6" s="242" t="n"/>
      <c r="E6" s="242" t="n"/>
      <c r="F6" s="242" t="n"/>
      <c r="G6" s="242" t="n"/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3" t="n"/>
    </row>
    <row r="7" ht="18" customHeight="1" s="73">
      <c r="C7" s="61" t="inlineStr">
        <is>
          <t>TIPO DO CONCRETO:</t>
        </is>
      </c>
      <c r="D7" s="5" t="n"/>
      <c r="E7" s="111" t="inlineStr">
        <is>
          <t>fck&gt;=</t>
        </is>
      </c>
      <c r="F7" s="244" t="n"/>
      <c r="G7" s="113" t="inlineStr">
        <is>
          <t>40 MPa</t>
        </is>
      </c>
      <c r="H7" s="244" t="n"/>
      <c r="I7" s="244" t="n"/>
      <c r="J7" s="244" t="n"/>
      <c r="K7" s="244" t="n"/>
      <c r="L7" s="4" t="inlineStr">
        <is>
          <t>MPa</t>
        </is>
      </c>
      <c r="M7" s="4" t="inlineStr">
        <is>
          <t>28 dias</t>
        </is>
      </c>
      <c r="N7" s="4" t="n"/>
      <c r="O7" s="43" t="inlineStr">
        <is>
          <t>TRAÇO    FTK-</t>
        </is>
      </c>
      <c r="P7" s="44" t="n"/>
      <c r="Q7" s="59" t="inlineStr">
        <is>
          <t>40</t>
        </is>
      </c>
      <c r="R7" s="44" t="n"/>
      <c r="S7" s="45" t="n"/>
      <c r="T7" s="41" t="inlineStr">
        <is>
          <t>BRITA:</t>
        </is>
      </c>
      <c r="U7" s="67" t="inlineStr">
        <is>
          <t>0</t>
        </is>
      </c>
    </row>
    <row r="8" ht="18" customHeight="1" s="73">
      <c r="C8" s="115" t="inlineStr">
        <is>
          <t>RESTRIÇÃO:</t>
        </is>
      </c>
      <c r="D8" s="233" t="n"/>
      <c r="E8" s="94" t="inlineStr">
        <is>
          <t>fck&gt;=</t>
        </is>
      </c>
      <c r="F8" s="233" t="n"/>
      <c r="G8" s="113" t="inlineStr">
        <is>
          <t>24,0</t>
        </is>
      </c>
      <c r="H8" s="244" t="n"/>
      <c r="I8" s="244" t="n"/>
      <c r="J8" s="244" t="n"/>
      <c r="K8" s="244" t="n"/>
      <c r="L8" s="4" t="inlineStr">
        <is>
          <t>MPa p/ desprotensão</t>
        </is>
      </c>
      <c r="M8" s="4" t="n"/>
      <c r="N8" s="4" t="n"/>
      <c r="O8" s="42" t="inlineStr">
        <is>
          <t>CIMENTO 1 :</t>
        </is>
      </c>
      <c r="P8" s="4" t="n"/>
      <c r="Q8" s="4" t="n"/>
      <c r="R8" s="245" t="inlineStr">
        <is>
          <t>CPIII 40 RS</t>
        </is>
      </c>
      <c r="S8" s="244" t="n"/>
      <c r="T8" s="244" t="n"/>
      <c r="U8" s="246" t="n"/>
    </row>
    <row r="9" ht="18" customHeight="1" s="73">
      <c r="C9" s="247" t="inlineStr">
        <is>
          <t>CONSISTÊNCIA PREVISTA:</t>
        </is>
      </c>
      <c r="D9" s="248" t="n"/>
      <c r="E9" s="6" t="n"/>
      <c r="F9" s="3" t="inlineStr">
        <is>
          <t>SLUMP=</t>
        </is>
      </c>
      <c r="G9" s="101" t="n"/>
      <c r="H9" s="94" t="n"/>
      <c r="I9" s="233" t="n"/>
      <c r="J9" s="233" t="n"/>
      <c r="K9" s="233" t="n"/>
      <c r="L9" s="94" t="n"/>
      <c r="M9" s="249" t="inlineStr">
        <is>
          <t>mm</t>
        </is>
      </c>
      <c r="N9" s="250" t="n"/>
      <c r="O9" s="5" t="inlineStr">
        <is>
          <t>CIMENTO 2:</t>
        </is>
      </c>
      <c r="P9" s="4" t="n"/>
      <c r="Q9" s="4" t="n"/>
      <c r="R9" s="245" t="inlineStr">
        <is>
          <t>CP V</t>
        </is>
      </c>
      <c r="S9" s="244" t="n"/>
      <c r="T9" s="244" t="n"/>
      <c r="U9" s="246" t="n"/>
      <c r="V9" s="1" t="n"/>
    </row>
    <row r="10" ht="18" customHeight="1" s="73">
      <c r="C10" s="251" t="n"/>
      <c r="D10" s="252" t="n"/>
      <c r="E10" s="7" t="inlineStr">
        <is>
          <t>X</t>
        </is>
      </c>
      <c r="F10" s="8" t="inlineStr">
        <is>
          <t>FLOW=</t>
        </is>
      </c>
      <c r="G10" s="101" t="inlineStr">
        <is>
          <t>700 +- 50</t>
        </is>
      </c>
      <c r="H10" s="233" t="n"/>
      <c r="I10" s="233" t="n"/>
      <c r="J10" s="233" t="n"/>
      <c r="K10" s="233" t="n"/>
      <c r="L10" s="233" t="n"/>
      <c r="M10" s="249" t="inlineStr">
        <is>
          <t>mm</t>
        </is>
      </c>
      <c r="N10" s="250" t="n"/>
      <c r="O10" s="102" t="inlineStr">
        <is>
          <t>CONSUMO DE CIMENTO ( kg/m³ ):</t>
        </is>
      </c>
      <c r="P10" s="233" t="n"/>
      <c r="Q10" s="233" t="n"/>
      <c r="R10" s="233" t="n"/>
      <c r="S10" s="233" t="n"/>
      <c r="T10" s="106" t="inlineStr">
        <is>
          <t>1 (50%)  /   2 (50%)</t>
        </is>
      </c>
      <c r="U10" s="253" t="n"/>
      <c r="V10" s="1" t="n"/>
    </row>
    <row r="11" ht="18" customHeight="1" s="73">
      <c r="C11" s="63" t="inlineStr">
        <is>
          <t>ADITIVO:</t>
        </is>
      </c>
      <c r="D11" s="254" t="inlineStr">
        <is>
          <t>superplastificante</t>
        </is>
      </c>
      <c r="E11" s="233" t="n"/>
      <c r="F11" s="233" t="n"/>
      <c r="G11" s="233" t="n"/>
      <c r="H11" s="233" t="n"/>
      <c r="I11" s="233" t="n"/>
      <c r="J11" s="233" t="n"/>
      <c r="K11" s="250" t="n"/>
      <c r="L11" s="119" t="inlineStr">
        <is>
          <t xml:space="preserve">LANÇAMENTO: </t>
        </is>
      </c>
      <c r="M11" s="233" t="n"/>
      <c r="N11" s="233" t="n"/>
      <c r="O11" s="9" t="n"/>
      <c r="P11" s="10" t="inlineStr">
        <is>
          <t>BOMBEADO</t>
        </is>
      </c>
      <c r="Q11" s="10" t="n"/>
      <c r="R11" s="60" t="inlineStr">
        <is>
          <t>X</t>
        </is>
      </c>
      <c r="S11" s="255" t="inlineStr">
        <is>
          <t>CONVENCIONAL</t>
        </is>
      </c>
      <c r="T11" s="233" t="n"/>
      <c r="U11" s="253" t="n"/>
      <c r="V11" s="1" t="n"/>
    </row>
    <row r="12" ht="18" customHeight="1" s="73" thickBot="1">
      <c r="C12" s="64" t="inlineStr">
        <is>
          <t>OUTROS :</t>
        </is>
      </c>
      <c r="D12" s="256" t="inlineStr">
        <is>
          <t>SILICA ATIVA 5,5% DO CIMENTO</t>
        </is>
      </c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8" t="n"/>
      <c r="V12" s="1" t="n"/>
    </row>
    <row r="13" ht="7.5" customHeight="1" s="73" thickBot="1">
      <c r="C13" s="1" t="n"/>
      <c r="D13" s="1" t="n"/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8" customHeight="1" s="73">
      <c r="C14" s="241" t="inlineStr">
        <is>
          <t>RECEBIMENTO DO CONCRETO / MOLDAGEM ( NBR 5738 / 2015 )</t>
        </is>
      </c>
      <c r="D14" s="242" t="n"/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242" t="n"/>
      <c r="P14" s="242" t="n"/>
      <c r="Q14" s="242" t="n"/>
      <c r="R14" s="242" t="n"/>
      <c r="S14" s="242" t="n"/>
      <c r="T14" s="242" t="n"/>
      <c r="U14" s="243" t="n"/>
    </row>
    <row r="15" ht="18" customHeight="1" s="73">
      <c r="C15" s="115" t="inlineStr">
        <is>
          <t>CONCRETEIRA:</t>
        </is>
      </c>
      <c r="D15" s="51" t="n"/>
      <c r="E15" s="125" t="inlineStr">
        <is>
          <t>Fortanks</t>
        </is>
      </c>
      <c r="F15" s="233" t="n"/>
      <c r="G15" s="233" t="n"/>
      <c r="H15" s="126" t="inlineStr">
        <is>
          <t>DATA:</t>
        </is>
      </c>
      <c r="I15" s="233" t="n"/>
      <c r="J15" s="233" t="n"/>
      <c r="K15" s="233" t="n"/>
      <c r="L15" s="259" t="inlineStr">
        <is>
          <t>14/04/2025</t>
        </is>
      </c>
      <c r="M15" s="233" t="n"/>
      <c r="N15" s="250" t="n"/>
      <c r="O15" s="11" t="inlineStr">
        <is>
          <t>NÚMERO DO CAMINHÃO / PLACA:</t>
        </is>
      </c>
      <c r="P15" s="136" t="n"/>
      <c r="Q15" s="111" t="n"/>
      <c r="R15" s="111" t="n"/>
      <c r="S15" s="111" t="n"/>
      <c r="T15" s="260" t="inlineStr">
        <is>
          <t>01</t>
        </is>
      </c>
      <c r="U15" s="253" t="n"/>
      <c r="V15" s="1" t="n"/>
    </row>
    <row r="16" ht="18" customHeight="1" s="73">
      <c r="C16" s="115" t="inlineStr">
        <is>
          <t>NOTA FISCAL:</t>
        </is>
      </c>
      <c r="D16" s="233" t="n"/>
      <c r="E16" s="261" t="inlineStr">
        <is>
          <t>668</t>
        </is>
      </c>
      <c r="F16" s="233" t="n"/>
      <c r="G16" s="250" t="n"/>
      <c r="H16" s="95" t="inlineStr">
        <is>
          <t>HORÁRIO SAÍDA DA USINA:</t>
        </is>
      </c>
      <c r="I16" s="233" t="n"/>
      <c r="J16" s="233" t="n"/>
      <c r="K16" s="233" t="n"/>
      <c r="L16" s="233" t="n"/>
      <c r="M16" s="233" t="n"/>
      <c r="N16" s="233" t="n"/>
      <c r="O16" s="262" t="inlineStr">
        <is>
          <t>16:40</t>
        </is>
      </c>
      <c r="P16" s="250" t="n"/>
      <c r="Q16" s="101" t="inlineStr">
        <is>
          <t>HORÁRIO CHEGADA NO DESTINO:</t>
        </is>
      </c>
      <c r="R16" s="233" t="n"/>
      <c r="S16" s="233" t="n"/>
      <c r="T16" s="233" t="n"/>
      <c r="U16" s="65" t="inlineStr">
        <is>
          <t>16:45</t>
        </is>
      </c>
      <c r="V16" s="1" t="n"/>
    </row>
    <row r="17" ht="18" customHeight="1" s="73">
      <c r="C17" s="247" t="inlineStr">
        <is>
          <t>CONSISTÊNCIA REAL:</t>
        </is>
      </c>
      <c r="D17" s="248" t="n"/>
      <c r="E17" s="6" t="inlineStr"/>
      <c r="F17" s="12" t="inlineStr">
        <is>
          <t>SLUMP=</t>
        </is>
      </c>
      <c r="G17" s="134" t="inlineStr"/>
      <c r="H17" s="244" t="n"/>
      <c r="I17" s="244" t="n"/>
      <c r="J17" s="244" t="n"/>
      <c r="K17" s="244" t="n"/>
      <c r="L17" s="244" t="n"/>
      <c r="M17" s="263" t="inlineStr">
        <is>
          <t>mm</t>
        </is>
      </c>
      <c r="N17" s="252" t="n"/>
      <c r="O17" s="13" t="inlineStr">
        <is>
          <t>MOLDADOR:</t>
        </is>
      </c>
      <c r="P17" s="136" t="n"/>
      <c r="Q17" s="264" t="inlineStr">
        <is>
          <t>GEAN JR</t>
        </is>
      </c>
      <c r="R17" s="244" t="n"/>
      <c r="S17" s="244" t="n"/>
      <c r="T17" s="244" t="n"/>
      <c r="U17" s="246" t="n"/>
      <c r="V17" s="14" t="n"/>
    </row>
    <row r="18" ht="18" customHeight="1" s="73">
      <c r="C18" s="251" t="n"/>
      <c r="D18" s="252" t="n"/>
      <c r="E18" s="6" t="inlineStr">
        <is>
          <t>X</t>
        </is>
      </c>
      <c r="F18" s="15" t="inlineStr">
        <is>
          <t>FLOW=</t>
        </is>
      </c>
      <c r="G18" s="134" t="inlineStr">
        <is>
          <t>680/680</t>
        </is>
      </c>
      <c r="H18" s="244" t="n"/>
      <c r="I18" s="244" t="n"/>
      <c r="J18" s="244" t="n"/>
      <c r="K18" s="244" t="n"/>
      <c r="L18" s="244" t="n"/>
      <c r="M18" s="249" t="inlineStr">
        <is>
          <t>mm</t>
        </is>
      </c>
      <c r="N18" s="250" t="n"/>
      <c r="O18" s="138" t="inlineStr">
        <is>
          <t>caso não aceitar concreto justificar:</t>
        </is>
      </c>
      <c r="P18" s="150" t="n"/>
      <c r="Q18" s="150" t="n"/>
      <c r="R18" s="150" t="n"/>
      <c r="S18" s="150" t="n"/>
      <c r="T18" s="265" t="n"/>
      <c r="U18" s="266" t="n"/>
      <c r="V18" s="14" t="n"/>
    </row>
    <row r="19" ht="18" customHeight="1" s="73">
      <c r="C19" s="267" t="inlineStr">
        <is>
          <t>verificada as características do concreto na Nota e o abatimento,</t>
        </is>
      </c>
      <c r="N19" s="232" t="n"/>
      <c r="O19" s="268" t="n"/>
      <c r="U19" s="269" t="n"/>
      <c r="V19" s="14" t="n"/>
    </row>
    <row r="20" ht="18" customHeight="1" s="73">
      <c r="C20" s="267" t="inlineStr">
        <is>
          <t>liberar para lançamento ?</t>
        </is>
      </c>
      <c r="E20" s="232" t="n"/>
      <c r="F20" s="58" t="inlineStr">
        <is>
          <t>X</t>
        </is>
      </c>
      <c r="G20" s="16" t="inlineStr">
        <is>
          <t>sim</t>
        </is>
      </c>
      <c r="H20" s="16" t="n"/>
      <c r="I20" s="16" t="n"/>
      <c r="J20" s="16" t="n"/>
      <c r="K20" s="16" t="n"/>
      <c r="L20" s="9" t="n"/>
      <c r="M20" s="16" t="inlineStr">
        <is>
          <t>não</t>
        </is>
      </c>
      <c r="N20" s="16" t="n"/>
      <c r="O20" s="270" t="n"/>
      <c r="U20" s="269" t="n"/>
      <c r="V20" s="14" t="n"/>
    </row>
    <row r="21" ht="5.25" customHeight="1" s="73">
      <c r="C21" s="66" t="n"/>
      <c r="D21" s="40" t="n"/>
      <c r="E21" s="40" t="n"/>
      <c r="F21" s="133" t="n"/>
      <c r="G21" s="16" t="n"/>
      <c r="H21" s="16" t="n"/>
      <c r="I21" s="16" t="n"/>
      <c r="J21" s="16" t="n"/>
      <c r="K21" s="16" t="n"/>
      <c r="L21" s="95" t="n"/>
      <c r="M21" s="16" t="n"/>
      <c r="N21" s="16" t="n"/>
      <c r="O21" s="271" t="n"/>
      <c r="P21" s="244" t="n"/>
      <c r="Q21" s="244" t="n"/>
      <c r="R21" s="244" t="n"/>
      <c r="S21" s="244" t="n"/>
      <c r="T21" s="244" t="n"/>
      <c r="U21" s="246" t="n"/>
      <c r="V21" s="14" t="n"/>
    </row>
    <row r="22" ht="18" customHeight="1" s="73">
      <c r="C22" s="115" t="inlineStr">
        <is>
          <t>HORÁRIO DA MOLDAGEM:</t>
        </is>
      </c>
      <c r="D22" s="95" t="n"/>
      <c r="E22" s="95" t="n"/>
      <c r="F22" s="133" t="inlineStr">
        <is>
          <t>16:55</t>
        </is>
      </c>
      <c r="G22" s="94" t="inlineStr">
        <is>
          <t>VOLUME:</t>
        </is>
      </c>
      <c r="H22" s="233" t="n"/>
      <c r="I22" s="155" t="inlineStr">
        <is>
          <t>4.50</t>
        </is>
      </c>
      <c r="J22" s="233" t="n"/>
      <c r="K22" s="233" t="n"/>
      <c r="L22" s="233" t="n"/>
      <c r="M22" s="10" t="inlineStr">
        <is>
          <t>m³</t>
        </is>
      </c>
      <c r="N22" s="17" t="n"/>
      <c r="O22" s="138" t="inlineStr">
        <is>
          <t>observações:</t>
        </is>
      </c>
      <c r="P22" s="150" t="n"/>
      <c r="Q22" s="265" t="n"/>
      <c r="R22" s="272" t="n"/>
      <c r="S22" s="272" t="n"/>
      <c r="T22" s="272" t="n"/>
      <c r="U22" s="266" t="n"/>
    </row>
    <row r="23" ht="18" customHeight="1" s="73">
      <c r="C23" s="115" t="inlineStr">
        <is>
          <t>SÉRIE Nº:</t>
        </is>
      </c>
      <c r="D23" s="95" t="inlineStr">
        <is>
          <t>1047</t>
        </is>
      </c>
      <c r="E23" s="95" t="n"/>
      <c r="F23" s="95" t="n"/>
      <c r="G23" s="273" t="inlineStr">
        <is>
          <t>CRITÉRIO DE ROMPIMENTO PREVISTO:</t>
        </is>
      </c>
      <c r="H23" s="272" t="n"/>
      <c r="I23" s="272" t="n"/>
      <c r="J23" s="272" t="n"/>
      <c r="K23" s="272" t="n"/>
      <c r="L23" s="272" t="n"/>
      <c r="M23" s="272" t="n"/>
      <c r="N23" s="248" t="n"/>
      <c r="O23" s="274" t="inlineStr">
        <is>
          <t>TP: ( sentido da concretagem TOPO para "PÉ" do painel )</t>
        </is>
      </c>
      <c r="U23" s="269" t="n"/>
    </row>
    <row r="24" ht="18" customHeight="1" s="73" thickBot="1">
      <c r="C24" s="144" t="inlineStr">
        <is>
          <t>QUANTIDADE DE CP's:</t>
        </is>
      </c>
      <c r="D24" s="257" t="n"/>
      <c r="E24" s="275" t="n">
        <v>4</v>
      </c>
      <c r="F24" s="276" t="n"/>
      <c r="G24" s="277" t="inlineStr">
        <is>
          <t>2 (24 h)  - 2 (28 dias)</t>
        </is>
      </c>
      <c r="H24" s="278" t="n"/>
      <c r="I24" s="278" t="n"/>
      <c r="J24" s="278" t="n"/>
      <c r="K24" s="278" t="n"/>
      <c r="L24" s="278" t="n"/>
      <c r="M24" s="278" t="n"/>
      <c r="N24" s="279" t="n"/>
      <c r="O24" s="280" t="n"/>
      <c r="P24" s="278" t="n"/>
      <c r="Q24" s="278" t="n"/>
      <c r="R24" s="278" t="n"/>
      <c r="S24" s="278" t="n"/>
      <c r="T24" s="278" t="n"/>
      <c r="U24" s="281" t="n"/>
    </row>
    <row r="25" ht="16.5" customHeight="1" s="73" thickBot="1">
      <c r="C25" s="1" t="n"/>
      <c r="D25" s="1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9" t="n"/>
      <c r="U25" s="2" t="n"/>
    </row>
    <row r="26" ht="18" customHeight="1" s="73">
      <c r="C26" s="282" t="inlineStr">
        <is>
          <t>PEÇA CONCRETADA</t>
        </is>
      </c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30" t="n"/>
    </row>
    <row r="27" ht="18" customHeight="1" s="73">
      <c r="C27" s="283" t="inlineStr">
        <is>
          <t>PN-18</t>
        </is>
      </c>
      <c r="U27" s="284" t="n"/>
    </row>
    <row r="28" ht="18" customHeight="1" s="73" thickBot="1">
      <c r="C28" s="236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40" t="n"/>
    </row>
    <row r="29" ht="7.5" customHeight="1" s="73" thickBot="1">
      <c r="C29" s="1" t="n"/>
      <c r="D29" s="1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18" customHeight="1" s="73">
      <c r="C30" s="282" t="inlineStr">
        <is>
          <t>ROMPIMENTO DO CONCRETO - RESISTÊNCIA À COMPRESSÃO ( NBR 5739 / 2007 )</t>
        </is>
      </c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30" t="n"/>
    </row>
    <row r="31" ht="18" customHeight="1" s="73">
      <c r="C31" s="285" t="inlineStr">
        <is>
          <t>Responsável pelo rompimento</t>
        </is>
      </c>
      <c r="D31" s="286" t="inlineStr">
        <is>
          <t>Rompimento</t>
        </is>
      </c>
      <c r="E31" s="9" t="inlineStr">
        <is>
          <t>DATA</t>
        </is>
      </c>
      <c r="F31" s="248" t="n"/>
      <c r="G31" s="287" t="inlineStr">
        <is>
          <t>PRAZO 
dia (d )
ou 
hora (h)</t>
        </is>
      </c>
      <c r="H31" s="272" t="n"/>
      <c r="I31" s="272" t="n"/>
      <c r="J31" s="272" t="n"/>
      <c r="K31" s="248" t="n"/>
      <c r="L31" s="9" t="inlineStr">
        <is>
          <t>HORÁRIO</t>
        </is>
      </c>
      <c r="M31" s="7" t="inlineStr">
        <is>
          <t>Fck obtido
( MPa )</t>
        </is>
      </c>
      <c r="N31" s="248" t="n"/>
      <c r="O31" s="27" t="inlineStr">
        <is>
          <t>TIPO DA RUPTURA DO CORPO DE PROVA ( x )</t>
        </is>
      </c>
      <c r="P31" s="233" t="n"/>
      <c r="Q31" s="233" t="n"/>
      <c r="R31" s="233" t="n"/>
      <c r="S31" s="233" t="n"/>
      <c r="T31" s="233" t="n"/>
      <c r="U31" s="235" t="n"/>
    </row>
    <row r="32" ht="18" customHeight="1" s="73">
      <c r="C32" s="288" t="n"/>
      <c r="D32" s="289" t="n"/>
      <c r="E32" s="270" t="n"/>
      <c r="F32" s="232" t="n"/>
      <c r="G32" s="270" t="n"/>
      <c r="K32" s="232" t="n"/>
      <c r="L32" s="289" t="n"/>
      <c r="M32" s="270" t="n"/>
      <c r="N32" s="232" t="n"/>
      <c r="O32" s="18" t="n"/>
      <c r="P32" s="19" t="n"/>
      <c r="Q32" s="20" t="n"/>
      <c r="R32" s="18" t="n"/>
      <c r="S32" s="19" t="n"/>
      <c r="T32" s="20" t="n"/>
      <c r="U32" s="21" t="n"/>
    </row>
    <row r="33" ht="18" customHeight="1" s="73">
      <c r="C33" s="288" t="n"/>
      <c r="D33" s="289" t="n"/>
      <c r="E33" s="270" t="n"/>
      <c r="F33" s="232" t="n"/>
      <c r="G33" s="270" t="n"/>
      <c r="K33" s="232" t="n"/>
      <c r="L33" s="289" t="n"/>
      <c r="M33" s="270" t="n"/>
      <c r="N33" s="232" t="n"/>
      <c r="O33" s="18" t="n"/>
      <c r="P33" s="19" t="n"/>
      <c r="Q33" s="20" t="n"/>
      <c r="R33" s="18" t="n"/>
      <c r="S33" s="19" t="n"/>
      <c r="T33" s="20" t="n"/>
      <c r="U33" s="21" t="n"/>
    </row>
    <row r="34" ht="18" customHeight="1" s="73">
      <c r="C34" s="288" t="n"/>
      <c r="D34" s="289" t="n"/>
      <c r="E34" s="270" t="n"/>
      <c r="F34" s="232" t="n"/>
      <c r="G34" s="270" t="n"/>
      <c r="K34" s="232" t="n"/>
      <c r="L34" s="289" t="n"/>
      <c r="M34" s="270" t="n"/>
      <c r="N34" s="232" t="n"/>
      <c r="O34" s="18" t="n"/>
      <c r="P34" s="19" t="n"/>
      <c r="Q34" s="20" t="n"/>
      <c r="R34" s="18" t="n"/>
      <c r="S34" s="19" t="n"/>
      <c r="T34" s="20" t="n"/>
      <c r="U34" s="21" t="n"/>
    </row>
    <row r="35" ht="39.75" customHeight="1" s="73">
      <c r="C35" s="290" t="n"/>
      <c r="D35" s="291" t="n"/>
      <c r="E35" s="271" t="n"/>
      <c r="F35" s="252" t="n"/>
      <c r="G35" s="271" t="n"/>
      <c r="H35" s="244" t="n"/>
      <c r="I35" s="244" t="n"/>
      <c r="J35" s="244" t="n"/>
      <c r="K35" s="252" t="n"/>
      <c r="L35" s="291" t="n"/>
      <c r="M35" s="271" t="n"/>
      <c r="N35" s="252" t="n"/>
      <c r="O35" s="23" t="inlineStr">
        <is>
          <t>cônica</t>
        </is>
      </c>
      <c r="P35" s="252" t="n"/>
      <c r="Q35" s="22" t="inlineStr">
        <is>
          <t>cônica e bipartida</t>
        </is>
      </c>
      <c r="R35" s="22" t="inlineStr">
        <is>
          <t>cônica e cisalhada</t>
        </is>
      </c>
      <c r="S35" s="252" t="n"/>
      <c r="T35" s="23" t="inlineStr">
        <is>
          <t>cisalhada</t>
        </is>
      </c>
      <c r="U35" s="56" t="inlineStr">
        <is>
          <t>colunar</t>
        </is>
      </c>
      <c r="V35" s="14" t="n"/>
    </row>
    <row r="36" ht="18" customHeight="1" s="73">
      <c r="C36" s="24" t="inlineStr">
        <is>
          <t>RR-1</t>
        </is>
      </c>
      <c r="D36" s="9" t="n">
        <v>1</v>
      </c>
      <c r="E36" s="292" t="inlineStr"/>
      <c r="F36" s="250" t="n"/>
      <c r="G36" s="25" t="inlineStr"/>
      <c r="H36" s="293" t="inlineStr">
        <is>
          <t>H</t>
        </is>
      </c>
      <c r="I36" s="233" t="n"/>
      <c r="J36" s="233" t="n"/>
      <c r="K36" s="250" t="n"/>
      <c r="L36" s="26" t="inlineStr"/>
      <c r="M36" s="35" t="inlineStr"/>
      <c r="N36" s="250" t="n"/>
      <c r="O36" s="9" t="inlineStr"/>
      <c r="P36" s="250" t="n"/>
      <c r="Q36" s="9" t="inlineStr"/>
      <c r="R36" s="9" t="inlineStr"/>
      <c r="S36" s="250" t="n"/>
      <c r="T36" s="9" t="inlineStr"/>
      <c r="U36" s="57" t="inlineStr"/>
      <c r="V36" s="14" t="n"/>
    </row>
    <row r="37" ht="18" customHeight="1" s="73">
      <c r="C37" s="24" t="inlineStr">
        <is>
          <t>RR-1</t>
        </is>
      </c>
      <c r="D37" s="9" t="n">
        <v>2</v>
      </c>
      <c r="E37" s="292" t="inlineStr"/>
      <c r="F37" s="250" t="n"/>
      <c r="G37" s="25" t="inlineStr"/>
      <c r="H37" s="293" t="inlineStr">
        <is>
          <t>H</t>
        </is>
      </c>
      <c r="I37" s="233" t="n"/>
      <c r="J37" s="233" t="n"/>
      <c r="K37" s="250" t="n"/>
      <c r="L37" s="26" t="inlineStr"/>
      <c r="M37" s="35" t="inlineStr"/>
      <c r="N37" s="250" t="n"/>
      <c r="O37" s="9" t="inlineStr"/>
      <c r="P37" s="250" t="n"/>
      <c r="Q37" s="9" t="inlineStr"/>
      <c r="R37" s="9" t="inlineStr"/>
      <c r="S37" s="250" t="n"/>
      <c r="T37" s="9" t="inlineStr"/>
      <c r="U37" s="57" t="inlineStr"/>
      <c r="V37" s="14" t="n"/>
    </row>
    <row r="38" ht="18" customHeight="1" s="73">
      <c r="C38" s="24" t="inlineStr">
        <is>
          <t>RR-1</t>
        </is>
      </c>
      <c r="D38" s="9" t="n">
        <v>3</v>
      </c>
      <c r="E38" s="292" t="inlineStr"/>
      <c r="F38" s="250" t="n"/>
      <c r="G38" s="28" t="n">
        <v>28</v>
      </c>
      <c r="H38" s="293" t="inlineStr">
        <is>
          <t>D</t>
        </is>
      </c>
      <c r="I38" s="233" t="n"/>
      <c r="J38" s="233" t="n"/>
      <c r="K38" s="250" t="n"/>
      <c r="L38" s="26" t="inlineStr"/>
      <c r="M38" s="35" t="inlineStr"/>
      <c r="N38" s="250" t="n"/>
      <c r="O38" s="9" t="inlineStr"/>
      <c r="P38" s="250" t="n"/>
      <c r="Q38" s="9" t="inlineStr"/>
      <c r="R38" s="9" t="inlineStr"/>
      <c r="S38" s="250" t="n"/>
      <c r="T38" s="9" t="inlineStr"/>
      <c r="U38" s="57" t="inlineStr"/>
      <c r="V38" s="14" t="n"/>
    </row>
    <row r="39" ht="18" customHeight="1" s="73">
      <c r="C39" s="24" t="inlineStr">
        <is>
          <t>RR-1</t>
        </is>
      </c>
      <c r="D39" s="9" t="n">
        <v>4</v>
      </c>
      <c r="E39" s="292" t="inlineStr"/>
      <c r="F39" s="250" t="n"/>
      <c r="G39" s="28" t="n">
        <v>28</v>
      </c>
      <c r="H39" s="293" t="inlineStr">
        <is>
          <t>D</t>
        </is>
      </c>
      <c r="I39" s="233" t="n"/>
      <c r="J39" s="233" t="n"/>
      <c r="K39" s="250" t="n"/>
      <c r="L39" s="26" t="inlineStr"/>
      <c r="M39" s="35" t="inlineStr"/>
      <c r="N39" s="250" t="n"/>
      <c r="O39" s="9" t="inlineStr"/>
      <c r="P39" s="250" t="n"/>
      <c r="Q39" s="9" t="inlineStr"/>
      <c r="R39" s="9" t="inlineStr"/>
      <c r="S39" s="250" t="n"/>
      <c r="T39" s="9" t="inlineStr"/>
      <c r="U39" s="57" t="inlineStr"/>
      <c r="V39" s="14" t="n"/>
    </row>
    <row r="40" ht="18" customHeight="1" s="73">
      <c r="C40" s="24" t="inlineStr">
        <is>
          <t>RR-1</t>
        </is>
      </c>
      <c r="D40" s="9" t="n">
        <v>5</v>
      </c>
      <c r="E40" s="292" t="n"/>
      <c r="F40" s="250" t="n"/>
      <c r="G40" s="28" t="n"/>
      <c r="H40" s="293" t="n"/>
      <c r="I40" s="233" t="n"/>
      <c r="J40" s="233" t="n"/>
      <c r="K40" s="250" t="n"/>
      <c r="L40" s="26" t="n"/>
      <c r="M40" s="36" t="n"/>
      <c r="N40" s="250" t="n"/>
      <c r="O40" s="9" t="n"/>
      <c r="P40" s="250" t="n"/>
      <c r="Q40" s="9" t="n"/>
      <c r="R40" s="9" t="n"/>
      <c r="S40" s="250" t="n"/>
      <c r="T40" s="9" t="n"/>
      <c r="U40" s="27" t="n"/>
      <c r="V40" s="14" t="n"/>
    </row>
    <row r="41" ht="18" customHeight="1" s="73">
      <c r="C41" s="24" t="inlineStr">
        <is>
          <t>RR-1</t>
        </is>
      </c>
      <c r="D41" s="9" t="n">
        <v>6</v>
      </c>
      <c r="E41" s="292" t="n"/>
      <c r="F41" s="250" t="n"/>
      <c r="G41" s="28" t="n"/>
      <c r="H41" s="293" t="n"/>
      <c r="I41" s="233" t="n"/>
      <c r="J41" s="233" t="n"/>
      <c r="K41" s="250" t="n"/>
      <c r="L41" s="26" t="n"/>
      <c r="M41" s="36" t="n"/>
      <c r="N41" s="250" t="n"/>
      <c r="O41" s="9" t="n"/>
      <c r="P41" s="250" t="n"/>
      <c r="Q41" s="9" t="n"/>
      <c r="R41" s="9" t="n"/>
      <c r="S41" s="250" t="n"/>
      <c r="T41" s="9" t="n"/>
      <c r="U41" s="27" t="n"/>
      <c r="V41" s="14" t="n"/>
    </row>
    <row r="42" ht="18" customHeight="1" s="73">
      <c r="C42" s="24" t="n"/>
      <c r="D42" s="9" t="n">
        <v>7</v>
      </c>
      <c r="E42" s="292" t="n"/>
      <c r="F42" s="250" t="n"/>
      <c r="G42" s="28" t="n"/>
      <c r="H42" s="293" t="n"/>
      <c r="I42" s="233" t="n"/>
      <c r="J42" s="233" t="n"/>
      <c r="K42" s="250" t="n"/>
      <c r="L42" s="26" t="n"/>
      <c r="M42" s="36" t="n"/>
      <c r="N42" s="250" t="n"/>
      <c r="O42" s="9" t="n"/>
      <c r="P42" s="250" t="n"/>
      <c r="Q42" s="9" t="n"/>
      <c r="R42" s="9" t="n"/>
      <c r="S42" s="250" t="n"/>
      <c r="T42" s="9" t="n"/>
      <c r="U42" s="68" t="n"/>
      <c r="V42" s="14" t="n"/>
    </row>
    <row r="43" ht="18" customHeight="1" s="73">
      <c r="C43" s="29" t="n"/>
      <c r="D43" s="183" t="n">
        <v>8</v>
      </c>
      <c r="E43" s="294" t="n"/>
      <c r="F43" s="248" t="n"/>
      <c r="G43" s="30" t="n"/>
      <c r="H43" s="295" t="n"/>
      <c r="I43" s="272" t="n"/>
      <c r="J43" s="272" t="n"/>
      <c r="K43" s="248" t="n"/>
      <c r="L43" s="31" t="n"/>
      <c r="M43" s="31" t="n"/>
      <c r="N43" s="248" t="n"/>
      <c r="O43" s="183" t="n"/>
      <c r="P43" s="248" t="n"/>
      <c r="Q43" s="183" t="n"/>
      <c r="R43" s="183" t="n"/>
      <c r="S43" s="248" t="n"/>
      <c r="T43" s="183" t="n"/>
      <c r="U43" s="32" t="n"/>
      <c r="V43" s="14" t="n"/>
    </row>
    <row r="44" ht="18" customHeight="1" s="73">
      <c r="C44" s="190" t="inlineStr">
        <is>
          <t>responsável pelo rompimento</t>
        </is>
      </c>
      <c r="D44" s="7" t="inlineStr">
        <is>
          <t>CÓDIGO</t>
        </is>
      </c>
      <c r="E44" s="292" t="inlineStr">
        <is>
          <t>NOME</t>
        </is>
      </c>
      <c r="F44" s="233" t="n"/>
      <c r="G44" s="233" t="n"/>
      <c r="H44" s="233" t="n"/>
      <c r="I44" s="233" t="n"/>
      <c r="J44" s="233" t="n"/>
      <c r="K44" s="233" t="n"/>
      <c r="L44" s="250" t="n"/>
      <c r="M44" s="26" t="inlineStr">
        <is>
          <t>FUNÇÃO</t>
        </is>
      </c>
      <c r="N44" s="233" t="n"/>
      <c r="O44" s="233" t="n"/>
      <c r="P44" s="233" t="n"/>
      <c r="Q44" s="250" t="n"/>
      <c r="R44" s="27" t="inlineStr">
        <is>
          <t>ASSINATURA</t>
        </is>
      </c>
      <c r="S44" s="233" t="n"/>
      <c r="T44" s="233" t="n"/>
      <c r="U44" s="235" t="n"/>
      <c r="V44" s="14" t="n"/>
    </row>
    <row r="45" ht="18" customHeight="1" s="73">
      <c r="C45" s="231" t="n"/>
      <c r="D45" s="33" t="inlineStr">
        <is>
          <t>RR-1</t>
        </is>
      </c>
      <c r="E45" s="296" t="inlineStr">
        <is>
          <t>Gean Junior Reinholz</t>
        </is>
      </c>
      <c r="F45" s="272" t="n"/>
      <c r="G45" s="272" t="n"/>
      <c r="H45" s="272" t="n"/>
      <c r="I45" s="272" t="n"/>
      <c r="J45" s="272" t="n"/>
      <c r="K45" s="272" t="n"/>
      <c r="L45" s="248" t="n"/>
      <c r="M45" s="36" t="inlineStr">
        <is>
          <t>Técnico de Edificações</t>
        </is>
      </c>
      <c r="N45" s="233" t="n"/>
      <c r="O45" s="233" t="n"/>
      <c r="P45" s="233" t="n"/>
      <c r="Q45" s="250" t="n"/>
      <c r="R45" s="297" t="n"/>
      <c r="S45" s="233" t="n"/>
      <c r="T45" s="233" t="n"/>
      <c r="U45" s="235" t="n"/>
      <c r="V45" s="14" t="n"/>
    </row>
    <row r="46" ht="18" customHeight="1" s="73">
      <c r="C46" s="231" t="n"/>
      <c r="D46" s="33" t="inlineStr">
        <is>
          <t>RR-2</t>
        </is>
      </c>
      <c r="E46" s="296" t="inlineStr">
        <is>
          <t>Leandro Rodrigues Netto</t>
        </is>
      </c>
      <c r="F46" s="272" t="n"/>
      <c r="G46" s="272" t="n"/>
      <c r="H46" s="272" t="n"/>
      <c r="I46" s="272" t="n"/>
      <c r="J46" s="272" t="n"/>
      <c r="K46" s="272" t="n"/>
      <c r="L46" s="248" t="n"/>
      <c r="M46" s="36" t="inlineStr">
        <is>
          <t>Gestor de Fábrica</t>
        </is>
      </c>
      <c r="N46" s="233" t="n"/>
      <c r="O46" s="233" t="n"/>
      <c r="P46" s="233" t="n"/>
      <c r="Q46" s="250" t="n"/>
      <c r="R46" s="297" t="n"/>
      <c r="S46" s="233" t="n"/>
      <c r="T46" s="233" t="n"/>
      <c r="U46" s="235" t="n"/>
      <c r="V46" s="14" t="n"/>
    </row>
    <row r="47" ht="18" customHeight="1" s="73">
      <c r="C47" s="231" t="n"/>
      <c r="D47" s="34" t="inlineStr">
        <is>
          <t>RR-3</t>
        </is>
      </c>
      <c r="E47" s="296" t="n"/>
      <c r="F47" s="272" t="n"/>
      <c r="G47" s="272" t="n"/>
      <c r="H47" s="272" t="n"/>
      <c r="I47" s="272" t="n"/>
      <c r="J47" s="272" t="n"/>
      <c r="K47" s="272" t="n"/>
      <c r="L47" s="248" t="n"/>
      <c r="M47" s="298" t="n"/>
      <c r="N47" s="272" t="n"/>
      <c r="O47" s="272" t="n"/>
      <c r="P47" s="272" t="n"/>
      <c r="Q47" s="248" t="n"/>
      <c r="R47" s="299" t="n"/>
      <c r="S47" s="272" t="n"/>
      <c r="T47" s="272" t="n"/>
      <c r="U47" s="300" t="n"/>
      <c r="V47" s="14" t="n"/>
    </row>
    <row r="48" ht="15.75" customHeight="1" s="73">
      <c r="C48" s="301" t="inlineStr">
        <is>
          <t>ENSAIO EXECUTADO NA PRENSA  MARCA PAVITEST / CONTENCO - FAIXA NOMINAL 100 tf, CERTIFICADO DE CALIBRAÇÃO SCM101907, EMITIDA PELO LABORATÓRIO DE METROLOGIA DA ONIX  EM 02/04/2025</t>
        </is>
      </c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0" t="n"/>
    </row>
    <row r="49" ht="15.75" customHeight="1" s="73" thickBot="1">
      <c r="C49" s="236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40" t="n"/>
    </row>
    <row r="50" ht="18" customHeight="1" s="73">
      <c r="C50" s="282" t="inlineStr">
        <is>
          <t xml:space="preserve">RESISTÊNCIA FINAL </t>
        </is>
      </c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30" t="n"/>
      <c r="V50" s="14" t="n"/>
    </row>
    <row r="51" ht="52.5" customHeight="1" s="73">
      <c r="C51" s="302" t="inlineStr">
        <is>
          <t>DATA DA RUPTURA</t>
        </is>
      </c>
      <c r="D51" s="244" t="n"/>
      <c r="E51" s="244" t="n"/>
      <c r="F51" s="252" t="n"/>
      <c r="G51" s="6" t="inlineStr">
        <is>
          <t>PRAZO 
dia (d )
ou 
hora (h)</t>
        </is>
      </c>
      <c r="H51" s="244" t="n"/>
      <c r="I51" s="244" t="n"/>
      <c r="J51" s="244" t="n"/>
      <c r="K51" s="252" t="n"/>
      <c r="L51" s="303" t="inlineStr">
        <is>
          <t>RESISTÊNCIA (MPa)
Valor adotado</t>
        </is>
      </c>
      <c r="M51" s="244" t="n"/>
      <c r="N51" s="304" t="n"/>
      <c r="O51" s="302" t="inlineStr">
        <is>
          <t>DATA DA RUPTURA</t>
        </is>
      </c>
      <c r="P51" s="244" t="n"/>
      <c r="Q51" s="252" t="n"/>
      <c r="R51" s="6" t="inlineStr">
        <is>
          <t>PRAZO 
dia (d )
ou 
hora (h)</t>
        </is>
      </c>
      <c r="S51" s="252" t="n"/>
      <c r="T51" s="303" t="inlineStr">
        <is>
          <t>RESISTÊNCIA (MPa)
Valor adotado</t>
        </is>
      </c>
      <c r="U51" s="304" t="n"/>
      <c r="V51" s="14" t="n"/>
    </row>
    <row r="52" ht="18" customHeight="1" s="73">
      <c r="C52" s="305" t="inlineStr"/>
      <c r="D52" s="233" t="n"/>
      <c r="E52" s="233" t="n"/>
      <c r="F52" s="250" t="n"/>
      <c r="G52" s="35" t="inlineStr"/>
      <c r="H52" s="36">
        <f>H36</f>
        <v/>
      </c>
      <c r="I52" s="233" t="n"/>
      <c r="J52" s="233" t="n"/>
      <c r="K52" s="250" t="n"/>
      <c r="L52" s="306" t="inlineStr"/>
      <c r="M52" s="233" t="n"/>
      <c r="N52" s="235" t="n"/>
      <c r="O52" s="305" t="n"/>
      <c r="P52" s="233" t="n"/>
      <c r="Q52" s="250" t="n"/>
      <c r="R52" s="33" t="n"/>
      <c r="S52" s="36" t="n"/>
      <c r="T52" s="307" t="n"/>
      <c r="U52" s="235" t="n"/>
      <c r="V52" s="14" t="n"/>
    </row>
    <row r="53" ht="18" customHeight="1" s="73" thickBot="1">
      <c r="C53" s="308" t="inlineStr"/>
      <c r="D53" s="309" t="n"/>
      <c r="E53" s="309" t="n"/>
      <c r="F53" s="310" t="n"/>
      <c r="G53" s="37">
        <f>G38</f>
        <v/>
      </c>
      <c r="H53" s="38">
        <f>H38</f>
        <v/>
      </c>
      <c r="I53" s="309" t="n"/>
      <c r="J53" s="309" t="n"/>
      <c r="K53" s="310" t="n"/>
      <c r="L53" s="311" t="inlineStr"/>
      <c r="M53" s="309" t="n"/>
      <c r="N53" s="312" t="n"/>
      <c r="O53" s="308" t="n"/>
      <c r="P53" s="309" t="n"/>
      <c r="Q53" s="310" t="n"/>
      <c r="R53" s="37" t="n"/>
      <c r="S53" s="38" t="n"/>
      <c r="T53" s="313" t="n"/>
      <c r="U53" s="312" t="n"/>
      <c r="V53" s="14" t="n"/>
    </row>
    <row r="54" ht="18" customHeight="1" s="73">
      <c r="C54" s="314" t="inlineStr">
        <is>
          <t>responsável final pelo controle tecnógico:</t>
        </is>
      </c>
      <c r="D54" s="224" t="n"/>
      <c r="E54" s="224" t="n"/>
      <c r="F54" s="224" t="n"/>
      <c r="G54" s="225" t="n"/>
      <c r="H54" s="315" t="inlineStr">
        <is>
          <t>função:</t>
        </is>
      </c>
      <c r="I54" s="224" t="n"/>
      <c r="J54" s="224" t="n"/>
      <c r="K54" s="224" t="n"/>
      <c r="L54" s="224" t="n"/>
      <c r="M54" s="224" t="n"/>
      <c r="N54" s="224" t="n"/>
      <c r="O54" s="225" t="n"/>
      <c r="P54" s="316" t="inlineStr">
        <is>
          <t>ASSINATURA</t>
        </is>
      </c>
      <c r="Q54" s="224" t="n"/>
      <c r="R54" s="224" t="n"/>
      <c r="S54" s="317" t="n"/>
      <c r="T54" s="318" t="inlineStr">
        <is>
          <t>data</t>
        </is>
      </c>
      <c r="U54" s="317" t="n"/>
      <c r="V54" s="14" t="n"/>
    </row>
    <row r="55" ht="25.5" customHeight="1" s="73" thickBot="1">
      <c r="C55" s="319" t="inlineStr">
        <is>
          <t>Leandro Rodrigues Netto</t>
        </is>
      </c>
      <c r="D55" s="237" t="n"/>
      <c r="E55" s="237" t="n"/>
      <c r="F55" s="237" t="n"/>
      <c r="G55" s="238" t="n"/>
      <c r="H55" s="320" t="inlineStr">
        <is>
          <t xml:space="preserve">Gestor de Fábrica </t>
        </is>
      </c>
      <c r="I55" s="237" t="n"/>
      <c r="J55" s="237" t="n"/>
      <c r="K55" s="237" t="n"/>
      <c r="L55" s="237" t="n"/>
      <c r="M55" s="237" t="n"/>
      <c r="N55" s="237" t="n"/>
      <c r="O55" s="238" t="n"/>
      <c r="P55" s="321" t="n"/>
      <c r="Q55" s="237" t="n"/>
      <c r="R55" s="237" t="n"/>
      <c r="S55" s="240" t="n"/>
      <c r="T55" s="321" t="inlineStr"/>
      <c r="U55" s="240" t="n"/>
      <c r="V55" s="14" t="n"/>
    </row>
    <row r="56" ht="7.5" customHeight="1" s="73"/>
    <row r="57" ht="7.5" customHeight="1" s="73"/>
    <row r="58" ht="15.75" customHeight="1" s="73"/>
    <row r="59" ht="15.75" customHeight="1" s="73"/>
    <row r="60" ht="15.75" customHeight="1" s="73"/>
    <row r="61" ht="15.75" customHeight="1" s="73"/>
    <row r="62" ht="15.75" customHeight="1" s="73"/>
    <row r="63" ht="15.75" customHeight="1" s="73"/>
    <row r="64" ht="15.75" customHeight="1" s="73"/>
    <row r="65" ht="15.75" customHeight="1" s="73"/>
    <row r="66" ht="15.75" customHeight="1" s="73"/>
    <row r="67" ht="15.75" customHeight="1" s="73"/>
    <row r="68" ht="15.75" customHeight="1" s="73"/>
    <row r="69" ht="15.75" customHeight="1" s="73"/>
    <row r="70" ht="15.75" customHeight="1" s="73"/>
    <row r="71" ht="15.75" customHeight="1" s="73"/>
    <row r="72" ht="15.75" customHeight="1" s="73"/>
    <row r="73" ht="15.75" customHeight="1" s="73"/>
    <row r="74" ht="15.75" customHeight="1" s="73"/>
    <row r="75" ht="15.75" customHeight="1" s="73"/>
    <row r="76" ht="15.75" customHeight="1" s="73"/>
    <row r="77" ht="15.75" customHeight="1" s="73"/>
    <row r="78" ht="15.75" customHeight="1" s="73"/>
    <row r="79" ht="15.75" customHeight="1" s="73"/>
    <row r="80" ht="15.75" customHeight="1" s="73"/>
    <row r="81" ht="15.75" customHeight="1" s="73"/>
    <row r="82" ht="15.75" customHeight="1" s="73"/>
    <row r="83" ht="15.75" customHeight="1" s="73"/>
    <row r="84" ht="15.75" customHeight="1" s="73"/>
    <row r="85" ht="15.75" customHeight="1" s="73"/>
    <row r="86" ht="15.75" customHeight="1" s="73"/>
    <row r="87" ht="15.75" customHeight="1" s="73"/>
    <row r="88" ht="15.75" customHeight="1" s="73"/>
    <row r="89" ht="15.75" customHeight="1" s="73"/>
    <row r="90" ht="15.75" customHeight="1" s="73"/>
    <row r="91" ht="15.75" customHeight="1" s="73"/>
    <row r="92" ht="15.75" customHeight="1" s="73"/>
    <row r="93" ht="15.75" customHeight="1" s="73"/>
    <row r="94" ht="15.75" customHeight="1" s="73"/>
    <row r="95" ht="15.75" customHeight="1" s="73"/>
    <row r="96" ht="15.75" customHeight="1" s="73"/>
    <row r="97" ht="15.75" customHeight="1" s="73"/>
    <row r="98" ht="15.75" customHeight="1" s="73"/>
    <row r="99" ht="15.75" customHeight="1" s="73"/>
    <row r="100" ht="15.75" customHeight="1" s="73"/>
    <row r="101" ht="15.75" customHeight="1" s="73"/>
    <row r="102" ht="15.75" customHeight="1" s="73"/>
  </sheetData>
  <mergeCells count="146">
    <mergeCell ref="C52:F52"/>
    <mergeCell ref="M43:N43"/>
    <mergeCell ref="M44:Q44"/>
    <mergeCell ref="E15:G15"/>
    <mergeCell ref="E8:F8"/>
    <mergeCell ref="H42:K42"/>
    <mergeCell ref="O51:Q51"/>
    <mergeCell ref="E44:L44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E46:L46"/>
    <mergeCell ref="O40:P40"/>
    <mergeCell ref="M36:N3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L51:N51"/>
    <mergeCell ref="H15:K15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O39:P39"/>
    <mergeCell ref="G23:N23"/>
    <mergeCell ref="O36:P36"/>
    <mergeCell ref="G8:K8"/>
    <mergeCell ref="C53:F53"/>
    <mergeCell ref="L31:L35"/>
    <mergeCell ref="T54:U54"/>
    <mergeCell ref="P55:S55"/>
    <mergeCell ref="D11:K11"/>
    <mergeCell ref="H38:K38"/>
    <mergeCell ref="C55:G55"/>
    <mergeCell ref="H43:K43"/>
    <mergeCell ref="M40:N40"/>
    <mergeCell ref="D12:U12"/>
    <mergeCell ref="R35:S35"/>
    <mergeCell ref="C6:U6"/>
    <mergeCell ref="H40:K40"/>
    <mergeCell ref="M37:N37"/>
    <mergeCell ref="M46:Q46"/>
    <mergeCell ref="Q22:U22"/>
    <mergeCell ref="O23:U24"/>
    <mergeCell ref="O53:Q53"/>
    <mergeCell ref="C48:U49"/>
    <mergeCell ref="C50:U50"/>
    <mergeCell ref="E7:F7"/>
    <mergeCell ref="E41:F41"/>
    <mergeCell ref="M38:N38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E37:F37"/>
    <mergeCell ref="G17:L17"/>
    <mergeCell ref="T18:U18"/>
    <mergeCell ref="O37:P37"/>
  </mergeCells>
  <conditionalFormatting sqref="E17:E18">
    <cfRule type="cellIs" priority="2" operator="equal" dxfId="0">
      <formula>0</formula>
    </cfRule>
  </conditionalFormatting>
  <conditionalFormatting sqref="G17:L18">
    <cfRule type="cellIs" priority="3" operator="equal" dxfId="0">
      <formula>0</formula>
    </cfRule>
  </conditionalFormatting>
  <conditionalFormatting sqref="O36:U39">
    <cfRule type="cellIs" priority="1" operator="equal" dxfId="0">
      <formula>0</formula>
    </cfRule>
  </conditionalFormatting>
  <printOptions horizontalCentered="1"/>
  <pageMargins left="0.2" right="0.2" top="0.3" bottom="0.3" header="0.1" footer="0.1"/>
  <pageSetup orientation="portrait" paperSize="9" scale="73" fitToHeight="1" fitToWidth="1"/>
  <colBreaks count="1" manualBreakCount="1">
    <brk id="2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2026-01-22T17:47:14Z</dcterms:modified>
  <cp:lastModifiedBy>Leandro Netto</cp:lastModifiedBy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